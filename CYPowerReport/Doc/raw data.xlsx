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發電量報表規劃\"/>
    </mc:Choice>
  </mc:AlternateContent>
  <xr:revisionPtr revIDLastSave="0" documentId="13_ncr:1_{CFBD3394-11C3-4591-A734-47A17754A3A0}" xr6:coauthVersionLast="45" xr6:coauthVersionMax="45" xr10:uidLastSave="{00000000-0000-0000-0000-000000000000}"/>
  <bookViews>
    <workbookView xWindow="-120" yWindow="-120" windowWidth="29040" windowHeight="15840" tabRatio="763" firstSheet="3" activeTab="5" xr2:uid="{BAC14DBD-5C3D-442D-AFE5-226DF8FAD0DB}"/>
  </bookViews>
  <sheets>
    <sheet name="三惟監控系統每日發電量" sheetId="1" r:id="rId1"/>
    <sheet name="三惟監控系統每日INV發電量" sheetId="5" r:id="rId2"/>
    <sheet name="Big Sun監控系統每日發電量" sheetId="2" r:id="rId3"/>
    <sheet name="Big Sun監控系統每日INV發電量" sheetId="6" r:id="rId4"/>
    <sheet name="華為監控系統每日發電量" sheetId="4" r:id="rId5"/>
    <sheet name="華為監控系統每日INV發電量" sheetId="7" r:id="rId6"/>
    <sheet name="案場電費單數據_世鴻一期" sheetId="8" r:id="rId7"/>
    <sheet name="案場電費單數據_世鴻二期" sheetId="9" r:id="rId8"/>
    <sheet name="案場電費單數據_黃永生、黃治勳" sheetId="10" r:id="rId9"/>
    <sheet name="案場電費單數據_鐘明堂" sheetId="11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77" i="11" l="1"/>
  <c r="D77" i="11" s="1"/>
  <c r="B76" i="11"/>
  <c r="D76" i="11" s="1"/>
  <c r="B75" i="11"/>
  <c r="D75" i="11" s="1"/>
  <c r="B74" i="11"/>
  <c r="D74" i="11" s="1"/>
  <c r="B73" i="11"/>
  <c r="D73" i="11" s="1"/>
  <c r="B72" i="11"/>
  <c r="D72" i="11" s="1"/>
  <c r="B71" i="11"/>
  <c r="D71" i="11" s="1"/>
  <c r="B70" i="11"/>
  <c r="D70" i="11" s="1"/>
  <c r="B69" i="11"/>
  <c r="D69" i="11" s="1"/>
  <c r="B68" i="11"/>
  <c r="D68" i="11" s="1"/>
  <c r="B67" i="11"/>
  <c r="D67" i="11" s="1"/>
  <c r="B66" i="11"/>
  <c r="D66" i="11" s="1"/>
  <c r="B65" i="11"/>
  <c r="D65" i="11" s="1"/>
  <c r="B64" i="11"/>
  <c r="D64" i="11" s="1"/>
  <c r="B63" i="11"/>
  <c r="D63" i="11" s="1"/>
  <c r="B62" i="11"/>
  <c r="D62" i="11" s="1"/>
  <c r="B61" i="11"/>
  <c r="D61" i="11" s="1"/>
  <c r="B60" i="11"/>
  <c r="D60" i="11" s="1"/>
  <c r="B59" i="11"/>
  <c r="D59" i="11" s="1"/>
  <c r="B58" i="11"/>
  <c r="D58" i="11" s="1"/>
  <c r="B57" i="11"/>
  <c r="D57" i="11" s="1"/>
  <c r="B56" i="11"/>
  <c r="D56" i="11" s="1"/>
  <c r="B55" i="11"/>
  <c r="D55" i="11" s="1"/>
  <c r="B54" i="11"/>
  <c r="D54" i="11" s="1"/>
  <c r="B53" i="11"/>
  <c r="D53" i="11" s="1"/>
  <c r="B52" i="11"/>
  <c r="D52" i="11" s="1"/>
  <c r="B51" i="11"/>
  <c r="D51" i="11" s="1"/>
  <c r="B50" i="11"/>
  <c r="D50" i="11" s="1"/>
  <c r="B49" i="11"/>
  <c r="D49" i="11" s="1"/>
  <c r="B48" i="11"/>
  <c r="D48" i="11" s="1"/>
  <c r="B47" i="11"/>
  <c r="D47" i="11" s="1"/>
  <c r="B46" i="11"/>
  <c r="D46" i="11" s="1"/>
  <c r="B45" i="11"/>
  <c r="D45" i="11" s="1"/>
  <c r="B44" i="11"/>
  <c r="D44" i="11" s="1"/>
  <c r="B43" i="11"/>
  <c r="D43" i="11" s="1"/>
  <c r="B42" i="11"/>
  <c r="D42" i="11" s="1"/>
  <c r="B41" i="11"/>
  <c r="D41" i="11" s="1"/>
  <c r="B40" i="11"/>
  <c r="D40" i="11" s="1"/>
  <c r="B39" i="11"/>
  <c r="D39" i="11" s="1"/>
  <c r="B38" i="11"/>
  <c r="D38" i="11" s="1"/>
  <c r="B37" i="11"/>
  <c r="D37" i="11" s="1"/>
  <c r="B36" i="11"/>
  <c r="D36" i="11" s="1"/>
  <c r="B35" i="11"/>
  <c r="D35" i="11" s="1"/>
  <c r="B34" i="11"/>
  <c r="D34" i="11" s="1"/>
  <c r="B33" i="11"/>
  <c r="D33" i="11" s="1"/>
  <c r="B32" i="11"/>
  <c r="D32" i="11" s="1"/>
  <c r="B31" i="11"/>
  <c r="D31" i="11" s="1"/>
  <c r="B30" i="11"/>
  <c r="D30" i="11" s="1"/>
  <c r="B29" i="11"/>
  <c r="D29" i="11" s="1"/>
  <c r="B28" i="11"/>
  <c r="D28" i="11" s="1"/>
  <c r="B27" i="11"/>
  <c r="D27" i="11" s="1"/>
  <c r="B26" i="11"/>
  <c r="D26" i="11" s="1"/>
  <c r="B25" i="11"/>
  <c r="D25" i="11" s="1"/>
  <c r="B24" i="11"/>
  <c r="D24" i="11" s="1"/>
  <c r="B23" i="11"/>
  <c r="D23" i="11" s="1"/>
  <c r="B22" i="11"/>
  <c r="D22" i="11" s="1"/>
  <c r="B21" i="11"/>
  <c r="D21" i="11" s="1"/>
  <c r="B20" i="11"/>
  <c r="D20" i="11" s="1"/>
  <c r="B19" i="11"/>
  <c r="D19" i="11" s="1"/>
  <c r="B18" i="11"/>
  <c r="D18" i="11" s="1"/>
  <c r="B17" i="11"/>
  <c r="D17" i="11" s="1"/>
  <c r="B16" i="11"/>
  <c r="D16" i="11" s="1"/>
  <c r="B15" i="11"/>
  <c r="D15" i="11" s="1"/>
  <c r="B14" i="11"/>
  <c r="D14" i="11" s="1"/>
  <c r="B13" i="11"/>
  <c r="D13" i="11" s="1"/>
  <c r="B12" i="11"/>
  <c r="D12" i="11" s="1"/>
  <c r="B11" i="11"/>
  <c r="D11" i="11" s="1"/>
  <c r="B10" i="11"/>
  <c r="D10" i="11" s="1"/>
  <c r="B9" i="11"/>
  <c r="D9" i="11" s="1"/>
  <c r="B8" i="11"/>
  <c r="D8" i="11" s="1"/>
  <c r="F7" i="11"/>
  <c r="H7" i="11" s="1"/>
  <c r="B7" i="11"/>
  <c r="D7" i="11" s="1"/>
  <c r="B6" i="11"/>
  <c r="D6" i="11" s="1"/>
  <c r="K6" i="11" s="1"/>
  <c r="K5" i="11"/>
  <c r="H5" i="11"/>
  <c r="I5" i="11" s="1"/>
  <c r="F5" i="11"/>
  <c r="B5" i="11"/>
  <c r="D5" i="11" s="1"/>
  <c r="J5" i="11" s="1"/>
  <c r="F4" i="11"/>
  <c r="F6" i="11" s="1"/>
  <c r="B4" i="11"/>
  <c r="D4" i="11" s="1"/>
  <c r="K3" i="11"/>
  <c r="L3" i="11" s="1"/>
  <c r="F3" i="11"/>
  <c r="H3" i="11" s="1"/>
  <c r="B3" i="11"/>
  <c r="D3" i="11" s="1"/>
  <c r="J3" i="11" s="1"/>
  <c r="J2" i="11"/>
  <c r="H2" i="11"/>
  <c r="I2" i="11" s="1"/>
  <c r="D2" i="11"/>
  <c r="K2" i="11" s="1"/>
  <c r="L2" i="11" s="1"/>
  <c r="B77" i="10"/>
  <c r="D77" i="10" s="1"/>
  <c r="B76" i="10"/>
  <c r="D76" i="10" s="1"/>
  <c r="B75" i="10"/>
  <c r="D75" i="10" s="1"/>
  <c r="J75" i="10" s="1"/>
  <c r="D74" i="10"/>
  <c r="B74" i="10"/>
  <c r="B73" i="10"/>
  <c r="D73" i="10" s="1"/>
  <c r="B72" i="10"/>
  <c r="D72" i="10" s="1"/>
  <c r="K71" i="10"/>
  <c r="D71" i="10"/>
  <c r="J71" i="10" s="1"/>
  <c r="B71" i="10"/>
  <c r="B70" i="10"/>
  <c r="D70" i="10" s="1"/>
  <c r="K69" i="10"/>
  <c r="D69" i="10"/>
  <c r="J69" i="10" s="1"/>
  <c r="B69" i="10"/>
  <c r="J68" i="10"/>
  <c r="D68" i="10"/>
  <c r="K68" i="10" s="1"/>
  <c r="B68" i="10"/>
  <c r="J67" i="10"/>
  <c r="D67" i="10"/>
  <c r="K67" i="10" s="1"/>
  <c r="B67" i="10"/>
  <c r="J66" i="10"/>
  <c r="D66" i="10"/>
  <c r="K66" i="10" s="1"/>
  <c r="B66" i="10"/>
  <c r="J65" i="10"/>
  <c r="D65" i="10"/>
  <c r="K65" i="10" s="1"/>
  <c r="B65" i="10"/>
  <c r="J64" i="10"/>
  <c r="D64" i="10"/>
  <c r="K64" i="10" s="1"/>
  <c r="B64" i="10"/>
  <c r="J63" i="10"/>
  <c r="D63" i="10"/>
  <c r="K63" i="10" s="1"/>
  <c r="B63" i="10"/>
  <c r="J62" i="10"/>
  <c r="D62" i="10"/>
  <c r="K62" i="10" s="1"/>
  <c r="B62" i="10"/>
  <c r="J61" i="10"/>
  <c r="D61" i="10"/>
  <c r="K61" i="10" s="1"/>
  <c r="B61" i="10"/>
  <c r="J60" i="10"/>
  <c r="D60" i="10"/>
  <c r="K60" i="10" s="1"/>
  <c r="B60" i="10"/>
  <c r="J59" i="10"/>
  <c r="D59" i="10"/>
  <c r="K59" i="10" s="1"/>
  <c r="B59" i="10"/>
  <c r="J58" i="10"/>
  <c r="D58" i="10"/>
  <c r="K58" i="10" s="1"/>
  <c r="B58" i="10"/>
  <c r="J57" i="10"/>
  <c r="D57" i="10"/>
  <c r="K57" i="10" s="1"/>
  <c r="B57" i="10"/>
  <c r="J56" i="10"/>
  <c r="D56" i="10"/>
  <c r="K56" i="10" s="1"/>
  <c r="B56" i="10"/>
  <c r="J55" i="10"/>
  <c r="D55" i="10"/>
  <c r="K55" i="10" s="1"/>
  <c r="B55" i="10"/>
  <c r="J54" i="10"/>
  <c r="D54" i="10"/>
  <c r="K54" i="10" s="1"/>
  <c r="B54" i="10"/>
  <c r="J53" i="10"/>
  <c r="D53" i="10"/>
  <c r="K53" i="10" s="1"/>
  <c r="B53" i="10"/>
  <c r="J52" i="10"/>
  <c r="D52" i="10"/>
  <c r="K52" i="10" s="1"/>
  <c r="B52" i="10"/>
  <c r="J51" i="10"/>
  <c r="D51" i="10"/>
  <c r="K51" i="10" s="1"/>
  <c r="B51" i="10"/>
  <c r="J50" i="10"/>
  <c r="D50" i="10"/>
  <c r="K50" i="10" s="1"/>
  <c r="B50" i="10"/>
  <c r="J49" i="10"/>
  <c r="D49" i="10"/>
  <c r="K49" i="10" s="1"/>
  <c r="B49" i="10"/>
  <c r="J48" i="10"/>
  <c r="D48" i="10"/>
  <c r="K48" i="10" s="1"/>
  <c r="B48" i="10"/>
  <c r="J47" i="10"/>
  <c r="D47" i="10"/>
  <c r="K47" i="10" s="1"/>
  <c r="B47" i="10"/>
  <c r="J46" i="10"/>
  <c r="D46" i="10"/>
  <c r="K46" i="10" s="1"/>
  <c r="B46" i="10"/>
  <c r="J45" i="10"/>
  <c r="D45" i="10"/>
  <c r="K45" i="10" s="1"/>
  <c r="B45" i="10"/>
  <c r="J44" i="10"/>
  <c r="D44" i="10"/>
  <c r="K44" i="10" s="1"/>
  <c r="B44" i="10"/>
  <c r="J43" i="10"/>
  <c r="D43" i="10"/>
  <c r="K43" i="10" s="1"/>
  <c r="B43" i="10"/>
  <c r="J42" i="10"/>
  <c r="D42" i="10"/>
  <c r="K42" i="10" s="1"/>
  <c r="B42" i="10"/>
  <c r="D41" i="10"/>
  <c r="K41" i="10" s="1"/>
  <c r="B41" i="10"/>
  <c r="D40" i="10"/>
  <c r="K40" i="10" s="1"/>
  <c r="B40" i="10"/>
  <c r="J39" i="10"/>
  <c r="D39" i="10"/>
  <c r="K39" i="10" s="1"/>
  <c r="B39" i="10"/>
  <c r="D38" i="10"/>
  <c r="K38" i="10" s="1"/>
  <c r="B38" i="10"/>
  <c r="D37" i="10"/>
  <c r="K37" i="10" s="1"/>
  <c r="B37" i="10"/>
  <c r="J36" i="10"/>
  <c r="D36" i="10"/>
  <c r="K36" i="10" s="1"/>
  <c r="B36" i="10"/>
  <c r="J35" i="10"/>
  <c r="D35" i="10"/>
  <c r="K35" i="10" s="1"/>
  <c r="B35" i="10"/>
  <c r="J34" i="10"/>
  <c r="D34" i="10"/>
  <c r="K34" i="10" s="1"/>
  <c r="B34" i="10"/>
  <c r="D33" i="10"/>
  <c r="K33" i="10" s="1"/>
  <c r="B33" i="10"/>
  <c r="D32" i="10"/>
  <c r="K32" i="10" s="1"/>
  <c r="B32" i="10"/>
  <c r="J31" i="10"/>
  <c r="D31" i="10"/>
  <c r="K31" i="10" s="1"/>
  <c r="B31" i="10"/>
  <c r="D30" i="10"/>
  <c r="K30" i="10" s="1"/>
  <c r="B30" i="10"/>
  <c r="D29" i="10"/>
  <c r="K29" i="10" s="1"/>
  <c r="B29" i="10"/>
  <c r="J28" i="10"/>
  <c r="D28" i="10"/>
  <c r="K28" i="10" s="1"/>
  <c r="B28" i="10"/>
  <c r="J27" i="10"/>
  <c r="D27" i="10"/>
  <c r="K27" i="10" s="1"/>
  <c r="B27" i="10"/>
  <c r="J26" i="10"/>
  <c r="D26" i="10"/>
  <c r="K26" i="10" s="1"/>
  <c r="B26" i="10"/>
  <c r="D25" i="10"/>
  <c r="K25" i="10" s="1"/>
  <c r="B25" i="10"/>
  <c r="D24" i="10"/>
  <c r="K24" i="10" s="1"/>
  <c r="B24" i="10"/>
  <c r="J23" i="10"/>
  <c r="D23" i="10"/>
  <c r="K23" i="10" s="1"/>
  <c r="B23" i="10"/>
  <c r="D22" i="10"/>
  <c r="K22" i="10" s="1"/>
  <c r="B22" i="10"/>
  <c r="D21" i="10"/>
  <c r="K21" i="10" s="1"/>
  <c r="B21" i="10"/>
  <c r="J20" i="10"/>
  <c r="D20" i="10"/>
  <c r="K20" i="10" s="1"/>
  <c r="B20" i="10"/>
  <c r="J19" i="10"/>
  <c r="D19" i="10"/>
  <c r="K19" i="10" s="1"/>
  <c r="B19" i="10"/>
  <c r="D18" i="10"/>
  <c r="K18" i="10" s="1"/>
  <c r="B18" i="10"/>
  <c r="D17" i="10"/>
  <c r="K17" i="10" s="1"/>
  <c r="B17" i="10"/>
  <c r="B16" i="10"/>
  <c r="D16" i="10" s="1"/>
  <c r="B15" i="10"/>
  <c r="D15" i="10" s="1"/>
  <c r="B14" i="10"/>
  <c r="D14" i="10" s="1"/>
  <c r="B13" i="10"/>
  <c r="D13" i="10" s="1"/>
  <c r="D12" i="10"/>
  <c r="K12" i="10" s="1"/>
  <c r="B12" i="10"/>
  <c r="K11" i="10"/>
  <c r="D11" i="10"/>
  <c r="J11" i="10" s="1"/>
  <c r="B11" i="10"/>
  <c r="B10" i="10"/>
  <c r="D10" i="10" s="1"/>
  <c r="B9" i="10"/>
  <c r="D9" i="10" s="1"/>
  <c r="B8" i="10"/>
  <c r="D8" i="10" s="1"/>
  <c r="B7" i="10"/>
  <c r="D7" i="10" s="1"/>
  <c r="B6" i="10"/>
  <c r="D6" i="10" s="1"/>
  <c r="B5" i="10"/>
  <c r="D5" i="10" s="1"/>
  <c r="F4" i="10"/>
  <c r="H4" i="10" s="1"/>
  <c r="B4" i="10"/>
  <c r="D4" i="10" s="1"/>
  <c r="F3" i="10"/>
  <c r="H3" i="10" s="1"/>
  <c r="B3" i="10"/>
  <c r="D3" i="10" s="1"/>
  <c r="L2" i="10"/>
  <c r="K2" i="10"/>
  <c r="J2" i="10"/>
  <c r="I2" i="10"/>
  <c r="H2" i="10"/>
  <c r="D2" i="10"/>
  <c r="B77" i="9"/>
  <c r="D77" i="9" s="1"/>
  <c r="B76" i="9"/>
  <c r="D76" i="9" s="1"/>
  <c r="B75" i="9"/>
  <c r="D75" i="9" s="1"/>
  <c r="B74" i="9"/>
  <c r="D74" i="9" s="1"/>
  <c r="B73" i="9"/>
  <c r="D73" i="9" s="1"/>
  <c r="D72" i="9"/>
  <c r="B72" i="9"/>
  <c r="D71" i="9"/>
  <c r="B71" i="9"/>
  <c r="B70" i="9"/>
  <c r="D70" i="9" s="1"/>
  <c r="B69" i="9"/>
  <c r="D69" i="9" s="1"/>
  <c r="B68" i="9"/>
  <c r="D68" i="9" s="1"/>
  <c r="D67" i="9"/>
  <c r="B67" i="9"/>
  <c r="B66" i="9"/>
  <c r="D66" i="9" s="1"/>
  <c r="B65" i="9"/>
  <c r="D65" i="9" s="1"/>
  <c r="D64" i="9"/>
  <c r="B64" i="9"/>
  <c r="D63" i="9"/>
  <c r="B63" i="9"/>
  <c r="B62" i="9"/>
  <c r="D62" i="9" s="1"/>
  <c r="B61" i="9"/>
  <c r="D61" i="9" s="1"/>
  <c r="B60" i="9"/>
  <c r="D60" i="9" s="1"/>
  <c r="D59" i="9"/>
  <c r="B59" i="9"/>
  <c r="B58" i="9"/>
  <c r="D58" i="9" s="1"/>
  <c r="B57" i="9"/>
  <c r="D57" i="9" s="1"/>
  <c r="D56" i="9"/>
  <c r="B56" i="9"/>
  <c r="D55" i="9"/>
  <c r="B55" i="9"/>
  <c r="B54" i="9"/>
  <c r="D54" i="9" s="1"/>
  <c r="B53" i="9"/>
  <c r="D53" i="9" s="1"/>
  <c r="B52" i="9"/>
  <c r="D52" i="9" s="1"/>
  <c r="B51" i="9"/>
  <c r="D51" i="9" s="1"/>
  <c r="B50" i="9"/>
  <c r="D50" i="9" s="1"/>
  <c r="B49" i="9"/>
  <c r="D49" i="9" s="1"/>
  <c r="B48" i="9"/>
  <c r="D48" i="9" s="1"/>
  <c r="B47" i="9"/>
  <c r="D47" i="9" s="1"/>
  <c r="B46" i="9"/>
  <c r="D46" i="9" s="1"/>
  <c r="B45" i="9"/>
  <c r="D45" i="9" s="1"/>
  <c r="B44" i="9"/>
  <c r="D44" i="9" s="1"/>
  <c r="B43" i="9"/>
  <c r="D43" i="9" s="1"/>
  <c r="B42" i="9"/>
  <c r="D42" i="9" s="1"/>
  <c r="D41" i="9"/>
  <c r="B41" i="9"/>
  <c r="B40" i="9"/>
  <c r="D40" i="9" s="1"/>
  <c r="B39" i="9"/>
  <c r="D39" i="9" s="1"/>
  <c r="B38" i="9"/>
  <c r="D38" i="9" s="1"/>
  <c r="D37" i="9"/>
  <c r="B37" i="9"/>
  <c r="D36" i="9"/>
  <c r="B36" i="9"/>
  <c r="B35" i="9"/>
  <c r="D35" i="9" s="1"/>
  <c r="B34" i="9"/>
  <c r="D34" i="9" s="1"/>
  <c r="B33" i="9"/>
  <c r="D33" i="9" s="1"/>
  <c r="B32" i="9"/>
  <c r="D32" i="9" s="1"/>
  <c r="D31" i="9"/>
  <c r="B31" i="9"/>
  <c r="B30" i="9"/>
  <c r="D30" i="9" s="1"/>
  <c r="D29" i="9"/>
  <c r="B29" i="9"/>
  <c r="D28" i="9"/>
  <c r="B28" i="9"/>
  <c r="B27" i="9"/>
  <c r="D27" i="9" s="1"/>
  <c r="B26" i="9"/>
  <c r="D26" i="9" s="1"/>
  <c r="D25" i="9"/>
  <c r="B25" i="9"/>
  <c r="B24" i="9"/>
  <c r="D24" i="9" s="1"/>
  <c r="D23" i="9"/>
  <c r="B23" i="9"/>
  <c r="B22" i="9"/>
  <c r="D22" i="9" s="1"/>
  <c r="D21" i="9"/>
  <c r="B21" i="9"/>
  <c r="D20" i="9"/>
  <c r="B20" i="9"/>
  <c r="B19" i="9"/>
  <c r="D19" i="9" s="1"/>
  <c r="B18" i="9"/>
  <c r="D18" i="9" s="1"/>
  <c r="B17" i="9"/>
  <c r="D17" i="9" s="1"/>
  <c r="B16" i="9"/>
  <c r="D16" i="9" s="1"/>
  <c r="D15" i="9"/>
  <c r="B15" i="9"/>
  <c r="B14" i="9"/>
  <c r="D14" i="9" s="1"/>
  <c r="D13" i="9"/>
  <c r="B13" i="9"/>
  <c r="D12" i="9"/>
  <c r="B12" i="9"/>
  <c r="B11" i="9"/>
  <c r="D11" i="9" s="1"/>
  <c r="J10" i="9"/>
  <c r="B10" i="9"/>
  <c r="D10" i="9" s="1"/>
  <c r="K10" i="9" s="1"/>
  <c r="B9" i="9"/>
  <c r="D9" i="9" s="1"/>
  <c r="D8" i="9"/>
  <c r="B8" i="9"/>
  <c r="B7" i="9"/>
  <c r="D7" i="9" s="1"/>
  <c r="B6" i="9"/>
  <c r="D6" i="9" s="1"/>
  <c r="K6" i="9" s="1"/>
  <c r="B5" i="9"/>
  <c r="D5" i="9" s="1"/>
  <c r="J4" i="9"/>
  <c r="H4" i="9"/>
  <c r="I4" i="9" s="1"/>
  <c r="F4" i="9"/>
  <c r="D4" i="9"/>
  <c r="K4" i="9" s="1"/>
  <c r="B4" i="9"/>
  <c r="F3" i="9"/>
  <c r="H3" i="9" s="1"/>
  <c r="I3" i="9" s="1"/>
  <c r="D3" i="9"/>
  <c r="B3" i="9"/>
  <c r="J2" i="9"/>
  <c r="H2" i="9"/>
  <c r="I2" i="9" s="1"/>
  <c r="D2" i="9"/>
  <c r="K2" i="9" s="1"/>
  <c r="L2" i="9" s="1"/>
  <c r="B77" i="8"/>
  <c r="D77" i="8" s="1"/>
  <c r="J77" i="8" s="1"/>
  <c r="K76" i="8"/>
  <c r="D76" i="8"/>
  <c r="J76" i="8" s="1"/>
  <c r="B76" i="8"/>
  <c r="B75" i="8"/>
  <c r="D75" i="8" s="1"/>
  <c r="K74" i="8"/>
  <c r="D74" i="8"/>
  <c r="J74" i="8" s="1"/>
  <c r="B74" i="8"/>
  <c r="D73" i="8"/>
  <c r="B73" i="8"/>
  <c r="B72" i="8"/>
  <c r="D72" i="8" s="1"/>
  <c r="B71" i="8"/>
  <c r="D71" i="8" s="1"/>
  <c r="D70" i="8"/>
  <c r="J70" i="8" s="1"/>
  <c r="B70" i="8"/>
  <c r="K69" i="8"/>
  <c r="B69" i="8"/>
  <c r="D69" i="8" s="1"/>
  <c r="J69" i="8" s="1"/>
  <c r="B68" i="8"/>
  <c r="D68" i="8" s="1"/>
  <c r="K68" i="8" s="1"/>
  <c r="J67" i="8"/>
  <c r="B67" i="8"/>
  <c r="D67" i="8" s="1"/>
  <c r="K67" i="8" s="1"/>
  <c r="B66" i="8"/>
  <c r="D66" i="8" s="1"/>
  <c r="K66" i="8" s="1"/>
  <c r="J65" i="8"/>
  <c r="B65" i="8"/>
  <c r="D65" i="8" s="1"/>
  <c r="K65" i="8" s="1"/>
  <c r="B64" i="8"/>
  <c r="D64" i="8" s="1"/>
  <c r="K64" i="8" s="1"/>
  <c r="J63" i="8"/>
  <c r="B63" i="8"/>
  <c r="D63" i="8" s="1"/>
  <c r="K63" i="8" s="1"/>
  <c r="B62" i="8"/>
  <c r="D62" i="8" s="1"/>
  <c r="K62" i="8" s="1"/>
  <c r="J61" i="8"/>
  <c r="B61" i="8"/>
  <c r="D61" i="8" s="1"/>
  <c r="K61" i="8" s="1"/>
  <c r="B60" i="8"/>
  <c r="D60" i="8" s="1"/>
  <c r="K60" i="8" s="1"/>
  <c r="J59" i="8"/>
  <c r="B59" i="8"/>
  <c r="D59" i="8" s="1"/>
  <c r="K59" i="8" s="1"/>
  <c r="B58" i="8"/>
  <c r="D58" i="8" s="1"/>
  <c r="K58" i="8" s="1"/>
  <c r="J57" i="8"/>
  <c r="B57" i="8"/>
  <c r="D57" i="8" s="1"/>
  <c r="K57" i="8" s="1"/>
  <c r="B56" i="8"/>
  <c r="D56" i="8" s="1"/>
  <c r="K56" i="8" s="1"/>
  <c r="J55" i="8"/>
  <c r="B55" i="8"/>
  <c r="D55" i="8" s="1"/>
  <c r="K55" i="8" s="1"/>
  <c r="B54" i="8"/>
  <c r="D54" i="8" s="1"/>
  <c r="K54" i="8" s="1"/>
  <c r="J53" i="8"/>
  <c r="B53" i="8"/>
  <c r="D53" i="8" s="1"/>
  <c r="K53" i="8" s="1"/>
  <c r="B52" i="8"/>
  <c r="D52" i="8" s="1"/>
  <c r="K52" i="8" s="1"/>
  <c r="J51" i="8"/>
  <c r="B51" i="8"/>
  <c r="D51" i="8" s="1"/>
  <c r="K51" i="8" s="1"/>
  <c r="B50" i="8"/>
  <c r="D50" i="8" s="1"/>
  <c r="K50" i="8" s="1"/>
  <c r="J49" i="8"/>
  <c r="B49" i="8"/>
  <c r="D49" i="8" s="1"/>
  <c r="K49" i="8" s="1"/>
  <c r="B48" i="8"/>
  <c r="D48" i="8" s="1"/>
  <c r="K48" i="8" s="1"/>
  <c r="J47" i="8"/>
  <c r="B47" i="8"/>
  <c r="D47" i="8" s="1"/>
  <c r="K47" i="8" s="1"/>
  <c r="B46" i="8"/>
  <c r="D46" i="8" s="1"/>
  <c r="K46" i="8" s="1"/>
  <c r="J45" i="8"/>
  <c r="B45" i="8"/>
  <c r="D45" i="8" s="1"/>
  <c r="K45" i="8" s="1"/>
  <c r="B44" i="8"/>
  <c r="D44" i="8" s="1"/>
  <c r="K44" i="8" s="1"/>
  <c r="J43" i="8"/>
  <c r="B43" i="8"/>
  <c r="D43" i="8" s="1"/>
  <c r="K43" i="8" s="1"/>
  <c r="B42" i="8"/>
  <c r="D42" i="8" s="1"/>
  <c r="K42" i="8" s="1"/>
  <c r="J41" i="8"/>
  <c r="B41" i="8"/>
  <c r="D41" i="8" s="1"/>
  <c r="K41" i="8" s="1"/>
  <c r="B40" i="8"/>
  <c r="D40" i="8" s="1"/>
  <c r="K40" i="8" s="1"/>
  <c r="J39" i="8"/>
  <c r="B39" i="8"/>
  <c r="D39" i="8" s="1"/>
  <c r="K39" i="8" s="1"/>
  <c r="B38" i="8"/>
  <c r="D38" i="8" s="1"/>
  <c r="K38" i="8" s="1"/>
  <c r="J37" i="8"/>
  <c r="B37" i="8"/>
  <c r="D37" i="8" s="1"/>
  <c r="K37" i="8" s="1"/>
  <c r="B36" i="8"/>
  <c r="D36" i="8" s="1"/>
  <c r="K36" i="8" s="1"/>
  <c r="J35" i="8"/>
  <c r="B35" i="8"/>
  <c r="D35" i="8" s="1"/>
  <c r="K35" i="8" s="1"/>
  <c r="B34" i="8"/>
  <c r="D34" i="8" s="1"/>
  <c r="K34" i="8" s="1"/>
  <c r="J33" i="8"/>
  <c r="B33" i="8"/>
  <c r="D33" i="8" s="1"/>
  <c r="K33" i="8" s="1"/>
  <c r="B32" i="8"/>
  <c r="D32" i="8" s="1"/>
  <c r="K32" i="8" s="1"/>
  <c r="J31" i="8"/>
  <c r="B31" i="8"/>
  <c r="D31" i="8" s="1"/>
  <c r="K31" i="8" s="1"/>
  <c r="D30" i="8"/>
  <c r="K30" i="8" s="1"/>
  <c r="B30" i="8"/>
  <c r="B29" i="8"/>
  <c r="D29" i="8" s="1"/>
  <c r="K29" i="8" s="1"/>
  <c r="B28" i="8"/>
  <c r="D28" i="8" s="1"/>
  <c r="D27" i="8"/>
  <c r="K27" i="8" s="1"/>
  <c r="B27" i="8"/>
  <c r="J26" i="8"/>
  <c r="D26" i="8"/>
  <c r="K26" i="8" s="1"/>
  <c r="B26" i="8"/>
  <c r="B25" i="8"/>
  <c r="D25" i="8" s="1"/>
  <c r="K24" i="8"/>
  <c r="D24" i="8"/>
  <c r="J24" i="8" s="1"/>
  <c r="B24" i="8"/>
  <c r="B23" i="8"/>
  <c r="D23" i="8" s="1"/>
  <c r="D22" i="8"/>
  <c r="B22" i="8"/>
  <c r="B21" i="8"/>
  <c r="D21" i="8" s="1"/>
  <c r="K20" i="8"/>
  <c r="D20" i="8"/>
  <c r="J20" i="8" s="1"/>
  <c r="B20" i="8"/>
  <c r="D19" i="8"/>
  <c r="K19" i="8" s="1"/>
  <c r="B19" i="8"/>
  <c r="D18" i="8"/>
  <c r="K18" i="8" s="1"/>
  <c r="B18" i="8"/>
  <c r="D17" i="8"/>
  <c r="K17" i="8" s="1"/>
  <c r="B17" i="8"/>
  <c r="J16" i="8"/>
  <c r="D16" i="8"/>
  <c r="K16" i="8" s="1"/>
  <c r="B16" i="8"/>
  <c r="J15" i="8"/>
  <c r="D15" i="8"/>
  <c r="K15" i="8" s="1"/>
  <c r="B15" i="8"/>
  <c r="D14" i="8"/>
  <c r="K14" i="8" s="1"/>
  <c r="B14" i="8"/>
  <c r="D13" i="8"/>
  <c r="K13" i="8" s="1"/>
  <c r="B13" i="8"/>
  <c r="J12" i="8"/>
  <c r="D12" i="8"/>
  <c r="K12" i="8" s="1"/>
  <c r="B12" i="8"/>
  <c r="D11" i="8"/>
  <c r="K11" i="8" s="1"/>
  <c r="B11" i="8"/>
  <c r="D10" i="8"/>
  <c r="K10" i="8" s="1"/>
  <c r="B10" i="8"/>
  <c r="D9" i="8"/>
  <c r="K9" i="8" s="1"/>
  <c r="B9" i="8"/>
  <c r="J8" i="8"/>
  <c r="D8" i="8"/>
  <c r="K8" i="8" s="1"/>
  <c r="B8" i="8"/>
  <c r="J7" i="8"/>
  <c r="D7" i="8"/>
  <c r="K7" i="8" s="1"/>
  <c r="B7" i="8"/>
  <c r="D6" i="8"/>
  <c r="K6" i="8" s="1"/>
  <c r="B6" i="8"/>
  <c r="D5" i="8"/>
  <c r="K5" i="8" s="1"/>
  <c r="B5" i="8"/>
  <c r="J4" i="8"/>
  <c r="F4" i="8"/>
  <c r="H4" i="8" s="1"/>
  <c r="D4" i="8"/>
  <c r="K4" i="8" s="1"/>
  <c r="L4" i="8" s="1"/>
  <c r="B4" i="8"/>
  <c r="F3" i="8"/>
  <c r="H3" i="8" s="1"/>
  <c r="D3" i="8"/>
  <c r="K3" i="8" s="1"/>
  <c r="L3" i="8" s="1"/>
  <c r="B3" i="8"/>
  <c r="K2" i="8"/>
  <c r="L2" i="8" s="1"/>
  <c r="J2" i="8"/>
  <c r="I2" i="8"/>
  <c r="H2" i="8"/>
  <c r="D2" i="8"/>
  <c r="J7" i="10" l="1"/>
  <c r="K7" i="10"/>
  <c r="J6" i="10"/>
  <c r="K6" i="10"/>
  <c r="L6" i="10" s="1"/>
  <c r="J8" i="10"/>
  <c r="K8" i="10"/>
  <c r="K13" i="10"/>
  <c r="J13" i="10"/>
  <c r="J5" i="10"/>
  <c r="K5" i="10"/>
  <c r="L5" i="10" s="1"/>
  <c r="K15" i="10"/>
  <c r="J15" i="10"/>
  <c r="J3" i="10"/>
  <c r="K3" i="10"/>
  <c r="L3" i="10" s="1"/>
  <c r="K14" i="10"/>
  <c r="J14" i="10"/>
  <c r="I3" i="10"/>
  <c r="K10" i="10"/>
  <c r="J10" i="10"/>
  <c r="J4" i="10"/>
  <c r="K4" i="10"/>
  <c r="L4" i="10" s="1"/>
  <c r="K16" i="10"/>
  <c r="J16" i="10"/>
  <c r="J9" i="10"/>
  <c r="K9" i="10"/>
  <c r="I4" i="10"/>
  <c r="I7" i="11"/>
  <c r="K23" i="11"/>
  <c r="J23" i="11"/>
  <c r="K71" i="11"/>
  <c r="J71" i="11"/>
  <c r="J77" i="10"/>
  <c r="K77" i="10"/>
  <c r="H6" i="11"/>
  <c r="I6" i="11" s="1"/>
  <c r="F8" i="11"/>
  <c r="K56" i="11"/>
  <c r="J56" i="11"/>
  <c r="K12" i="11"/>
  <c r="J12" i="11"/>
  <c r="K70" i="11"/>
  <c r="J70" i="11"/>
  <c r="K4" i="11"/>
  <c r="L4" i="11" s="1"/>
  <c r="J4" i="11"/>
  <c r="K63" i="11"/>
  <c r="J63" i="11"/>
  <c r="J25" i="10"/>
  <c r="J33" i="10"/>
  <c r="J41" i="10"/>
  <c r="J74" i="10"/>
  <c r="K74" i="10"/>
  <c r="K44" i="11"/>
  <c r="J44" i="11"/>
  <c r="K39" i="11"/>
  <c r="J39" i="11"/>
  <c r="J18" i="10"/>
  <c r="J22" i="10"/>
  <c r="J30" i="10"/>
  <c r="J38" i="10"/>
  <c r="K20" i="11"/>
  <c r="J20" i="11"/>
  <c r="K36" i="11"/>
  <c r="J36" i="11"/>
  <c r="K52" i="11"/>
  <c r="J52" i="11"/>
  <c r="J70" i="10"/>
  <c r="K70" i="10"/>
  <c r="K62" i="11"/>
  <c r="J62" i="11"/>
  <c r="J73" i="10"/>
  <c r="K73" i="10"/>
  <c r="K15" i="11"/>
  <c r="J15" i="11"/>
  <c r="K31" i="11"/>
  <c r="J31" i="11"/>
  <c r="K47" i="11"/>
  <c r="J47" i="11"/>
  <c r="K7" i="11"/>
  <c r="L7" i="11" s="1"/>
  <c r="J7" i="11"/>
  <c r="F5" i="10"/>
  <c r="H5" i="10" s="1"/>
  <c r="I5" i="10" s="1"/>
  <c r="F6" i="10"/>
  <c r="J12" i="10"/>
  <c r="J17" i="10"/>
  <c r="J21" i="10"/>
  <c r="J24" i="10"/>
  <c r="J32" i="10"/>
  <c r="J40" i="10"/>
  <c r="J76" i="10"/>
  <c r="K76" i="10"/>
  <c r="K28" i="11"/>
  <c r="J28" i="11"/>
  <c r="J29" i="10"/>
  <c r="J37" i="10"/>
  <c r="J72" i="10"/>
  <c r="K72" i="10"/>
  <c r="K75" i="10"/>
  <c r="I3" i="11"/>
  <c r="K10" i="11"/>
  <c r="J10" i="11"/>
  <c r="K18" i="11"/>
  <c r="J18" i="11"/>
  <c r="K26" i="11"/>
  <c r="J26" i="11"/>
  <c r="K34" i="11"/>
  <c r="J34" i="11"/>
  <c r="K42" i="11"/>
  <c r="J42" i="11"/>
  <c r="K50" i="11"/>
  <c r="J50" i="11"/>
  <c r="K64" i="11"/>
  <c r="J64" i="11"/>
  <c r="K72" i="11"/>
  <c r="J72" i="11"/>
  <c r="L5" i="11"/>
  <c r="K13" i="11"/>
  <c r="J13" i="11"/>
  <c r="K21" i="11"/>
  <c r="J21" i="11"/>
  <c r="K29" i="11"/>
  <c r="J29" i="11"/>
  <c r="K37" i="11"/>
  <c r="J37" i="11"/>
  <c r="K45" i="11"/>
  <c r="J45" i="11"/>
  <c r="K53" i="11"/>
  <c r="J53" i="11"/>
  <c r="K57" i="11"/>
  <c r="J57" i="11"/>
  <c r="K65" i="11"/>
  <c r="J65" i="11"/>
  <c r="K73" i="11"/>
  <c r="J73" i="11"/>
  <c r="H4" i="11"/>
  <c r="I4" i="11" s="1"/>
  <c r="L6" i="11"/>
  <c r="K8" i="11"/>
  <c r="J8" i="11"/>
  <c r="K16" i="11"/>
  <c r="J16" i="11"/>
  <c r="K24" i="11"/>
  <c r="J24" i="11"/>
  <c r="K32" i="11"/>
  <c r="J32" i="11"/>
  <c r="K40" i="11"/>
  <c r="J40" i="11"/>
  <c r="K48" i="11"/>
  <c r="J48" i="11"/>
  <c r="K58" i="11"/>
  <c r="J58" i="11"/>
  <c r="K66" i="11"/>
  <c r="J66" i="11"/>
  <c r="K74" i="11"/>
  <c r="J74" i="11"/>
  <c r="K11" i="11"/>
  <c r="J11" i="11"/>
  <c r="K19" i="11"/>
  <c r="J19" i="11"/>
  <c r="K27" i="11"/>
  <c r="J27" i="11"/>
  <c r="K35" i="11"/>
  <c r="J35" i="11"/>
  <c r="K43" i="11"/>
  <c r="J43" i="11"/>
  <c r="K51" i="11"/>
  <c r="J51" i="11"/>
  <c r="K54" i="11"/>
  <c r="J54" i="11"/>
  <c r="K59" i="11"/>
  <c r="J59" i="11"/>
  <c r="K67" i="11"/>
  <c r="J67" i="11"/>
  <c r="K75" i="11"/>
  <c r="J75" i="11"/>
  <c r="K14" i="11"/>
  <c r="J14" i="11"/>
  <c r="K22" i="11"/>
  <c r="J22" i="11"/>
  <c r="K30" i="11"/>
  <c r="J30" i="11"/>
  <c r="K38" i="11"/>
  <c r="J38" i="11"/>
  <c r="K46" i="11"/>
  <c r="J46" i="11"/>
  <c r="K60" i="11"/>
  <c r="J60" i="11"/>
  <c r="K68" i="11"/>
  <c r="J68" i="11"/>
  <c r="K76" i="11"/>
  <c r="J76" i="11"/>
  <c r="J6" i="11"/>
  <c r="K9" i="11"/>
  <c r="J9" i="11"/>
  <c r="K17" i="11"/>
  <c r="J17" i="11"/>
  <c r="K25" i="11"/>
  <c r="J25" i="11"/>
  <c r="K33" i="11"/>
  <c r="J33" i="11"/>
  <c r="K41" i="11"/>
  <c r="J41" i="11"/>
  <c r="K49" i="11"/>
  <c r="J49" i="11"/>
  <c r="K55" i="11"/>
  <c r="J55" i="11"/>
  <c r="K61" i="11"/>
  <c r="J61" i="11"/>
  <c r="K69" i="11"/>
  <c r="J69" i="11"/>
  <c r="K77" i="11"/>
  <c r="J77" i="11"/>
  <c r="J10" i="8"/>
  <c r="J18" i="8"/>
  <c r="J29" i="8"/>
  <c r="I3" i="8"/>
  <c r="J5" i="8"/>
  <c r="J13" i="8"/>
  <c r="K22" i="8"/>
  <c r="J22" i="8"/>
  <c r="K48" i="9"/>
  <c r="J48" i="9"/>
  <c r="K72" i="9"/>
  <c r="J72" i="9"/>
  <c r="K23" i="8"/>
  <c r="J23" i="8"/>
  <c r="K36" i="9"/>
  <c r="J36" i="9"/>
  <c r="K67" i="9"/>
  <c r="J67" i="9"/>
  <c r="J25" i="8"/>
  <c r="K25" i="8"/>
  <c r="K25" i="9"/>
  <c r="J25" i="9"/>
  <c r="K21" i="8"/>
  <c r="J21" i="8"/>
  <c r="J3" i="8"/>
  <c r="J19" i="8"/>
  <c r="J6" i="8"/>
  <c r="J14" i="8"/>
  <c r="K11" i="9"/>
  <c r="J11" i="9"/>
  <c r="K51" i="9"/>
  <c r="J51" i="9"/>
  <c r="K57" i="9"/>
  <c r="J57" i="9"/>
  <c r="K75" i="9"/>
  <c r="J75" i="9"/>
  <c r="J11" i="8"/>
  <c r="I4" i="8"/>
  <c r="J9" i="8"/>
  <c r="J17" i="8"/>
  <c r="K17" i="9"/>
  <c r="J17" i="9"/>
  <c r="K32" i="9"/>
  <c r="J32" i="9"/>
  <c r="K44" i="9"/>
  <c r="J44" i="9"/>
  <c r="K28" i="8"/>
  <c r="J28" i="8"/>
  <c r="J72" i="8"/>
  <c r="K72" i="8"/>
  <c r="K33" i="9"/>
  <c r="J33" i="9"/>
  <c r="K53" i="9"/>
  <c r="J53" i="9"/>
  <c r="K8" i="9"/>
  <c r="J8" i="9"/>
  <c r="K22" i="9"/>
  <c r="J22" i="9"/>
  <c r="K26" i="9"/>
  <c r="J26" i="9"/>
  <c r="K40" i="9"/>
  <c r="J40" i="9"/>
  <c r="K58" i="9"/>
  <c r="J58" i="9"/>
  <c r="K68" i="9"/>
  <c r="J68" i="9"/>
  <c r="K5" i="9"/>
  <c r="J5" i="9"/>
  <c r="K12" i="9"/>
  <c r="J12" i="9"/>
  <c r="K19" i="9"/>
  <c r="J19" i="9"/>
  <c r="K54" i="9"/>
  <c r="J54" i="9"/>
  <c r="K69" i="9"/>
  <c r="J69" i="9"/>
  <c r="K73" i="9"/>
  <c r="J73" i="9"/>
  <c r="K3" i="9"/>
  <c r="L3" i="9" s="1"/>
  <c r="J3" i="9"/>
  <c r="K9" i="9"/>
  <c r="J9" i="9"/>
  <c r="K30" i="9"/>
  <c r="J30" i="9"/>
  <c r="K34" i="9"/>
  <c r="J34" i="9"/>
  <c r="K41" i="9"/>
  <c r="J41" i="9"/>
  <c r="K45" i="9"/>
  <c r="J45" i="9"/>
  <c r="K49" i="9"/>
  <c r="J49" i="9"/>
  <c r="K59" i="9"/>
  <c r="J59" i="9"/>
  <c r="K64" i="9"/>
  <c r="J64" i="9"/>
  <c r="K74" i="9"/>
  <c r="J74" i="9"/>
  <c r="K16" i="9"/>
  <c r="J16" i="9"/>
  <c r="K27" i="9"/>
  <c r="J27" i="9"/>
  <c r="K46" i="9"/>
  <c r="J46" i="9"/>
  <c r="K60" i="9"/>
  <c r="J60" i="9"/>
  <c r="K70" i="9"/>
  <c r="J70" i="9"/>
  <c r="F5" i="8"/>
  <c r="H5" i="8" s="1"/>
  <c r="I5" i="8" s="1"/>
  <c r="J30" i="8"/>
  <c r="J32" i="8"/>
  <c r="J34" i="8"/>
  <c r="J36" i="8"/>
  <c r="J38" i="8"/>
  <c r="J40" i="8"/>
  <c r="J42" i="8"/>
  <c r="J44" i="8"/>
  <c r="J46" i="8"/>
  <c r="J48" i="8"/>
  <c r="J50" i="8"/>
  <c r="J52" i="8"/>
  <c r="J54" i="8"/>
  <c r="J56" i="8"/>
  <c r="J58" i="8"/>
  <c r="J60" i="8"/>
  <c r="J62" i="8"/>
  <c r="J64" i="8"/>
  <c r="J66" i="8"/>
  <c r="J68" i="8"/>
  <c r="J73" i="8"/>
  <c r="K73" i="8"/>
  <c r="J75" i="8"/>
  <c r="K75" i="8"/>
  <c r="K77" i="8"/>
  <c r="K38" i="9"/>
  <c r="J38" i="9"/>
  <c r="K61" i="9"/>
  <c r="J61" i="9"/>
  <c r="K65" i="9"/>
  <c r="J65" i="9"/>
  <c r="K20" i="9"/>
  <c r="J20" i="9"/>
  <c r="K42" i="9"/>
  <c r="J42" i="9"/>
  <c r="K50" i="9"/>
  <c r="J50" i="9"/>
  <c r="F6" i="8"/>
  <c r="J27" i="8"/>
  <c r="L4" i="9"/>
  <c r="J6" i="9"/>
  <c r="K24" i="9"/>
  <c r="J24" i="9"/>
  <c r="K28" i="9"/>
  <c r="J28" i="9"/>
  <c r="K35" i="9"/>
  <c r="J35" i="9"/>
  <c r="K39" i="9"/>
  <c r="J39" i="9"/>
  <c r="K56" i="9"/>
  <c r="J56" i="9"/>
  <c r="K66" i="9"/>
  <c r="J66" i="9"/>
  <c r="K76" i="9"/>
  <c r="J76" i="9"/>
  <c r="J71" i="8"/>
  <c r="K71" i="8"/>
  <c r="F5" i="9"/>
  <c r="H5" i="9" s="1"/>
  <c r="I5" i="9" s="1"/>
  <c r="F6" i="9"/>
  <c r="K7" i="9"/>
  <c r="J7" i="9"/>
  <c r="K14" i="9"/>
  <c r="J14" i="9"/>
  <c r="K18" i="9"/>
  <c r="J18" i="9"/>
  <c r="K43" i="9"/>
  <c r="J43" i="9"/>
  <c r="K47" i="9"/>
  <c r="J47" i="9"/>
  <c r="K52" i="9"/>
  <c r="J52" i="9"/>
  <c r="K62" i="9"/>
  <c r="J62" i="9"/>
  <c r="K77" i="9"/>
  <c r="J77" i="9"/>
  <c r="K13" i="9"/>
  <c r="J13" i="9"/>
  <c r="K21" i="9"/>
  <c r="J21" i="9"/>
  <c r="K29" i="9"/>
  <c r="J29" i="9"/>
  <c r="K37" i="9"/>
  <c r="J37" i="9"/>
  <c r="K55" i="9"/>
  <c r="J55" i="9"/>
  <c r="K63" i="9"/>
  <c r="J63" i="9"/>
  <c r="K71" i="9"/>
  <c r="J71" i="9"/>
  <c r="K70" i="8"/>
  <c r="K15" i="9"/>
  <c r="J15" i="9"/>
  <c r="K23" i="9"/>
  <c r="J23" i="9"/>
  <c r="K31" i="9"/>
  <c r="J31" i="9"/>
  <c r="H8" i="11" l="1"/>
  <c r="I8" i="11" s="1"/>
  <c r="F10" i="11"/>
  <c r="F9" i="11"/>
  <c r="H9" i="11" s="1"/>
  <c r="I9" i="11" s="1"/>
  <c r="L8" i="11"/>
  <c r="L9" i="11"/>
  <c r="H6" i="10"/>
  <c r="I6" i="10" s="1"/>
  <c r="F8" i="10"/>
  <c r="F7" i="10"/>
  <c r="H7" i="10" s="1"/>
  <c r="I7" i="10" s="1"/>
  <c r="L10" i="11"/>
  <c r="H6" i="9"/>
  <c r="I6" i="9" s="1"/>
  <c r="F7" i="9"/>
  <c r="H7" i="9" s="1"/>
  <c r="I7" i="9" s="1"/>
  <c r="F8" i="9"/>
  <c r="L5" i="9"/>
  <c r="L8" i="9"/>
  <c r="L5" i="8"/>
  <c r="L6" i="9"/>
  <c r="H6" i="8"/>
  <c r="I6" i="8" s="1"/>
  <c r="F8" i="8"/>
  <c r="F7" i="8"/>
  <c r="L7" i="9"/>
  <c r="L6" i="8"/>
  <c r="H8" i="10" l="1"/>
  <c r="I8" i="10" s="1"/>
  <c r="F10" i="10"/>
  <c r="F9" i="10"/>
  <c r="L8" i="10"/>
  <c r="F11" i="11"/>
  <c r="H10" i="11"/>
  <c r="I10" i="11" s="1"/>
  <c r="F12" i="11"/>
  <c r="L7" i="10"/>
  <c r="H8" i="8"/>
  <c r="I8" i="8" s="1"/>
  <c r="F10" i="8"/>
  <c r="F9" i="8"/>
  <c r="L8" i="8"/>
  <c r="F9" i="9"/>
  <c r="F10" i="9"/>
  <c r="H8" i="9"/>
  <c r="I8" i="9" s="1"/>
  <c r="H7" i="8"/>
  <c r="I7" i="8" s="1"/>
  <c r="L7" i="8"/>
  <c r="F14" i="11" l="1"/>
  <c r="F13" i="11"/>
  <c r="H12" i="11"/>
  <c r="I12" i="11" s="1"/>
  <c r="L12" i="11"/>
  <c r="H11" i="11"/>
  <c r="I11" i="11" s="1"/>
  <c r="L11" i="11"/>
  <c r="H10" i="10"/>
  <c r="I10" i="10" s="1"/>
  <c r="F11" i="10"/>
  <c r="F12" i="10"/>
  <c r="L10" i="10"/>
  <c r="H9" i="10"/>
  <c r="I9" i="10" s="1"/>
  <c r="L9" i="10"/>
  <c r="H10" i="9"/>
  <c r="I10" i="9" s="1"/>
  <c r="F11" i="9"/>
  <c r="F12" i="9"/>
  <c r="L10" i="9"/>
  <c r="H9" i="8"/>
  <c r="I9" i="8" s="1"/>
  <c r="L9" i="8"/>
  <c r="H10" i="8"/>
  <c r="I10" i="8" s="1"/>
  <c r="F12" i="8"/>
  <c r="F11" i="8"/>
  <c r="L10" i="8"/>
  <c r="H9" i="9"/>
  <c r="I9" i="9" s="1"/>
  <c r="L9" i="9"/>
  <c r="H11" i="10" l="1"/>
  <c r="I11" i="10" s="1"/>
  <c r="L11" i="10"/>
  <c r="H13" i="11"/>
  <c r="I13" i="11" s="1"/>
  <c r="L13" i="11"/>
  <c r="H12" i="10"/>
  <c r="I12" i="10" s="1"/>
  <c r="F13" i="10"/>
  <c r="F14" i="10"/>
  <c r="L12" i="10"/>
  <c r="F16" i="11"/>
  <c r="F15" i="11"/>
  <c r="H14" i="11"/>
  <c r="I14" i="11" s="1"/>
  <c r="L14" i="11"/>
  <c r="H12" i="8"/>
  <c r="I12" i="8" s="1"/>
  <c r="F14" i="8"/>
  <c r="F13" i="8"/>
  <c r="L12" i="8"/>
  <c r="F13" i="9"/>
  <c r="F14" i="9"/>
  <c r="H12" i="9"/>
  <c r="I12" i="9" s="1"/>
  <c r="L12" i="9"/>
  <c r="H11" i="9"/>
  <c r="I11" i="9" s="1"/>
  <c r="L11" i="9"/>
  <c r="H11" i="8"/>
  <c r="I11" i="8" s="1"/>
  <c r="L11" i="8"/>
  <c r="F16" i="10" l="1"/>
  <c r="H14" i="10"/>
  <c r="I14" i="10" s="1"/>
  <c r="F15" i="10"/>
  <c r="L14" i="10"/>
  <c r="H13" i="10"/>
  <c r="I13" i="10" s="1"/>
  <c r="L13" i="10"/>
  <c r="H15" i="11"/>
  <c r="I15" i="11" s="1"/>
  <c r="L15" i="11"/>
  <c r="H16" i="11"/>
  <c r="I16" i="11" s="1"/>
  <c r="F18" i="11"/>
  <c r="F17" i="11"/>
  <c r="L16" i="11"/>
  <c r="F16" i="9"/>
  <c r="H14" i="9"/>
  <c r="I14" i="9" s="1"/>
  <c r="F15" i="9"/>
  <c r="L14" i="9"/>
  <c r="H13" i="9"/>
  <c r="I13" i="9" s="1"/>
  <c r="L13" i="9"/>
  <c r="H13" i="8"/>
  <c r="I13" i="8" s="1"/>
  <c r="L13" i="8"/>
  <c r="H14" i="8"/>
  <c r="I14" i="8" s="1"/>
  <c r="F16" i="8"/>
  <c r="F15" i="8"/>
  <c r="L14" i="8"/>
  <c r="H17" i="11" l="1"/>
  <c r="I17" i="11" s="1"/>
  <c r="L17" i="11"/>
  <c r="H15" i="10"/>
  <c r="I15" i="10" s="1"/>
  <c r="L15" i="10"/>
  <c r="F19" i="11"/>
  <c r="H18" i="11"/>
  <c r="I18" i="11" s="1"/>
  <c r="F20" i="11"/>
  <c r="L18" i="11"/>
  <c r="H16" i="10"/>
  <c r="I16" i="10" s="1"/>
  <c r="F17" i="10"/>
  <c r="F18" i="10"/>
  <c r="L16" i="10"/>
  <c r="H15" i="8"/>
  <c r="I15" i="8" s="1"/>
  <c r="L15" i="8"/>
  <c r="H15" i="9"/>
  <c r="I15" i="9" s="1"/>
  <c r="L15" i="9"/>
  <c r="H16" i="8"/>
  <c r="I16" i="8" s="1"/>
  <c r="F18" i="8"/>
  <c r="F17" i="8"/>
  <c r="L16" i="8"/>
  <c r="F18" i="9"/>
  <c r="H16" i="9"/>
  <c r="I16" i="9" s="1"/>
  <c r="F17" i="9"/>
  <c r="L16" i="9"/>
  <c r="F22" i="11" l="1"/>
  <c r="F21" i="11"/>
  <c r="H20" i="11"/>
  <c r="I20" i="11" s="1"/>
  <c r="L20" i="11"/>
  <c r="H19" i="11"/>
  <c r="I19" i="11" s="1"/>
  <c r="L19" i="11"/>
  <c r="H17" i="10"/>
  <c r="I17" i="10" s="1"/>
  <c r="L17" i="10"/>
  <c r="F20" i="10"/>
  <c r="F19" i="10"/>
  <c r="H18" i="10"/>
  <c r="I18" i="10" s="1"/>
  <c r="L18" i="10"/>
  <c r="H18" i="8"/>
  <c r="I18" i="8" s="1"/>
  <c r="F19" i="8"/>
  <c r="F20" i="8"/>
  <c r="L18" i="8"/>
  <c r="H17" i="8"/>
  <c r="I17" i="8" s="1"/>
  <c r="L17" i="8"/>
  <c r="H17" i="9"/>
  <c r="I17" i="9" s="1"/>
  <c r="L17" i="9"/>
  <c r="F19" i="9"/>
  <c r="F20" i="9"/>
  <c r="H18" i="9"/>
  <c r="I18" i="9" s="1"/>
  <c r="L18" i="9"/>
  <c r="H19" i="10" l="1"/>
  <c r="I19" i="10" s="1"/>
  <c r="L19" i="10"/>
  <c r="H21" i="11"/>
  <c r="I21" i="11" s="1"/>
  <c r="L21" i="11"/>
  <c r="H20" i="10"/>
  <c r="I20" i="10" s="1"/>
  <c r="F21" i="10"/>
  <c r="F22" i="10"/>
  <c r="L20" i="10"/>
  <c r="F24" i="11"/>
  <c r="F23" i="11"/>
  <c r="H22" i="11"/>
  <c r="I22" i="11" s="1"/>
  <c r="L22" i="11"/>
  <c r="H20" i="8"/>
  <c r="I20" i="8" s="1"/>
  <c r="F21" i="8"/>
  <c r="F22" i="8"/>
  <c r="L20" i="8"/>
  <c r="F21" i="9"/>
  <c r="F22" i="9"/>
  <c r="H20" i="9"/>
  <c r="I20" i="9" s="1"/>
  <c r="L20" i="9"/>
  <c r="H19" i="8"/>
  <c r="I19" i="8" s="1"/>
  <c r="L19" i="8"/>
  <c r="H19" i="9"/>
  <c r="I19" i="9" s="1"/>
  <c r="L19" i="9"/>
  <c r="H21" i="10" l="1"/>
  <c r="I21" i="10" s="1"/>
  <c r="L21" i="10"/>
  <c r="F23" i="10"/>
  <c r="F24" i="10"/>
  <c r="H22" i="10"/>
  <c r="I22" i="10" s="1"/>
  <c r="L22" i="10"/>
  <c r="H23" i="11"/>
  <c r="I23" i="11" s="1"/>
  <c r="L23" i="11"/>
  <c r="H24" i="11"/>
  <c r="I24" i="11" s="1"/>
  <c r="F26" i="11"/>
  <c r="F25" i="11"/>
  <c r="L24" i="11"/>
  <c r="F24" i="9"/>
  <c r="H22" i="9"/>
  <c r="I22" i="9" s="1"/>
  <c r="F23" i="9"/>
  <c r="L22" i="9"/>
  <c r="H22" i="8"/>
  <c r="I22" i="8" s="1"/>
  <c r="F23" i="8"/>
  <c r="F24" i="8"/>
  <c r="L22" i="8"/>
  <c r="H21" i="9"/>
  <c r="I21" i="9" s="1"/>
  <c r="L21" i="9"/>
  <c r="H21" i="8"/>
  <c r="I21" i="8" s="1"/>
  <c r="L21" i="8"/>
  <c r="H25" i="11" l="1"/>
  <c r="I25" i="11" s="1"/>
  <c r="L25" i="11"/>
  <c r="H23" i="10"/>
  <c r="I23" i="10" s="1"/>
  <c r="L23" i="10"/>
  <c r="F27" i="11"/>
  <c r="H26" i="11"/>
  <c r="I26" i="11" s="1"/>
  <c r="F28" i="11"/>
  <c r="L26" i="11"/>
  <c r="F26" i="10"/>
  <c r="F25" i="10"/>
  <c r="H24" i="10"/>
  <c r="I24" i="10" s="1"/>
  <c r="L24" i="10"/>
  <c r="H24" i="8"/>
  <c r="I24" i="8" s="1"/>
  <c r="F25" i="8"/>
  <c r="F26" i="8"/>
  <c r="L24" i="8"/>
  <c r="H23" i="9"/>
  <c r="I23" i="9" s="1"/>
  <c r="L23" i="9"/>
  <c r="H23" i="8"/>
  <c r="I23" i="8" s="1"/>
  <c r="L23" i="8"/>
  <c r="F26" i="9"/>
  <c r="H24" i="9"/>
  <c r="I24" i="9" s="1"/>
  <c r="F25" i="9"/>
  <c r="L24" i="9"/>
  <c r="F30" i="11" l="1"/>
  <c r="F29" i="11"/>
  <c r="H28" i="11"/>
  <c r="I28" i="11" s="1"/>
  <c r="L28" i="11"/>
  <c r="H27" i="11"/>
  <c r="I27" i="11" s="1"/>
  <c r="L27" i="11"/>
  <c r="H25" i="10"/>
  <c r="I25" i="10" s="1"/>
  <c r="L25" i="10"/>
  <c r="H26" i="10"/>
  <c r="I26" i="10" s="1"/>
  <c r="F27" i="10"/>
  <c r="F28" i="10"/>
  <c r="L26" i="10"/>
  <c r="H25" i="9"/>
  <c r="I25" i="9" s="1"/>
  <c r="L25" i="9"/>
  <c r="H26" i="8"/>
  <c r="I26" i="8" s="1"/>
  <c r="F27" i="8"/>
  <c r="F28" i="8"/>
  <c r="L26" i="8"/>
  <c r="H25" i="8"/>
  <c r="I25" i="8" s="1"/>
  <c r="L25" i="8"/>
  <c r="F27" i="9"/>
  <c r="F28" i="9"/>
  <c r="H26" i="9"/>
  <c r="I26" i="9" s="1"/>
  <c r="L26" i="9"/>
  <c r="F29" i="10" l="1"/>
  <c r="H28" i="10"/>
  <c r="I28" i="10" s="1"/>
  <c r="F30" i="10"/>
  <c r="L28" i="10"/>
  <c r="H27" i="10"/>
  <c r="I27" i="10" s="1"/>
  <c r="L27" i="10"/>
  <c r="H29" i="11"/>
  <c r="I29" i="11" s="1"/>
  <c r="L29" i="11"/>
  <c r="F32" i="11"/>
  <c r="F31" i="11"/>
  <c r="H30" i="11"/>
  <c r="I30" i="11" s="1"/>
  <c r="L30" i="11"/>
  <c r="H28" i="8"/>
  <c r="I28" i="8" s="1"/>
  <c r="F29" i="8"/>
  <c r="F30" i="8"/>
  <c r="L28" i="8"/>
  <c r="H27" i="8"/>
  <c r="I27" i="8" s="1"/>
  <c r="L27" i="8"/>
  <c r="F29" i="9"/>
  <c r="F30" i="9"/>
  <c r="H28" i="9"/>
  <c r="I28" i="9" s="1"/>
  <c r="L28" i="9"/>
  <c r="H27" i="9"/>
  <c r="I27" i="9" s="1"/>
  <c r="L27" i="9"/>
  <c r="F31" i="10" l="1"/>
  <c r="F32" i="10"/>
  <c r="H30" i="10"/>
  <c r="I30" i="10" s="1"/>
  <c r="L30" i="10"/>
  <c r="H31" i="11"/>
  <c r="I31" i="11" s="1"/>
  <c r="L31" i="11"/>
  <c r="H32" i="11"/>
  <c r="I32" i="11" s="1"/>
  <c r="F34" i="11"/>
  <c r="F33" i="11"/>
  <c r="L32" i="11"/>
  <c r="H29" i="10"/>
  <c r="I29" i="10" s="1"/>
  <c r="L29" i="10"/>
  <c r="H29" i="9"/>
  <c r="I29" i="9" s="1"/>
  <c r="L29" i="9"/>
  <c r="H30" i="8"/>
  <c r="I30" i="8" s="1"/>
  <c r="F32" i="8"/>
  <c r="F31" i="8"/>
  <c r="L30" i="8"/>
  <c r="H29" i="8"/>
  <c r="I29" i="8" s="1"/>
  <c r="L29" i="8"/>
  <c r="F32" i="9"/>
  <c r="H30" i="9"/>
  <c r="I30" i="9" s="1"/>
  <c r="F31" i="9"/>
  <c r="L30" i="9"/>
  <c r="F35" i="11" l="1"/>
  <c r="H34" i="11"/>
  <c r="I34" i="11" s="1"/>
  <c r="F36" i="11"/>
  <c r="L34" i="11"/>
  <c r="F34" i="10"/>
  <c r="H32" i="10"/>
  <c r="I32" i="10" s="1"/>
  <c r="F33" i="10"/>
  <c r="L32" i="10"/>
  <c r="H33" i="11"/>
  <c r="I33" i="11" s="1"/>
  <c r="L33" i="11"/>
  <c r="H31" i="10"/>
  <c r="I31" i="10" s="1"/>
  <c r="L31" i="10"/>
  <c r="H31" i="8"/>
  <c r="I31" i="8" s="1"/>
  <c r="L31" i="8"/>
  <c r="H31" i="9"/>
  <c r="I31" i="9" s="1"/>
  <c r="L31" i="9"/>
  <c r="H32" i="8"/>
  <c r="I32" i="8" s="1"/>
  <c r="F34" i="8"/>
  <c r="F33" i="8"/>
  <c r="L32" i="8"/>
  <c r="F34" i="9"/>
  <c r="H32" i="9"/>
  <c r="I32" i="9" s="1"/>
  <c r="F33" i="9"/>
  <c r="L32" i="9"/>
  <c r="H34" i="10" l="1"/>
  <c r="I34" i="10" s="1"/>
  <c r="F36" i="10"/>
  <c r="F35" i="10"/>
  <c r="L34" i="10"/>
  <c r="H33" i="10"/>
  <c r="I33" i="10" s="1"/>
  <c r="L33" i="10"/>
  <c r="F38" i="11"/>
  <c r="F37" i="11"/>
  <c r="H36" i="11"/>
  <c r="I36" i="11" s="1"/>
  <c r="L36" i="11"/>
  <c r="H35" i="11"/>
  <c r="I35" i="11" s="1"/>
  <c r="L35" i="11"/>
  <c r="H33" i="8"/>
  <c r="I33" i="8" s="1"/>
  <c r="L33" i="8"/>
  <c r="H33" i="9"/>
  <c r="I33" i="9" s="1"/>
  <c r="L33" i="9"/>
  <c r="H34" i="8"/>
  <c r="I34" i="8" s="1"/>
  <c r="F36" i="8"/>
  <c r="F35" i="8"/>
  <c r="L34" i="8"/>
  <c r="F35" i="9"/>
  <c r="H34" i="9"/>
  <c r="I34" i="9" s="1"/>
  <c r="F36" i="9"/>
  <c r="L34" i="9"/>
  <c r="H37" i="11" l="1"/>
  <c r="I37" i="11" s="1"/>
  <c r="L37" i="11"/>
  <c r="H35" i="10"/>
  <c r="I35" i="10" s="1"/>
  <c r="L35" i="10"/>
  <c r="F37" i="10"/>
  <c r="H36" i="10"/>
  <c r="I36" i="10" s="1"/>
  <c r="F38" i="10"/>
  <c r="L36" i="10"/>
  <c r="F40" i="11"/>
  <c r="F39" i="11"/>
  <c r="H38" i="11"/>
  <c r="I38" i="11" s="1"/>
  <c r="L38" i="11"/>
  <c r="H36" i="8"/>
  <c r="I36" i="8" s="1"/>
  <c r="F38" i="8"/>
  <c r="F37" i="8"/>
  <c r="L36" i="8"/>
  <c r="H35" i="8"/>
  <c r="I35" i="8" s="1"/>
  <c r="L35" i="8"/>
  <c r="F37" i="9"/>
  <c r="F38" i="9"/>
  <c r="H36" i="9"/>
  <c r="I36" i="9" s="1"/>
  <c r="L36" i="9"/>
  <c r="H35" i="9"/>
  <c r="I35" i="9" s="1"/>
  <c r="L35" i="9"/>
  <c r="F39" i="10" l="1"/>
  <c r="F40" i="10"/>
  <c r="H38" i="10"/>
  <c r="I38" i="10" s="1"/>
  <c r="L38" i="10"/>
  <c r="H37" i="10"/>
  <c r="I37" i="10" s="1"/>
  <c r="L37" i="10"/>
  <c r="H40" i="11"/>
  <c r="I40" i="11" s="1"/>
  <c r="F42" i="11"/>
  <c r="F41" i="11"/>
  <c r="L40" i="11"/>
  <c r="H39" i="11"/>
  <c r="I39" i="11" s="1"/>
  <c r="L39" i="11"/>
  <c r="F40" i="9"/>
  <c r="H38" i="9"/>
  <c r="I38" i="9" s="1"/>
  <c r="F39" i="9"/>
  <c r="L38" i="9"/>
  <c r="H37" i="8"/>
  <c r="I37" i="8" s="1"/>
  <c r="L37" i="8"/>
  <c r="H37" i="9"/>
  <c r="I37" i="9" s="1"/>
  <c r="L37" i="9"/>
  <c r="H38" i="8"/>
  <c r="I38" i="8" s="1"/>
  <c r="F40" i="8"/>
  <c r="F39" i="8"/>
  <c r="L38" i="8"/>
  <c r="F42" i="10" l="1"/>
  <c r="H40" i="10"/>
  <c r="I40" i="10" s="1"/>
  <c r="F41" i="10"/>
  <c r="L40" i="10"/>
  <c r="F43" i="11"/>
  <c r="H42" i="11"/>
  <c r="I42" i="11" s="1"/>
  <c r="F44" i="11"/>
  <c r="L42" i="11"/>
  <c r="H41" i="11"/>
  <c r="I41" i="11" s="1"/>
  <c r="L41" i="11"/>
  <c r="H39" i="10"/>
  <c r="I39" i="10" s="1"/>
  <c r="L39" i="10"/>
  <c r="H39" i="8"/>
  <c r="I39" i="8" s="1"/>
  <c r="L39" i="8"/>
  <c r="H39" i="9"/>
  <c r="I39" i="9" s="1"/>
  <c r="L39" i="9"/>
  <c r="H40" i="8"/>
  <c r="I40" i="8" s="1"/>
  <c r="F42" i="8"/>
  <c r="F41" i="8"/>
  <c r="L40" i="8"/>
  <c r="F42" i="9"/>
  <c r="H40" i="9"/>
  <c r="I40" i="9" s="1"/>
  <c r="F41" i="9"/>
  <c r="L40" i="9"/>
  <c r="H43" i="11" l="1"/>
  <c r="I43" i="11" s="1"/>
  <c r="L43" i="11"/>
  <c r="H41" i="10"/>
  <c r="I41" i="10" s="1"/>
  <c r="L41" i="10"/>
  <c r="F46" i="11"/>
  <c r="F45" i="11"/>
  <c r="H44" i="11"/>
  <c r="I44" i="11" s="1"/>
  <c r="L44" i="11"/>
  <c r="H42" i="10"/>
  <c r="I42" i="10" s="1"/>
  <c r="F43" i="10"/>
  <c r="F44" i="10"/>
  <c r="L42" i="10"/>
  <c r="H42" i="8"/>
  <c r="I42" i="8" s="1"/>
  <c r="F44" i="8"/>
  <c r="F43" i="8"/>
  <c r="L42" i="8"/>
  <c r="H41" i="8"/>
  <c r="I41" i="8" s="1"/>
  <c r="L41" i="8"/>
  <c r="H41" i="9"/>
  <c r="I41" i="9" s="1"/>
  <c r="L41" i="9"/>
  <c r="F44" i="9"/>
  <c r="F43" i="9"/>
  <c r="H42" i="9"/>
  <c r="I42" i="9" s="1"/>
  <c r="L42" i="9"/>
  <c r="H45" i="11" l="1"/>
  <c r="I45" i="11" s="1"/>
  <c r="L45" i="11"/>
  <c r="F48" i="11"/>
  <c r="F47" i="11"/>
  <c r="H46" i="11"/>
  <c r="I46" i="11" s="1"/>
  <c r="L46" i="11"/>
  <c r="F45" i="10"/>
  <c r="H44" i="10"/>
  <c r="I44" i="10" s="1"/>
  <c r="F46" i="10"/>
  <c r="L44" i="10"/>
  <c r="H43" i="10"/>
  <c r="I43" i="10" s="1"/>
  <c r="L43" i="10"/>
  <c r="H43" i="8"/>
  <c r="I43" i="8" s="1"/>
  <c r="L43" i="8"/>
  <c r="H43" i="9"/>
  <c r="I43" i="9" s="1"/>
  <c r="L43" i="9"/>
  <c r="H44" i="8"/>
  <c r="I44" i="8" s="1"/>
  <c r="F46" i="8"/>
  <c r="F45" i="8"/>
  <c r="L44" i="8"/>
  <c r="F46" i="9"/>
  <c r="F45" i="9"/>
  <c r="H44" i="9"/>
  <c r="I44" i="9" s="1"/>
  <c r="L44" i="9"/>
  <c r="H45" i="10" l="1"/>
  <c r="I45" i="10" s="1"/>
  <c r="L45" i="10"/>
  <c r="H47" i="11"/>
  <c r="I47" i="11" s="1"/>
  <c r="L47" i="11"/>
  <c r="H48" i="11"/>
  <c r="I48" i="11" s="1"/>
  <c r="F50" i="11"/>
  <c r="F49" i="11"/>
  <c r="L48" i="11"/>
  <c r="F47" i="10"/>
  <c r="F48" i="10"/>
  <c r="H46" i="10"/>
  <c r="I46" i="10" s="1"/>
  <c r="L46" i="10"/>
  <c r="H46" i="8"/>
  <c r="I46" i="8" s="1"/>
  <c r="F48" i="8"/>
  <c r="F47" i="8"/>
  <c r="L46" i="8"/>
  <c r="H45" i="8"/>
  <c r="I45" i="8" s="1"/>
  <c r="L45" i="8"/>
  <c r="H45" i="9"/>
  <c r="I45" i="9" s="1"/>
  <c r="L45" i="9"/>
  <c r="F48" i="9"/>
  <c r="F47" i="9"/>
  <c r="H46" i="9"/>
  <c r="I46" i="9" s="1"/>
  <c r="L46" i="9"/>
  <c r="H49" i="11" l="1"/>
  <c r="I49" i="11" s="1"/>
  <c r="L49" i="11"/>
  <c r="F51" i="11"/>
  <c r="H50" i="11"/>
  <c r="I50" i="11" s="1"/>
  <c r="F52" i="11"/>
  <c r="L50" i="11"/>
  <c r="F50" i="10"/>
  <c r="H48" i="10"/>
  <c r="I48" i="10" s="1"/>
  <c r="F49" i="10"/>
  <c r="L48" i="10"/>
  <c r="H47" i="10"/>
  <c r="I47" i="10" s="1"/>
  <c r="L47" i="10"/>
  <c r="H47" i="8"/>
  <c r="I47" i="8" s="1"/>
  <c r="L47" i="8"/>
  <c r="H47" i="9"/>
  <c r="I47" i="9" s="1"/>
  <c r="L47" i="9"/>
  <c r="H48" i="8"/>
  <c r="I48" i="8" s="1"/>
  <c r="F50" i="8"/>
  <c r="F49" i="8"/>
  <c r="L48" i="8"/>
  <c r="F50" i="9"/>
  <c r="F49" i="9"/>
  <c r="H48" i="9"/>
  <c r="I48" i="9" s="1"/>
  <c r="L48" i="9"/>
  <c r="H50" i="10" l="1"/>
  <c r="I50" i="10" s="1"/>
  <c r="F51" i="10"/>
  <c r="F52" i="10"/>
  <c r="L50" i="10"/>
  <c r="F54" i="11"/>
  <c r="F53" i="11"/>
  <c r="H52" i="11"/>
  <c r="I52" i="11" s="1"/>
  <c r="L52" i="11"/>
  <c r="H51" i="11"/>
  <c r="I51" i="11" s="1"/>
  <c r="L51" i="11"/>
  <c r="H49" i="10"/>
  <c r="I49" i="10" s="1"/>
  <c r="L49" i="10"/>
  <c r="H49" i="8"/>
  <c r="I49" i="8" s="1"/>
  <c r="L49" i="8"/>
  <c r="H50" i="8"/>
  <c r="I50" i="8" s="1"/>
  <c r="F52" i="8"/>
  <c r="F51" i="8"/>
  <c r="L50" i="8"/>
  <c r="H49" i="9"/>
  <c r="I49" i="9" s="1"/>
  <c r="L49" i="9"/>
  <c r="F52" i="9"/>
  <c r="F51" i="9"/>
  <c r="H50" i="9"/>
  <c r="I50" i="9" s="1"/>
  <c r="L50" i="9"/>
  <c r="H53" i="11" l="1"/>
  <c r="I53" i="11" s="1"/>
  <c r="L53" i="11"/>
  <c r="H54" i="11"/>
  <c r="I54" i="11" s="1"/>
  <c r="F56" i="11"/>
  <c r="F55" i="11"/>
  <c r="L54" i="11"/>
  <c r="H51" i="10"/>
  <c r="I51" i="10" s="1"/>
  <c r="L51" i="10"/>
  <c r="F53" i="10"/>
  <c r="H52" i="10"/>
  <c r="I52" i="10" s="1"/>
  <c r="F54" i="10"/>
  <c r="L52" i="10"/>
  <c r="H51" i="8"/>
  <c r="I51" i="8" s="1"/>
  <c r="L51" i="8"/>
  <c r="H52" i="8"/>
  <c r="I52" i="8" s="1"/>
  <c r="F54" i="8"/>
  <c r="F53" i="8"/>
  <c r="L52" i="8"/>
  <c r="H51" i="9"/>
  <c r="I51" i="9" s="1"/>
  <c r="L51" i="9"/>
  <c r="F54" i="9"/>
  <c r="F53" i="9"/>
  <c r="H52" i="9"/>
  <c r="I52" i="9" s="1"/>
  <c r="L52" i="9"/>
  <c r="H55" i="11" l="1"/>
  <c r="I55" i="11" s="1"/>
  <c r="L55" i="11"/>
  <c r="H56" i="11"/>
  <c r="I56" i="11" s="1"/>
  <c r="F58" i="11"/>
  <c r="F57" i="11"/>
  <c r="L56" i="11"/>
  <c r="F55" i="10"/>
  <c r="F56" i="10"/>
  <c r="H54" i="10"/>
  <c r="I54" i="10" s="1"/>
  <c r="L54" i="10"/>
  <c r="H53" i="10"/>
  <c r="I53" i="10" s="1"/>
  <c r="L53" i="10"/>
  <c r="H53" i="8"/>
  <c r="I53" i="8" s="1"/>
  <c r="L53" i="8"/>
  <c r="H54" i="8"/>
  <c r="I54" i="8" s="1"/>
  <c r="F56" i="8"/>
  <c r="F55" i="8"/>
  <c r="L54" i="8"/>
  <c r="H53" i="9"/>
  <c r="I53" i="9" s="1"/>
  <c r="L53" i="9"/>
  <c r="F56" i="9"/>
  <c r="F55" i="9"/>
  <c r="H54" i="9"/>
  <c r="I54" i="9" s="1"/>
  <c r="L54" i="9"/>
  <c r="H55" i="10" l="1"/>
  <c r="I55" i="10" s="1"/>
  <c r="L55" i="10"/>
  <c r="H57" i="11"/>
  <c r="I57" i="11" s="1"/>
  <c r="L57" i="11"/>
  <c r="H58" i="11"/>
  <c r="I58" i="11" s="1"/>
  <c r="F60" i="11"/>
  <c r="F59" i="11"/>
  <c r="L58" i="11"/>
  <c r="F58" i="10"/>
  <c r="H56" i="10"/>
  <c r="I56" i="10" s="1"/>
  <c r="F57" i="10"/>
  <c r="L56" i="10"/>
  <c r="H55" i="8"/>
  <c r="I55" i="8" s="1"/>
  <c r="L55" i="8"/>
  <c r="H56" i="8"/>
  <c r="I56" i="8" s="1"/>
  <c r="F58" i="8"/>
  <c r="F57" i="8"/>
  <c r="L56" i="8"/>
  <c r="H55" i="9"/>
  <c r="I55" i="9" s="1"/>
  <c r="L55" i="9"/>
  <c r="F58" i="9"/>
  <c r="F57" i="9"/>
  <c r="H56" i="9"/>
  <c r="I56" i="9" s="1"/>
  <c r="L56" i="9"/>
  <c r="H59" i="11" l="1"/>
  <c r="I59" i="11" s="1"/>
  <c r="L59" i="11"/>
  <c r="H60" i="11"/>
  <c r="I60" i="11" s="1"/>
  <c r="F62" i="11"/>
  <c r="F61" i="11"/>
  <c r="L60" i="11"/>
  <c r="H57" i="10"/>
  <c r="I57" i="10" s="1"/>
  <c r="L57" i="10"/>
  <c r="H58" i="10"/>
  <c r="I58" i="10" s="1"/>
  <c r="F59" i="10"/>
  <c r="F60" i="10"/>
  <c r="L58" i="10"/>
  <c r="H57" i="8"/>
  <c r="I57" i="8" s="1"/>
  <c r="L57" i="8"/>
  <c r="F60" i="9"/>
  <c r="F59" i="9"/>
  <c r="H58" i="9"/>
  <c r="I58" i="9" s="1"/>
  <c r="L58" i="9"/>
  <c r="H58" i="8"/>
  <c r="I58" i="8" s="1"/>
  <c r="F60" i="8"/>
  <c r="F59" i="8"/>
  <c r="L58" i="8"/>
  <c r="H57" i="9"/>
  <c r="I57" i="9" s="1"/>
  <c r="L57" i="9"/>
  <c r="H61" i="11" l="1"/>
  <c r="I61" i="11" s="1"/>
  <c r="L61" i="11"/>
  <c r="H59" i="10"/>
  <c r="I59" i="10" s="1"/>
  <c r="L59" i="10"/>
  <c r="H62" i="11"/>
  <c r="I62" i="11" s="1"/>
  <c r="F64" i="11"/>
  <c r="F63" i="11"/>
  <c r="L62" i="11"/>
  <c r="F61" i="10"/>
  <c r="H60" i="10"/>
  <c r="I60" i="10" s="1"/>
  <c r="F62" i="10"/>
  <c r="L60" i="10"/>
  <c r="F62" i="9"/>
  <c r="F61" i="9"/>
  <c r="H60" i="9"/>
  <c r="I60" i="9" s="1"/>
  <c r="L60" i="9"/>
  <c r="H60" i="8"/>
  <c r="I60" i="8" s="1"/>
  <c r="F62" i="8"/>
  <c r="F61" i="8"/>
  <c r="L60" i="8"/>
  <c r="H59" i="9"/>
  <c r="I59" i="9" s="1"/>
  <c r="L59" i="9"/>
  <c r="H59" i="8"/>
  <c r="I59" i="8" s="1"/>
  <c r="L59" i="8"/>
  <c r="H63" i="11" l="1"/>
  <c r="I63" i="11" s="1"/>
  <c r="L63" i="11"/>
  <c r="H64" i="11"/>
  <c r="I64" i="11" s="1"/>
  <c r="F66" i="11"/>
  <c r="F65" i="11"/>
  <c r="L64" i="11"/>
  <c r="F63" i="10"/>
  <c r="F64" i="10"/>
  <c r="H62" i="10"/>
  <c r="I62" i="10" s="1"/>
  <c r="L62" i="10"/>
  <c r="H61" i="10"/>
  <c r="I61" i="10" s="1"/>
  <c r="L61" i="10"/>
  <c r="H62" i="8"/>
  <c r="I62" i="8" s="1"/>
  <c r="F64" i="8"/>
  <c r="F63" i="8"/>
  <c r="L62" i="8"/>
  <c r="H61" i="8"/>
  <c r="I61" i="8" s="1"/>
  <c r="L61" i="8"/>
  <c r="H61" i="9"/>
  <c r="I61" i="9" s="1"/>
  <c r="L61" i="9"/>
  <c r="F64" i="9"/>
  <c r="F63" i="9"/>
  <c r="H62" i="9"/>
  <c r="I62" i="9" s="1"/>
  <c r="L62" i="9"/>
  <c r="H65" i="11" l="1"/>
  <c r="I65" i="11" s="1"/>
  <c r="L65" i="11"/>
  <c r="F66" i="10"/>
  <c r="H64" i="10"/>
  <c r="I64" i="10" s="1"/>
  <c r="F65" i="10"/>
  <c r="L64" i="10"/>
  <c r="H66" i="11"/>
  <c r="I66" i="11" s="1"/>
  <c r="F68" i="11"/>
  <c r="F67" i="11"/>
  <c r="L66" i="11"/>
  <c r="H63" i="10"/>
  <c r="I63" i="10" s="1"/>
  <c r="L63" i="10"/>
  <c r="H63" i="8"/>
  <c r="I63" i="8" s="1"/>
  <c r="L63" i="8"/>
  <c r="H63" i="9"/>
  <c r="I63" i="9" s="1"/>
  <c r="L63" i="9"/>
  <c r="H64" i="8"/>
  <c r="I64" i="8" s="1"/>
  <c r="F66" i="8"/>
  <c r="F65" i="8"/>
  <c r="L64" i="8"/>
  <c r="F66" i="9"/>
  <c r="F65" i="9"/>
  <c r="H64" i="9"/>
  <c r="I64" i="9" s="1"/>
  <c r="L64" i="9"/>
  <c r="H68" i="11" l="1"/>
  <c r="I68" i="11" s="1"/>
  <c r="F70" i="11"/>
  <c r="F69" i="11"/>
  <c r="L68" i="11"/>
  <c r="H65" i="10"/>
  <c r="I65" i="10" s="1"/>
  <c r="L65" i="10"/>
  <c r="H66" i="10"/>
  <c r="I66" i="10" s="1"/>
  <c r="F68" i="10"/>
  <c r="F67" i="10"/>
  <c r="L66" i="10"/>
  <c r="H67" i="11"/>
  <c r="I67" i="11" s="1"/>
  <c r="L67" i="11"/>
  <c r="H65" i="8"/>
  <c r="I65" i="8" s="1"/>
  <c r="L65" i="8"/>
  <c r="H66" i="8"/>
  <c r="I66" i="8" s="1"/>
  <c r="F68" i="8"/>
  <c r="F67" i="8"/>
  <c r="L66" i="8"/>
  <c r="H65" i="9"/>
  <c r="I65" i="9" s="1"/>
  <c r="L65" i="9"/>
  <c r="F68" i="9"/>
  <c r="F67" i="9"/>
  <c r="H66" i="9"/>
  <c r="I66" i="9" s="1"/>
  <c r="L66" i="9"/>
  <c r="F70" i="10" l="1"/>
  <c r="F69" i="10"/>
  <c r="H68" i="10"/>
  <c r="I68" i="10" s="1"/>
  <c r="L68" i="10"/>
  <c r="H70" i="11"/>
  <c r="I70" i="11" s="1"/>
  <c r="F72" i="11"/>
  <c r="F71" i="11"/>
  <c r="L70" i="11"/>
  <c r="H69" i="11"/>
  <c r="I69" i="11" s="1"/>
  <c r="L69" i="11"/>
  <c r="H67" i="10"/>
  <c r="I67" i="10" s="1"/>
  <c r="L67" i="10"/>
  <c r="H67" i="8"/>
  <c r="I67" i="8" s="1"/>
  <c r="L67" i="8"/>
  <c r="H68" i="8"/>
  <c r="I68" i="8" s="1"/>
  <c r="F70" i="8"/>
  <c r="F69" i="8"/>
  <c r="L68" i="8"/>
  <c r="H67" i="9"/>
  <c r="I67" i="9" s="1"/>
  <c r="L67" i="9"/>
  <c r="F70" i="9"/>
  <c r="F69" i="9"/>
  <c r="H68" i="9"/>
  <c r="I68" i="9" s="1"/>
  <c r="L68" i="9"/>
  <c r="H71" i="11" l="1"/>
  <c r="I71" i="11" s="1"/>
  <c r="L71" i="11"/>
  <c r="H72" i="11"/>
  <c r="I72" i="11" s="1"/>
  <c r="F74" i="11"/>
  <c r="F73" i="11"/>
  <c r="L72" i="11"/>
  <c r="H69" i="10"/>
  <c r="I69" i="10" s="1"/>
  <c r="L69" i="10"/>
  <c r="F72" i="10"/>
  <c r="F71" i="10"/>
  <c r="H70" i="10"/>
  <c r="I70" i="10" s="1"/>
  <c r="L70" i="10"/>
  <c r="H69" i="8"/>
  <c r="I69" i="8" s="1"/>
  <c r="L69" i="8"/>
  <c r="F71" i="8"/>
  <c r="F72" i="8"/>
  <c r="H70" i="8"/>
  <c r="I70" i="8" s="1"/>
  <c r="L70" i="8"/>
  <c r="H69" i="9"/>
  <c r="I69" i="9" s="1"/>
  <c r="L69" i="9"/>
  <c r="F72" i="9"/>
  <c r="F71" i="9"/>
  <c r="H70" i="9"/>
  <c r="I70" i="9" s="1"/>
  <c r="L70" i="9"/>
  <c r="H73" i="11" l="1"/>
  <c r="I73" i="11" s="1"/>
  <c r="L73" i="11"/>
  <c r="H74" i="11"/>
  <c r="I74" i="11" s="1"/>
  <c r="F76" i="11"/>
  <c r="F75" i="11"/>
  <c r="L74" i="11"/>
  <c r="H71" i="10"/>
  <c r="I71" i="10" s="1"/>
  <c r="L71" i="10"/>
  <c r="F74" i="10"/>
  <c r="F73" i="10"/>
  <c r="H72" i="10"/>
  <c r="I72" i="10" s="1"/>
  <c r="L72" i="10"/>
  <c r="H72" i="8"/>
  <c r="I72" i="8" s="1"/>
  <c r="F73" i="8"/>
  <c r="F74" i="8"/>
  <c r="L72" i="8"/>
  <c r="H71" i="8"/>
  <c r="I71" i="8" s="1"/>
  <c r="L71" i="8"/>
  <c r="H71" i="9"/>
  <c r="I71" i="9" s="1"/>
  <c r="L71" i="9"/>
  <c r="F74" i="9"/>
  <c r="F73" i="9"/>
  <c r="H72" i="9"/>
  <c r="I72" i="9" s="1"/>
  <c r="L72" i="9"/>
  <c r="H76" i="11" l="1"/>
  <c r="I76" i="11" s="1"/>
  <c r="F77" i="11"/>
  <c r="L76" i="11"/>
  <c r="H73" i="10"/>
  <c r="I73" i="10" s="1"/>
  <c r="L73" i="10"/>
  <c r="H75" i="11"/>
  <c r="I75" i="11" s="1"/>
  <c r="L75" i="11"/>
  <c r="F76" i="10"/>
  <c r="F75" i="10"/>
  <c r="H74" i="10"/>
  <c r="I74" i="10" s="1"/>
  <c r="L74" i="10"/>
  <c r="F75" i="8"/>
  <c r="F76" i="8"/>
  <c r="H74" i="8"/>
  <c r="I74" i="8" s="1"/>
  <c r="L74" i="8"/>
  <c r="H73" i="9"/>
  <c r="I73" i="9" s="1"/>
  <c r="L73" i="9"/>
  <c r="H73" i="8"/>
  <c r="I73" i="8" s="1"/>
  <c r="L73" i="8"/>
  <c r="F76" i="9"/>
  <c r="F75" i="9"/>
  <c r="H74" i="9"/>
  <c r="I74" i="9" s="1"/>
  <c r="L74" i="9"/>
  <c r="F77" i="10" l="1"/>
  <c r="H76" i="10"/>
  <c r="I76" i="10" s="1"/>
  <c r="L76" i="10"/>
  <c r="H77" i="11"/>
  <c r="I77" i="11" s="1"/>
  <c r="L77" i="11"/>
  <c r="H75" i="10"/>
  <c r="I75" i="10" s="1"/>
  <c r="L75" i="10"/>
  <c r="H75" i="9"/>
  <c r="I75" i="9" s="1"/>
  <c r="L75" i="9"/>
  <c r="H76" i="8"/>
  <c r="I76" i="8" s="1"/>
  <c r="F77" i="8"/>
  <c r="L76" i="8"/>
  <c r="F77" i="9"/>
  <c r="H76" i="9"/>
  <c r="I76" i="9" s="1"/>
  <c r="L76" i="9"/>
  <c r="H75" i="8"/>
  <c r="I75" i="8" s="1"/>
  <c r="L75" i="8"/>
  <c r="H77" i="10" l="1"/>
  <c r="I77" i="10" s="1"/>
  <c r="L77" i="10"/>
  <c r="H77" i="8"/>
  <c r="I77" i="8" s="1"/>
  <c r="L77" i="8"/>
  <c r="H77" i="9"/>
  <c r="I77" i="9" s="1"/>
  <c r="L77" i="9"/>
</calcChain>
</file>

<file path=xl/sharedStrings.xml><?xml version="1.0" encoding="utf-8"?>
<sst xmlns="http://schemas.openxmlformats.org/spreadsheetml/2006/main" count="7442" uniqueCount="542">
  <si>
    <t>案場編號</t>
  </si>
  <si>
    <t>案場名稱</t>
  </si>
  <si>
    <t>昨日發電量</t>
  </si>
  <si>
    <t>昨日發電小時</t>
    <phoneticPr fontId="2" type="noConversion"/>
  </si>
  <si>
    <t>PR值</t>
  </si>
  <si>
    <t>今日發電小時</t>
    <phoneticPr fontId="2" type="noConversion"/>
  </si>
  <si>
    <t>即時發電量</t>
  </si>
  <si>
    <t>今日發電量</t>
  </si>
  <si>
    <t>今日PR值</t>
  </si>
  <si>
    <t>近30日PR值</t>
  </si>
  <si>
    <t>總累積發電量</t>
  </si>
  <si>
    <t>資料更新時間</t>
  </si>
  <si>
    <t>所在縣市</t>
  </si>
  <si>
    <t>鈺誠能源-新園</t>
  </si>
  <si>
    <t xml:space="preserve">未安裝日照計 </t>
  </si>
  <si>
    <t>2019-10-28 08:30:00</t>
  </si>
  <si>
    <t>屏東縣</t>
  </si>
  <si>
    <t>SPW011</t>
  </si>
  <si>
    <r>
      <rPr>
        <sz val="10"/>
        <color theme="1"/>
        <rFont val="新細明體"/>
        <family val="2"/>
        <charset val="136"/>
      </rPr>
      <t>永山實業</t>
    </r>
    <r>
      <rPr>
        <sz val="10"/>
        <color theme="1"/>
        <rFont val="Arial"/>
        <family val="2"/>
      </rPr>
      <t>(</t>
    </r>
    <r>
      <rPr>
        <sz val="10"/>
        <color theme="1"/>
        <rFont val="新細明體"/>
        <family val="2"/>
        <charset val="136"/>
      </rPr>
      <t>一</t>
    </r>
    <r>
      <rPr>
        <sz val="10"/>
        <color theme="1"/>
        <rFont val="Arial"/>
        <family val="2"/>
      </rPr>
      <t>)</t>
    </r>
  </si>
  <si>
    <t>YUX0001</t>
  </si>
  <si>
    <t>彰化二林-謝水勇</t>
  </si>
  <si>
    <t>鈺誠能源-新埤</t>
  </si>
  <si>
    <t>2019-06-29 17:50:00</t>
  </si>
  <si>
    <t>SPW012</t>
  </si>
  <si>
    <r>
      <rPr>
        <sz val="10"/>
        <color theme="1"/>
        <rFont val="新細明體"/>
        <family val="2"/>
        <charset val="136"/>
      </rPr>
      <t>永山實業</t>
    </r>
    <r>
      <rPr>
        <sz val="10"/>
        <color theme="1"/>
        <rFont val="Arial"/>
        <family val="2"/>
      </rPr>
      <t>(</t>
    </r>
    <r>
      <rPr>
        <sz val="10"/>
        <color theme="1"/>
        <rFont val="新細明體"/>
        <family val="2"/>
        <charset val="136"/>
      </rPr>
      <t>二</t>
    </r>
    <r>
      <rPr>
        <sz val="10"/>
        <color theme="1"/>
        <rFont val="Arial"/>
        <family val="2"/>
      </rPr>
      <t>)</t>
    </r>
  </si>
  <si>
    <t>YUX0002</t>
  </si>
  <si>
    <t>雲林大埤-李進德</t>
  </si>
  <si>
    <t>胡國輝一期</t>
  </si>
  <si>
    <t>SPW013</t>
  </si>
  <si>
    <r>
      <rPr>
        <sz val="10"/>
        <color theme="1"/>
        <rFont val="新細明體"/>
        <family val="2"/>
        <charset val="136"/>
      </rPr>
      <t>台中歐瑞斯</t>
    </r>
  </si>
  <si>
    <t>YUX0003</t>
  </si>
  <si>
    <t>雲林元長-李進德</t>
  </si>
  <si>
    <t>胡國輝二期</t>
  </si>
  <si>
    <t>SPW016</t>
  </si>
  <si>
    <r>
      <rPr>
        <sz val="10"/>
        <color theme="1"/>
        <rFont val="新細明體"/>
        <family val="2"/>
        <charset val="136"/>
      </rPr>
      <t>英達茂</t>
    </r>
    <r>
      <rPr>
        <sz val="10"/>
        <color theme="1"/>
        <rFont val="Arial"/>
        <family val="2"/>
      </rPr>
      <t>2</t>
    </r>
  </si>
  <si>
    <t>YUX0004</t>
  </si>
  <si>
    <t>中租1_高樹鄉加蚋埔622地號</t>
  </si>
  <si>
    <t>林贊盛_1</t>
  </si>
  <si>
    <t>雲林縣</t>
  </si>
  <si>
    <t>SPW017</t>
  </si>
  <si>
    <r>
      <rPr>
        <sz val="10"/>
        <color theme="1"/>
        <rFont val="新細明體"/>
        <family val="2"/>
        <charset val="136"/>
      </rPr>
      <t>鹿港</t>
    </r>
    <r>
      <rPr>
        <sz val="10"/>
        <color theme="1"/>
        <rFont val="Arial"/>
        <family val="2"/>
      </rPr>
      <t>-</t>
    </r>
    <r>
      <rPr>
        <sz val="10"/>
        <color theme="1"/>
        <rFont val="新細明體"/>
        <family val="2"/>
        <charset val="136"/>
      </rPr>
      <t>加達鋼鐵</t>
    </r>
  </si>
  <si>
    <t>YUX0005</t>
  </si>
  <si>
    <t>中租2_屏東縣鹽埔鄉新高段505-1地號</t>
  </si>
  <si>
    <t>林贊盛_2</t>
  </si>
  <si>
    <t>2019-10-28 08:35:00</t>
  </si>
  <si>
    <t>SPW018</t>
  </si>
  <si>
    <r>
      <rPr>
        <sz val="10"/>
        <color theme="1"/>
        <rFont val="新細明體"/>
        <family val="2"/>
        <charset val="136"/>
      </rPr>
      <t>加龍鋼鐵</t>
    </r>
  </si>
  <si>
    <t>YUX0006</t>
  </si>
  <si>
    <t>中租3_劉郁青 仕絨段6地號</t>
  </si>
  <si>
    <t>楊曜丞</t>
  </si>
  <si>
    <t>SPW019</t>
  </si>
  <si>
    <r>
      <rPr>
        <sz val="10"/>
        <color theme="1"/>
        <rFont val="新細明體"/>
        <family val="2"/>
        <charset val="136"/>
      </rPr>
      <t>高雄岡山</t>
    </r>
    <r>
      <rPr>
        <sz val="10"/>
        <color theme="1"/>
        <rFont val="Arial"/>
        <family val="2"/>
      </rPr>
      <t>-</t>
    </r>
    <r>
      <rPr>
        <sz val="10"/>
        <color theme="1"/>
        <rFont val="新細明體"/>
        <family val="2"/>
        <charset val="136"/>
      </rPr>
      <t>滿豐五金</t>
    </r>
  </si>
  <si>
    <t>YUX0007</t>
  </si>
  <si>
    <t>中租4_屏東鹽埔鄉新高段432地號</t>
  </si>
  <si>
    <t>洪金山</t>
  </si>
  <si>
    <t>彰化縣</t>
  </si>
  <si>
    <t>SPW021</t>
  </si>
  <si>
    <r>
      <rPr>
        <sz val="10"/>
        <color theme="1"/>
        <rFont val="新細明體"/>
        <family val="2"/>
        <charset val="136"/>
      </rPr>
      <t>威致鋼鐵</t>
    </r>
  </si>
  <si>
    <t>YUX0008</t>
  </si>
  <si>
    <t>中租5_屏東縣萬巒鄉柑園段438地號</t>
  </si>
  <si>
    <t>林施月霞</t>
  </si>
  <si>
    <t>YUX0009</t>
  </si>
  <si>
    <t>中租6_屏東縣萬巒鄉大林段41地號</t>
  </si>
  <si>
    <t>康福豈</t>
  </si>
  <si>
    <t>YUX0010</t>
  </si>
  <si>
    <t>中租7_屏東縣鹽埔鄉振北段818-1地號</t>
  </si>
  <si>
    <t>江穎龍</t>
  </si>
  <si>
    <t>YUX0011</t>
  </si>
  <si>
    <t>中租8_屏東縣鹽埔鄉振北段818地號</t>
  </si>
  <si>
    <t>陳文毅</t>
  </si>
  <si>
    <t>YUX0012</t>
  </si>
  <si>
    <t>中租9_屏東縣高樹鄉埔羗崙段487地號</t>
  </si>
  <si>
    <t>傑懋三期(宥安)</t>
  </si>
  <si>
    <t>YUX0013</t>
  </si>
  <si>
    <t>中租10_屏東縣高樹鄉公平段817地號(原埔羗崙段487-1地號)</t>
  </si>
  <si>
    <t>傑懋一期(裕程)</t>
  </si>
  <si>
    <t>YUX0014</t>
  </si>
  <si>
    <t>中租11_屏東鄉高樹鄉埔羗崙段723地號</t>
  </si>
  <si>
    <t>傑懋二期(好力)</t>
  </si>
  <si>
    <t>YUX0015</t>
  </si>
  <si>
    <t>中租31_屏東縣長治鄉番子寮段1161-6地號</t>
  </si>
  <si>
    <t>蘇仁墰</t>
  </si>
  <si>
    <t>YUX0016</t>
  </si>
  <si>
    <t>中租13_屏東縣長治鄉番子寮段928地號</t>
  </si>
  <si>
    <t>林重仁一期</t>
  </si>
  <si>
    <t>YUX0017</t>
  </si>
  <si>
    <t>中租14_李宗澄 大林段711地號</t>
  </si>
  <si>
    <t>林重仁二期</t>
  </si>
  <si>
    <t>YUX0018</t>
  </si>
  <si>
    <t>中租32_屏東縣長治鄉番子寮段1161-7地號</t>
  </si>
  <si>
    <t>張宏榮</t>
  </si>
  <si>
    <t>嘉義縣</t>
  </si>
  <si>
    <t>YUX0019</t>
  </si>
  <si>
    <t>中租16_鄭慶裕 新庄段720地號</t>
  </si>
  <si>
    <t>蕭秀蓁</t>
  </si>
  <si>
    <t>YUX0020</t>
  </si>
  <si>
    <t>中租17_鄭慶裕 新庄段720-1地號</t>
  </si>
  <si>
    <t>朱宏祥</t>
  </si>
  <si>
    <t>YUX0021</t>
  </si>
  <si>
    <t>中租18_鄭慶裕 新庄段720-2地號</t>
  </si>
  <si>
    <t>黃秋梅</t>
  </si>
  <si>
    <t>YUX0022</t>
  </si>
  <si>
    <t>中租19_元精精密</t>
  </si>
  <si>
    <t>黃治勳</t>
  </si>
  <si>
    <t>YUX0023</t>
  </si>
  <si>
    <t>中租20_陳賢端</t>
  </si>
  <si>
    <t>李石龍</t>
  </si>
  <si>
    <t>YUX0024</t>
  </si>
  <si>
    <t>中租21_郭盈章</t>
  </si>
  <si>
    <t>世鴻一期</t>
  </si>
  <si>
    <t>YUX0025</t>
  </si>
  <si>
    <t>中租22_曾憲璋畜牧場</t>
  </si>
  <si>
    <t>世鴻二期</t>
  </si>
  <si>
    <t>YUX0026</t>
  </si>
  <si>
    <t>中租23_新苗</t>
  </si>
  <si>
    <t>世鴻三期</t>
  </si>
  <si>
    <t>YUX0027</t>
  </si>
  <si>
    <t>中租24_屏東縣長治鄉番子寮段1161-3地號</t>
  </si>
  <si>
    <t>世翔</t>
  </si>
  <si>
    <t>YUX0028</t>
  </si>
  <si>
    <t>中租25_屏東縣長治鄉番子寮段1161-4地號</t>
  </si>
  <si>
    <t>紅中林錦藤一期</t>
  </si>
  <si>
    <t>YUX0029</t>
  </si>
  <si>
    <t>中租26_屏東縣長治鄉番子寮段1161-5地號</t>
  </si>
  <si>
    <t>紅中林錦藤二期</t>
  </si>
  <si>
    <t>YUX0030</t>
  </si>
  <si>
    <t>中租27_屏東縣長治鄉番子寮段988地號</t>
  </si>
  <si>
    <t>江志成一期</t>
  </si>
  <si>
    <t>YUX0031</t>
  </si>
  <si>
    <t>中租28_屏東縣長治鄉番子寮段988-1地號</t>
  </si>
  <si>
    <t>江志成二期</t>
  </si>
  <si>
    <t>YUX0032</t>
  </si>
  <si>
    <t>中租29_屏東縣長治鄉番子寮段988-2地號</t>
  </si>
  <si>
    <t>康福豈二期</t>
  </si>
  <si>
    <t>YUX0033</t>
  </si>
  <si>
    <t>中租30_屏東縣長治鄉番子寮段988-4地號</t>
  </si>
  <si>
    <t>林滿洲</t>
  </si>
  <si>
    <t>YUX0034</t>
  </si>
  <si>
    <t>台南市白河區永秀段777地號</t>
  </si>
  <si>
    <t>NA</t>
  </si>
  <si>
    <t>蕭進旺</t>
  </si>
  <si>
    <t>台南市</t>
  </si>
  <si>
    <t>YUX0035</t>
  </si>
  <si>
    <t>台南市白河區頂秀祐段458地號</t>
  </si>
  <si>
    <t>蔡秀鳳</t>
  </si>
  <si>
    <t>YUX0036</t>
  </si>
  <si>
    <t>宗威鋼鐵二期</t>
  </si>
  <si>
    <t>彰化福興</t>
  </si>
  <si>
    <t>YUX0037</t>
  </si>
  <si>
    <t>台南市學甲區中洲段46號</t>
  </si>
  <si>
    <t>彰化伸港</t>
  </si>
  <si>
    <t>YUX0038</t>
  </si>
  <si>
    <t>金屬中心-高雄市楠梓區朝仁路55號</t>
  </si>
  <si>
    <t>彰化芳苑-1</t>
  </si>
  <si>
    <t>YUX0039</t>
  </si>
  <si>
    <t>屏東縣高樹鄉新泰山段365地號</t>
  </si>
  <si>
    <t>彰化芳苑-2</t>
  </si>
  <si>
    <t>YUX0040</t>
  </si>
  <si>
    <t>屏東縣長治鄉華錦段580地號</t>
  </si>
  <si>
    <t>周啓正</t>
  </si>
  <si>
    <t>未安裝日照計</t>
  </si>
  <si>
    <t>2000-01-01 00:00:00</t>
  </si>
  <si>
    <t>YUX0041</t>
  </si>
  <si>
    <t>屏東縣長治鄉華錦段580-1地號</t>
  </si>
  <si>
    <t>宗威鋼鐵股份有限公司</t>
  </si>
  <si>
    <t>YUX0042</t>
  </si>
  <si>
    <t>屏東縣長治鄉番子寮段924地號</t>
  </si>
  <si>
    <t>林淮蓁</t>
  </si>
  <si>
    <t>南投縣</t>
  </si>
  <si>
    <t>YUX0043</t>
  </si>
  <si>
    <t>屏東縣新園鄉興厝段280地號</t>
  </si>
  <si>
    <t>陳忠義</t>
  </si>
  <si>
    <t>張摘</t>
  </si>
  <si>
    <t>倍利</t>
  </si>
  <si>
    <t>大三元</t>
  </si>
  <si>
    <t>青發白板廖雪瓊一期</t>
  </si>
  <si>
    <t>青發白板廖雪瓊二期</t>
  </si>
  <si>
    <t>庄嘉1</t>
  </si>
  <si>
    <t>庄嘉2</t>
  </si>
  <si>
    <t>連莊1</t>
  </si>
  <si>
    <t>鐘明堂</t>
  </si>
  <si>
    <t>盧博昌新</t>
  </si>
  <si>
    <t>林忠賢</t>
  </si>
  <si>
    <t>鑫興一</t>
  </si>
  <si>
    <t>鑫興二</t>
  </si>
  <si>
    <t>鑫興三</t>
  </si>
  <si>
    <t>鑫興安定廠</t>
  </si>
  <si>
    <t>炫達</t>
  </si>
  <si>
    <t>高雄市</t>
  </si>
  <si>
    <t>政宏畜牧場</t>
  </si>
  <si>
    <t>岱墾1</t>
  </si>
  <si>
    <t>岱墾2</t>
  </si>
  <si>
    <t>儀億1</t>
  </si>
  <si>
    <t>儀億2</t>
  </si>
  <si>
    <t>利拿</t>
  </si>
  <si>
    <t>炫達2</t>
  </si>
  <si>
    <t>郭再添1</t>
  </si>
  <si>
    <t>郭再添2</t>
  </si>
  <si>
    <t>鳴達A</t>
  </si>
  <si>
    <t>鳴達B</t>
  </si>
  <si>
    <t>連莊2</t>
  </si>
  <si>
    <t>盧博昌舊廠</t>
  </si>
  <si>
    <t>銅晟一期</t>
  </si>
  <si>
    <t>銅晟二期</t>
  </si>
  <si>
    <t>銅晟三期</t>
  </si>
  <si>
    <t>世堃一期</t>
  </si>
  <si>
    <t>世堃二期</t>
  </si>
  <si>
    <t>冠軍竹南一</t>
  </si>
  <si>
    <t>苗栗縣</t>
  </si>
  <si>
    <t>冠軍竹南二</t>
  </si>
  <si>
    <t>怡華一期</t>
  </si>
  <si>
    <t>怡華二期</t>
  </si>
  <si>
    <t>怡華三期</t>
  </si>
  <si>
    <t>怡華四期</t>
  </si>
  <si>
    <t>怡華五期之一</t>
  </si>
  <si>
    <t>怡華五期之二</t>
  </si>
  <si>
    <t>怡華六期</t>
  </si>
  <si>
    <t>怡華七期</t>
  </si>
  <si>
    <t>怡華八期</t>
  </si>
  <si>
    <t>怡華九期</t>
  </si>
  <si>
    <t>怡華十期</t>
  </si>
  <si>
    <t>2019-10-19 11:35:00</t>
  </si>
  <si>
    <t>冠軍造橋第一期</t>
  </si>
  <si>
    <t>冠軍造橋第二期</t>
  </si>
  <si>
    <t>2019-10-27 20:00:00</t>
  </si>
  <si>
    <t>冠軍造橋第三期</t>
  </si>
  <si>
    <t>冠軍造橋第四期</t>
  </si>
  <si>
    <t>冠軍造橋第五期</t>
  </si>
  <si>
    <t>冠軍造橋第六期</t>
  </si>
  <si>
    <t>力伽B</t>
  </si>
  <si>
    <t>力伽C</t>
  </si>
  <si>
    <t>陳蘇</t>
  </si>
  <si>
    <t>2019-10-28 06:10:00</t>
  </si>
  <si>
    <t>黃金城</t>
  </si>
  <si>
    <t>王雅慧一期</t>
  </si>
  <si>
    <t>王雅慧二期</t>
  </si>
  <si>
    <t>南嶸一A</t>
  </si>
  <si>
    <t>南嶸一B</t>
  </si>
  <si>
    <t>南嶸二期</t>
  </si>
  <si>
    <t>冠軍造橋第七期</t>
  </si>
  <si>
    <t>冠軍造橋第八期</t>
  </si>
  <si>
    <t>怡華十一期</t>
  </si>
  <si>
    <t>怡華十二期</t>
  </si>
  <si>
    <t>怡華十三期</t>
  </si>
  <si>
    <t>怡華十四期</t>
  </si>
  <si>
    <t>怡華十五期</t>
  </si>
  <si>
    <t>屏東海事</t>
  </si>
  <si>
    <t>655-1地號</t>
  </si>
  <si>
    <t>983地號</t>
  </si>
  <si>
    <t>452-3地號</t>
  </si>
  <si>
    <t>1548地號</t>
  </si>
  <si>
    <t>1549地號</t>
  </si>
  <si>
    <t>2313地號</t>
  </si>
  <si>
    <t>2211地號</t>
  </si>
  <si>
    <t>2196地號</t>
  </si>
  <si>
    <t>179地號</t>
  </si>
  <si>
    <t>179-3地號</t>
  </si>
  <si>
    <t>豐華一</t>
  </si>
  <si>
    <t>豐華二</t>
  </si>
  <si>
    <t>台東知本一期</t>
  </si>
  <si>
    <t>台東縣</t>
  </si>
  <si>
    <t>台東知本二期</t>
  </si>
  <si>
    <t>周秀紅</t>
  </si>
  <si>
    <t>李玲芳</t>
  </si>
  <si>
    <t>中正大學</t>
  </si>
  <si>
    <t>嘉義市</t>
  </si>
  <si>
    <t>永靜教養院</t>
  </si>
  <si>
    <t>同皇</t>
  </si>
  <si>
    <t>富士離合器</t>
  </si>
  <si>
    <t>銓華寵物</t>
  </si>
  <si>
    <t>欣岱</t>
  </si>
  <si>
    <t>萬峰</t>
  </si>
  <si>
    <t>萬銓</t>
  </si>
  <si>
    <t>宇星-林邊內庄</t>
  </si>
  <si>
    <t>宇星-新埤萬安</t>
  </si>
  <si>
    <t>宇星-竹塘五庄子</t>
  </si>
  <si>
    <t>東煜01</t>
  </si>
  <si>
    <t>環群03</t>
  </si>
  <si>
    <t>群立04</t>
  </si>
  <si>
    <t>群立05</t>
  </si>
  <si>
    <t>東煜29</t>
  </si>
  <si>
    <t>升呈協俐</t>
  </si>
  <si>
    <t>大三元2</t>
  </si>
  <si>
    <t>倍利二2</t>
  </si>
  <si>
    <t>蒙特利</t>
  </si>
  <si>
    <t>高益</t>
  </si>
  <si>
    <t>谷林</t>
  </si>
  <si>
    <t>建賢</t>
  </si>
  <si>
    <t>永長畜牧場</t>
  </si>
  <si>
    <t>新泰汽車</t>
  </si>
  <si>
    <t>雲頂</t>
  </si>
  <si>
    <t>中華醫事</t>
  </si>
  <si>
    <t>重盈一期</t>
  </si>
  <si>
    <t>重盈二期</t>
  </si>
  <si>
    <t>志鋼金屬</t>
  </si>
  <si>
    <t>桂花畜牧場</t>
  </si>
  <si>
    <t>2019-10-17 06:15:00</t>
  </si>
  <si>
    <t>順通水泥</t>
  </si>
  <si>
    <t>彰化農場</t>
  </si>
  <si>
    <t>大響營1</t>
  </si>
  <si>
    <t>豐華畜牧場-3(高壓</t>
  </si>
  <si>
    <t>豐華畜牧場-4(高壓</t>
  </si>
  <si>
    <t>山子腳段2287地號</t>
  </si>
  <si>
    <t>山子腳段2267地號</t>
  </si>
  <si>
    <t>山子腳段2266地號</t>
  </si>
  <si>
    <t>山子腳段2275地號</t>
  </si>
  <si>
    <t>山子腳段2283地號</t>
  </si>
  <si>
    <t>洪筠婷</t>
  </si>
  <si>
    <t>寶源材料</t>
  </si>
  <si>
    <t>謝麗月</t>
  </si>
  <si>
    <t>新港幼兒園</t>
  </si>
  <si>
    <t>2019-10-21 10:20:00</t>
  </si>
  <si>
    <t>高樹加蚋埔段嚴木己二期</t>
  </si>
  <si>
    <t>巨農D</t>
  </si>
  <si>
    <t>巨農F</t>
  </si>
  <si>
    <t>彰化農場二期</t>
  </si>
  <si>
    <t>鍾盈英</t>
  </si>
  <si>
    <t>湖西鄉湖西南段1342地號</t>
  </si>
  <si>
    <t>澎湖縣</t>
  </si>
  <si>
    <t>湖西鄉白坑段746地號</t>
  </si>
  <si>
    <t>池東段3450地號</t>
  </si>
  <si>
    <t>池東段798地號</t>
  </si>
  <si>
    <t>大億寢具</t>
  </si>
  <si>
    <t>崁子頭段457-1地號</t>
  </si>
  <si>
    <t>頂秀祐段458地號</t>
  </si>
  <si>
    <t>崁子頭段459地號</t>
  </si>
  <si>
    <t>永秀段777地號</t>
  </si>
  <si>
    <t>將軍保源1683-2地號</t>
  </si>
  <si>
    <t>將軍保源1683地號</t>
  </si>
  <si>
    <t>鄭瑞昌1</t>
  </si>
  <si>
    <t>鄭瑞昌2</t>
  </si>
  <si>
    <t>頂秀祐段321地號</t>
  </si>
  <si>
    <t>頂秀祐段322地號</t>
  </si>
  <si>
    <t>頂秀祐段323地號</t>
  </si>
  <si>
    <t>頂秀祐段454地號</t>
  </si>
  <si>
    <t>頂秀祐段455地號</t>
  </si>
  <si>
    <t>頂秀祐段456地號</t>
  </si>
  <si>
    <t>頂秀祐段457地號</t>
  </si>
  <si>
    <t>董清國四期</t>
  </si>
  <si>
    <t>內埔隘寮段陳明雄一期</t>
  </si>
  <si>
    <t>內埔隘寮段陳明雄二期</t>
  </si>
  <si>
    <t>萬巒永慶段陳國庫一期</t>
  </si>
  <si>
    <t>萬巒永慶段陳國庫二期</t>
  </si>
  <si>
    <t>新園興龍段郭金墻一期</t>
  </si>
  <si>
    <t>新園興龍段郭金墻二期</t>
  </si>
  <si>
    <t>董美容一期</t>
  </si>
  <si>
    <t>蕭忠信一期</t>
  </si>
  <si>
    <t>蕭忠信二期</t>
  </si>
  <si>
    <t>2019-10-28 08:25:00</t>
  </si>
  <si>
    <t>蕭忠信三期</t>
  </si>
  <si>
    <t>陳千愛</t>
  </si>
  <si>
    <t>鄭玫芳一期</t>
  </si>
  <si>
    <t>鄭玫芳二期</t>
  </si>
  <si>
    <t>江慶祥一期</t>
  </si>
  <si>
    <t>江慶祥二期</t>
  </si>
  <si>
    <t>鄭佳娟一期</t>
  </si>
  <si>
    <t>鄭佳娟二期</t>
  </si>
  <si>
    <t>陳健德一期</t>
  </si>
  <si>
    <t>羅萬年</t>
  </si>
  <si>
    <t>陳詩涵</t>
  </si>
  <si>
    <t>郭再添三期</t>
  </si>
  <si>
    <t>家寬</t>
  </si>
  <si>
    <t>建誌1</t>
  </si>
  <si>
    <t>建誌2</t>
  </si>
  <si>
    <t>三木</t>
  </si>
  <si>
    <t>大響營2</t>
  </si>
  <si>
    <t>大響營3</t>
  </si>
  <si>
    <t>大響營4</t>
  </si>
  <si>
    <t>東港展示館(屏東東港漁會展示館)</t>
  </si>
  <si>
    <t>華僑市場(屏東東港漁會)</t>
  </si>
  <si>
    <t>台南嘉安1</t>
  </si>
  <si>
    <t>台南嘉安2</t>
  </si>
  <si>
    <t>台南嘉安3</t>
  </si>
  <si>
    <t>陳健德二期</t>
  </si>
  <si>
    <t>劉志瑞</t>
  </si>
  <si>
    <t>2019-10-29 08:20:00</t>
  </si>
  <si>
    <t>2019-10-29 08:25:00</t>
  </si>
  <si>
    <t>2019-10-28 14:25:00</t>
  </si>
  <si>
    <t>2019-10-28 20:00:00</t>
  </si>
  <si>
    <t>2019-10-29 07:50:00</t>
  </si>
  <si>
    <t>2019-10-29 08:15:00</t>
  </si>
  <si>
    <t>2019-10-30 08:25:00</t>
  </si>
  <si>
    <t>2019-10-30 08:30:00</t>
  </si>
  <si>
    <t>2019-10-29 20:00:00</t>
  </si>
  <si>
    <t>2019-10-30 08:15:00</t>
  </si>
  <si>
    <t>2019-10-30 08:20:00</t>
  </si>
  <si>
    <t>统计时间</t>
  </si>
  <si>
    <t>装机容量(kWp)</t>
  </si>
  <si>
    <t>总辐照量(kWh/m²)</t>
  </si>
  <si>
    <t>水平面总辐照量(kWh/m²)</t>
  </si>
  <si>
    <t>日照时长(h)</t>
  </si>
  <si>
    <t>平均温度(℃)</t>
  </si>
  <si>
    <t>理论发电量(kWh)</t>
  </si>
  <si>
    <t>发电量(kWh)</t>
  </si>
  <si>
    <t>累计发电量(kWh)</t>
  </si>
  <si>
    <t>上网电量(kWh)</t>
  </si>
  <si>
    <t>等效利用小时数(h)</t>
  </si>
  <si>
    <t>限电损失电量(kWh)</t>
  </si>
  <si>
    <t>峰值功率(kW)</t>
  </si>
  <si>
    <t>系统效率PR(%)</t>
  </si>
  <si>
    <t>二氧化碳减排量(t)</t>
  </si>
  <si>
    <t>节约标准煤量(t)</t>
  </si>
  <si>
    <t>收益(¥)</t>
  </si>
  <si>
    <t>2019-10-01</t>
  </si>
  <si>
    <t>0.41</t>
  </si>
  <si>
    <t>0.16</t>
  </si>
  <si>
    <t>2019-10-02</t>
  </si>
  <si>
    <t>0.37</t>
  </si>
  <si>
    <t>0.15</t>
  </si>
  <si>
    <t>2019-10-03</t>
  </si>
  <si>
    <t>0.30</t>
  </si>
  <si>
    <t>0.12</t>
  </si>
  <si>
    <t>2019-10-04</t>
  </si>
  <si>
    <t>2019-10-05</t>
  </si>
  <si>
    <t>0.26</t>
  </si>
  <si>
    <t>0.10</t>
  </si>
  <si>
    <t>2019-10-06</t>
  </si>
  <si>
    <t>0.20</t>
  </si>
  <si>
    <t>0.08</t>
  </si>
  <si>
    <t>2019-10-07</t>
  </si>
  <si>
    <t>0.40</t>
  </si>
  <si>
    <t>2019-10-08</t>
  </si>
  <si>
    <t>0.33</t>
  </si>
  <si>
    <t>0.13</t>
  </si>
  <si>
    <t>2019-10-09</t>
  </si>
  <si>
    <t>0.27</t>
  </si>
  <si>
    <t>0.11</t>
  </si>
  <si>
    <t>2019-10-10</t>
  </si>
  <si>
    <t>2019-10-11</t>
  </si>
  <si>
    <t>0.29</t>
  </si>
  <si>
    <t>2019-10-12</t>
  </si>
  <si>
    <t>0.24</t>
  </si>
  <si>
    <t>2019-10-13</t>
  </si>
  <si>
    <t>0.34</t>
  </si>
  <si>
    <t>0.14</t>
  </si>
  <si>
    <t>2019-10-14</t>
  </si>
  <si>
    <t>0.23</t>
  </si>
  <si>
    <t>0.09</t>
  </si>
  <si>
    <t>2019-10-15</t>
  </si>
  <si>
    <t>2019-10-16</t>
  </si>
  <si>
    <t>2019-10-17</t>
  </si>
  <si>
    <t>2019-10-18</t>
  </si>
  <si>
    <t>0.25</t>
  </si>
  <si>
    <t>2019-10-19</t>
  </si>
  <si>
    <t>0.32</t>
  </si>
  <si>
    <t>2019-10-20</t>
  </si>
  <si>
    <t>0.39</t>
  </si>
  <si>
    <t>2019-10-21</t>
  </si>
  <si>
    <t>2019-10-22</t>
  </si>
  <si>
    <t>2019-10-23</t>
  </si>
  <si>
    <t>2019-10-24</t>
  </si>
  <si>
    <t>2019-10-25</t>
  </si>
  <si>
    <t>0.28</t>
  </si>
  <si>
    <t>2019-10-26</t>
  </si>
  <si>
    <t>2019-10-27</t>
  </si>
  <si>
    <t>2019-10-28</t>
  </si>
  <si>
    <t>2019-10-29</t>
  </si>
  <si>
    <t>2019-10-30</t>
  </si>
  <si>
    <t>0.19</t>
  </si>
  <si>
    <t>0.07</t>
  </si>
  <si>
    <r>
      <rPr>
        <sz val="10"/>
        <color theme="1"/>
        <rFont val="細明體"/>
        <family val="3"/>
        <charset val="136"/>
      </rPr>
      <t>中租</t>
    </r>
    <r>
      <rPr>
        <sz val="10"/>
        <color theme="1"/>
        <rFont val="Arial"/>
        <family val="2"/>
      </rPr>
      <t>32_</t>
    </r>
    <r>
      <rPr>
        <sz val="10"/>
        <color theme="1"/>
        <rFont val="細明體"/>
        <family val="3"/>
        <charset val="136"/>
      </rPr>
      <t>屏東縣長治鄉番子寮段</t>
    </r>
    <r>
      <rPr>
        <sz val="10"/>
        <color theme="1"/>
        <rFont val="Arial"/>
        <family val="2"/>
      </rPr>
      <t>1161-7</t>
    </r>
    <r>
      <rPr>
        <sz val="10"/>
        <color theme="1"/>
        <rFont val="細明體"/>
        <family val="3"/>
        <charset val="136"/>
      </rPr>
      <t>地號</t>
    </r>
    <phoneticPr fontId="2" type="noConversion"/>
  </si>
  <si>
    <t>案場代碼</t>
    <phoneticPr fontId="2" type="noConversion"/>
  </si>
  <si>
    <t>案場名稱</t>
    <phoneticPr fontId="2" type="noConversion"/>
  </si>
  <si>
    <t>發電量</t>
    <phoneticPr fontId="2" type="noConversion"/>
  </si>
  <si>
    <t>發電小時</t>
    <phoneticPr fontId="2" type="noConversion"/>
  </si>
  <si>
    <t>PR值</t>
    <phoneticPr fontId="2" type="noConversion"/>
  </si>
  <si>
    <t>Inv編號</t>
  </si>
  <si>
    <t>交流必v</t>
  </si>
  <si>
    <t>直流必v</t>
  </si>
  <si>
    <t>蘇仁&amp;#22704;</t>
  </si>
  <si>
    <t>世一期</t>
  </si>
  <si>
    <t>世二期</t>
  </si>
  <si>
    <t>YUX0001</t>
    <phoneticPr fontId="2" type="noConversion"/>
  </si>
  <si>
    <t>日期</t>
    <phoneticPr fontId="2" type="noConversion"/>
  </si>
  <si>
    <r>
      <rPr>
        <b/>
        <sz val="10"/>
        <color rgb="FFFF0000"/>
        <rFont val="新細明體"/>
        <family val="1"/>
        <charset val="136"/>
        <scheme val="minor"/>
      </rPr>
      <t>YUX0001</t>
    </r>
    <r>
      <rPr>
        <b/>
        <sz val="10"/>
        <color rgb="FFFFFFFF"/>
        <rFont val="新細明體"/>
        <family val="1"/>
        <charset val="136"/>
        <scheme val="minor"/>
      </rPr>
      <t>01</t>
    </r>
    <phoneticPr fontId="2" type="noConversion"/>
  </si>
  <si>
    <r>
      <rPr>
        <b/>
        <sz val="10"/>
        <color rgb="FFFF0000"/>
        <rFont val="新細明體"/>
        <family val="1"/>
        <charset val="136"/>
        <scheme val="minor"/>
      </rPr>
      <t>YUX0001</t>
    </r>
    <r>
      <rPr>
        <b/>
        <sz val="10"/>
        <color rgb="FFFFFFFF"/>
        <rFont val="新細明體"/>
        <family val="1"/>
        <charset val="136"/>
        <scheme val="minor"/>
      </rPr>
      <t>02</t>
    </r>
    <phoneticPr fontId="2" type="noConversion"/>
  </si>
  <si>
    <r>
      <rPr>
        <b/>
        <sz val="10"/>
        <color rgb="FFFF0000"/>
        <rFont val="新細明體"/>
        <family val="1"/>
        <charset val="136"/>
        <scheme val="minor"/>
      </rPr>
      <t>YUX0001</t>
    </r>
    <r>
      <rPr>
        <b/>
        <sz val="10"/>
        <color theme="0"/>
        <rFont val="新細明體"/>
        <family val="1"/>
        <charset val="136"/>
        <scheme val="minor"/>
      </rPr>
      <t>03</t>
    </r>
    <r>
      <rPr>
        <b/>
        <sz val="10"/>
        <color rgb="FFFFFFFF"/>
        <rFont val="新細明體"/>
        <family val="1"/>
        <charset val="136"/>
        <scheme val="minor"/>
      </rPr>
      <t/>
    </r>
  </si>
  <si>
    <r>
      <rPr>
        <b/>
        <sz val="10"/>
        <color rgb="FFFF0000"/>
        <rFont val="新細明體"/>
        <family val="1"/>
        <charset val="136"/>
        <scheme val="minor"/>
      </rPr>
      <t>YUX000104</t>
    </r>
    <r>
      <rPr>
        <b/>
        <sz val="10"/>
        <color rgb="FFFFFFFF"/>
        <rFont val="新細明體"/>
        <family val="1"/>
        <charset val="136"/>
        <scheme val="minor"/>
      </rPr>
      <t/>
    </r>
  </si>
  <si>
    <r>
      <rPr>
        <b/>
        <sz val="10"/>
        <color rgb="FFFF0000"/>
        <rFont val="新細明體"/>
        <family val="1"/>
        <charset val="136"/>
        <scheme val="minor"/>
      </rPr>
      <t>YUX000105</t>
    </r>
    <r>
      <rPr>
        <b/>
        <sz val="10"/>
        <color rgb="FFFFFFFF"/>
        <rFont val="新細明體"/>
        <family val="1"/>
        <charset val="136"/>
        <scheme val="minor"/>
      </rPr>
      <t/>
    </r>
  </si>
  <si>
    <t>YUX000106</t>
  </si>
  <si>
    <t>YUX000107</t>
  </si>
  <si>
    <t>YUX000108</t>
  </si>
  <si>
    <t>YUX000109</t>
  </si>
  <si>
    <t>YUX000110</t>
  </si>
  <si>
    <t>YUX000111</t>
  </si>
  <si>
    <t>YUX000112</t>
  </si>
  <si>
    <t>YUX000113</t>
  </si>
  <si>
    <t>YUX000114</t>
  </si>
  <si>
    <t>遺失功率</t>
  </si>
  <si>
    <r>
      <rPr>
        <b/>
        <sz val="10"/>
        <color rgb="FFFF0000"/>
        <rFont val="新細明體"/>
        <family val="1"/>
        <charset val="136"/>
        <scheme val="minor"/>
      </rPr>
      <t>YUX0002</t>
    </r>
    <r>
      <rPr>
        <b/>
        <sz val="10"/>
        <color rgb="FFFFFFFF"/>
        <rFont val="新細明體"/>
        <family val="1"/>
        <charset val="136"/>
        <scheme val="minor"/>
      </rPr>
      <t>01</t>
    </r>
  </si>
  <si>
    <t>YUX000202</t>
  </si>
  <si>
    <t>YUX000203</t>
  </si>
  <si>
    <t>YUX000204</t>
  </si>
  <si>
    <t>YUX000205</t>
  </si>
  <si>
    <r>
      <rPr>
        <b/>
        <sz val="10"/>
        <color rgb="FFFF0000"/>
        <rFont val="新細明體"/>
        <family val="1"/>
        <charset val="136"/>
        <scheme val="minor"/>
      </rPr>
      <t>YUX0003</t>
    </r>
    <r>
      <rPr>
        <b/>
        <sz val="10"/>
        <color rgb="FFFFFFFF"/>
        <rFont val="新細明體"/>
        <family val="1"/>
        <charset val="136"/>
        <scheme val="minor"/>
      </rPr>
      <t>01</t>
    </r>
    <phoneticPr fontId="2" type="noConversion"/>
  </si>
  <si>
    <t>YUX000302</t>
  </si>
  <si>
    <t>YUX000303</t>
  </si>
  <si>
    <t>YUX000304</t>
  </si>
  <si>
    <t>YUX000305</t>
  </si>
  <si>
    <t>YUX000306</t>
  </si>
  <si>
    <t>电站名称</t>
  </si>
  <si>
    <t>设备名称</t>
  </si>
  <si>
    <t>逆变器转换效率(%)</t>
  </si>
  <si>
    <t>峰值交流功率(kW)</t>
  </si>
  <si>
    <t>并网时长(h)</t>
  </si>
  <si>
    <t>通讯可靠度(%)</t>
  </si>
  <si>
    <t>屏東泰山段356</t>
  </si>
  <si>
    <t>2101073796HVHB003642</t>
  </si>
  <si>
    <t>2101073796HVHB004636</t>
  </si>
  <si>
    <t>2101073796HVHB002175</t>
  </si>
  <si>
    <t>2101073796HVHA000085</t>
  </si>
  <si>
    <t>2101073796HVHB004874</t>
  </si>
  <si>
    <t>2101073796HVHB002286</t>
  </si>
  <si>
    <t>2101073796HVHB002732</t>
  </si>
  <si>
    <t>2101073796HVHB004015</t>
  </si>
  <si>
    <t>2101073796HVHB002284</t>
  </si>
  <si>
    <t>2101073796HVHB002273</t>
  </si>
  <si>
    <t>2101073796HVHB004084</t>
  </si>
  <si>
    <t>2101073796HVHB000196</t>
  </si>
  <si>
    <t>2101073796HVHB005485</t>
  </si>
  <si>
    <t>2101073796HVHB004094</t>
  </si>
  <si>
    <t>2101073796HVHB002275</t>
  </si>
  <si>
    <t>2101073796HVHB005487</t>
  </si>
  <si>
    <t>2101073796HVHB003752</t>
  </si>
  <si>
    <t>世鴻
一期</t>
    <phoneticPr fontId="2" type="noConversion"/>
  </si>
  <si>
    <t>計費時間(起)</t>
    <phoneticPr fontId="2" type="noConversion"/>
  </si>
  <si>
    <t>計費時間(止)</t>
    <phoneticPr fontId="2" type="noConversion"/>
  </si>
  <si>
    <t>天數</t>
    <phoneticPr fontId="2" type="noConversion"/>
  </si>
  <si>
    <t>抄表紀錄
公司購電-度數</t>
    <phoneticPr fontId="2" type="noConversion"/>
  </si>
  <si>
    <t>電費計算
費率</t>
    <phoneticPr fontId="2" type="noConversion"/>
  </si>
  <si>
    <t>電費計算
計費度數</t>
    <phoneticPr fontId="2" type="noConversion"/>
  </si>
  <si>
    <t>電費計算
金額</t>
    <phoneticPr fontId="2" type="noConversion"/>
  </si>
  <si>
    <t>日金額</t>
    <phoneticPr fontId="2" type="noConversion"/>
  </si>
  <si>
    <t>日保發
度數</t>
    <phoneticPr fontId="2" type="noConversion"/>
  </si>
  <si>
    <t>日計費
度數</t>
    <phoneticPr fontId="2" type="noConversion"/>
  </si>
  <si>
    <t>驗算</t>
    <phoneticPr fontId="2" type="noConversion"/>
  </si>
  <si>
    <t>回電費總表</t>
    <phoneticPr fontId="2" type="noConversion"/>
  </si>
  <si>
    <t>洗板紀錄</t>
    <phoneticPr fontId="2" type="noConversion"/>
  </si>
  <si>
    <t>案場洗板</t>
    <phoneticPr fontId="2" type="noConversion"/>
  </si>
  <si>
    <t>世鴻
二期</t>
    <phoneticPr fontId="2" type="noConversion"/>
  </si>
  <si>
    <t>黃永生
黃治勳</t>
    <phoneticPr fontId="2" type="noConversion"/>
  </si>
  <si>
    <t>鐘明堂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</si>
</sst>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7" formatCode="[$-404]e/m/d;@"/>
    <numFmt numFmtId="178" formatCode="_-* #,##0_-;\-* #,##0_-;_-* &quot;-&quot;??_-;_-@_-"/>
  </numFmts>
  <fonts count="25" x14ac:knownFonts="1">
    <font>
      <sz val="12"/>
      <color theme="1"/>
      <name val="新細明體"/>
      <family val="2"/>
      <charset val="136"/>
      <scheme val="minor"/>
    </font>
    <font>
      <sz val="10"/>
      <color indexed="9"/>
      <name val="Arial"/>
      <family val="2"/>
    </font>
    <font>
      <sz val="9"/>
      <name val="新細明體"/>
      <family val="2"/>
      <charset val="136"/>
      <scheme val="minor"/>
    </font>
    <font>
      <sz val="10"/>
      <color indexed="9"/>
      <name val="細明體"/>
      <family val="3"/>
      <charset val="136"/>
    </font>
    <font>
      <sz val="10"/>
      <color theme="1"/>
      <name val="Arial Unicode MS"/>
      <family val="2"/>
      <charset val="136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theme="1"/>
      <name val="新細明體"/>
      <family val="2"/>
      <charset val="136"/>
    </font>
    <font>
      <sz val="10"/>
      <color indexed="63"/>
      <name val="Arial"/>
      <family val="3"/>
      <charset val="136"/>
    </font>
    <font>
      <b/>
      <sz val="11"/>
      <color theme="1"/>
      <name val="新細明體"/>
      <family val="3"/>
      <charset val="134"/>
      <scheme val="minor"/>
    </font>
    <font>
      <sz val="11"/>
      <color theme="1"/>
      <name val="Arial Unicode MS"/>
      <family val="2"/>
      <charset val="136"/>
    </font>
    <font>
      <sz val="12"/>
      <color theme="1"/>
      <name val="Arial Unicode MS"/>
      <family val="2"/>
      <charset val="136"/>
    </font>
    <font>
      <sz val="12"/>
      <color theme="1"/>
      <name val="新細明體"/>
      <family val="2"/>
      <charset val="136"/>
      <scheme val="minor"/>
    </font>
    <font>
      <sz val="10"/>
      <color theme="1"/>
      <name val="細明體"/>
      <family val="3"/>
      <charset val="136"/>
    </font>
    <font>
      <b/>
      <sz val="10"/>
      <color rgb="FFFFFFFF"/>
      <name val="新細明體"/>
      <family val="1"/>
      <charset val="136"/>
      <scheme val="minor"/>
    </font>
    <font>
      <b/>
      <sz val="10"/>
      <color rgb="FFFF0000"/>
      <name val="新細明體"/>
      <family val="1"/>
      <charset val="136"/>
      <scheme val="minor"/>
    </font>
    <font>
      <b/>
      <sz val="10"/>
      <color theme="0"/>
      <name val="新細明體"/>
      <family val="1"/>
      <charset val="136"/>
      <scheme val="minor"/>
    </font>
    <font>
      <sz val="10"/>
      <color theme="1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11"/>
      <color theme="1"/>
      <name val="Arial Unicode MS"/>
      <family val="2"/>
      <charset val="136"/>
    </font>
    <font>
      <u/>
      <sz val="12"/>
      <color theme="10"/>
      <name val="新細明體"/>
      <family val="2"/>
      <charset val="136"/>
      <scheme val="minor"/>
    </font>
    <font>
      <b/>
      <u/>
      <sz val="12"/>
      <name val="新細明體"/>
      <family val="1"/>
      <charset val="136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u/>
      <sz val="12"/>
      <color theme="4" tint="-0.249977111117893"/>
      <name val="新細明體"/>
      <family val="1"/>
      <charset val="136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191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BF4E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3B3B3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77D5F7"/>
      </left>
      <right style="thin">
        <color rgb="FF77D5F7"/>
      </right>
      <top style="thin">
        <color rgb="FF77D5F7"/>
      </top>
      <bottom style="thin">
        <color rgb="FF77D5F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" fillId="2" borderId="1" applyNumberFormat="0" applyProtection="0">
      <alignment horizontal="left"/>
    </xf>
    <xf numFmtId="0" fontId="5" fillId="4" borderId="1" applyNumberFormat="0" applyProtection="0">
      <alignment horizontal="left"/>
    </xf>
    <xf numFmtId="43" fontId="12" fillId="0" borderId="0" applyFont="0" applyFill="0" applyBorder="0" applyAlignment="0" applyProtection="0">
      <alignment vertical="center"/>
    </xf>
    <xf numFmtId="0" fontId="18" fillId="0" borderId="0"/>
    <xf numFmtId="0" fontId="20" fillId="0" borderId="0" applyNumberForma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2" borderId="1" xfId="1">
      <alignment horizontal="left"/>
    </xf>
    <xf numFmtId="0" fontId="3" fillId="2" borderId="1" xfId="1" applyFont="1">
      <alignment horizontal="left"/>
    </xf>
    <xf numFmtId="0" fontId="4" fillId="3" borderId="0" xfId="0" applyFont="1" applyFill="1" applyAlignment="1">
      <alignment horizontal="center" vertical="center"/>
    </xf>
    <xf numFmtId="0" fontId="5" fillId="4" borderId="1" xfId="2">
      <alignment horizontal="left"/>
    </xf>
    <xf numFmtId="0" fontId="6" fillId="0" borderId="0" xfId="0" applyFont="1">
      <alignment vertical="center"/>
    </xf>
    <xf numFmtId="0" fontId="8" fillId="4" borderId="1" xfId="2" applyFont="1">
      <alignment horizontal="left"/>
    </xf>
    <xf numFmtId="0" fontId="6" fillId="0" borderId="0" xfId="0" applyFont="1" applyAlignment="1">
      <alignment horizontal="left" vertical="center" indent="1"/>
    </xf>
    <xf numFmtId="14" fontId="6" fillId="0" borderId="0" xfId="0" applyNumberFormat="1" applyFont="1">
      <alignment vertical="center"/>
    </xf>
    <xf numFmtId="0" fontId="9" fillId="5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NumberFormat="1" applyFont="1" applyBorder="1" applyAlignment="1">
      <alignment horizontal="center" vertical="center" wrapText="1"/>
    </xf>
    <xf numFmtId="0" fontId="11" fillId="6" borderId="3" xfId="0" applyNumberFormat="1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22" fontId="0" fillId="0" borderId="0" xfId="0" applyNumberFormat="1">
      <alignment vertical="center"/>
    </xf>
    <xf numFmtId="0" fontId="14" fillId="7" borderId="4" xfId="0" applyFont="1" applyFill="1" applyBorder="1" applyAlignment="1">
      <alignment vertical="center" wrapText="1"/>
    </xf>
    <xf numFmtId="0" fontId="17" fillId="4" borderId="0" xfId="0" applyFont="1" applyFill="1">
      <alignment vertical="center"/>
    </xf>
    <xf numFmtId="14" fontId="17" fillId="4" borderId="4" xfId="0" applyNumberFormat="1" applyFont="1" applyFill="1" applyBorder="1" applyAlignment="1">
      <alignment vertical="center" wrapText="1"/>
    </xf>
    <xf numFmtId="0" fontId="17" fillId="4" borderId="4" xfId="0" applyFont="1" applyFill="1" applyBorder="1" applyAlignment="1">
      <alignment vertical="center" wrapText="1"/>
    </xf>
    <xf numFmtId="0" fontId="18" fillId="0" borderId="0" xfId="4" applyAlignment="1">
      <alignment wrapText="1"/>
    </xf>
    <xf numFmtId="0" fontId="18" fillId="0" borderId="0" xfId="4"/>
    <xf numFmtId="0" fontId="19" fillId="5" borderId="2" xfId="4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10" fillId="0" borderId="2" xfId="4" applyFont="1" applyBorder="1" applyAlignment="1">
      <alignment horizontal="center" vertical="center" wrapText="1"/>
    </xf>
    <xf numFmtId="14" fontId="10" fillId="0" borderId="2" xfId="4" applyNumberFormat="1" applyFont="1" applyBorder="1" applyAlignment="1">
      <alignment horizontal="center" vertical="center"/>
    </xf>
    <xf numFmtId="0" fontId="10" fillId="0" borderId="2" xfId="4" applyNumberFormat="1" applyFont="1" applyBorder="1" applyAlignment="1">
      <alignment horizontal="center" vertical="center" wrapText="1"/>
    </xf>
    <xf numFmtId="0" fontId="10" fillId="8" borderId="2" xfId="4" applyNumberFormat="1" applyFont="1" applyFill="1" applyBorder="1" applyAlignment="1">
      <alignment horizontal="center" vertical="center" wrapText="1"/>
    </xf>
    <xf numFmtId="0" fontId="21" fillId="9" borderId="5" xfId="5" applyFont="1" applyFill="1" applyBorder="1" applyAlignment="1">
      <alignment horizontal="center" vertical="center" wrapText="1"/>
    </xf>
    <xf numFmtId="0" fontId="22" fillId="10" borderId="6" xfId="0" applyFont="1" applyFill="1" applyBorder="1" applyAlignment="1">
      <alignment horizontal="center" vertical="center"/>
    </xf>
    <xf numFmtId="0" fontId="22" fillId="10" borderId="7" xfId="0" applyFont="1" applyFill="1" applyBorder="1" applyAlignment="1">
      <alignment horizontal="center" vertical="center"/>
    </xf>
    <xf numFmtId="0" fontId="23" fillId="10" borderId="7" xfId="0" applyFont="1" applyFill="1" applyBorder="1" applyAlignment="1">
      <alignment horizontal="center" vertical="center" wrapText="1"/>
    </xf>
    <xf numFmtId="0" fontId="23" fillId="10" borderId="8" xfId="0" applyFont="1" applyFill="1" applyBorder="1" applyAlignment="1">
      <alignment horizontal="center" vertical="center" wrapText="1"/>
    </xf>
    <xf numFmtId="0" fontId="20" fillId="11" borderId="9" xfId="5" applyFill="1" applyBorder="1" applyAlignment="1">
      <alignment horizontal="center" vertical="center"/>
    </xf>
    <xf numFmtId="0" fontId="24" fillId="9" borderId="5" xfId="5" applyFont="1" applyFill="1" applyBorder="1" applyAlignment="1">
      <alignment horizontal="center" vertical="center"/>
    </xf>
    <xf numFmtId="0" fontId="24" fillId="12" borderId="5" xfId="5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13" borderId="3" xfId="0" applyFont="1" applyFill="1" applyBorder="1" applyAlignment="1">
      <alignment horizontal="center" vertical="center"/>
    </xf>
    <xf numFmtId="177" fontId="23" fillId="13" borderId="3" xfId="0" applyNumberFormat="1" applyFont="1" applyFill="1" applyBorder="1" applyAlignment="1">
      <alignment horizontal="center" vertical="center"/>
    </xf>
    <xf numFmtId="0" fontId="23" fillId="13" borderId="3" xfId="0" applyFont="1" applyFill="1" applyBorder="1" applyAlignment="1">
      <alignment horizontal="center" vertical="center"/>
    </xf>
    <xf numFmtId="178" fontId="23" fillId="13" borderId="3" xfId="3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77" fontId="23" fillId="0" borderId="2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178" fontId="23" fillId="0" borderId="2" xfId="3" applyNumberFormat="1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2" fillId="13" borderId="2" xfId="0" applyFont="1" applyFill="1" applyBorder="1" applyAlignment="1">
      <alignment horizontal="center" vertical="center"/>
    </xf>
    <xf numFmtId="177" fontId="23" fillId="13" borderId="2" xfId="0" applyNumberFormat="1" applyFont="1" applyFill="1" applyBorder="1" applyAlignment="1">
      <alignment horizontal="center" vertical="center"/>
    </xf>
    <xf numFmtId="0" fontId="23" fillId="13" borderId="2" xfId="0" applyFont="1" applyFill="1" applyBorder="1" applyAlignment="1">
      <alignment horizontal="center" vertical="center"/>
    </xf>
    <xf numFmtId="178" fontId="23" fillId="13" borderId="2" xfId="3" applyNumberFormat="1" applyFont="1" applyFill="1" applyBorder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21" fillId="9" borderId="5" xfId="5" applyFont="1" applyFill="1" applyBorder="1" applyAlignment="1">
      <alignment horizontal="center" vertical="center"/>
    </xf>
  </cellXfs>
  <cellStyles count="6">
    <cellStyle name="xls-style-1" xfId="1" xr:uid="{49FAC3DD-7B10-419C-AA03-C5A1E487D6B7}"/>
    <cellStyle name="xls-style-2" xfId="2" xr:uid="{F0141FC2-F72F-431F-BDDE-2E426DE2A7E1}"/>
    <cellStyle name="一般" xfId="0" builtinId="0"/>
    <cellStyle name="一般 2" xfId="4" xr:uid="{7C8DFD7F-41B9-48CF-AA5E-15A10AE01AE4}"/>
    <cellStyle name="千分位" xfId="3" builtinId="3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&#32173;&#36939;&#28165;&#27927;&#22577;&#21578;/AN16003001-&#19990;&#40251;&#19968;&#26399;" TargetMode="External"/><Relationship Id="rId2" Type="http://schemas.openxmlformats.org/officeDocument/2006/relationships/hyperlink" Target="../1.&#32173;&#36939;&#22577;&#21578;&#30456;&#38364;/&#27169;&#32068;&#28165;&#27927;&#22577;&#21578;&#32317;&#34920;.xlsx" TargetMode="External"/><Relationship Id="rId1" Type="http://schemas.openxmlformats.org/officeDocument/2006/relationships/hyperlink" Target="&#38651;&#36027;&#21934;/AN16003001-&#19990;&#40251;&#19968;&#26399;.pdf" TargetMode="External"/><Relationship Id="rId4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&#32173;&#36939;&#28165;&#27927;&#22577;&#21578;/AN16003002-&#19990;&#40251;&#20108;&#26399;" TargetMode="External"/><Relationship Id="rId2" Type="http://schemas.openxmlformats.org/officeDocument/2006/relationships/hyperlink" Target="../1.&#32173;&#36939;&#22577;&#21578;&#30456;&#38364;/&#27169;&#32068;&#28165;&#27927;&#22577;&#21578;&#32317;&#34920;.xlsx" TargetMode="External"/><Relationship Id="rId1" Type="http://schemas.openxmlformats.org/officeDocument/2006/relationships/hyperlink" Target="&#38651;&#36027;&#21934;/AN16003002-&#19990;&#40251;&#20108;&#26399;.pdf" TargetMode="External"/><Relationship Id="rId4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&#32173;&#36939;&#28165;&#27927;&#22577;&#21578;/AN16003801-&#40643;&#27704;&#29983;&#12289;&#40643;&#27835;&#21235;" TargetMode="External"/><Relationship Id="rId2" Type="http://schemas.openxmlformats.org/officeDocument/2006/relationships/hyperlink" Target="../1.&#32173;&#36939;&#22577;&#21578;&#30456;&#38364;/&#27169;&#32068;&#28165;&#27927;&#22577;&#21578;&#32317;&#34920;.xlsx" TargetMode="External"/><Relationship Id="rId1" Type="http://schemas.openxmlformats.org/officeDocument/2006/relationships/hyperlink" Target="&#38651;&#36027;&#21934;/AN16003801-&#40643;&#27835;&#21235;.pdf" TargetMode="External"/><Relationship Id="rId4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&#32173;&#36939;&#28165;&#27927;&#22577;&#21578;/AN16004501-&#37912;&#26126;&#22530;" TargetMode="External"/><Relationship Id="rId2" Type="http://schemas.openxmlformats.org/officeDocument/2006/relationships/hyperlink" Target="../1.&#32173;&#36939;&#22577;&#21578;&#30456;&#38364;/&#27169;&#32068;&#28165;&#27927;&#22577;&#21578;&#32317;&#34920;.xlsx" TargetMode="External"/><Relationship Id="rId1" Type="http://schemas.openxmlformats.org/officeDocument/2006/relationships/hyperlink" Target="&#38651;&#36027;&#21934;/AN16004501-&#37912;&#26126;&#22530;.pdf" TargetMode="External"/><Relationship Id="rId4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8FC58-3BB3-401A-AB9E-C3F9C3D03AED}">
  <sheetPr>
    <tabColor theme="8" tint="-0.249977111117893"/>
  </sheetPr>
  <dimension ref="A1:XES721"/>
  <sheetViews>
    <sheetView workbookViewId="0"/>
  </sheetViews>
  <sheetFormatPr defaultRowHeight="16.5" x14ac:dyDescent="0.25"/>
  <cols>
    <col min="1" max="1" width="8" bestFit="1" customWidth="1"/>
    <col min="2" max="2" width="25.25" customWidth="1"/>
    <col min="3" max="3" width="11.375" bestFit="1" customWidth="1"/>
    <col min="4" max="4" width="13.125" customWidth="1"/>
    <col min="5" max="5" width="11.375" bestFit="1" customWidth="1"/>
    <col min="6" max="6" width="12.375" bestFit="1" customWidth="1"/>
    <col min="7" max="7" width="9.625" customWidth="1"/>
    <col min="8" max="8" width="11.375" bestFit="1" customWidth="1"/>
    <col min="9" max="9" width="11.875" bestFit="1" customWidth="1"/>
    <col min="10" max="10" width="11.375" bestFit="1" customWidth="1"/>
    <col min="11" max="12" width="16.875" bestFit="1" customWidth="1"/>
    <col min="16" max="16" width="1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4">
        <v>1</v>
      </c>
      <c r="B2" s="4" t="s">
        <v>13</v>
      </c>
      <c r="C2" s="4">
        <v>315.39999999999998</v>
      </c>
      <c r="D2" s="4">
        <v>3.22</v>
      </c>
      <c r="E2" s="4">
        <v>0</v>
      </c>
      <c r="F2" s="4">
        <v>0.37</v>
      </c>
      <c r="G2" s="4">
        <v>36.04</v>
      </c>
      <c r="H2" s="4">
        <v>36</v>
      </c>
      <c r="I2" s="4">
        <v>0</v>
      </c>
      <c r="J2" s="4" t="s">
        <v>14</v>
      </c>
      <c r="K2" s="4">
        <v>380154.51</v>
      </c>
      <c r="L2" s="4" t="s">
        <v>15</v>
      </c>
      <c r="M2" s="4" t="s">
        <v>16</v>
      </c>
    </row>
    <row r="3" spans="1:13" x14ac:dyDescent="0.2">
      <c r="A3" s="4">
        <v>2</v>
      </c>
      <c r="B3" s="4" t="s">
        <v>21</v>
      </c>
      <c r="C3" s="4">
        <v>0</v>
      </c>
      <c r="D3" s="4">
        <v>0</v>
      </c>
      <c r="E3" s="4">
        <v>0</v>
      </c>
      <c r="F3" s="4">
        <v>0</v>
      </c>
      <c r="G3" s="4">
        <v>2.87</v>
      </c>
      <c r="H3" s="4">
        <v>0</v>
      </c>
      <c r="I3" s="4">
        <v>0</v>
      </c>
      <c r="J3" s="4" t="s">
        <v>14</v>
      </c>
      <c r="K3" s="4">
        <v>380217.5</v>
      </c>
      <c r="L3" s="4" t="s">
        <v>22</v>
      </c>
      <c r="M3" s="4" t="s">
        <v>16</v>
      </c>
    </row>
    <row r="4" spans="1:13" x14ac:dyDescent="0.2">
      <c r="A4" s="4">
        <v>3</v>
      </c>
      <c r="B4" s="4" t="s">
        <v>27</v>
      </c>
      <c r="C4" s="4">
        <v>342.1</v>
      </c>
      <c r="D4" s="4">
        <v>3.52</v>
      </c>
      <c r="E4" s="4">
        <v>89.9</v>
      </c>
      <c r="F4" s="4">
        <v>0.43</v>
      </c>
      <c r="G4" s="4">
        <v>43.06</v>
      </c>
      <c r="H4" s="4">
        <v>42</v>
      </c>
      <c r="I4" s="4">
        <v>84.6</v>
      </c>
      <c r="J4" s="4">
        <v>66.5</v>
      </c>
      <c r="K4" s="4">
        <v>17201.57</v>
      </c>
      <c r="L4" s="4" t="s">
        <v>15</v>
      </c>
      <c r="M4" s="4" t="s">
        <v>16</v>
      </c>
    </row>
    <row r="5" spans="1:13" x14ac:dyDescent="0.2">
      <c r="A5" s="4">
        <v>4</v>
      </c>
      <c r="B5" s="4" t="s">
        <v>32</v>
      </c>
      <c r="C5" s="4">
        <v>332</v>
      </c>
      <c r="D5" s="4">
        <v>3.42</v>
      </c>
      <c r="E5" s="4">
        <v>88.7</v>
      </c>
      <c r="F5" s="4">
        <v>0.38</v>
      </c>
      <c r="G5" s="4">
        <v>39.07</v>
      </c>
      <c r="H5" s="4">
        <v>36.799999999999997</v>
      </c>
      <c r="I5" s="4">
        <v>79.7</v>
      </c>
      <c r="J5" s="4">
        <v>65.7</v>
      </c>
      <c r="K5" s="4">
        <v>17111.68</v>
      </c>
      <c r="L5" s="4" t="s">
        <v>15</v>
      </c>
      <c r="M5" s="4" t="s">
        <v>16</v>
      </c>
    </row>
    <row r="6" spans="1:13" x14ac:dyDescent="0.2">
      <c r="A6" s="4">
        <v>5</v>
      </c>
      <c r="B6" s="4" t="s">
        <v>37</v>
      </c>
      <c r="C6" s="4">
        <v>357.4</v>
      </c>
      <c r="D6" s="4">
        <v>3.65</v>
      </c>
      <c r="E6" s="4">
        <v>0</v>
      </c>
      <c r="F6" s="4">
        <v>0.3</v>
      </c>
      <c r="G6" s="4">
        <v>31.62</v>
      </c>
      <c r="H6" s="4">
        <v>28.9</v>
      </c>
      <c r="I6" s="4">
        <v>0</v>
      </c>
      <c r="J6" s="4" t="s">
        <v>14</v>
      </c>
      <c r="K6" s="4">
        <v>424703.97</v>
      </c>
      <c r="L6" s="4" t="s">
        <v>15</v>
      </c>
      <c r="M6" s="4" t="s">
        <v>38</v>
      </c>
    </row>
    <row r="7" spans="1:13" x14ac:dyDescent="0.2">
      <c r="A7" s="4">
        <v>6</v>
      </c>
      <c r="B7" s="4" t="s">
        <v>43</v>
      </c>
      <c r="C7" s="4">
        <v>976.2</v>
      </c>
      <c r="D7" s="4">
        <v>3.48</v>
      </c>
      <c r="E7" s="4">
        <v>0</v>
      </c>
      <c r="F7" s="4">
        <v>0.31</v>
      </c>
      <c r="G7" s="4">
        <v>85.7</v>
      </c>
      <c r="H7" s="4">
        <v>87.3</v>
      </c>
      <c r="I7" s="4">
        <v>0</v>
      </c>
      <c r="J7" s="4" t="s">
        <v>14</v>
      </c>
      <c r="K7" s="4">
        <v>1024459.17</v>
      </c>
      <c r="L7" s="4" t="s">
        <v>44</v>
      </c>
      <c r="M7" s="4" t="s">
        <v>38</v>
      </c>
    </row>
    <row r="8" spans="1:13" x14ac:dyDescent="0.2">
      <c r="A8" s="4">
        <v>7</v>
      </c>
      <c r="B8" s="4" t="s">
        <v>49</v>
      </c>
      <c r="C8" s="4">
        <v>752.5</v>
      </c>
      <c r="D8" s="4">
        <v>4.05</v>
      </c>
      <c r="E8" s="4">
        <v>88.3</v>
      </c>
      <c r="F8" s="4">
        <v>0.42</v>
      </c>
      <c r="G8" s="4">
        <v>74.010000000000005</v>
      </c>
      <c r="H8" s="4">
        <v>78</v>
      </c>
      <c r="I8" s="4">
        <v>79.599999999999994</v>
      </c>
      <c r="J8" s="4">
        <v>67.8</v>
      </c>
      <c r="K8" s="4">
        <v>72557.36</v>
      </c>
      <c r="L8" s="4" t="s">
        <v>15</v>
      </c>
      <c r="M8" s="4" t="s">
        <v>16</v>
      </c>
    </row>
    <row r="9" spans="1:13" x14ac:dyDescent="0.2">
      <c r="A9" s="4">
        <v>8</v>
      </c>
      <c r="B9" s="4" t="s">
        <v>54</v>
      </c>
      <c r="C9" s="4">
        <v>1235.2</v>
      </c>
      <c r="D9" s="4">
        <v>3.67</v>
      </c>
      <c r="E9" s="4">
        <v>67.5</v>
      </c>
      <c r="F9" s="4">
        <v>0.27</v>
      </c>
      <c r="G9" s="4">
        <v>110.18</v>
      </c>
      <c r="H9" s="4">
        <v>89.4</v>
      </c>
      <c r="I9" s="4">
        <v>44.1</v>
      </c>
      <c r="J9" s="4">
        <v>65</v>
      </c>
      <c r="K9" s="4">
        <v>1241477.71</v>
      </c>
      <c r="L9" s="4" t="s">
        <v>15</v>
      </c>
      <c r="M9" s="4" t="s">
        <v>55</v>
      </c>
    </row>
    <row r="10" spans="1:13" x14ac:dyDescent="0.2">
      <c r="A10" s="4">
        <v>9</v>
      </c>
      <c r="B10" s="4" t="s">
        <v>60</v>
      </c>
      <c r="C10" s="4">
        <v>363.3</v>
      </c>
      <c r="D10" s="4">
        <v>3.68</v>
      </c>
      <c r="E10" s="4">
        <v>78.400000000000006</v>
      </c>
      <c r="F10" s="4">
        <v>0.28000000000000003</v>
      </c>
      <c r="G10" s="4">
        <v>28.44</v>
      </c>
      <c r="H10" s="4">
        <v>27.7</v>
      </c>
      <c r="I10" s="4">
        <v>70.099999999999994</v>
      </c>
      <c r="J10" s="4">
        <v>68.099999999999994</v>
      </c>
      <c r="K10" s="4">
        <v>351904.36</v>
      </c>
      <c r="L10" s="4" t="s">
        <v>15</v>
      </c>
      <c r="M10" s="4" t="s">
        <v>55</v>
      </c>
    </row>
    <row r="11" spans="1:13" x14ac:dyDescent="0.2">
      <c r="A11" s="4">
        <v>10</v>
      </c>
      <c r="B11" s="4" t="s">
        <v>63</v>
      </c>
      <c r="C11" s="4">
        <v>993.4</v>
      </c>
      <c r="D11" s="4">
        <v>3.57</v>
      </c>
      <c r="E11" s="4">
        <v>77.8</v>
      </c>
      <c r="F11" s="4">
        <v>0.18</v>
      </c>
      <c r="G11" s="4">
        <v>79.7</v>
      </c>
      <c r="H11" s="4">
        <v>51.2</v>
      </c>
      <c r="I11" s="4">
        <v>34.700000000000003</v>
      </c>
      <c r="J11" s="4">
        <v>68.3</v>
      </c>
      <c r="K11" s="4">
        <v>962738.31</v>
      </c>
      <c r="L11" s="4" t="s">
        <v>15</v>
      </c>
      <c r="M11" s="4" t="s">
        <v>55</v>
      </c>
    </row>
    <row r="12" spans="1:13" x14ac:dyDescent="0.2">
      <c r="A12" s="4">
        <v>11</v>
      </c>
      <c r="B12" s="4" t="s">
        <v>66</v>
      </c>
      <c r="C12" s="4">
        <v>1163.5</v>
      </c>
      <c r="D12" s="4">
        <v>3.03</v>
      </c>
      <c r="E12" s="4">
        <v>79.599999999999994</v>
      </c>
      <c r="F12" s="4">
        <v>0.27</v>
      </c>
      <c r="G12" s="4">
        <v>106.02</v>
      </c>
      <c r="H12" s="4">
        <v>104.6</v>
      </c>
      <c r="I12" s="4">
        <v>78.5</v>
      </c>
      <c r="J12" s="4">
        <v>69.400000000000006</v>
      </c>
      <c r="K12" s="4">
        <v>1241226.02</v>
      </c>
      <c r="L12" s="4" t="s">
        <v>44</v>
      </c>
      <c r="M12" s="4" t="s">
        <v>38</v>
      </c>
    </row>
    <row r="13" spans="1:13" x14ac:dyDescent="0.2">
      <c r="A13" s="4">
        <v>12</v>
      </c>
      <c r="B13" s="4" t="s">
        <v>69</v>
      </c>
      <c r="C13" s="4">
        <v>586.20000000000005</v>
      </c>
      <c r="D13" s="4">
        <v>3.3</v>
      </c>
      <c r="E13" s="4">
        <v>70.5</v>
      </c>
      <c r="F13" s="4">
        <v>0.25</v>
      </c>
      <c r="G13" s="4">
        <v>48.44</v>
      </c>
      <c r="H13" s="4">
        <v>45.2</v>
      </c>
      <c r="I13" s="4">
        <v>56.4</v>
      </c>
      <c r="J13" s="4">
        <v>63.2</v>
      </c>
      <c r="K13" s="4">
        <v>653270.75</v>
      </c>
      <c r="L13" s="4" t="s">
        <v>44</v>
      </c>
      <c r="M13" s="4" t="s">
        <v>55</v>
      </c>
    </row>
    <row r="14" spans="1:13" x14ac:dyDescent="0.2">
      <c r="A14" s="4">
        <v>13</v>
      </c>
      <c r="B14" s="6" t="s">
        <v>72</v>
      </c>
      <c r="C14" s="4">
        <v>1588.1</v>
      </c>
      <c r="D14" s="4">
        <v>3.18</v>
      </c>
      <c r="E14" s="4">
        <v>71.900000000000006</v>
      </c>
      <c r="F14" s="4">
        <v>0.28000000000000003</v>
      </c>
      <c r="G14" s="4">
        <v>122.86</v>
      </c>
      <c r="H14" s="4">
        <v>138.30000000000001</v>
      </c>
      <c r="I14" s="4">
        <v>73.7</v>
      </c>
      <c r="J14" s="4">
        <v>66.099999999999994</v>
      </c>
      <c r="K14" s="4">
        <v>1690573.72</v>
      </c>
      <c r="L14" s="4" t="s">
        <v>15</v>
      </c>
      <c r="M14" s="4" t="s">
        <v>55</v>
      </c>
    </row>
    <row r="15" spans="1:13" x14ac:dyDescent="0.2">
      <c r="A15" s="4">
        <v>14</v>
      </c>
      <c r="B15" s="6" t="s">
        <v>75</v>
      </c>
      <c r="C15" s="4">
        <v>2116.1999999999998</v>
      </c>
      <c r="D15" s="4">
        <v>4.24</v>
      </c>
      <c r="E15" s="4">
        <v>95.8</v>
      </c>
      <c r="F15" s="4">
        <v>0.37</v>
      </c>
      <c r="G15" s="4">
        <v>171.11</v>
      </c>
      <c r="H15" s="4">
        <v>184.9</v>
      </c>
      <c r="I15" s="4">
        <v>98.6</v>
      </c>
      <c r="J15" s="4">
        <v>81.5</v>
      </c>
      <c r="K15" s="4">
        <v>1587370.22</v>
      </c>
      <c r="L15" s="4" t="s">
        <v>15</v>
      </c>
      <c r="M15" s="4" t="s">
        <v>55</v>
      </c>
    </row>
    <row r="16" spans="1:13" x14ac:dyDescent="0.2">
      <c r="A16" s="4">
        <v>15</v>
      </c>
      <c r="B16" s="6" t="s">
        <v>78</v>
      </c>
      <c r="C16" s="4">
        <v>1841.8</v>
      </c>
      <c r="D16" s="4">
        <v>3.69</v>
      </c>
      <c r="E16" s="4">
        <v>83.4</v>
      </c>
      <c r="F16" s="4">
        <v>0.33</v>
      </c>
      <c r="G16" s="4">
        <v>144.13999999999999</v>
      </c>
      <c r="H16" s="4">
        <v>164.2</v>
      </c>
      <c r="I16" s="4">
        <v>86.6</v>
      </c>
      <c r="J16" s="4">
        <v>73.8</v>
      </c>
      <c r="K16" s="4">
        <v>1910455.38</v>
      </c>
      <c r="L16" s="4" t="s">
        <v>15</v>
      </c>
      <c r="M16" s="4" t="s">
        <v>55</v>
      </c>
    </row>
    <row r="17" spans="1:13" x14ac:dyDescent="0.2">
      <c r="A17" s="4">
        <v>16</v>
      </c>
      <c r="B17" s="4" t="s">
        <v>81</v>
      </c>
      <c r="C17" s="4">
        <v>663.6</v>
      </c>
      <c r="D17" s="4">
        <v>3.18</v>
      </c>
      <c r="E17" s="4">
        <v>68.2</v>
      </c>
      <c r="F17" s="4">
        <v>0.2</v>
      </c>
      <c r="G17" s="4">
        <v>55.79</v>
      </c>
      <c r="H17" s="4">
        <v>42.6</v>
      </c>
      <c r="I17" s="4">
        <v>37.9</v>
      </c>
      <c r="J17" s="4">
        <v>63.7</v>
      </c>
      <c r="K17" s="4">
        <v>688596.92</v>
      </c>
      <c r="L17" s="4" t="s">
        <v>15</v>
      </c>
      <c r="M17" s="4" t="s">
        <v>38</v>
      </c>
    </row>
    <row r="18" spans="1:13" x14ac:dyDescent="0.2">
      <c r="A18" s="4">
        <v>17</v>
      </c>
      <c r="B18" s="4" t="s">
        <v>84</v>
      </c>
      <c r="C18" s="4">
        <v>1965.9</v>
      </c>
      <c r="D18" s="4">
        <v>3.94</v>
      </c>
      <c r="E18" s="4">
        <v>76.400000000000006</v>
      </c>
      <c r="F18" s="4">
        <v>0.27</v>
      </c>
      <c r="G18" s="4">
        <v>156.57</v>
      </c>
      <c r="H18" s="4">
        <v>134.19999999999999</v>
      </c>
      <c r="I18" s="4">
        <v>52.7</v>
      </c>
      <c r="J18" s="4">
        <v>66.099999999999994</v>
      </c>
      <c r="K18" s="4">
        <v>1563549.17</v>
      </c>
      <c r="L18" s="4" t="s">
        <v>15</v>
      </c>
      <c r="M18" s="4" t="s">
        <v>55</v>
      </c>
    </row>
    <row r="19" spans="1:13" x14ac:dyDescent="0.2">
      <c r="A19" s="4">
        <v>18</v>
      </c>
      <c r="B19" s="4" t="s">
        <v>87</v>
      </c>
      <c r="C19" s="4">
        <v>905.8</v>
      </c>
      <c r="D19" s="4">
        <v>3.9</v>
      </c>
      <c r="E19" s="4">
        <v>75.7</v>
      </c>
      <c r="F19" s="4">
        <v>0.33</v>
      </c>
      <c r="G19" s="4">
        <v>74.459999999999994</v>
      </c>
      <c r="H19" s="4">
        <v>77.3</v>
      </c>
      <c r="I19" s="4">
        <v>75.3</v>
      </c>
      <c r="J19" s="4">
        <v>66.3</v>
      </c>
      <c r="K19" s="4">
        <v>811805.34</v>
      </c>
      <c r="L19" s="4" t="s">
        <v>15</v>
      </c>
      <c r="M19" s="4" t="s">
        <v>55</v>
      </c>
    </row>
    <row r="20" spans="1:13" x14ac:dyDescent="0.2">
      <c r="A20" s="4">
        <v>19</v>
      </c>
      <c r="B20" s="4" t="s">
        <v>90</v>
      </c>
      <c r="C20" s="4">
        <v>836.5</v>
      </c>
      <c r="D20" s="4">
        <v>3.28</v>
      </c>
      <c r="E20" s="4">
        <v>64.3</v>
      </c>
      <c r="F20" s="4">
        <v>0.24</v>
      </c>
      <c r="G20" s="4">
        <v>73.47</v>
      </c>
      <c r="H20" s="4">
        <v>60.9</v>
      </c>
      <c r="I20" s="4">
        <v>49.5</v>
      </c>
      <c r="J20" s="4">
        <v>59.6</v>
      </c>
      <c r="K20" s="4">
        <v>831096.11</v>
      </c>
      <c r="L20" s="4" t="s">
        <v>15</v>
      </c>
      <c r="M20" s="4" t="s">
        <v>91</v>
      </c>
    </row>
    <row r="21" spans="1:13" x14ac:dyDescent="0.2">
      <c r="A21" s="4">
        <v>20</v>
      </c>
      <c r="B21" s="4" t="s">
        <v>94</v>
      </c>
      <c r="C21" s="4">
        <v>672.2</v>
      </c>
      <c r="D21" s="4">
        <v>2.76</v>
      </c>
      <c r="E21" s="4">
        <v>59.2</v>
      </c>
      <c r="F21" s="4">
        <v>0.13</v>
      </c>
      <c r="G21" s="4">
        <v>31.55</v>
      </c>
      <c r="H21" s="4">
        <v>30.8</v>
      </c>
      <c r="I21" s="4">
        <v>45.4</v>
      </c>
      <c r="J21" s="4">
        <v>56.4</v>
      </c>
      <c r="K21" s="4">
        <v>646201.19999999995</v>
      </c>
      <c r="L21" s="4" t="s">
        <v>15</v>
      </c>
      <c r="M21" s="4" t="s">
        <v>55</v>
      </c>
    </row>
    <row r="22" spans="1:13" x14ac:dyDescent="0.2">
      <c r="A22" s="4">
        <v>21</v>
      </c>
      <c r="B22" s="4" t="s">
        <v>97</v>
      </c>
      <c r="C22" s="4">
        <v>912.5</v>
      </c>
      <c r="D22" s="4">
        <v>3.01</v>
      </c>
      <c r="E22" s="4">
        <v>93.7</v>
      </c>
      <c r="F22" s="4">
        <v>0.33</v>
      </c>
      <c r="G22" s="4">
        <v>93.17</v>
      </c>
      <c r="H22" s="4">
        <v>99.1</v>
      </c>
      <c r="I22" s="4">
        <v>0</v>
      </c>
      <c r="J22" s="4">
        <v>76.5</v>
      </c>
      <c r="K22" s="4">
        <v>924732.35</v>
      </c>
      <c r="L22" s="4" t="s">
        <v>44</v>
      </c>
      <c r="M22" s="4" t="s">
        <v>16</v>
      </c>
    </row>
    <row r="23" spans="1:13" x14ac:dyDescent="0.2">
      <c r="A23" s="4">
        <v>22</v>
      </c>
      <c r="B23" s="4" t="s">
        <v>100</v>
      </c>
      <c r="C23" s="4">
        <v>1458.9</v>
      </c>
      <c r="D23" s="4">
        <v>3.45</v>
      </c>
      <c r="E23" s="4">
        <v>72.900000000000006</v>
      </c>
      <c r="F23" s="4">
        <v>0.27</v>
      </c>
      <c r="G23" s="4">
        <v>116.33</v>
      </c>
      <c r="H23" s="4">
        <v>112.2</v>
      </c>
      <c r="I23" s="4">
        <v>66.099999999999994</v>
      </c>
      <c r="J23" s="4">
        <v>68.900000000000006</v>
      </c>
      <c r="K23" s="4">
        <v>1569536.06</v>
      </c>
      <c r="L23" s="4" t="s">
        <v>15</v>
      </c>
      <c r="M23" s="4" t="s">
        <v>38</v>
      </c>
    </row>
    <row r="24" spans="1:13" x14ac:dyDescent="0.2">
      <c r="A24" s="4">
        <v>23</v>
      </c>
      <c r="B24" s="4" t="s">
        <v>103</v>
      </c>
      <c r="C24" s="4">
        <v>660.8</v>
      </c>
      <c r="D24" s="4">
        <v>3.8</v>
      </c>
      <c r="E24" s="4">
        <v>76.900000000000006</v>
      </c>
      <c r="F24" s="4">
        <v>0.3</v>
      </c>
      <c r="G24" s="4">
        <v>51.45</v>
      </c>
      <c r="H24" s="4">
        <v>51.9</v>
      </c>
      <c r="I24" s="4">
        <v>66.400000000000006</v>
      </c>
      <c r="J24" s="4">
        <v>65.400000000000006</v>
      </c>
      <c r="K24" s="4">
        <v>572663.66</v>
      </c>
      <c r="L24" s="4" t="s">
        <v>15</v>
      </c>
      <c r="M24" s="4" t="s">
        <v>55</v>
      </c>
    </row>
    <row r="25" spans="1:13" x14ac:dyDescent="0.2">
      <c r="A25" s="4">
        <v>24</v>
      </c>
      <c r="B25" s="4" t="s">
        <v>106</v>
      </c>
      <c r="C25" s="4">
        <v>1236.3</v>
      </c>
      <c r="D25" s="4">
        <v>3.61</v>
      </c>
      <c r="E25" s="4">
        <v>75.8</v>
      </c>
      <c r="F25" s="4">
        <v>0.28999999999999998</v>
      </c>
      <c r="G25" s="4">
        <v>103.89</v>
      </c>
      <c r="H25" s="4">
        <v>99.3</v>
      </c>
      <c r="I25" s="4">
        <v>67</v>
      </c>
      <c r="J25" s="4">
        <v>68.8</v>
      </c>
      <c r="K25" s="4">
        <v>1290330.83</v>
      </c>
      <c r="L25" s="4" t="s">
        <v>15</v>
      </c>
      <c r="M25" s="4" t="s">
        <v>38</v>
      </c>
    </row>
    <row r="26" spans="1:13" x14ac:dyDescent="0.2">
      <c r="A26" s="4">
        <v>25</v>
      </c>
      <c r="B26" s="4" t="s">
        <v>109</v>
      </c>
      <c r="C26" s="4">
        <v>1728.2</v>
      </c>
      <c r="D26" s="4">
        <v>3.55</v>
      </c>
      <c r="E26" s="4">
        <v>65.3</v>
      </c>
      <c r="F26" s="4">
        <v>0.34</v>
      </c>
      <c r="G26" s="4">
        <v>145.04</v>
      </c>
      <c r="H26" s="4">
        <v>167.2</v>
      </c>
      <c r="I26" s="4">
        <v>100</v>
      </c>
      <c r="J26" s="4">
        <v>55.4</v>
      </c>
      <c r="K26" s="4">
        <v>1543551.09</v>
      </c>
      <c r="L26" s="4" t="s">
        <v>44</v>
      </c>
      <c r="M26" s="4" t="s">
        <v>55</v>
      </c>
    </row>
    <row r="27" spans="1:13" x14ac:dyDescent="0.2">
      <c r="A27" s="4">
        <v>26</v>
      </c>
      <c r="B27" s="4" t="s">
        <v>112</v>
      </c>
      <c r="C27" s="4">
        <v>1730.6</v>
      </c>
      <c r="D27" s="4">
        <v>3.55</v>
      </c>
      <c r="E27" s="4">
        <v>65.400000000000006</v>
      </c>
      <c r="F27" s="4">
        <v>0.34</v>
      </c>
      <c r="G27" s="4">
        <v>145.65</v>
      </c>
      <c r="H27" s="4">
        <v>163.6</v>
      </c>
      <c r="I27" s="4">
        <v>100</v>
      </c>
      <c r="J27" s="4">
        <v>55.3</v>
      </c>
      <c r="K27" s="4">
        <v>1648654.88</v>
      </c>
      <c r="L27" s="4" t="s">
        <v>44</v>
      </c>
      <c r="M27" s="4" t="s">
        <v>55</v>
      </c>
    </row>
    <row r="28" spans="1:13" x14ac:dyDescent="0.2">
      <c r="A28" s="4">
        <v>27</v>
      </c>
      <c r="B28" s="4" t="s">
        <v>115</v>
      </c>
      <c r="C28" s="4">
        <v>693.8</v>
      </c>
      <c r="D28" s="4">
        <v>3.44</v>
      </c>
      <c r="E28" s="4">
        <v>83</v>
      </c>
      <c r="F28" s="4">
        <v>0.3</v>
      </c>
      <c r="G28" s="4">
        <v>56.13</v>
      </c>
      <c r="H28" s="4">
        <v>61</v>
      </c>
      <c r="I28" s="4">
        <v>100</v>
      </c>
      <c r="J28" s="4">
        <v>66.099999999999994</v>
      </c>
      <c r="K28" s="4">
        <v>697636.98</v>
      </c>
      <c r="L28" s="4" t="s">
        <v>44</v>
      </c>
      <c r="M28" s="4" t="s">
        <v>55</v>
      </c>
    </row>
    <row r="29" spans="1:13" x14ac:dyDescent="0.2">
      <c r="A29" s="4">
        <v>28</v>
      </c>
      <c r="B29" s="4" t="s">
        <v>118</v>
      </c>
      <c r="C29" s="4">
        <v>1207.5</v>
      </c>
      <c r="D29" s="4">
        <v>3.65</v>
      </c>
      <c r="E29" s="4">
        <v>88.2</v>
      </c>
      <c r="F29" s="4">
        <v>0.31</v>
      </c>
      <c r="G29" s="4">
        <v>93.7</v>
      </c>
      <c r="H29" s="4">
        <v>103.8</v>
      </c>
      <c r="I29" s="4">
        <v>100</v>
      </c>
      <c r="J29" s="4">
        <v>70</v>
      </c>
      <c r="K29" s="4">
        <v>1163235.1399999999</v>
      </c>
      <c r="L29" s="4" t="s">
        <v>44</v>
      </c>
      <c r="M29" s="4" t="s">
        <v>55</v>
      </c>
    </row>
    <row r="30" spans="1:13" x14ac:dyDescent="0.2">
      <c r="A30" s="4">
        <v>29</v>
      </c>
      <c r="B30" s="4" t="s">
        <v>121</v>
      </c>
      <c r="C30" s="4">
        <v>1697.8</v>
      </c>
      <c r="D30" s="4">
        <v>3.41</v>
      </c>
      <c r="E30" s="4">
        <v>77.2</v>
      </c>
      <c r="F30" s="4">
        <v>0.3</v>
      </c>
      <c r="G30" s="4">
        <v>140.77000000000001</v>
      </c>
      <c r="H30" s="4">
        <v>148.19999999999999</v>
      </c>
      <c r="I30" s="4">
        <v>74.5</v>
      </c>
      <c r="J30" s="4">
        <v>68.5</v>
      </c>
      <c r="K30" s="4">
        <v>1727524.99</v>
      </c>
      <c r="L30" s="4" t="s">
        <v>15</v>
      </c>
      <c r="M30" s="4" t="s">
        <v>38</v>
      </c>
    </row>
    <row r="31" spans="1:13" x14ac:dyDescent="0.2">
      <c r="A31" s="4">
        <v>30</v>
      </c>
      <c r="B31" s="4" t="s">
        <v>124</v>
      </c>
      <c r="C31" s="4">
        <v>353.8</v>
      </c>
      <c r="D31" s="4">
        <v>3.39</v>
      </c>
      <c r="E31" s="4">
        <v>76.8</v>
      </c>
      <c r="F31" s="4">
        <v>0.28999999999999998</v>
      </c>
      <c r="G31" s="4">
        <v>29.28</v>
      </c>
      <c r="H31" s="4">
        <v>30.6</v>
      </c>
      <c r="I31" s="4">
        <v>73.599999999999994</v>
      </c>
      <c r="J31" s="4">
        <v>68.7</v>
      </c>
      <c r="K31" s="4">
        <v>354710.43</v>
      </c>
      <c r="L31" s="4" t="s">
        <v>15</v>
      </c>
      <c r="M31" s="4" t="s">
        <v>38</v>
      </c>
    </row>
    <row r="32" spans="1:13" x14ac:dyDescent="0.2">
      <c r="A32" s="4">
        <v>31</v>
      </c>
      <c r="B32" s="4" t="s">
        <v>127</v>
      </c>
      <c r="C32" s="4">
        <v>375.1</v>
      </c>
      <c r="D32" s="4">
        <v>3.77</v>
      </c>
      <c r="E32" s="4">
        <v>100</v>
      </c>
      <c r="F32" s="4">
        <v>0.31</v>
      </c>
      <c r="G32" s="4">
        <v>33.51</v>
      </c>
      <c r="H32" s="4">
        <v>31.3</v>
      </c>
      <c r="I32" s="4">
        <v>74.5</v>
      </c>
      <c r="J32" s="4">
        <v>86.3</v>
      </c>
      <c r="K32" s="4">
        <v>279542.61</v>
      </c>
      <c r="L32" s="4" t="s">
        <v>44</v>
      </c>
      <c r="M32" s="4" t="s">
        <v>91</v>
      </c>
    </row>
    <row r="33" spans="1:13" x14ac:dyDescent="0.2">
      <c r="A33" s="4">
        <v>32</v>
      </c>
      <c r="B33" s="4" t="s">
        <v>130</v>
      </c>
      <c r="C33" s="4">
        <v>178.2</v>
      </c>
      <c r="D33" s="4">
        <v>3.39</v>
      </c>
      <c r="E33" s="4">
        <v>100</v>
      </c>
      <c r="F33" s="4">
        <v>0.24</v>
      </c>
      <c r="G33" s="4">
        <v>14.77</v>
      </c>
      <c r="H33" s="4">
        <v>12.4</v>
      </c>
      <c r="I33" s="4">
        <v>54.1</v>
      </c>
      <c r="J33" s="4">
        <v>85.8</v>
      </c>
      <c r="K33" s="4">
        <v>141503.92000000001</v>
      </c>
      <c r="L33" s="4" t="s">
        <v>44</v>
      </c>
      <c r="M33" s="4" t="s">
        <v>91</v>
      </c>
    </row>
    <row r="34" spans="1:13" x14ac:dyDescent="0.2">
      <c r="A34" s="4">
        <v>33</v>
      </c>
      <c r="B34" s="4" t="s">
        <v>133</v>
      </c>
      <c r="C34" s="4">
        <v>269.89999999999998</v>
      </c>
      <c r="D34" s="4">
        <v>3.88</v>
      </c>
      <c r="E34" s="4">
        <v>100</v>
      </c>
      <c r="F34" s="4">
        <v>0.3</v>
      </c>
      <c r="G34" s="4">
        <v>22.42</v>
      </c>
      <c r="H34" s="4">
        <v>20.6</v>
      </c>
      <c r="I34" s="4">
        <v>100</v>
      </c>
      <c r="J34" s="4">
        <v>86.7</v>
      </c>
      <c r="K34" s="4">
        <v>211084.11</v>
      </c>
      <c r="L34" s="4" t="s">
        <v>15</v>
      </c>
      <c r="M34" s="4" t="s">
        <v>55</v>
      </c>
    </row>
    <row r="35" spans="1:13" x14ac:dyDescent="0.2">
      <c r="A35" s="4">
        <v>34</v>
      </c>
      <c r="B35" s="4" t="s">
        <v>136</v>
      </c>
      <c r="C35" s="4">
        <v>377.2</v>
      </c>
      <c r="D35" s="4">
        <v>3.83</v>
      </c>
      <c r="E35" s="4">
        <v>99.5</v>
      </c>
      <c r="F35" s="4">
        <v>0.28000000000000003</v>
      </c>
      <c r="G35" s="4">
        <v>31.7</v>
      </c>
      <c r="H35" s="4">
        <v>27.9</v>
      </c>
      <c r="I35" s="4">
        <v>59.5</v>
      </c>
      <c r="J35" s="4">
        <v>85.8</v>
      </c>
      <c r="K35" s="4">
        <v>312785.15000000002</v>
      </c>
      <c r="L35" s="4" t="s">
        <v>15</v>
      </c>
      <c r="M35" s="4" t="s">
        <v>38</v>
      </c>
    </row>
    <row r="36" spans="1:13" x14ac:dyDescent="0.2">
      <c r="A36" s="4">
        <v>35</v>
      </c>
      <c r="B36" s="4" t="s">
        <v>140</v>
      </c>
      <c r="C36" s="4">
        <v>0</v>
      </c>
      <c r="D36" s="4">
        <v>0</v>
      </c>
      <c r="E36" s="4">
        <v>0</v>
      </c>
      <c r="F36" s="4">
        <v>245.37</v>
      </c>
      <c r="G36" s="4">
        <v>0</v>
      </c>
      <c r="H36" s="4">
        <v>7361.2</v>
      </c>
      <c r="I36" s="4">
        <v>0</v>
      </c>
      <c r="J36" s="4" t="s">
        <v>14</v>
      </c>
      <c r="K36" s="4">
        <v>10400.299999999999</v>
      </c>
      <c r="L36" s="4" t="s">
        <v>15</v>
      </c>
      <c r="M36" s="4" t="s">
        <v>141</v>
      </c>
    </row>
    <row r="37" spans="1:13" x14ac:dyDescent="0.2">
      <c r="A37" s="4">
        <v>36</v>
      </c>
      <c r="B37" s="4" t="s">
        <v>144</v>
      </c>
      <c r="C37" s="4">
        <v>61.8</v>
      </c>
      <c r="D37" s="4">
        <v>2.06</v>
      </c>
      <c r="E37" s="4">
        <v>0</v>
      </c>
      <c r="F37" s="4">
        <v>0.13</v>
      </c>
      <c r="G37" s="4">
        <v>3.52</v>
      </c>
      <c r="H37" s="4">
        <v>4</v>
      </c>
      <c r="I37" s="4">
        <v>0</v>
      </c>
      <c r="J37" s="4" t="s">
        <v>14</v>
      </c>
      <c r="K37" s="4">
        <v>42918.1</v>
      </c>
      <c r="L37" s="4" t="s">
        <v>44</v>
      </c>
      <c r="M37" s="4" t="s">
        <v>141</v>
      </c>
    </row>
    <row r="38" spans="1:13" x14ac:dyDescent="0.2">
      <c r="A38" s="4">
        <v>37</v>
      </c>
      <c r="B38" s="4" t="s">
        <v>147</v>
      </c>
      <c r="C38" s="4">
        <v>28.4</v>
      </c>
      <c r="D38" s="4">
        <v>3.16</v>
      </c>
      <c r="E38" s="4">
        <v>0</v>
      </c>
      <c r="F38" s="4">
        <v>0.21</v>
      </c>
      <c r="G38" s="4">
        <v>2.15</v>
      </c>
      <c r="H38" s="4">
        <v>1.9</v>
      </c>
      <c r="I38" s="4">
        <v>0</v>
      </c>
      <c r="J38" s="4" t="s">
        <v>14</v>
      </c>
      <c r="K38" s="4">
        <v>32123.3</v>
      </c>
      <c r="L38" s="4" t="s">
        <v>15</v>
      </c>
      <c r="M38" s="4" t="s">
        <v>55</v>
      </c>
    </row>
    <row r="39" spans="1:13" x14ac:dyDescent="0.2">
      <c r="A39" s="4">
        <v>38</v>
      </c>
      <c r="B39" s="4" t="s">
        <v>150</v>
      </c>
      <c r="C39" s="4">
        <v>17.8</v>
      </c>
      <c r="D39" s="4">
        <v>3.24</v>
      </c>
      <c r="E39" s="4">
        <v>0</v>
      </c>
      <c r="F39" s="4">
        <v>0.22</v>
      </c>
      <c r="G39" s="4">
        <v>0.98</v>
      </c>
      <c r="H39" s="4">
        <v>1.2</v>
      </c>
      <c r="I39" s="4">
        <v>0</v>
      </c>
      <c r="J39" s="4" t="s">
        <v>14</v>
      </c>
      <c r="K39" s="4">
        <v>20144.400000000001</v>
      </c>
      <c r="L39" s="4" t="s">
        <v>15</v>
      </c>
      <c r="M39" s="4" t="s">
        <v>55</v>
      </c>
    </row>
    <row r="40" spans="1:13" x14ac:dyDescent="0.2">
      <c r="A40" s="4">
        <v>39</v>
      </c>
      <c r="B40" s="4" t="s">
        <v>153</v>
      </c>
      <c r="C40" s="4">
        <v>72.3</v>
      </c>
      <c r="D40" s="4">
        <v>3.86</v>
      </c>
      <c r="E40" s="4">
        <v>0</v>
      </c>
      <c r="F40" s="4">
        <v>0.31</v>
      </c>
      <c r="G40" s="4">
        <v>5.67</v>
      </c>
      <c r="H40" s="4">
        <v>5.9</v>
      </c>
      <c r="I40" s="4">
        <v>0</v>
      </c>
      <c r="J40" s="4" t="s">
        <v>14</v>
      </c>
      <c r="K40" s="4">
        <v>37753.9</v>
      </c>
      <c r="L40" s="4" t="s">
        <v>15</v>
      </c>
      <c r="M40" s="4" t="s">
        <v>55</v>
      </c>
    </row>
    <row r="41" spans="1:13" x14ac:dyDescent="0.2">
      <c r="A41" s="4">
        <v>40</v>
      </c>
      <c r="B41" s="4" t="s">
        <v>156</v>
      </c>
      <c r="C41" s="4">
        <v>62.6</v>
      </c>
      <c r="D41" s="4">
        <v>3.85</v>
      </c>
      <c r="E41" s="4">
        <v>0</v>
      </c>
      <c r="F41" s="4">
        <v>0.31</v>
      </c>
      <c r="G41" s="4">
        <v>5.0599999999999996</v>
      </c>
      <c r="H41" s="4">
        <v>5</v>
      </c>
      <c r="I41" s="4">
        <v>0</v>
      </c>
      <c r="J41" s="4" t="s">
        <v>14</v>
      </c>
      <c r="K41" s="4">
        <v>20252.7</v>
      </c>
      <c r="L41" s="4" t="s">
        <v>15</v>
      </c>
      <c r="M41" s="4" t="s">
        <v>55</v>
      </c>
    </row>
    <row r="42" spans="1:13" x14ac:dyDescent="0.2">
      <c r="A42" s="4">
        <v>41</v>
      </c>
      <c r="B42" s="4" t="s">
        <v>159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 t="s">
        <v>160</v>
      </c>
      <c r="J42" s="4" t="s">
        <v>14</v>
      </c>
      <c r="K42" s="4">
        <v>0</v>
      </c>
      <c r="L42" s="4" t="s">
        <v>161</v>
      </c>
      <c r="M42" s="4" t="s">
        <v>141</v>
      </c>
    </row>
    <row r="43" spans="1:13" x14ac:dyDescent="0.2">
      <c r="A43" s="4">
        <v>42</v>
      </c>
      <c r="B43" s="4" t="s">
        <v>164</v>
      </c>
      <c r="C43" s="4">
        <v>134.80000000000001</v>
      </c>
      <c r="D43" s="4">
        <v>4.49</v>
      </c>
      <c r="E43" s="4">
        <v>0</v>
      </c>
      <c r="F43" s="4">
        <v>0.35</v>
      </c>
      <c r="G43" s="4">
        <v>10.75</v>
      </c>
      <c r="H43" s="4">
        <v>10.6</v>
      </c>
      <c r="I43" s="4">
        <v>0</v>
      </c>
      <c r="J43" s="4" t="s">
        <v>14</v>
      </c>
      <c r="K43" s="4">
        <v>88041.32</v>
      </c>
      <c r="L43" s="4" t="s">
        <v>15</v>
      </c>
      <c r="M43" s="4" t="s">
        <v>141</v>
      </c>
    </row>
    <row r="44" spans="1:13" x14ac:dyDescent="0.2">
      <c r="A44" s="4">
        <v>43</v>
      </c>
      <c r="B44" s="4" t="s">
        <v>167</v>
      </c>
      <c r="C44" s="4">
        <v>33.1</v>
      </c>
      <c r="D44" s="4">
        <v>1.1000000000000001</v>
      </c>
      <c r="E44" s="4">
        <v>0</v>
      </c>
      <c r="F44" s="4">
        <v>0.11</v>
      </c>
      <c r="G44" s="4">
        <v>2.93</v>
      </c>
      <c r="H44" s="4">
        <v>3.2</v>
      </c>
      <c r="I44" s="4">
        <v>0</v>
      </c>
      <c r="J44" s="4" t="s">
        <v>14</v>
      </c>
      <c r="K44" s="4">
        <v>21762.5</v>
      </c>
      <c r="L44" s="4" t="s">
        <v>15</v>
      </c>
      <c r="M44" s="4" t="s">
        <v>168</v>
      </c>
    </row>
    <row r="45" spans="1:13" x14ac:dyDescent="0.2">
      <c r="A45" s="4">
        <v>44</v>
      </c>
      <c r="B45" s="4" t="s">
        <v>171</v>
      </c>
      <c r="C45" s="4">
        <v>108.2</v>
      </c>
      <c r="D45" s="4">
        <v>3.61</v>
      </c>
      <c r="E45" s="4">
        <v>0</v>
      </c>
      <c r="F45" s="4">
        <v>0.04</v>
      </c>
      <c r="G45" s="4">
        <v>1.24</v>
      </c>
      <c r="H45" s="4">
        <v>1.2</v>
      </c>
      <c r="I45" s="4">
        <v>0</v>
      </c>
      <c r="J45" s="4" t="s">
        <v>14</v>
      </c>
      <c r="K45" s="4">
        <v>35067.599999999999</v>
      </c>
      <c r="L45" s="4" t="s">
        <v>15</v>
      </c>
      <c r="M45" s="4" t="s">
        <v>55</v>
      </c>
    </row>
    <row r="46" spans="1:13" x14ac:dyDescent="0.2">
      <c r="A46" s="4">
        <v>45</v>
      </c>
      <c r="B46" s="4" t="s">
        <v>172</v>
      </c>
      <c r="C46" s="4">
        <v>1003.9</v>
      </c>
      <c r="D46" s="4">
        <v>3.46</v>
      </c>
      <c r="E46" s="4">
        <v>75.099999999999994</v>
      </c>
      <c r="F46" s="4">
        <v>0.25</v>
      </c>
      <c r="G46" s="4">
        <v>86.1</v>
      </c>
      <c r="H46" s="4">
        <v>72.7</v>
      </c>
      <c r="I46" s="4">
        <v>68.400000000000006</v>
      </c>
      <c r="J46" s="4">
        <v>68.599999999999994</v>
      </c>
      <c r="K46" s="4">
        <v>825487.2</v>
      </c>
      <c r="L46" s="4" t="s">
        <v>15</v>
      </c>
      <c r="M46" s="4" t="s">
        <v>38</v>
      </c>
    </row>
    <row r="47" spans="1:13" x14ac:dyDescent="0.2">
      <c r="A47" s="4">
        <v>46</v>
      </c>
      <c r="B47" s="4" t="s">
        <v>173</v>
      </c>
      <c r="C47" s="4">
        <v>673.1</v>
      </c>
      <c r="D47" s="4">
        <v>3.46</v>
      </c>
      <c r="E47" s="4">
        <v>75.400000000000006</v>
      </c>
      <c r="F47" s="4">
        <v>0.3</v>
      </c>
      <c r="G47" s="4">
        <v>58.66</v>
      </c>
      <c r="H47" s="4">
        <v>59.1</v>
      </c>
      <c r="I47" s="4">
        <v>76.099999999999994</v>
      </c>
      <c r="J47" s="4">
        <v>67.2</v>
      </c>
      <c r="K47" s="4">
        <v>603881.93999999994</v>
      </c>
      <c r="L47" s="4" t="s">
        <v>15</v>
      </c>
      <c r="M47" s="4" t="s">
        <v>38</v>
      </c>
    </row>
    <row r="48" spans="1:13" x14ac:dyDescent="0.2">
      <c r="A48" s="4">
        <v>47</v>
      </c>
      <c r="B48" s="4" t="s">
        <v>174</v>
      </c>
      <c r="C48" s="4">
        <v>875.3</v>
      </c>
      <c r="D48" s="4">
        <v>3.53</v>
      </c>
      <c r="E48" s="4">
        <v>73.5</v>
      </c>
      <c r="F48" s="4">
        <v>0.31</v>
      </c>
      <c r="G48" s="4">
        <v>75.06</v>
      </c>
      <c r="H48" s="4">
        <v>75.8</v>
      </c>
      <c r="I48" s="4">
        <v>75.099999999999994</v>
      </c>
      <c r="J48" s="4">
        <v>67.5</v>
      </c>
      <c r="K48" s="4">
        <v>810742.36</v>
      </c>
      <c r="L48" s="4" t="s">
        <v>15</v>
      </c>
      <c r="M48" s="4" t="s">
        <v>38</v>
      </c>
    </row>
    <row r="49" spans="1:13" x14ac:dyDescent="0.2">
      <c r="A49" s="4">
        <v>48</v>
      </c>
      <c r="B49" s="4" t="s">
        <v>175</v>
      </c>
      <c r="C49" s="4">
        <v>1168.5</v>
      </c>
      <c r="D49" s="4">
        <v>3.36</v>
      </c>
      <c r="E49" s="4">
        <v>73.099999999999994</v>
      </c>
      <c r="F49" s="4">
        <v>0.28999999999999998</v>
      </c>
      <c r="G49" s="4">
        <v>96.51</v>
      </c>
      <c r="H49" s="4">
        <v>101.1</v>
      </c>
      <c r="I49" s="4">
        <v>71</v>
      </c>
      <c r="J49" s="4">
        <v>65</v>
      </c>
      <c r="K49" s="4">
        <v>1138313.81</v>
      </c>
      <c r="L49" s="4" t="s">
        <v>15</v>
      </c>
      <c r="M49" s="4" t="s">
        <v>38</v>
      </c>
    </row>
    <row r="50" spans="1:13" x14ac:dyDescent="0.2">
      <c r="A50" s="4">
        <v>49</v>
      </c>
      <c r="B50" s="4" t="s">
        <v>176</v>
      </c>
      <c r="C50" s="4">
        <v>1648.3</v>
      </c>
      <c r="D50" s="4">
        <v>3.32</v>
      </c>
      <c r="E50" s="4">
        <v>72.3</v>
      </c>
      <c r="F50" s="4">
        <v>0.28000000000000003</v>
      </c>
      <c r="G50" s="4">
        <v>138.1</v>
      </c>
      <c r="H50" s="4">
        <v>140.9</v>
      </c>
      <c r="I50" s="4">
        <v>68.5</v>
      </c>
      <c r="J50" s="4">
        <v>63.7</v>
      </c>
      <c r="K50" s="4">
        <v>1565217.47</v>
      </c>
      <c r="L50" s="4" t="s">
        <v>15</v>
      </c>
      <c r="M50" s="4" t="s">
        <v>38</v>
      </c>
    </row>
    <row r="51" spans="1:13" x14ac:dyDescent="0.2">
      <c r="A51" s="4">
        <v>50</v>
      </c>
      <c r="B51" s="4" t="s">
        <v>177</v>
      </c>
      <c r="C51" s="4">
        <v>1747.8</v>
      </c>
      <c r="D51" s="4">
        <v>3.5</v>
      </c>
      <c r="E51" s="4">
        <v>74.2</v>
      </c>
      <c r="F51" s="4">
        <v>0.28000000000000003</v>
      </c>
      <c r="G51" s="4">
        <v>148.52000000000001</v>
      </c>
      <c r="H51" s="4">
        <v>137.4</v>
      </c>
      <c r="I51" s="4">
        <v>61</v>
      </c>
      <c r="J51" s="4">
        <v>66.8</v>
      </c>
      <c r="K51" s="4">
        <v>1374167.87</v>
      </c>
      <c r="L51" s="4" t="s">
        <v>15</v>
      </c>
      <c r="M51" s="4" t="s">
        <v>38</v>
      </c>
    </row>
    <row r="52" spans="1:13" x14ac:dyDescent="0.2">
      <c r="A52" s="4">
        <v>51</v>
      </c>
      <c r="B52" s="4" t="s">
        <v>178</v>
      </c>
      <c r="C52" s="4">
        <v>761.7</v>
      </c>
      <c r="D52" s="4">
        <v>3.49</v>
      </c>
      <c r="E52" s="4">
        <v>73.8</v>
      </c>
      <c r="F52" s="4">
        <v>0.32</v>
      </c>
      <c r="G52" s="4">
        <v>68.88</v>
      </c>
      <c r="H52" s="4">
        <v>69.8</v>
      </c>
      <c r="I52" s="4">
        <v>71.099999999999994</v>
      </c>
      <c r="J52" s="4">
        <v>66.599999999999994</v>
      </c>
      <c r="K52" s="4">
        <v>458080.4</v>
      </c>
      <c r="L52" s="4" t="s">
        <v>44</v>
      </c>
      <c r="M52" s="4" t="s">
        <v>38</v>
      </c>
    </row>
    <row r="53" spans="1:13" x14ac:dyDescent="0.2">
      <c r="A53" s="4">
        <v>52</v>
      </c>
      <c r="B53" s="4" t="s">
        <v>179</v>
      </c>
      <c r="C53" s="4">
        <v>1752.3</v>
      </c>
      <c r="D53" s="4">
        <v>3.51</v>
      </c>
      <c r="E53" s="4">
        <v>100</v>
      </c>
      <c r="F53" s="4">
        <v>0.32</v>
      </c>
      <c r="G53" s="4">
        <v>157.07</v>
      </c>
      <c r="H53" s="4">
        <v>160.30000000000001</v>
      </c>
      <c r="I53" s="4">
        <v>100</v>
      </c>
      <c r="J53" s="4">
        <v>83.1</v>
      </c>
      <c r="K53" s="4">
        <v>1239916.3899999999</v>
      </c>
      <c r="L53" s="4" t="s">
        <v>44</v>
      </c>
      <c r="M53" s="4" t="s">
        <v>38</v>
      </c>
    </row>
    <row r="54" spans="1:13" x14ac:dyDescent="0.2">
      <c r="A54" s="4">
        <v>53</v>
      </c>
      <c r="B54" s="4" t="s">
        <v>180</v>
      </c>
      <c r="C54" s="4">
        <v>676</v>
      </c>
      <c r="D54" s="4">
        <v>3.61</v>
      </c>
      <c r="E54" s="4">
        <v>77</v>
      </c>
      <c r="F54" s="4">
        <v>0.26</v>
      </c>
      <c r="G54" s="4">
        <v>56.54</v>
      </c>
      <c r="H54" s="4">
        <v>48.2</v>
      </c>
      <c r="I54" s="4">
        <v>61.2</v>
      </c>
      <c r="J54" s="4">
        <v>70.7</v>
      </c>
      <c r="K54" s="4">
        <v>567041.93000000005</v>
      </c>
      <c r="L54" s="4" t="s">
        <v>15</v>
      </c>
      <c r="M54" s="4" t="s">
        <v>55</v>
      </c>
    </row>
    <row r="55" spans="1:13" x14ac:dyDescent="0.2">
      <c r="A55" s="4">
        <v>54</v>
      </c>
      <c r="B55" s="4" t="s">
        <v>181</v>
      </c>
      <c r="C55" s="4">
        <v>923.4</v>
      </c>
      <c r="D55" s="4">
        <v>3.08</v>
      </c>
      <c r="E55" s="4">
        <v>82</v>
      </c>
      <c r="F55" s="4">
        <v>0.3</v>
      </c>
      <c r="G55" s="4">
        <v>91.25</v>
      </c>
      <c r="H55" s="4">
        <v>88.9</v>
      </c>
      <c r="I55" s="4">
        <v>66.7</v>
      </c>
      <c r="J55" s="4">
        <v>72.8</v>
      </c>
      <c r="K55" s="4">
        <v>830157.89</v>
      </c>
      <c r="L55" s="4" t="s">
        <v>15</v>
      </c>
      <c r="M55" s="4" t="s">
        <v>16</v>
      </c>
    </row>
    <row r="56" spans="1:13" x14ac:dyDescent="0.2">
      <c r="A56" s="4">
        <v>55</v>
      </c>
      <c r="B56" s="4" t="s">
        <v>182</v>
      </c>
      <c r="C56" s="4">
        <v>335.6</v>
      </c>
      <c r="D56" s="4">
        <v>3.77</v>
      </c>
      <c r="E56" s="4">
        <v>100</v>
      </c>
      <c r="F56" s="4">
        <v>0.28000000000000003</v>
      </c>
      <c r="G56" s="4">
        <v>26.32</v>
      </c>
      <c r="H56" s="4">
        <v>24.9</v>
      </c>
      <c r="I56" s="4">
        <v>0</v>
      </c>
      <c r="J56" s="4">
        <v>86.7</v>
      </c>
      <c r="K56" s="4">
        <v>266988.05</v>
      </c>
      <c r="L56" s="4" t="s">
        <v>15</v>
      </c>
      <c r="M56" s="4" t="s">
        <v>38</v>
      </c>
    </row>
    <row r="57" spans="1:13" x14ac:dyDescent="0.2">
      <c r="A57" s="4">
        <v>56</v>
      </c>
      <c r="B57" s="4" t="s">
        <v>183</v>
      </c>
      <c r="C57" s="4">
        <v>1792.5</v>
      </c>
      <c r="D57" s="4">
        <v>3.59</v>
      </c>
      <c r="E57" s="4">
        <v>76.5</v>
      </c>
      <c r="F57" s="4">
        <v>0.25</v>
      </c>
      <c r="G57" s="4">
        <v>135.37</v>
      </c>
      <c r="H57" s="4">
        <v>126.3</v>
      </c>
      <c r="I57" s="4">
        <v>72.5</v>
      </c>
      <c r="J57" s="4">
        <v>69.2</v>
      </c>
      <c r="K57" s="4">
        <v>1132239.94</v>
      </c>
      <c r="L57" s="4" t="s">
        <v>44</v>
      </c>
      <c r="M57" s="4" t="s">
        <v>141</v>
      </c>
    </row>
    <row r="58" spans="1:13" x14ac:dyDescent="0.2">
      <c r="A58" s="4">
        <v>57</v>
      </c>
      <c r="B58" s="4" t="s">
        <v>184</v>
      </c>
      <c r="C58" s="4">
        <v>1964.1</v>
      </c>
      <c r="D58" s="4">
        <v>3.94</v>
      </c>
      <c r="E58" s="4">
        <v>83.8</v>
      </c>
      <c r="F58" s="4">
        <v>0.26</v>
      </c>
      <c r="G58" s="4">
        <v>149.77000000000001</v>
      </c>
      <c r="H58" s="4">
        <v>130.30000000000001</v>
      </c>
      <c r="I58" s="4">
        <v>77</v>
      </c>
      <c r="J58" s="4">
        <v>75.8</v>
      </c>
      <c r="K58" s="4">
        <v>1283641.6599999999</v>
      </c>
      <c r="L58" s="4" t="s">
        <v>15</v>
      </c>
      <c r="M58" s="4" t="s">
        <v>141</v>
      </c>
    </row>
    <row r="59" spans="1:13" x14ac:dyDescent="0.2">
      <c r="A59" s="4">
        <v>58</v>
      </c>
      <c r="B59" s="4" t="s">
        <v>185</v>
      </c>
      <c r="C59" s="4">
        <v>389.6</v>
      </c>
      <c r="D59" s="4">
        <v>4.2</v>
      </c>
      <c r="E59" s="4">
        <v>100</v>
      </c>
      <c r="F59" s="4">
        <v>0.3</v>
      </c>
      <c r="G59" s="4">
        <v>32.020000000000003</v>
      </c>
      <c r="H59" s="4">
        <v>27.5</v>
      </c>
      <c r="I59" s="4">
        <v>100</v>
      </c>
      <c r="J59" s="4">
        <v>86.7</v>
      </c>
      <c r="K59" s="4">
        <v>259442.13</v>
      </c>
      <c r="L59" s="4" t="s">
        <v>15</v>
      </c>
      <c r="M59" s="4" t="s">
        <v>141</v>
      </c>
    </row>
    <row r="60" spans="1:13" x14ac:dyDescent="0.2">
      <c r="A60" s="4">
        <v>59</v>
      </c>
      <c r="B60" s="4" t="s">
        <v>186</v>
      </c>
      <c r="C60" s="4">
        <v>866.9</v>
      </c>
      <c r="D60" s="4">
        <v>3.26</v>
      </c>
      <c r="E60" s="4">
        <v>66.8</v>
      </c>
      <c r="F60" s="4">
        <v>0.25</v>
      </c>
      <c r="G60" s="4">
        <v>70.239999999999995</v>
      </c>
      <c r="H60" s="4">
        <v>65.7</v>
      </c>
      <c r="I60" s="4">
        <v>74.599999999999994</v>
      </c>
      <c r="J60" s="4">
        <v>63</v>
      </c>
      <c r="K60" s="4">
        <v>714292.53</v>
      </c>
      <c r="L60" s="4" t="s">
        <v>15</v>
      </c>
      <c r="M60" s="4" t="s">
        <v>141</v>
      </c>
    </row>
    <row r="61" spans="1:13" x14ac:dyDescent="0.2">
      <c r="A61" s="4">
        <v>60</v>
      </c>
      <c r="B61" s="4" t="s">
        <v>187</v>
      </c>
      <c r="C61" s="4">
        <v>363.9</v>
      </c>
      <c r="D61" s="4">
        <v>2.5499999999999998</v>
      </c>
      <c r="E61" s="4">
        <v>74.8</v>
      </c>
      <c r="F61" s="4">
        <v>0.28000000000000003</v>
      </c>
      <c r="G61" s="4">
        <v>41.78</v>
      </c>
      <c r="H61" s="4">
        <v>39.9</v>
      </c>
      <c r="I61" s="4">
        <v>66.8</v>
      </c>
      <c r="J61" s="4">
        <v>66.7</v>
      </c>
      <c r="K61" s="4">
        <v>348457.6</v>
      </c>
      <c r="L61" s="4" t="s">
        <v>15</v>
      </c>
      <c r="M61" s="4" t="s">
        <v>188</v>
      </c>
    </row>
    <row r="62" spans="1:13" x14ac:dyDescent="0.2">
      <c r="A62" s="4">
        <v>61</v>
      </c>
      <c r="B62" s="4" t="s">
        <v>189</v>
      </c>
      <c r="C62" s="4">
        <v>762.6</v>
      </c>
      <c r="D62" s="4">
        <v>2.93</v>
      </c>
      <c r="E62" s="4">
        <v>61.7</v>
      </c>
      <c r="F62" s="4">
        <v>0.25</v>
      </c>
      <c r="G62" s="4">
        <v>62.58</v>
      </c>
      <c r="H62" s="4">
        <v>64.900000000000006</v>
      </c>
      <c r="I62" s="4">
        <v>55.3</v>
      </c>
      <c r="J62" s="4">
        <v>58.9</v>
      </c>
      <c r="K62" s="4">
        <v>579488.73</v>
      </c>
      <c r="L62" s="4" t="s">
        <v>44</v>
      </c>
      <c r="M62" s="4" t="s">
        <v>38</v>
      </c>
    </row>
    <row r="63" spans="1:13" x14ac:dyDescent="0.2">
      <c r="A63" s="4">
        <v>62</v>
      </c>
      <c r="B63" s="4" t="s">
        <v>190</v>
      </c>
      <c r="C63" s="4">
        <v>1158.7</v>
      </c>
      <c r="D63" s="4">
        <v>3.81</v>
      </c>
      <c r="E63" s="4">
        <v>80.2</v>
      </c>
      <c r="F63" s="4">
        <v>0.28999999999999998</v>
      </c>
      <c r="G63" s="4">
        <v>91.85</v>
      </c>
      <c r="H63" s="4">
        <v>88.9</v>
      </c>
      <c r="I63" s="4">
        <v>73.8</v>
      </c>
      <c r="J63" s="4">
        <v>72.099999999999994</v>
      </c>
      <c r="K63" s="4">
        <v>725805.37</v>
      </c>
      <c r="L63" s="4" t="s">
        <v>15</v>
      </c>
      <c r="M63" s="4" t="s">
        <v>141</v>
      </c>
    </row>
    <row r="64" spans="1:13" x14ac:dyDescent="0.2">
      <c r="A64" s="4">
        <v>63</v>
      </c>
      <c r="B64" s="4" t="s">
        <v>191</v>
      </c>
      <c r="C64" s="4">
        <v>746</v>
      </c>
      <c r="D64" s="4">
        <v>3.73</v>
      </c>
      <c r="E64" s="4">
        <v>78.7</v>
      </c>
      <c r="F64" s="4">
        <v>0.28999999999999998</v>
      </c>
      <c r="G64" s="4">
        <v>58.85</v>
      </c>
      <c r="H64" s="4">
        <v>57.3</v>
      </c>
      <c r="I64" s="4">
        <v>72.3</v>
      </c>
      <c r="J64" s="4">
        <v>71.400000000000006</v>
      </c>
      <c r="K64" s="4">
        <v>516168.39</v>
      </c>
      <c r="L64" s="4" t="s">
        <v>15</v>
      </c>
      <c r="M64" s="4" t="s">
        <v>141</v>
      </c>
    </row>
    <row r="65" spans="1:13" x14ac:dyDescent="0.2">
      <c r="A65" s="4">
        <v>64</v>
      </c>
      <c r="B65" s="4" t="s">
        <v>192</v>
      </c>
      <c r="C65" s="4">
        <v>1523.8</v>
      </c>
      <c r="D65" s="4">
        <v>3.79</v>
      </c>
      <c r="E65" s="4">
        <v>95.9</v>
      </c>
      <c r="F65" s="4">
        <v>0.28000000000000003</v>
      </c>
      <c r="G65" s="4">
        <v>115.93</v>
      </c>
      <c r="H65" s="4">
        <v>111.4</v>
      </c>
      <c r="I65" s="4">
        <v>0</v>
      </c>
      <c r="J65" s="4">
        <v>78.3</v>
      </c>
      <c r="K65" s="4">
        <v>1010912.38</v>
      </c>
      <c r="L65" s="4" t="s">
        <v>15</v>
      </c>
      <c r="M65" s="4" t="s">
        <v>141</v>
      </c>
    </row>
    <row r="66" spans="1:13" x14ac:dyDescent="0.2">
      <c r="A66" s="4">
        <v>65</v>
      </c>
      <c r="B66" s="4" t="s">
        <v>193</v>
      </c>
      <c r="C66" s="4">
        <v>1091</v>
      </c>
      <c r="D66" s="4">
        <v>3.73</v>
      </c>
      <c r="E66" s="4">
        <v>94.4</v>
      </c>
      <c r="F66" s="4">
        <v>0.25</v>
      </c>
      <c r="G66" s="4">
        <v>74.08</v>
      </c>
      <c r="H66" s="4">
        <v>72.599999999999994</v>
      </c>
      <c r="I66" s="4">
        <v>0</v>
      </c>
      <c r="J66" s="4">
        <v>78.400000000000006</v>
      </c>
      <c r="K66" s="4">
        <v>746749.45</v>
      </c>
      <c r="L66" s="4" t="s">
        <v>15</v>
      </c>
      <c r="M66" s="4" t="s">
        <v>141</v>
      </c>
    </row>
    <row r="67" spans="1:13" x14ac:dyDescent="0.2">
      <c r="A67" s="4">
        <v>66</v>
      </c>
      <c r="B67" s="4" t="s">
        <v>194</v>
      </c>
      <c r="C67" s="4">
        <v>682.2</v>
      </c>
      <c r="D67" s="4">
        <v>3.27</v>
      </c>
      <c r="E67" s="4">
        <v>74.099999999999994</v>
      </c>
      <c r="F67" s="4">
        <v>0.24</v>
      </c>
      <c r="G67" s="4">
        <v>56.96</v>
      </c>
      <c r="H67" s="4">
        <v>50.8</v>
      </c>
      <c r="I67" s="4">
        <v>72.8</v>
      </c>
      <c r="J67" s="4">
        <v>68.7</v>
      </c>
      <c r="K67" s="4">
        <v>504101.73</v>
      </c>
      <c r="L67" s="4" t="s">
        <v>44</v>
      </c>
      <c r="M67" s="4" t="s">
        <v>141</v>
      </c>
    </row>
    <row r="68" spans="1:13" x14ac:dyDescent="0.2">
      <c r="A68" s="4">
        <v>67</v>
      </c>
      <c r="B68" s="4" t="s">
        <v>195</v>
      </c>
      <c r="C68" s="4">
        <v>162.4</v>
      </c>
      <c r="D68" s="4">
        <v>2.46</v>
      </c>
      <c r="E68" s="4">
        <v>72</v>
      </c>
      <c r="F68" s="4">
        <v>0.27</v>
      </c>
      <c r="G68" s="4">
        <v>18.79</v>
      </c>
      <c r="H68" s="4">
        <v>17.600000000000001</v>
      </c>
      <c r="I68" s="4">
        <v>67.7</v>
      </c>
      <c r="J68" s="4">
        <v>64.3</v>
      </c>
      <c r="K68" s="4">
        <v>134814.35</v>
      </c>
      <c r="L68" s="4" t="s">
        <v>15</v>
      </c>
      <c r="M68" s="4" t="s">
        <v>188</v>
      </c>
    </row>
    <row r="69" spans="1:13" x14ac:dyDescent="0.2">
      <c r="A69" s="4">
        <v>68</v>
      </c>
      <c r="B69" s="4" t="s">
        <v>196</v>
      </c>
      <c r="C69" s="4">
        <v>594</v>
      </c>
      <c r="D69" s="4">
        <v>2.89</v>
      </c>
      <c r="E69" s="4">
        <v>81</v>
      </c>
      <c r="F69" s="4">
        <v>0.28999999999999998</v>
      </c>
      <c r="G69" s="4">
        <v>61.06</v>
      </c>
      <c r="H69" s="4">
        <v>58.6</v>
      </c>
      <c r="I69" s="4">
        <v>64.3</v>
      </c>
      <c r="J69" s="4">
        <v>68.7</v>
      </c>
      <c r="K69" s="4">
        <v>421297.31</v>
      </c>
      <c r="L69" s="4" t="s">
        <v>44</v>
      </c>
      <c r="M69" s="4" t="s">
        <v>16</v>
      </c>
    </row>
    <row r="70" spans="1:13" x14ac:dyDescent="0.2">
      <c r="A70" s="4">
        <v>69</v>
      </c>
      <c r="B70" s="4" t="s">
        <v>197</v>
      </c>
      <c r="C70" s="4">
        <v>220.8</v>
      </c>
      <c r="D70" s="4">
        <v>2.93</v>
      </c>
      <c r="E70" s="4">
        <v>81.900000000000006</v>
      </c>
      <c r="F70" s="4">
        <v>0.34</v>
      </c>
      <c r="G70" s="4">
        <v>25.37</v>
      </c>
      <c r="H70" s="4">
        <v>25.3</v>
      </c>
      <c r="I70" s="4">
        <v>75.7</v>
      </c>
      <c r="J70" s="4">
        <v>70</v>
      </c>
      <c r="K70" s="4">
        <v>165792.4</v>
      </c>
      <c r="L70" s="4" t="s">
        <v>44</v>
      </c>
      <c r="M70" s="4" t="s">
        <v>16</v>
      </c>
    </row>
    <row r="71" spans="1:13" x14ac:dyDescent="0.2">
      <c r="A71" s="4">
        <v>70</v>
      </c>
      <c r="B71" s="4" t="s">
        <v>198</v>
      </c>
      <c r="C71" s="4">
        <v>692.8</v>
      </c>
      <c r="D71" s="4">
        <v>3.8</v>
      </c>
      <c r="E71" s="4">
        <v>81.099999999999994</v>
      </c>
      <c r="F71" s="4">
        <v>0.26</v>
      </c>
      <c r="G71" s="4">
        <v>57.65</v>
      </c>
      <c r="H71" s="4">
        <v>47.1</v>
      </c>
      <c r="I71" s="4">
        <v>46.6</v>
      </c>
      <c r="J71" s="4">
        <v>70.400000000000006</v>
      </c>
      <c r="K71" s="4">
        <v>400266.11</v>
      </c>
      <c r="L71" s="4" t="s">
        <v>44</v>
      </c>
      <c r="M71" s="4" t="s">
        <v>55</v>
      </c>
    </row>
    <row r="72" spans="1:13" x14ac:dyDescent="0.2">
      <c r="A72" s="4">
        <v>71</v>
      </c>
      <c r="B72" s="4" t="s">
        <v>199</v>
      </c>
      <c r="C72" s="4">
        <v>587.20000000000005</v>
      </c>
      <c r="D72" s="4">
        <v>3.75</v>
      </c>
      <c r="E72" s="4">
        <v>80</v>
      </c>
      <c r="F72" s="4">
        <v>0.1</v>
      </c>
      <c r="G72" s="4">
        <v>26.73</v>
      </c>
      <c r="H72" s="4">
        <v>15.9</v>
      </c>
      <c r="I72" s="4">
        <v>18.600000000000001</v>
      </c>
      <c r="J72" s="4">
        <v>70.599999999999994</v>
      </c>
      <c r="K72" s="4">
        <v>326389.55</v>
      </c>
      <c r="L72" s="4" t="s">
        <v>44</v>
      </c>
      <c r="M72" s="4" t="s">
        <v>55</v>
      </c>
    </row>
    <row r="73" spans="1:13" x14ac:dyDescent="0.2">
      <c r="A73" s="4">
        <v>72</v>
      </c>
      <c r="B73" s="4" t="s">
        <v>200</v>
      </c>
      <c r="C73" s="4">
        <v>255.1</v>
      </c>
      <c r="D73" s="4">
        <v>3.49</v>
      </c>
      <c r="E73" s="4">
        <v>100</v>
      </c>
      <c r="F73" s="4">
        <v>0.31</v>
      </c>
      <c r="G73" s="4">
        <v>22.23</v>
      </c>
      <c r="H73" s="4">
        <v>22.3</v>
      </c>
      <c r="I73" s="4">
        <v>100</v>
      </c>
      <c r="J73" s="4">
        <v>83.4</v>
      </c>
      <c r="K73" s="4">
        <v>142719.73000000001</v>
      </c>
      <c r="L73" s="4" t="s">
        <v>15</v>
      </c>
      <c r="M73" s="4" t="s">
        <v>38</v>
      </c>
    </row>
    <row r="74" spans="1:13" x14ac:dyDescent="0.2">
      <c r="A74" s="4">
        <v>73</v>
      </c>
      <c r="B74" s="4" t="s">
        <v>201</v>
      </c>
      <c r="C74" s="4">
        <v>775.3</v>
      </c>
      <c r="D74" s="4">
        <v>3.18</v>
      </c>
      <c r="E74" s="4">
        <v>84.8</v>
      </c>
      <c r="F74" s="4">
        <v>0.33</v>
      </c>
      <c r="G74" s="4">
        <v>76.760000000000005</v>
      </c>
      <c r="H74" s="4">
        <v>79.599999999999994</v>
      </c>
      <c r="I74" s="4">
        <v>77.5</v>
      </c>
      <c r="J74" s="4">
        <v>66.8</v>
      </c>
      <c r="K74" s="4">
        <v>491641.82</v>
      </c>
      <c r="L74" s="4" t="s">
        <v>15</v>
      </c>
      <c r="M74" s="4" t="s">
        <v>16</v>
      </c>
    </row>
    <row r="75" spans="1:13" x14ac:dyDescent="0.2">
      <c r="A75" s="4">
        <v>74</v>
      </c>
      <c r="B75" s="4" t="s">
        <v>202</v>
      </c>
      <c r="C75" s="4">
        <v>1774.2</v>
      </c>
      <c r="D75" s="4">
        <v>3.55</v>
      </c>
      <c r="E75" s="4">
        <v>81.400000000000006</v>
      </c>
      <c r="F75" s="4">
        <v>0.31</v>
      </c>
      <c r="G75" s="4">
        <v>151.51</v>
      </c>
      <c r="H75" s="4">
        <v>154.80000000000001</v>
      </c>
      <c r="I75" s="4">
        <v>100</v>
      </c>
      <c r="J75" s="4">
        <v>72.900000000000006</v>
      </c>
      <c r="K75" s="4">
        <v>1260580.9099999999</v>
      </c>
      <c r="L75" s="4" t="s">
        <v>15</v>
      </c>
      <c r="M75" s="4" t="s">
        <v>55</v>
      </c>
    </row>
    <row r="76" spans="1:13" x14ac:dyDescent="0.2">
      <c r="A76" s="4">
        <v>75</v>
      </c>
      <c r="B76" s="4" t="s">
        <v>203</v>
      </c>
      <c r="C76" s="4">
        <v>1828.7</v>
      </c>
      <c r="D76" s="4">
        <v>3.66</v>
      </c>
      <c r="E76" s="4">
        <v>83.9</v>
      </c>
      <c r="F76" s="4">
        <v>0.25</v>
      </c>
      <c r="G76" s="4">
        <v>126.84</v>
      </c>
      <c r="H76" s="4">
        <v>125.1</v>
      </c>
      <c r="I76" s="4">
        <v>80.7</v>
      </c>
      <c r="J76" s="4">
        <v>75.2</v>
      </c>
      <c r="K76" s="4">
        <v>1193907.56</v>
      </c>
      <c r="L76" s="4" t="s">
        <v>15</v>
      </c>
      <c r="M76" s="4" t="s">
        <v>55</v>
      </c>
    </row>
    <row r="77" spans="1:13" x14ac:dyDescent="0.2">
      <c r="A77" s="4">
        <v>76</v>
      </c>
      <c r="B77" s="4" t="s">
        <v>204</v>
      </c>
      <c r="C77" s="4">
        <v>1912.7</v>
      </c>
      <c r="D77" s="4">
        <v>3.84</v>
      </c>
      <c r="E77" s="4">
        <v>88</v>
      </c>
      <c r="F77" s="4">
        <v>0.33</v>
      </c>
      <c r="G77" s="4">
        <v>153.76</v>
      </c>
      <c r="H77" s="4">
        <v>164.5</v>
      </c>
      <c r="I77" s="4">
        <v>100</v>
      </c>
      <c r="J77" s="4">
        <v>78.5</v>
      </c>
      <c r="K77" s="4">
        <v>1318795.75</v>
      </c>
      <c r="L77" s="4" t="s">
        <v>44</v>
      </c>
      <c r="M77" s="4" t="s">
        <v>55</v>
      </c>
    </row>
    <row r="78" spans="1:13" x14ac:dyDescent="0.2">
      <c r="A78" s="4">
        <v>77</v>
      </c>
      <c r="B78" s="4" t="s">
        <v>205</v>
      </c>
      <c r="C78" s="4">
        <v>1373.5</v>
      </c>
      <c r="D78" s="4">
        <v>3.59</v>
      </c>
      <c r="E78" s="4">
        <v>77.3</v>
      </c>
      <c r="F78" s="4">
        <v>0.27</v>
      </c>
      <c r="G78" s="4">
        <v>108.24</v>
      </c>
      <c r="H78" s="4">
        <v>102.6</v>
      </c>
      <c r="I78" s="4">
        <v>77.099999999999994</v>
      </c>
      <c r="J78" s="4">
        <v>71.8</v>
      </c>
      <c r="K78" s="4">
        <v>973187.06</v>
      </c>
      <c r="L78" s="4" t="s">
        <v>15</v>
      </c>
      <c r="M78" s="4" t="s">
        <v>141</v>
      </c>
    </row>
    <row r="79" spans="1:13" x14ac:dyDescent="0.2">
      <c r="A79" s="4">
        <v>78</v>
      </c>
      <c r="B79" s="4" t="s">
        <v>206</v>
      </c>
      <c r="C79" s="4">
        <v>292.10000000000002</v>
      </c>
      <c r="D79" s="4">
        <v>3.6</v>
      </c>
      <c r="E79" s="4">
        <v>77.5</v>
      </c>
      <c r="F79" s="4">
        <v>0.26</v>
      </c>
      <c r="G79" s="4">
        <v>22.82</v>
      </c>
      <c r="H79" s="4">
        <v>21</v>
      </c>
      <c r="I79" s="4">
        <v>75.2</v>
      </c>
      <c r="J79" s="4">
        <v>71.8</v>
      </c>
      <c r="K79" s="4">
        <v>187944.97</v>
      </c>
      <c r="L79" s="4" t="s">
        <v>15</v>
      </c>
      <c r="M79" s="4" t="s">
        <v>141</v>
      </c>
    </row>
    <row r="80" spans="1:13" x14ac:dyDescent="0.2">
      <c r="A80" s="4">
        <v>79</v>
      </c>
      <c r="B80" s="4" t="s">
        <v>207</v>
      </c>
      <c r="C80" s="4">
        <v>1829.5</v>
      </c>
      <c r="D80" s="4">
        <v>3.83</v>
      </c>
      <c r="E80" s="4">
        <v>82.4</v>
      </c>
      <c r="F80" s="4">
        <v>0.22</v>
      </c>
      <c r="G80" s="4">
        <v>130</v>
      </c>
      <c r="H80" s="4">
        <v>104.5</v>
      </c>
      <c r="I80" s="4">
        <v>57.2</v>
      </c>
      <c r="J80" s="4">
        <v>72.3</v>
      </c>
      <c r="K80" s="4">
        <v>1014907.43</v>
      </c>
      <c r="L80" s="4" t="s">
        <v>15</v>
      </c>
      <c r="M80" s="4" t="s">
        <v>208</v>
      </c>
    </row>
    <row r="81" spans="1:13" x14ac:dyDescent="0.2">
      <c r="A81" s="4">
        <v>80</v>
      </c>
      <c r="B81" s="4" t="s">
        <v>209</v>
      </c>
      <c r="C81" s="4">
        <v>1782.5</v>
      </c>
      <c r="D81" s="4">
        <v>4.07</v>
      </c>
      <c r="E81" s="4">
        <v>87.5</v>
      </c>
      <c r="F81" s="4">
        <v>0.23</v>
      </c>
      <c r="G81" s="4">
        <v>136.33000000000001</v>
      </c>
      <c r="H81" s="4">
        <v>102</v>
      </c>
      <c r="I81" s="4">
        <v>57.7</v>
      </c>
      <c r="J81" s="4">
        <v>75.7</v>
      </c>
      <c r="K81" s="4">
        <v>1044945.09</v>
      </c>
      <c r="L81" s="4" t="s">
        <v>15</v>
      </c>
      <c r="M81" s="4" t="s">
        <v>208</v>
      </c>
    </row>
    <row r="82" spans="1:13" x14ac:dyDescent="0.2">
      <c r="A82" s="4">
        <v>81</v>
      </c>
      <c r="B82" s="4" t="s">
        <v>210</v>
      </c>
      <c r="C82" s="4">
        <v>1433.9</v>
      </c>
      <c r="D82" s="4">
        <v>2.88</v>
      </c>
      <c r="E82" s="4">
        <v>61.1</v>
      </c>
      <c r="F82" s="4">
        <v>0.26</v>
      </c>
      <c r="G82" s="4">
        <v>123.07</v>
      </c>
      <c r="H82" s="4">
        <v>128.30000000000001</v>
      </c>
      <c r="I82" s="4">
        <v>64.3</v>
      </c>
      <c r="J82" s="4">
        <v>18.7</v>
      </c>
      <c r="K82" s="4">
        <v>1028676.48</v>
      </c>
      <c r="L82" s="4" t="s">
        <v>44</v>
      </c>
      <c r="M82" s="4" t="s">
        <v>141</v>
      </c>
    </row>
    <row r="83" spans="1:13" x14ac:dyDescent="0.2">
      <c r="A83" s="4">
        <v>82</v>
      </c>
      <c r="B83" s="4" t="s">
        <v>211</v>
      </c>
      <c r="C83" s="4">
        <v>1365.6</v>
      </c>
      <c r="D83" s="4">
        <v>2.74</v>
      </c>
      <c r="E83" s="4">
        <v>58</v>
      </c>
      <c r="F83" s="4">
        <v>0.19</v>
      </c>
      <c r="G83" s="4">
        <v>94.39</v>
      </c>
      <c r="H83" s="4">
        <v>95</v>
      </c>
      <c r="I83" s="4">
        <v>50.6</v>
      </c>
      <c r="J83" s="4">
        <v>17.399999999999999</v>
      </c>
      <c r="K83" s="4">
        <v>1011416.55</v>
      </c>
      <c r="L83" s="4" t="s">
        <v>15</v>
      </c>
      <c r="M83" s="4" t="s">
        <v>141</v>
      </c>
    </row>
    <row r="84" spans="1:13" x14ac:dyDescent="0.2">
      <c r="A84" s="4">
        <v>83</v>
      </c>
      <c r="B84" s="4" t="s">
        <v>212</v>
      </c>
      <c r="C84" s="4">
        <v>1429.1</v>
      </c>
      <c r="D84" s="4">
        <v>2.87</v>
      </c>
      <c r="E84" s="4">
        <v>60.8</v>
      </c>
      <c r="F84" s="4">
        <v>0.25</v>
      </c>
      <c r="G84" s="4">
        <v>123.58</v>
      </c>
      <c r="H84" s="4">
        <v>124.3</v>
      </c>
      <c r="I84" s="4">
        <v>65.8</v>
      </c>
      <c r="J84" s="4">
        <v>18.399999999999999</v>
      </c>
      <c r="K84" s="4">
        <v>1015552.15</v>
      </c>
      <c r="L84" s="4" t="s">
        <v>15</v>
      </c>
      <c r="M84" s="4" t="s">
        <v>141</v>
      </c>
    </row>
    <row r="85" spans="1:13" x14ac:dyDescent="0.2">
      <c r="A85" s="4">
        <v>84</v>
      </c>
      <c r="B85" s="4" t="s">
        <v>213</v>
      </c>
      <c r="C85" s="4">
        <v>1271.9000000000001</v>
      </c>
      <c r="D85" s="4">
        <v>2.56</v>
      </c>
      <c r="E85" s="4">
        <v>54.3</v>
      </c>
      <c r="F85" s="4">
        <v>0.2</v>
      </c>
      <c r="G85" s="4">
        <v>99.01</v>
      </c>
      <c r="H85" s="4">
        <v>99.3</v>
      </c>
      <c r="I85" s="4">
        <v>50.2</v>
      </c>
      <c r="J85" s="4">
        <v>16.399999999999999</v>
      </c>
      <c r="K85" s="4">
        <v>1013416.58</v>
      </c>
      <c r="L85" s="4" t="s">
        <v>15</v>
      </c>
      <c r="M85" s="4" t="s">
        <v>141</v>
      </c>
    </row>
    <row r="86" spans="1:13" x14ac:dyDescent="0.2">
      <c r="A86" s="4">
        <v>85</v>
      </c>
      <c r="B86" s="4" t="s">
        <v>214</v>
      </c>
      <c r="C86" s="4">
        <v>1228.8</v>
      </c>
      <c r="D86" s="4">
        <v>3.12</v>
      </c>
      <c r="E86" s="4">
        <v>65.7</v>
      </c>
      <c r="F86" s="4">
        <v>0.26</v>
      </c>
      <c r="G86" s="4">
        <v>102.36</v>
      </c>
      <c r="H86" s="4">
        <v>102.1</v>
      </c>
      <c r="I86" s="4">
        <v>66.099999999999994</v>
      </c>
      <c r="J86" s="4">
        <v>19.899999999999999</v>
      </c>
      <c r="K86" s="4">
        <v>742947.17</v>
      </c>
      <c r="L86" s="4" t="s">
        <v>15</v>
      </c>
      <c r="M86" s="4" t="s">
        <v>141</v>
      </c>
    </row>
    <row r="87" spans="1:13" x14ac:dyDescent="0.2">
      <c r="A87" s="4">
        <v>86</v>
      </c>
      <c r="B87" s="4" t="s">
        <v>215</v>
      </c>
      <c r="C87" s="4">
        <v>273.39999999999998</v>
      </c>
      <c r="D87" s="4">
        <v>2.62</v>
      </c>
      <c r="E87" s="4">
        <v>55.5</v>
      </c>
      <c r="F87" s="4">
        <v>0.22</v>
      </c>
      <c r="G87" s="4">
        <v>23.24</v>
      </c>
      <c r="H87" s="4">
        <v>23.1</v>
      </c>
      <c r="I87" s="4">
        <v>53.9</v>
      </c>
      <c r="J87" s="4">
        <v>16.899999999999999</v>
      </c>
      <c r="K87" s="4">
        <v>199687.56</v>
      </c>
      <c r="L87" s="4" t="s">
        <v>44</v>
      </c>
      <c r="M87" s="4" t="s">
        <v>141</v>
      </c>
    </row>
    <row r="88" spans="1:13" x14ac:dyDescent="0.2">
      <c r="A88" s="4">
        <v>87</v>
      </c>
      <c r="B88" s="4" t="s">
        <v>216</v>
      </c>
      <c r="C88" s="4">
        <v>1568.5</v>
      </c>
      <c r="D88" s="4">
        <v>3.14</v>
      </c>
      <c r="E88" s="4">
        <v>66.2</v>
      </c>
      <c r="F88" s="4">
        <v>0.27</v>
      </c>
      <c r="G88" s="4">
        <v>131.99</v>
      </c>
      <c r="H88" s="4">
        <v>136.19999999999999</v>
      </c>
      <c r="I88" s="4">
        <v>68.400000000000006</v>
      </c>
      <c r="J88" s="4">
        <v>20.2</v>
      </c>
      <c r="K88" s="4">
        <v>1016544.14</v>
      </c>
      <c r="L88" s="4" t="s">
        <v>15</v>
      </c>
      <c r="M88" s="4" t="s">
        <v>141</v>
      </c>
    </row>
    <row r="89" spans="1:13" x14ac:dyDescent="0.2">
      <c r="A89" s="4">
        <v>88</v>
      </c>
      <c r="B89" s="4" t="s">
        <v>217</v>
      </c>
      <c r="C89" s="4">
        <v>1608.1</v>
      </c>
      <c r="D89" s="4">
        <v>3.22</v>
      </c>
      <c r="E89" s="4">
        <v>67.900000000000006</v>
      </c>
      <c r="F89" s="4">
        <v>0.28000000000000003</v>
      </c>
      <c r="G89" s="4">
        <v>133.88999999999999</v>
      </c>
      <c r="H89" s="4">
        <v>138.9</v>
      </c>
      <c r="I89" s="4">
        <v>68.400000000000006</v>
      </c>
      <c r="J89" s="4">
        <v>20.8</v>
      </c>
      <c r="K89" s="4">
        <v>1043784.7</v>
      </c>
      <c r="L89" s="4" t="s">
        <v>15</v>
      </c>
      <c r="M89" s="4" t="s">
        <v>141</v>
      </c>
    </row>
    <row r="90" spans="1:13" x14ac:dyDescent="0.2">
      <c r="A90" s="4">
        <v>89</v>
      </c>
      <c r="B90" s="4" t="s">
        <v>218</v>
      </c>
      <c r="C90" s="4">
        <v>1627.5</v>
      </c>
      <c r="D90" s="4">
        <v>3.3</v>
      </c>
      <c r="E90" s="4">
        <v>76.7</v>
      </c>
      <c r="F90" s="4">
        <v>0.28000000000000003</v>
      </c>
      <c r="G90" s="4">
        <v>134.61000000000001</v>
      </c>
      <c r="H90" s="4">
        <v>135.9</v>
      </c>
      <c r="I90" s="4">
        <v>75.400000000000006</v>
      </c>
      <c r="J90" s="4">
        <v>26.5</v>
      </c>
      <c r="K90" s="4">
        <v>1067885.95</v>
      </c>
      <c r="L90" s="4" t="s">
        <v>15</v>
      </c>
      <c r="M90" s="4" t="s">
        <v>141</v>
      </c>
    </row>
    <row r="91" spans="1:13" x14ac:dyDescent="0.2">
      <c r="A91" s="4">
        <v>90</v>
      </c>
      <c r="B91" s="4" t="s">
        <v>219</v>
      </c>
      <c r="C91" s="4">
        <v>1584.5</v>
      </c>
      <c r="D91" s="4">
        <v>3.21</v>
      </c>
      <c r="E91" s="4">
        <v>74.7</v>
      </c>
      <c r="F91" s="4">
        <v>0.28000000000000003</v>
      </c>
      <c r="G91" s="4">
        <v>136.82</v>
      </c>
      <c r="H91" s="4">
        <v>139.4</v>
      </c>
      <c r="I91" s="4">
        <v>78.3</v>
      </c>
      <c r="J91" s="4">
        <v>22.5</v>
      </c>
      <c r="K91" s="4">
        <v>1039054.49</v>
      </c>
      <c r="L91" s="4" t="s">
        <v>15</v>
      </c>
      <c r="M91" s="4" t="s">
        <v>141</v>
      </c>
    </row>
    <row r="92" spans="1:13" x14ac:dyDescent="0.2">
      <c r="A92" s="4">
        <v>91</v>
      </c>
      <c r="B92" s="4" t="s">
        <v>220</v>
      </c>
      <c r="C92" s="4">
        <v>0</v>
      </c>
      <c r="D92" s="4">
        <v>0</v>
      </c>
      <c r="E92" s="4">
        <v>0</v>
      </c>
      <c r="F92" s="4">
        <v>0</v>
      </c>
      <c r="G92" s="4">
        <v>277.63</v>
      </c>
      <c r="H92" s="4">
        <v>0</v>
      </c>
      <c r="I92" s="4">
        <v>79.2</v>
      </c>
      <c r="J92" s="4">
        <v>3.3</v>
      </c>
      <c r="K92" s="4">
        <v>1061695.23</v>
      </c>
      <c r="L92" s="4" t="s">
        <v>221</v>
      </c>
      <c r="M92" s="4" t="s">
        <v>141</v>
      </c>
    </row>
    <row r="93" spans="1:13" x14ac:dyDescent="0.2">
      <c r="A93" s="4">
        <v>92</v>
      </c>
      <c r="B93" s="4" t="s">
        <v>222</v>
      </c>
      <c r="C93" s="4">
        <v>1986</v>
      </c>
      <c r="D93" s="4">
        <v>3.98</v>
      </c>
      <c r="E93" s="4">
        <v>80.8</v>
      </c>
      <c r="F93" s="4">
        <v>0.22</v>
      </c>
      <c r="G93" s="4">
        <v>122.22</v>
      </c>
      <c r="H93" s="4">
        <v>111.4</v>
      </c>
      <c r="I93" s="4">
        <v>85</v>
      </c>
      <c r="J93" s="4">
        <v>72</v>
      </c>
      <c r="K93" s="4">
        <v>1149523.3899999999</v>
      </c>
      <c r="L93" s="4" t="s">
        <v>15</v>
      </c>
      <c r="M93" s="4" t="s">
        <v>208</v>
      </c>
    </row>
    <row r="94" spans="1:13" x14ac:dyDescent="0.2">
      <c r="A94" s="4">
        <v>93</v>
      </c>
      <c r="B94" s="4" t="s">
        <v>223</v>
      </c>
      <c r="C94" s="4">
        <v>1818.7</v>
      </c>
      <c r="D94" s="4">
        <v>3.64</v>
      </c>
      <c r="E94" s="4">
        <v>74</v>
      </c>
      <c r="F94" s="4">
        <v>0</v>
      </c>
      <c r="G94" s="4">
        <v>0</v>
      </c>
      <c r="H94" s="4">
        <v>0</v>
      </c>
      <c r="I94" s="4">
        <v>74</v>
      </c>
      <c r="J94" s="4">
        <v>65</v>
      </c>
      <c r="K94" s="4">
        <v>1011839</v>
      </c>
      <c r="L94" s="4" t="s">
        <v>224</v>
      </c>
      <c r="M94" s="4" t="s">
        <v>208</v>
      </c>
    </row>
    <row r="95" spans="1:13" x14ac:dyDescent="0.2">
      <c r="A95" s="4">
        <v>94</v>
      </c>
      <c r="B95" s="4" t="s">
        <v>225</v>
      </c>
      <c r="C95" s="4">
        <v>1863.7</v>
      </c>
      <c r="D95" s="4">
        <v>3.73</v>
      </c>
      <c r="E95" s="4">
        <v>75.900000000000006</v>
      </c>
      <c r="F95" s="4">
        <v>0.16</v>
      </c>
      <c r="G95" s="4">
        <v>76.92</v>
      </c>
      <c r="H95" s="4">
        <v>77.8</v>
      </c>
      <c r="I95" s="4">
        <v>59.1</v>
      </c>
      <c r="J95" s="4">
        <v>69.3</v>
      </c>
      <c r="K95" s="4">
        <v>1004796.3</v>
      </c>
      <c r="L95" s="4" t="s">
        <v>15</v>
      </c>
      <c r="M95" s="4" t="s">
        <v>208</v>
      </c>
    </row>
    <row r="96" spans="1:13" x14ac:dyDescent="0.2">
      <c r="A96" s="4">
        <v>95</v>
      </c>
      <c r="B96" s="4" t="s">
        <v>226</v>
      </c>
      <c r="C96" s="4">
        <v>2027.8</v>
      </c>
      <c r="D96" s="4">
        <v>4.0599999999999996</v>
      </c>
      <c r="E96" s="4">
        <v>86.4</v>
      </c>
      <c r="F96" s="4">
        <v>0.15</v>
      </c>
      <c r="G96" s="4">
        <v>86.67</v>
      </c>
      <c r="H96" s="4">
        <v>76.7</v>
      </c>
      <c r="I96" s="4">
        <v>60.8</v>
      </c>
      <c r="J96" s="4">
        <v>76</v>
      </c>
      <c r="K96" s="4">
        <v>1123508.46</v>
      </c>
      <c r="L96" s="4" t="s">
        <v>15</v>
      </c>
      <c r="M96" s="4" t="s">
        <v>208</v>
      </c>
    </row>
    <row r="97" spans="1:13" x14ac:dyDescent="0.2">
      <c r="A97" s="4">
        <v>96</v>
      </c>
      <c r="B97" s="4" t="s">
        <v>227</v>
      </c>
      <c r="C97" s="4">
        <v>1861.8</v>
      </c>
      <c r="D97" s="4">
        <v>3.73</v>
      </c>
      <c r="E97" s="4">
        <v>79.400000000000006</v>
      </c>
      <c r="F97" s="4">
        <v>0.22</v>
      </c>
      <c r="G97" s="4">
        <v>131.13</v>
      </c>
      <c r="H97" s="4">
        <v>110.8</v>
      </c>
      <c r="I97" s="4">
        <v>88.2</v>
      </c>
      <c r="J97" s="4">
        <v>70</v>
      </c>
      <c r="K97" s="4">
        <v>1064421.8600000001</v>
      </c>
      <c r="L97" s="4" t="s">
        <v>15</v>
      </c>
      <c r="M97" s="4" t="s">
        <v>208</v>
      </c>
    </row>
    <row r="98" spans="1:13" x14ac:dyDescent="0.2">
      <c r="A98" s="4">
        <v>97</v>
      </c>
      <c r="B98" s="4" t="s">
        <v>228</v>
      </c>
      <c r="C98" s="4">
        <v>1671.6</v>
      </c>
      <c r="D98" s="4">
        <v>3.35</v>
      </c>
      <c r="E98" s="4">
        <v>71.2</v>
      </c>
      <c r="F98" s="4">
        <v>0.16</v>
      </c>
      <c r="G98" s="4">
        <v>95.68</v>
      </c>
      <c r="H98" s="4">
        <v>80.7</v>
      </c>
      <c r="I98" s="4">
        <v>64.7</v>
      </c>
      <c r="J98" s="4">
        <v>65.3</v>
      </c>
      <c r="K98" s="4">
        <v>1021512.24</v>
      </c>
      <c r="L98" s="4" t="s">
        <v>15</v>
      </c>
      <c r="M98" s="4" t="s">
        <v>208</v>
      </c>
    </row>
    <row r="99" spans="1:13" x14ac:dyDescent="0.2">
      <c r="A99" s="4">
        <v>98</v>
      </c>
      <c r="B99" s="4" t="s">
        <v>229</v>
      </c>
      <c r="C99" s="4">
        <v>1664.8</v>
      </c>
      <c r="D99" s="4">
        <v>3.95</v>
      </c>
      <c r="E99" s="4">
        <v>77.900000000000006</v>
      </c>
      <c r="F99" s="4">
        <v>0.17</v>
      </c>
      <c r="G99" s="4">
        <v>140.93</v>
      </c>
      <c r="H99" s="4">
        <v>71.8</v>
      </c>
      <c r="I99" s="4">
        <v>81.099999999999994</v>
      </c>
      <c r="J99" s="4">
        <v>70.900000000000006</v>
      </c>
      <c r="K99" s="4">
        <v>1015812.48</v>
      </c>
      <c r="L99" s="4" t="s">
        <v>15</v>
      </c>
      <c r="M99" s="4" t="s">
        <v>141</v>
      </c>
    </row>
    <row r="100" spans="1:13" x14ac:dyDescent="0.2">
      <c r="A100" s="4">
        <v>99</v>
      </c>
      <c r="B100" s="4" t="s">
        <v>230</v>
      </c>
      <c r="C100" s="4">
        <v>785.7</v>
      </c>
      <c r="D100" s="4">
        <v>4.3</v>
      </c>
      <c r="E100" s="4">
        <v>84.7</v>
      </c>
      <c r="F100" s="4">
        <v>0.18</v>
      </c>
      <c r="G100" s="4">
        <v>62.52</v>
      </c>
      <c r="H100" s="4">
        <v>32.700000000000003</v>
      </c>
      <c r="I100" s="4">
        <v>76.3</v>
      </c>
      <c r="J100" s="4">
        <v>75.3</v>
      </c>
      <c r="K100" s="4">
        <v>499793.66</v>
      </c>
      <c r="L100" s="4" t="s">
        <v>15</v>
      </c>
      <c r="M100" s="4" t="s">
        <v>141</v>
      </c>
    </row>
    <row r="101" spans="1:13" x14ac:dyDescent="0.2">
      <c r="A101" s="4">
        <v>100</v>
      </c>
      <c r="B101" s="4" t="s">
        <v>231</v>
      </c>
      <c r="C101" s="4">
        <v>1032.7</v>
      </c>
      <c r="D101" s="4">
        <v>3.3</v>
      </c>
      <c r="E101" s="4">
        <v>69.900000000000006</v>
      </c>
      <c r="F101" s="4">
        <v>0</v>
      </c>
      <c r="G101" s="4">
        <v>0</v>
      </c>
      <c r="H101" s="4">
        <v>0</v>
      </c>
      <c r="I101" s="4">
        <v>0</v>
      </c>
      <c r="J101" s="4">
        <v>51.3</v>
      </c>
      <c r="K101" s="4">
        <v>734787.55</v>
      </c>
      <c r="L101" s="4" t="s">
        <v>232</v>
      </c>
      <c r="M101" s="4" t="s">
        <v>55</v>
      </c>
    </row>
    <row r="102" spans="1:13" x14ac:dyDescent="0.2">
      <c r="A102" s="4">
        <v>101</v>
      </c>
      <c r="B102" s="4" t="s">
        <v>233</v>
      </c>
      <c r="C102" s="4">
        <v>1169.2</v>
      </c>
      <c r="D102" s="4">
        <v>3.44</v>
      </c>
      <c r="E102" s="4">
        <v>72.900000000000006</v>
      </c>
      <c r="F102" s="4">
        <v>0.28999999999999998</v>
      </c>
      <c r="G102" s="4">
        <v>93.33</v>
      </c>
      <c r="H102" s="4">
        <v>99</v>
      </c>
      <c r="I102" s="4">
        <v>86.6</v>
      </c>
      <c r="J102" s="4">
        <v>67.3</v>
      </c>
      <c r="K102" s="4">
        <v>788252.87</v>
      </c>
      <c r="L102" s="4" t="s">
        <v>44</v>
      </c>
      <c r="M102" s="4" t="s">
        <v>55</v>
      </c>
    </row>
    <row r="103" spans="1:13" x14ac:dyDescent="0.2">
      <c r="A103" s="4">
        <v>102</v>
      </c>
      <c r="B103" s="4" t="s">
        <v>234</v>
      </c>
      <c r="C103" s="4">
        <v>1120.5999999999999</v>
      </c>
      <c r="D103" s="4">
        <v>3.72</v>
      </c>
      <c r="E103" s="4">
        <v>83.6</v>
      </c>
      <c r="F103" s="4">
        <v>0.26</v>
      </c>
      <c r="G103" s="4">
        <v>90.05</v>
      </c>
      <c r="H103" s="4">
        <v>79.7</v>
      </c>
      <c r="I103" s="4">
        <v>84.8</v>
      </c>
      <c r="J103" s="4">
        <v>80</v>
      </c>
      <c r="K103" s="4">
        <v>735054.38</v>
      </c>
      <c r="L103" s="4" t="s">
        <v>15</v>
      </c>
      <c r="M103" s="4" t="s">
        <v>55</v>
      </c>
    </row>
    <row r="104" spans="1:13" x14ac:dyDescent="0.2">
      <c r="A104" s="4">
        <v>103</v>
      </c>
      <c r="B104" s="4" t="s">
        <v>235</v>
      </c>
      <c r="C104" s="4">
        <v>1199.9000000000001</v>
      </c>
      <c r="D104" s="4">
        <v>3.83</v>
      </c>
      <c r="E104" s="4">
        <v>86.2</v>
      </c>
      <c r="F104" s="4">
        <v>0.31</v>
      </c>
      <c r="G104" s="4">
        <v>94.53</v>
      </c>
      <c r="H104" s="4">
        <v>96.9</v>
      </c>
      <c r="I104" s="4">
        <v>93</v>
      </c>
      <c r="J104" s="4">
        <v>81.099999999999994</v>
      </c>
      <c r="K104" s="4">
        <v>774565.62</v>
      </c>
      <c r="L104" s="4" t="s">
        <v>15</v>
      </c>
      <c r="M104" s="4" t="s">
        <v>55</v>
      </c>
    </row>
    <row r="105" spans="1:13" x14ac:dyDescent="0.2">
      <c r="A105" s="4">
        <v>104</v>
      </c>
      <c r="B105" s="4" t="s">
        <v>236</v>
      </c>
      <c r="C105" s="4">
        <v>410.4</v>
      </c>
      <c r="D105" s="4">
        <v>2.95</v>
      </c>
      <c r="E105" s="4">
        <v>63.2</v>
      </c>
      <c r="F105" s="4">
        <v>0.17</v>
      </c>
      <c r="G105" s="4">
        <v>31.07</v>
      </c>
      <c r="H105" s="4">
        <v>23.6</v>
      </c>
      <c r="I105" s="4">
        <v>52.4</v>
      </c>
      <c r="J105" s="4">
        <v>68.599999999999994</v>
      </c>
      <c r="K105" s="4">
        <v>349777.58</v>
      </c>
      <c r="L105" s="4" t="s">
        <v>15</v>
      </c>
      <c r="M105" s="4" t="s">
        <v>141</v>
      </c>
    </row>
    <row r="106" spans="1:13" x14ac:dyDescent="0.2">
      <c r="A106" s="4">
        <v>105</v>
      </c>
      <c r="B106" s="4" t="s">
        <v>237</v>
      </c>
      <c r="C106" s="4">
        <v>680.3</v>
      </c>
      <c r="D106" s="4">
        <v>3.67</v>
      </c>
      <c r="E106" s="4">
        <v>78.599999999999994</v>
      </c>
      <c r="F106" s="4">
        <v>0.21</v>
      </c>
      <c r="G106" s="4">
        <v>50.21</v>
      </c>
      <c r="H106" s="4">
        <v>39.700000000000003</v>
      </c>
      <c r="I106" s="4">
        <v>67.599999999999994</v>
      </c>
      <c r="J106" s="4">
        <v>70.900000000000006</v>
      </c>
      <c r="K106" s="4">
        <v>371522.74</v>
      </c>
      <c r="L106" s="4" t="s">
        <v>15</v>
      </c>
      <c r="M106" s="4" t="s">
        <v>141</v>
      </c>
    </row>
    <row r="107" spans="1:13" x14ac:dyDescent="0.2">
      <c r="A107" s="4">
        <v>106</v>
      </c>
      <c r="B107" s="4" t="s">
        <v>238</v>
      </c>
      <c r="C107" s="4">
        <v>745.4</v>
      </c>
      <c r="D107" s="4">
        <v>3.69</v>
      </c>
      <c r="E107" s="4">
        <v>71.599999999999994</v>
      </c>
      <c r="F107" s="4">
        <v>0.21</v>
      </c>
      <c r="G107" s="4">
        <v>57.64</v>
      </c>
      <c r="H107" s="4">
        <v>43</v>
      </c>
      <c r="I107" s="4">
        <v>63.2</v>
      </c>
      <c r="J107" s="4">
        <v>65.8</v>
      </c>
      <c r="K107" s="4">
        <v>493607.73</v>
      </c>
      <c r="L107" s="4" t="s">
        <v>15</v>
      </c>
      <c r="M107" s="4" t="s">
        <v>141</v>
      </c>
    </row>
    <row r="108" spans="1:13" x14ac:dyDescent="0.2">
      <c r="A108" s="4">
        <v>107</v>
      </c>
      <c r="B108" s="4" t="s">
        <v>239</v>
      </c>
      <c r="C108" s="4">
        <v>1247.0999999999999</v>
      </c>
      <c r="D108" s="4">
        <v>4.13</v>
      </c>
      <c r="E108" s="4">
        <v>88</v>
      </c>
      <c r="F108" s="4">
        <v>0.2</v>
      </c>
      <c r="G108" s="4">
        <v>53.41</v>
      </c>
      <c r="H108" s="4">
        <v>61.8</v>
      </c>
      <c r="I108" s="4">
        <v>84.1</v>
      </c>
      <c r="J108" s="4">
        <v>77.400000000000006</v>
      </c>
      <c r="K108" s="4">
        <v>692487.77</v>
      </c>
      <c r="L108" s="4" t="s">
        <v>15</v>
      </c>
      <c r="M108" s="4" t="s">
        <v>208</v>
      </c>
    </row>
    <row r="109" spans="1:13" x14ac:dyDescent="0.2">
      <c r="A109" s="4">
        <v>108</v>
      </c>
      <c r="B109" s="4" t="s">
        <v>240</v>
      </c>
      <c r="C109" s="4">
        <v>1839</v>
      </c>
      <c r="D109" s="4">
        <v>3.68</v>
      </c>
      <c r="E109" s="4">
        <v>78.400000000000006</v>
      </c>
      <c r="F109" s="4">
        <v>0.16</v>
      </c>
      <c r="G109" s="4">
        <v>92.6</v>
      </c>
      <c r="H109" s="4">
        <v>77.7</v>
      </c>
      <c r="I109" s="4">
        <v>61.2</v>
      </c>
      <c r="J109" s="4">
        <v>70.2</v>
      </c>
      <c r="K109" s="4">
        <v>1062258.57</v>
      </c>
      <c r="L109" s="4" t="s">
        <v>15</v>
      </c>
      <c r="M109" s="4" t="s">
        <v>208</v>
      </c>
    </row>
    <row r="110" spans="1:13" x14ac:dyDescent="0.2">
      <c r="A110" s="4">
        <v>109</v>
      </c>
      <c r="B110" s="4" t="s">
        <v>241</v>
      </c>
      <c r="C110" s="4">
        <v>1583.5</v>
      </c>
      <c r="D110" s="4">
        <v>3.17</v>
      </c>
      <c r="E110" s="4">
        <v>66.900000000000006</v>
      </c>
      <c r="F110" s="4">
        <v>0.28000000000000003</v>
      </c>
      <c r="G110" s="4">
        <v>135.22999999999999</v>
      </c>
      <c r="H110" s="4">
        <v>140.69999999999999</v>
      </c>
      <c r="I110" s="4">
        <v>71.2</v>
      </c>
      <c r="J110" s="4">
        <v>20.399999999999999</v>
      </c>
      <c r="K110" s="4">
        <v>1034698.8</v>
      </c>
      <c r="L110" s="4" t="s">
        <v>15</v>
      </c>
      <c r="M110" s="4" t="s">
        <v>141</v>
      </c>
    </row>
    <row r="111" spans="1:13" x14ac:dyDescent="0.2">
      <c r="A111" s="4">
        <v>110</v>
      </c>
      <c r="B111" s="4" t="s">
        <v>242</v>
      </c>
      <c r="C111" s="4">
        <v>1725.1</v>
      </c>
      <c r="D111" s="4">
        <v>3.46</v>
      </c>
      <c r="E111" s="4">
        <v>72.900000000000006</v>
      </c>
      <c r="F111" s="4">
        <v>0.31</v>
      </c>
      <c r="G111" s="4">
        <v>151.52000000000001</v>
      </c>
      <c r="H111" s="4">
        <v>154.6</v>
      </c>
      <c r="I111" s="4">
        <v>76.7</v>
      </c>
      <c r="J111" s="4">
        <v>22.1</v>
      </c>
      <c r="K111" s="4">
        <v>1062891.92</v>
      </c>
      <c r="L111" s="4" t="s">
        <v>15</v>
      </c>
      <c r="M111" s="4" t="s">
        <v>141</v>
      </c>
    </row>
    <row r="112" spans="1:13" x14ac:dyDescent="0.2">
      <c r="A112" s="4">
        <v>111</v>
      </c>
      <c r="B112" s="4" t="s">
        <v>243</v>
      </c>
      <c r="C112" s="4">
        <v>1685.5</v>
      </c>
      <c r="D112" s="4">
        <v>3.38</v>
      </c>
      <c r="E112" s="4">
        <v>71.2</v>
      </c>
      <c r="F112" s="4">
        <v>0.3</v>
      </c>
      <c r="G112" s="4">
        <v>145.93</v>
      </c>
      <c r="H112" s="4">
        <v>150.1</v>
      </c>
      <c r="I112" s="4">
        <v>73</v>
      </c>
      <c r="J112" s="4">
        <v>7.4</v>
      </c>
      <c r="K112" s="4">
        <v>1026835.58</v>
      </c>
      <c r="L112" s="4" t="s">
        <v>15</v>
      </c>
      <c r="M112" s="4" t="s">
        <v>141</v>
      </c>
    </row>
    <row r="113" spans="1:13" x14ac:dyDescent="0.2">
      <c r="A113" s="4">
        <v>112</v>
      </c>
      <c r="B113" s="4" t="s">
        <v>244</v>
      </c>
      <c r="C113" s="4">
        <v>1693.5</v>
      </c>
      <c r="D113" s="4">
        <v>3.4</v>
      </c>
      <c r="E113" s="4">
        <v>71.5</v>
      </c>
      <c r="F113" s="4">
        <v>0.3</v>
      </c>
      <c r="G113" s="4">
        <v>146.56</v>
      </c>
      <c r="H113" s="4">
        <v>151.30000000000001</v>
      </c>
      <c r="I113" s="4">
        <v>74.099999999999994</v>
      </c>
      <c r="J113" s="4">
        <v>21.7</v>
      </c>
      <c r="K113" s="4">
        <v>1037161.12</v>
      </c>
      <c r="L113" s="4" t="s">
        <v>15</v>
      </c>
      <c r="M113" s="4" t="s">
        <v>141</v>
      </c>
    </row>
    <row r="114" spans="1:13" x14ac:dyDescent="0.2">
      <c r="A114" s="4">
        <v>113</v>
      </c>
      <c r="B114" s="4" t="s">
        <v>245</v>
      </c>
      <c r="C114" s="4">
        <v>1574.2</v>
      </c>
      <c r="D114" s="4">
        <v>3.15</v>
      </c>
      <c r="E114" s="4">
        <v>66.400000000000006</v>
      </c>
      <c r="F114" s="4">
        <v>0.27</v>
      </c>
      <c r="G114" s="4">
        <v>135.29</v>
      </c>
      <c r="H114" s="4">
        <v>133.80000000000001</v>
      </c>
      <c r="I114" s="4">
        <v>64.2</v>
      </c>
      <c r="J114" s="4">
        <v>20.100000000000001</v>
      </c>
      <c r="K114" s="4">
        <v>1009648.57</v>
      </c>
      <c r="L114" s="4" t="s">
        <v>15</v>
      </c>
      <c r="M114" s="4" t="s">
        <v>141</v>
      </c>
    </row>
    <row r="115" spans="1:13" x14ac:dyDescent="0.2">
      <c r="A115" s="4">
        <v>114</v>
      </c>
      <c r="B115" s="4" t="s">
        <v>246</v>
      </c>
      <c r="C115" s="4">
        <v>584.6</v>
      </c>
      <c r="D115" s="4">
        <v>3.98</v>
      </c>
      <c r="E115" s="4">
        <v>0</v>
      </c>
      <c r="F115" s="4">
        <v>0.4</v>
      </c>
      <c r="G115" s="4">
        <v>58.22</v>
      </c>
      <c r="H115" s="4">
        <v>59.1</v>
      </c>
      <c r="I115" s="4">
        <v>0</v>
      </c>
      <c r="J115" s="4" t="s">
        <v>14</v>
      </c>
      <c r="K115" s="4">
        <v>330409.61</v>
      </c>
      <c r="L115" s="4" t="s">
        <v>15</v>
      </c>
      <c r="M115" s="4" t="s">
        <v>16</v>
      </c>
    </row>
    <row r="116" spans="1:13" x14ac:dyDescent="0.2">
      <c r="A116" s="4">
        <v>115</v>
      </c>
      <c r="B116" s="4" t="s">
        <v>247</v>
      </c>
      <c r="C116" s="4">
        <v>1356.8</v>
      </c>
      <c r="D116" s="4">
        <v>3.98</v>
      </c>
      <c r="E116" s="4">
        <v>0</v>
      </c>
      <c r="F116" s="4">
        <v>0.28000000000000003</v>
      </c>
      <c r="G116" s="4">
        <v>94.48</v>
      </c>
      <c r="H116" s="4">
        <v>96.4</v>
      </c>
      <c r="I116" s="4">
        <v>0</v>
      </c>
      <c r="J116" s="4" t="s">
        <v>14</v>
      </c>
      <c r="K116" s="4">
        <v>933745.54</v>
      </c>
      <c r="L116" s="4" t="s">
        <v>15</v>
      </c>
      <c r="M116" s="4" t="s">
        <v>38</v>
      </c>
    </row>
    <row r="117" spans="1:13" x14ac:dyDescent="0.2">
      <c r="A117" s="4">
        <v>116</v>
      </c>
      <c r="B117" s="4" t="s">
        <v>248</v>
      </c>
      <c r="C117" s="4">
        <v>628.20000000000005</v>
      </c>
      <c r="D117" s="4">
        <v>3.19</v>
      </c>
      <c r="E117" s="4">
        <v>0</v>
      </c>
      <c r="F117" s="4">
        <v>0.08</v>
      </c>
      <c r="G117" s="4">
        <v>47.35</v>
      </c>
      <c r="H117" s="4">
        <v>16.7</v>
      </c>
      <c r="I117" s="4">
        <v>0</v>
      </c>
      <c r="J117" s="4" t="s">
        <v>14</v>
      </c>
      <c r="K117" s="4">
        <v>428563.69</v>
      </c>
      <c r="L117" s="4" t="s">
        <v>15</v>
      </c>
      <c r="M117" s="4" t="s">
        <v>38</v>
      </c>
    </row>
    <row r="118" spans="1:13" x14ac:dyDescent="0.2">
      <c r="A118" s="4">
        <v>117</v>
      </c>
      <c r="B118" s="4" t="s">
        <v>249</v>
      </c>
      <c r="C118" s="4">
        <v>1663</v>
      </c>
      <c r="D118" s="4">
        <v>3.75</v>
      </c>
      <c r="E118" s="4">
        <v>76.5</v>
      </c>
      <c r="F118" s="4">
        <v>0.26</v>
      </c>
      <c r="G118" s="4">
        <v>127.49</v>
      </c>
      <c r="H118" s="4">
        <v>117.2</v>
      </c>
      <c r="I118" s="4">
        <v>75.400000000000006</v>
      </c>
      <c r="J118" s="4">
        <v>70.599999999999994</v>
      </c>
      <c r="K118" s="4">
        <v>1167993.17</v>
      </c>
      <c r="L118" s="4" t="s">
        <v>15</v>
      </c>
      <c r="M118" s="4" t="s">
        <v>38</v>
      </c>
    </row>
    <row r="119" spans="1:13" x14ac:dyDescent="0.2">
      <c r="A119" s="4">
        <v>118</v>
      </c>
      <c r="B119" s="4" t="s">
        <v>250</v>
      </c>
      <c r="C119" s="4">
        <v>1213.0999999999999</v>
      </c>
      <c r="D119" s="4">
        <v>4.3600000000000003</v>
      </c>
      <c r="E119" s="4">
        <v>0</v>
      </c>
      <c r="F119" s="4">
        <v>0.35</v>
      </c>
      <c r="G119" s="4">
        <v>72.27</v>
      </c>
      <c r="H119" s="4">
        <v>98</v>
      </c>
      <c r="I119" s="4">
        <v>0</v>
      </c>
      <c r="J119" s="4" t="s">
        <v>14</v>
      </c>
      <c r="K119" s="4">
        <v>788238.55</v>
      </c>
      <c r="L119" s="4" t="s">
        <v>15</v>
      </c>
      <c r="M119" s="4" t="s">
        <v>38</v>
      </c>
    </row>
    <row r="120" spans="1:13" x14ac:dyDescent="0.2">
      <c r="A120" s="4">
        <v>119</v>
      </c>
      <c r="B120" s="4" t="s">
        <v>251</v>
      </c>
      <c r="C120" s="4">
        <v>1343.2</v>
      </c>
      <c r="D120" s="4">
        <v>4.45</v>
      </c>
      <c r="E120" s="4">
        <v>0</v>
      </c>
      <c r="F120" s="4">
        <v>0.35</v>
      </c>
      <c r="G120" s="4">
        <v>74.59</v>
      </c>
      <c r="H120" s="4">
        <v>107</v>
      </c>
      <c r="I120" s="4">
        <v>0</v>
      </c>
      <c r="J120" s="4" t="s">
        <v>14</v>
      </c>
      <c r="K120" s="4">
        <v>857862.39</v>
      </c>
      <c r="L120" s="4" t="s">
        <v>15</v>
      </c>
      <c r="M120" s="4" t="s">
        <v>38</v>
      </c>
    </row>
    <row r="121" spans="1:13" x14ac:dyDescent="0.2">
      <c r="A121" s="4">
        <v>120</v>
      </c>
      <c r="B121" s="4" t="s">
        <v>252</v>
      </c>
      <c r="C121" s="4">
        <v>1300.0999999999999</v>
      </c>
      <c r="D121" s="4">
        <v>4.43</v>
      </c>
      <c r="E121" s="4">
        <v>0</v>
      </c>
      <c r="F121" s="4">
        <v>0.36</v>
      </c>
      <c r="G121" s="4">
        <v>110.67</v>
      </c>
      <c r="H121" s="4">
        <v>106.1</v>
      </c>
      <c r="I121" s="4">
        <v>0</v>
      </c>
      <c r="J121" s="4" t="s">
        <v>14</v>
      </c>
      <c r="K121" s="4">
        <v>821389.31</v>
      </c>
      <c r="L121" s="4" t="s">
        <v>15</v>
      </c>
      <c r="M121" s="4" t="s">
        <v>38</v>
      </c>
    </row>
    <row r="122" spans="1:13" x14ac:dyDescent="0.2">
      <c r="A122" s="4">
        <v>121</v>
      </c>
      <c r="B122" s="4" t="s">
        <v>253</v>
      </c>
      <c r="C122" s="4">
        <v>485.8</v>
      </c>
      <c r="D122" s="4">
        <v>3.81</v>
      </c>
      <c r="E122" s="4">
        <v>0</v>
      </c>
      <c r="F122" s="4">
        <v>0.32</v>
      </c>
      <c r="G122" s="4">
        <v>42.84</v>
      </c>
      <c r="H122" s="4">
        <v>41.1</v>
      </c>
      <c r="I122" s="4">
        <v>0</v>
      </c>
      <c r="J122" s="4" t="s">
        <v>14</v>
      </c>
      <c r="K122" s="4">
        <v>324215.42</v>
      </c>
      <c r="L122" s="4" t="s">
        <v>44</v>
      </c>
      <c r="M122" s="4" t="s">
        <v>38</v>
      </c>
    </row>
    <row r="123" spans="1:13" x14ac:dyDescent="0.2">
      <c r="A123" s="4">
        <v>122</v>
      </c>
      <c r="B123" s="4" t="s">
        <v>254</v>
      </c>
      <c r="C123" s="4">
        <v>445.6</v>
      </c>
      <c r="D123" s="4">
        <v>4.2699999999999996</v>
      </c>
      <c r="E123" s="4">
        <v>0</v>
      </c>
      <c r="F123" s="4">
        <v>0.22</v>
      </c>
      <c r="G123" s="4">
        <v>21.48</v>
      </c>
      <c r="H123" s="4">
        <v>23</v>
      </c>
      <c r="I123" s="4">
        <v>0</v>
      </c>
      <c r="J123" s="4" t="s">
        <v>14</v>
      </c>
      <c r="K123" s="4">
        <v>239211.25</v>
      </c>
      <c r="L123" s="4" t="s">
        <v>15</v>
      </c>
      <c r="M123" s="4" t="s">
        <v>38</v>
      </c>
    </row>
    <row r="124" spans="1:13" x14ac:dyDescent="0.2">
      <c r="A124" s="4">
        <v>123</v>
      </c>
      <c r="B124" s="4" t="s">
        <v>255</v>
      </c>
      <c r="C124" s="4">
        <v>1001</v>
      </c>
      <c r="D124" s="4">
        <v>3.75</v>
      </c>
      <c r="E124" s="4">
        <v>0</v>
      </c>
      <c r="F124" s="4">
        <v>0.22</v>
      </c>
      <c r="G124" s="4">
        <v>66.77</v>
      </c>
      <c r="H124" s="4">
        <v>58.5</v>
      </c>
      <c r="I124" s="4">
        <v>0</v>
      </c>
      <c r="J124" s="4" t="s">
        <v>14</v>
      </c>
      <c r="K124" s="4">
        <v>628834.24</v>
      </c>
      <c r="L124" s="4" t="s">
        <v>15</v>
      </c>
      <c r="M124" s="4" t="s">
        <v>38</v>
      </c>
    </row>
    <row r="125" spans="1:13" x14ac:dyDescent="0.2">
      <c r="A125" s="4">
        <v>124</v>
      </c>
      <c r="B125" s="4" t="s">
        <v>256</v>
      </c>
      <c r="C125" s="4">
        <v>1639.4</v>
      </c>
      <c r="D125" s="4">
        <v>3.62</v>
      </c>
      <c r="E125" s="4">
        <v>0</v>
      </c>
      <c r="F125" s="4">
        <v>0.21</v>
      </c>
      <c r="G125" s="4">
        <v>118.36</v>
      </c>
      <c r="H125" s="4">
        <v>96.8</v>
      </c>
      <c r="I125" s="4">
        <v>0</v>
      </c>
      <c r="J125" s="4" t="s">
        <v>14</v>
      </c>
      <c r="K125" s="4">
        <v>1190672.1000000001</v>
      </c>
      <c r="L125" s="4" t="s">
        <v>15</v>
      </c>
      <c r="M125" s="4" t="s">
        <v>38</v>
      </c>
    </row>
    <row r="126" spans="1:13" x14ac:dyDescent="0.2">
      <c r="A126" s="4">
        <v>125</v>
      </c>
      <c r="B126" s="4" t="s">
        <v>257</v>
      </c>
      <c r="C126" s="4">
        <v>1080.0999999999999</v>
      </c>
      <c r="D126" s="4">
        <v>3.28</v>
      </c>
      <c r="E126" s="4">
        <v>0</v>
      </c>
      <c r="F126" s="4">
        <v>0.27</v>
      </c>
      <c r="G126" s="4">
        <v>82.36</v>
      </c>
      <c r="H126" s="4">
        <v>90</v>
      </c>
      <c r="I126" s="4">
        <v>0</v>
      </c>
      <c r="J126" s="4" t="s">
        <v>14</v>
      </c>
      <c r="K126" s="4">
        <v>533111.82999999996</v>
      </c>
      <c r="L126" s="4" t="s">
        <v>15</v>
      </c>
      <c r="M126" s="4" t="s">
        <v>141</v>
      </c>
    </row>
    <row r="127" spans="1:13" x14ac:dyDescent="0.2">
      <c r="A127" s="4">
        <v>126</v>
      </c>
      <c r="B127" s="4" t="s">
        <v>258</v>
      </c>
      <c r="C127" s="4">
        <v>1669.3</v>
      </c>
      <c r="D127" s="4">
        <v>3.34</v>
      </c>
      <c r="E127" s="4">
        <v>0</v>
      </c>
      <c r="F127" s="4">
        <v>0.28000000000000003</v>
      </c>
      <c r="G127" s="4">
        <v>134.27000000000001</v>
      </c>
      <c r="H127" s="4">
        <v>139.9</v>
      </c>
      <c r="I127" s="4">
        <v>0</v>
      </c>
      <c r="J127" s="4" t="s">
        <v>14</v>
      </c>
      <c r="K127" s="4">
        <v>822136.95</v>
      </c>
      <c r="L127" s="4" t="s">
        <v>44</v>
      </c>
      <c r="M127" s="4" t="s">
        <v>141</v>
      </c>
    </row>
    <row r="128" spans="1:13" x14ac:dyDescent="0.2">
      <c r="A128" s="4">
        <v>127</v>
      </c>
      <c r="B128" s="4" t="s">
        <v>259</v>
      </c>
      <c r="C128" s="4">
        <v>1330.7</v>
      </c>
      <c r="D128" s="4">
        <v>2.9</v>
      </c>
      <c r="E128" s="4">
        <v>0</v>
      </c>
      <c r="F128" s="4">
        <v>0.39</v>
      </c>
      <c r="G128" s="4">
        <v>171.73</v>
      </c>
      <c r="H128" s="4">
        <v>181.2</v>
      </c>
      <c r="I128" s="4">
        <v>0</v>
      </c>
      <c r="J128" s="4" t="s">
        <v>14</v>
      </c>
      <c r="K128" s="4">
        <v>718335.31</v>
      </c>
      <c r="L128" s="4" t="s">
        <v>15</v>
      </c>
      <c r="M128" s="4" t="s">
        <v>260</v>
      </c>
    </row>
    <row r="129" spans="1:13" x14ac:dyDescent="0.2">
      <c r="A129" s="4">
        <v>128</v>
      </c>
      <c r="B129" s="4" t="s">
        <v>261</v>
      </c>
      <c r="C129" s="4">
        <v>1400</v>
      </c>
      <c r="D129" s="4">
        <v>2.97</v>
      </c>
      <c r="E129" s="4">
        <v>85.3</v>
      </c>
      <c r="F129" s="4">
        <v>0.4</v>
      </c>
      <c r="G129" s="4">
        <v>179.1</v>
      </c>
      <c r="H129" s="4">
        <v>188.7</v>
      </c>
      <c r="I129" s="4">
        <v>85.4</v>
      </c>
      <c r="J129" s="4">
        <v>74.900000000000006</v>
      </c>
      <c r="K129" s="4">
        <v>859726.31</v>
      </c>
      <c r="L129" s="4" t="s">
        <v>15</v>
      </c>
      <c r="M129" s="4" t="s">
        <v>260</v>
      </c>
    </row>
    <row r="130" spans="1:13" x14ac:dyDescent="0.2">
      <c r="A130" s="4">
        <v>129</v>
      </c>
      <c r="B130" s="4" t="s">
        <v>262</v>
      </c>
      <c r="C130" s="4">
        <v>70.099999999999994</v>
      </c>
      <c r="D130" s="4">
        <v>4.3899999999999997</v>
      </c>
      <c r="E130" s="4">
        <v>90</v>
      </c>
      <c r="F130" s="4">
        <v>0.24</v>
      </c>
      <c r="G130" s="4">
        <v>5.1100000000000003</v>
      </c>
      <c r="H130" s="4">
        <v>3.8</v>
      </c>
      <c r="I130" s="4">
        <v>48.5</v>
      </c>
      <c r="J130" s="4">
        <v>79</v>
      </c>
      <c r="K130" s="4">
        <v>33817.29</v>
      </c>
      <c r="L130" s="4" t="s">
        <v>15</v>
      </c>
      <c r="M130" s="4" t="s">
        <v>55</v>
      </c>
    </row>
    <row r="131" spans="1:13" x14ac:dyDescent="0.2">
      <c r="A131" s="4">
        <v>130</v>
      </c>
      <c r="B131" s="4" t="s">
        <v>263</v>
      </c>
      <c r="C131" s="4">
        <v>45.8</v>
      </c>
      <c r="D131" s="4">
        <v>3.76</v>
      </c>
      <c r="E131" s="4">
        <v>80</v>
      </c>
      <c r="F131" s="4">
        <v>0.28999999999999998</v>
      </c>
      <c r="G131" s="4">
        <v>4.0199999999999996</v>
      </c>
      <c r="H131" s="4">
        <v>3.5</v>
      </c>
      <c r="I131" s="4">
        <v>66.900000000000006</v>
      </c>
      <c r="J131" s="4">
        <v>70.3</v>
      </c>
      <c r="K131" s="4">
        <v>24376.55</v>
      </c>
      <c r="L131" s="4" t="s">
        <v>15</v>
      </c>
      <c r="M131" s="4" t="s">
        <v>141</v>
      </c>
    </row>
    <row r="132" spans="1:13" x14ac:dyDescent="0.2">
      <c r="A132" s="4">
        <v>131</v>
      </c>
      <c r="B132" s="4" t="s">
        <v>146</v>
      </c>
      <c r="C132" s="4">
        <v>431</v>
      </c>
      <c r="D132" s="4">
        <v>3.59</v>
      </c>
      <c r="E132" s="4">
        <v>0</v>
      </c>
      <c r="F132" s="4">
        <v>0.32</v>
      </c>
      <c r="G132" s="4">
        <v>35.340000000000003</v>
      </c>
      <c r="H132" s="4">
        <v>37.799999999999997</v>
      </c>
      <c r="I132" s="4">
        <v>0</v>
      </c>
      <c r="J132" s="4" t="s">
        <v>14</v>
      </c>
      <c r="K132" s="4">
        <v>39665.910000000003</v>
      </c>
      <c r="L132" s="4" t="s">
        <v>44</v>
      </c>
      <c r="M132" s="4" t="s">
        <v>141</v>
      </c>
    </row>
    <row r="133" spans="1:13" x14ac:dyDescent="0.2">
      <c r="A133" s="4">
        <v>132</v>
      </c>
      <c r="B133" s="4" t="s">
        <v>264</v>
      </c>
      <c r="C133" s="4">
        <v>174.2</v>
      </c>
      <c r="D133" s="4">
        <v>3.98</v>
      </c>
      <c r="E133" s="4">
        <v>0</v>
      </c>
      <c r="F133" s="4">
        <v>0.27</v>
      </c>
      <c r="G133" s="4">
        <v>14.87</v>
      </c>
      <c r="H133" s="4">
        <v>11.9</v>
      </c>
      <c r="I133" s="4">
        <v>0</v>
      </c>
      <c r="J133" s="4" t="s">
        <v>14</v>
      </c>
      <c r="K133" s="4">
        <v>87095.92</v>
      </c>
      <c r="L133" s="4" t="s">
        <v>15</v>
      </c>
      <c r="M133" s="4" t="s">
        <v>265</v>
      </c>
    </row>
    <row r="134" spans="1:13" x14ac:dyDescent="0.2">
      <c r="A134" s="4">
        <v>133</v>
      </c>
      <c r="B134" s="4" t="s">
        <v>266</v>
      </c>
      <c r="C134" s="4">
        <v>270.39999999999998</v>
      </c>
      <c r="D134" s="4">
        <v>3.79</v>
      </c>
      <c r="E134" s="4">
        <v>74.7</v>
      </c>
      <c r="F134" s="4">
        <v>0.3</v>
      </c>
      <c r="G134" s="4">
        <v>22.16</v>
      </c>
      <c r="H134" s="4">
        <v>21.1</v>
      </c>
      <c r="I134" s="4">
        <v>65.900000000000006</v>
      </c>
      <c r="J134" s="4">
        <v>67.8</v>
      </c>
      <c r="K134" s="4">
        <v>130264.5</v>
      </c>
      <c r="L134" s="4" t="s">
        <v>15</v>
      </c>
      <c r="M134" s="4" t="s">
        <v>141</v>
      </c>
    </row>
    <row r="135" spans="1:13" x14ac:dyDescent="0.2">
      <c r="A135" s="4">
        <v>134</v>
      </c>
      <c r="B135" s="4" t="s">
        <v>267</v>
      </c>
      <c r="C135" s="4">
        <v>98.7</v>
      </c>
      <c r="D135" s="4">
        <v>3.05</v>
      </c>
      <c r="E135" s="4">
        <v>71.5</v>
      </c>
      <c r="F135" s="4">
        <v>0.23</v>
      </c>
      <c r="G135" s="4">
        <v>7.92</v>
      </c>
      <c r="H135" s="4">
        <v>7.6</v>
      </c>
      <c r="I135" s="4">
        <v>72.7</v>
      </c>
      <c r="J135" s="4">
        <v>66.2</v>
      </c>
      <c r="K135" s="4">
        <v>54360.79</v>
      </c>
      <c r="L135" s="4" t="s">
        <v>15</v>
      </c>
      <c r="M135" s="4" t="s">
        <v>141</v>
      </c>
    </row>
    <row r="136" spans="1:13" x14ac:dyDescent="0.2">
      <c r="A136" s="4">
        <v>135</v>
      </c>
      <c r="B136" s="4" t="s">
        <v>268</v>
      </c>
      <c r="C136" s="4">
        <v>508.4</v>
      </c>
      <c r="D136" s="4">
        <v>3.72</v>
      </c>
      <c r="E136" s="4">
        <v>0</v>
      </c>
      <c r="F136" s="4">
        <v>0.28999999999999998</v>
      </c>
      <c r="G136" s="4">
        <v>39.74</v>
      </c>
      <c r="H136" s="4">
        <v>39.700000000000003</v>
      </c>
      <c r="I136" s="4">
        <v>0</v>
      </c>
      <c r="J136" s="4" t="s">
        <v>14</v>
      </c>
      <c r="K136" s="4">
        <v>257533.03</v>
      </c>
      <c r="L136" s="4" t="s">
        <v>15</v>
      </c>
      <c r="M136" s="4" t="s">
        <v>141</v>
      </c>
    </row>
    <row r="137" spans="1:13" x14ac:dyDescent="0.2">
      <c r="A137" s="4">
        <v>136</v>
      </c>
      <c r="B137" s="4" t="s">
        <v>269</v>
      </c>
      <c r="C137" s="4">
        <v>322.3</v>
      </c>
      <c r="D137" s="4">
        <v>3.51</v>
      </c>
      <c r="E137" s="4">
        <v>0</v>
      </c>
      <c r="F137" s="4">
        <v>0.25</v>
      </c>
      <c r="G137" s="4">
        <v>27.08</v>
      </c>
      <c r="H137" s="4">
        <v>23.1</v>
      </c>
      <c r="I137" s="4">
        <v>0</v>
      </c>
      <c r="J137" s="4" t="s">
        <v>14</v>
      </c>
      <c r="K137" s="4">
        <v>155701.15</v>
      </c>
      <c r="L137" s="4" t="s">
        <v>15</v>
      </c>
      <c r="M137" s="4" t="s">
        <v>91</v>
      </c>
    </row>
    <row r="138" spans="1:13" x14ac:dyDescent="0.2">
      <c r="A138" s="4">
        <v>137</v>
      </c>
      <c r="B138" s="4" t="s">
        <v>270</v>
      </c>
      <c r="C138" s="4">
        <v>1073.3</v>
      </c>
      <c r="D138" s="4">
        <v>3.19</v>
      </c>
      <c r="E138" s="4">
        <v>66.099999999999994</v>
      </c>
      <c r="F138" s="4">
        <v>0.27</v>
      </c>
      <c r="G138" s="4">
        <v>88.28</v>
      </c>
      <c r="H138" s="4">
        <v>91.2</v>
      </c>
      <c r="I138" s="4">
        <v>64.3</v>
      </c>
      <c r="J138" s="4">
        <v>61.6</v>
      </c>
      <c r="K138" s="4">
        <v>537857.04</v>
      </c>
      <c r="L138" s="4" t="s">
        <v>15</v>
      </c>
      <c r="M138" s="4" t="s">
        <v>141</v>
      </c>
    </row>
    <row r="139" spans="1:13" x14ac:dyDescent="0.2">
      <c r="A139" s="4">
        <v>138</v>
      </c>
      <c r="B139" s="4" t="s">
        <v>271</v>
      </c>
      <c r="C139" s="4">
        <v>1727.4</v>
      </c>
      <c r="D139" s="4">
        <v>3.47</v>
      </c>
      <c r="E139" s="4">
        <v>73.8</v>
      </c>
      <c r="F139" s="4">
        <v>0.24</v>
      </c>
      <c r="G139" s="4">
        <v>144.13</v>
      </c>
      <c r="H139" s="4">
        <v>117.1</v>
      </c>
      <c r="I139" s="4">
        <v>56.1</v>
      </c>
      <c r="J139" s="4">
        <v>68.7</v>
      </c>
      <c r="K139" s="4">
        <v>901900.48</v>
      </c>
      <c r="L139" s="4" t="s">
        <v>15</v>
      </c>
      <c r="M139" s="4" t="s">
        <v>55</v>
      </c>
    </row>
    <row r="140" spans="1:13" x14ac:dyDescent="0.2">
      <c r="A140" s="4">
        <v>139</v>
      </c>
      <c r="B140" s="4" t="s">
        <v>272</v>
      </c>
      <c r="C140" s="4">
        <v>1182</v>
      </c>
      <c r="D140" s="4">
        <v>3.32</v>
      </c>
      <c r="E140" s="4">
        <v>68.3</v>
      </c>
      <c r="F140" s="4">
        <v>0.28000000000000003</v>
      </c>
      <c r="G140" s="4">
        <v>89.86</v>
      </c>
      <c r="H140" s="4">
        <v>99.5</v>
      </c>
      <c r="I140" s="4">
        <v>62</v>
      </c>
      <c r="J140" s="4">
        <v>66.8</v>
      </c>
      <c r="K140" s="4">
        <v>649062.68999999994</v>
      </c>
      <c r="L140" s="4" t="s">
        <v>15</v>
      </c>
      <c r="M140" s="4" t="s">
        <v>55</v>
      </c>
    </row>
    <row r="141" spans="1:13" x14ac:dyDescent="0.2">
      <c r="A141" s="4">
        <v>140</v>
      </c>
      <c r="B141" s="4" t="s">
        <v>273</v>
      </c>
      <c r="C141" s="4">
        <v>565.29999999999995</v>
      </c>
      <c r="D141" s="4">
        <v>2.2400000000000002</v>
      </c>
      <c r="E141" s="4">
        <v>0</v>
      </c>
      <c r="F141" s="4">
        <v>0.24</v>
      </c>
      <c r="G141" s="4">
        <v>63.83</v>
      </c>
      <c r="H141" s="4">
        <v>61.4</v>
      </c>
      <c r="I141" s="4">
        <v>0</v>
      </c>
      <c r="J141" s="4" t="s">
        <v>14</v>
      </c>
      <c r="K141" s="4">
        <v>741137.91</v>
      </c>
      <c r="L141" s="4" t="s">
        <v>15</v>
      </c>
      <c r="M141" s="4" t="s">
        <v>16</v>
      </c>
    </row>
    <row r="142" spans="1:13" x14ac:dyDescent="0.2">
      <c r="A142" s="4">
        <v>141</v>
      </c>
      <c r="B142" s="4" t="s">
        <v>274</v>
      </c>
      <c r="C142" s="4">
        <v>789.7</v>
      </c>
      <c r="D142" s="4">
        <v>2.69</v>
      </c>
      <c r="E142" s="4">
        <v>0</v>
      </c>
      <c r="F142" s="4">
        <v>0.32</v>
      </c>
      <c r="G142" s="4">
        <v>90.8</v>
      </c>
      <c r="H142" s="4">
        <v>95.2</v>
      </c>
      <c r="I142" s="4">
        <v>0</v>
      </c>
      <c r="J142" s="4" t="s">
        <v>14</v>
      </c>
      <c r="K142" s="4">
        <v>934209.23</v>
      </c>
      <c r="L142" s="4" t="s">
        <v>44</v>
      </c>
      <c r="M142" s="4" t="s">
        <v>16</v>
      </c>
    </row>
    <row r="143" spans="1:13" x14ac:dyDescent="0.2">
      <c r="A143" s="4">
        <v>142</v>
      </c>
      <c r="B143" s="4" t="s">
        <v>275</v>
      </c>
      <c r="C143" s="4">
        <v>1659.3</v>
      </c>
      <c r="D143" s="4">
        <v>3.35</v>
      </c>
      <c r="E143" s="4">
        <v>0</v>
      </c>
      <c r="F143" s="4">
        <v>0.2</v>
      </c>
      <c r="G143" s="4">
        <v>126.86</v>
      </c>
      <c r="H143" s="4">
        <v>98.5</v>
      </c>
      <c r="I143" s="4">
        <v>0</v>
      </c>
      <c r="J143" s="4" t="s">
        <v>14</v>
      </c>
      <c r="K143" s="4">
        <v>1783751.09</v>
      </c>
      <c r="L143" s="4" t="s">
        <v>15</v>
      </c>
      <c r="M143" s="4" t="s">
        <v>55</v>
      </c>
    </row>
    <row r="144" spans="1:13" x14ac:dyDescent="0.2">
      <c r="A144" s="4">
        <v>143</v>
      </c>
      <c r="B144" s="4" t="s">
        <v>276</v>
      </c>
      <c r="C144" s="4">
        <v>2124.5</v>
      </c>
      <c r="D144" s="4">
        <v>4.25</v>
      </c>
      <c r="E144" s="4">
        <v>0</v>
      </c>
      <c r="F144" s="4">
        <v>0.25</v>
      </c>
      <c r="G144" s="4">
        <v>157.91999999999999</v>
      </c>
      <c r="H144" s="4">
        <v>123.3</v>
      </c>
      <c r="I144" s="4">
        <v>0</v>
      </c>
      <c r="J144" s="4" t="s">
        <v>14</v>
      </c>
      <c r="K144" s="4">
        <v>2790799.29</v>
      </c>
      <c r="L144" s="4" t="s">
        <v>15</v>
      </c>
      <c r="M144" s="4" t="s">
        <v>141</v>
      </c>
    </row>
    <row r="145" spans="1:13" x14ac:dyDescent="0.2">
      <c r="A145" s="4">
        <v>144</v>
      </c>
      <c r="B145" s="4" t="s">
        <v>277</v>
      </c>
      <c r="C145" s="4">
        <v>2137.4</v>
      </c>
      <c r="D145" s="4">
        <v>4.57</v>
      </c>
      <c r="E145" s="4">
        <v>0</v>
      </c>
      <c r="F145" s="4">
        <v>0.28000000000000003</v>
      </c>
      <c r="G145" s="4">
        <v>166.81</v>
      </c>
      <c r="H145" s="4">
        <v>129.5</v>
      </c>
      <c r="I145" s="4">
        <v>0</v>
      </c>
      <c r="J145" s="4" t="s">
        <v>14</v>
      </c>
      <c r="K145" s="4">
        <v>2454412.58</v>
      </c>
      <c r="L145" s="4" t="s">
        <v>15</v>
      </c>
      <c r="M145" s="4" t="s">
        <v>141</v>
      </c>
    </row>
    <row r="146" spans="1:13" x14ac:dyDescent="0.2">
      <c r="A146" s="4">
        <v>145</v>
      </c>
      <c r="B146" s="4" t="s">
        <v>278</v>
      </c>
      <c r="C146" s="4">
        <v>2265.6</v>
      </c>
      <c r="D146" s="4">
        <v>4.54</v>
      </c>
      <c r="E146" s="4">
        <v>0</v>
      </c>
      <c r="F146" s="4">
        <v>0.25</v>
      </c>
      <c r="G146" s="4">
        <v>156.88999999999999</v>
      </c>
      <c r="H146" s="4">
        <v>123.3</v>
      </c>
      <c r="I146" s="4">
        <v>0</v>
      </c>
      <c r="J146" s="4" t="s">
        <v>14</v>
      </c>
      <c r="K146" s="4">
        <v>2647713.2000000002</v>
      </c>
      <c r="L146" s="4" t="s">
        <v>15</v>
      </c>
      <c r="M146" s="4" t="s">
        <v>141</v>
      </c>
    </row>
    <row r="147" spans="1:13" x14ac:dyDescent="0.2">
      <c r="A147" s="4">
        <v>146</v>
      </c>
      <c r="B147" s="4" t="s">
        <v>279</v>
      </c>
      <c r="C147" s="4">
        <v>1374.7</v>
      </c>
      <c r="D147" s="4">
        <v>4.59</v>
      </c>
      <c r="E147" s="4">
        <v>0</v>
      </c>
      <c r="F147" s="4">
        <v>0.28999999999999998</v>
      </c>
      <c r="G147" s="4">
        <v>109.84</v>
      </c>
      <c r="H147" s="4">
        <v>85.5</v>
      </c>
      <c r="I147" s="4">
        <v>0</v>
      </c>
      <c r="J147" s="4" t="s">
        <v>14</v>
      </c>
      <c r="K147" s="4">
        <v>1610522.35</v>
      </c>
      <c r="L147" s="4" t="s">
        <v>44</v>
      </c>
      <c r="M147" s="4" t="s">
        <v>141</v>
      </c>
    </row>
    <row r="148" spans="1:13" x14ac:dyDescent="0.2">
      <c r="A148" s="4">
        <v>147</v>
      </c>
      <c r="B148" s="4" t="s">
        <v>280</v>
      </c>
      <c r="C148" s="4">
        <v>1041.2</v>
      </c>
      <c r="D148" s="4">
        <v>3.48</v>
      </c>
      <c r="E148" s="4">
        <v>0</v>
      </c>
      <c r="F148" s="4">
        <v>0.24</v>
      </c>
      <c r="G148" s="4">
        <v>88.51</v>
      </c>
      <c r="H148" s="4">
        <v>71.5</v>
      </c>
      <c r="I148" s="4">
        <v>0</v>
      </c>
      <c r="J148" s="4" t="s">
        <v>14</v>
      </c>
      <c r="K148" s="4">
        <v>1373546.28</v>
      </c>
      <c r="L148" s="4" t="s">
        <v>15</v>
      </c>
      <c r="M148" s="4" t="s">
        <v>141</v>
      </c>
    </row>
    <row r="149" spans="1:13" x14ac:dyDescent="0.2">
      <c r="A149" s="4">
        <v>148</v>
      </c>
      <c r="B149" s="4" t="s">
        <v>281</v>
      </c>
      <c r="C149" s="4">
        <v>1264.5999999999999</v>
      </c>
      <c r="D149" s="4">
        <v>3.07</v>
      </c>
      <c r="E149" s="4">
        <v>68.3</v>
      </c>
      <c r="F149" s="4">
        <v>0.27</v>
      </c>
      <c r="G149" s="4">
        <v>107.66</v>
      </c>
      <c r="H149" s="4">
        <v>109.8</v>
      </c>
      <c r="I149" s="4">
        <v>72.8</v>
      </c>
      <c r="J149" s="4">
        <v>63.1</v>
      </c>
      <c r="K149" s="4">
        <v>513158.5</v>
      </c>
      <c r="L149" s="4" t="s">
        <v>15</v>
      </c>
      <c r="M149" s="4" t="s">
        <v>141</v>
      </c>
    </row>
    <row r="150" spans="1:13" x14ac:dyDescent="0.2">
      <c r="A150" s="4">
        <v>149</v>
      </c>
      <c r="B150" s="4" t="s">
        <v>282</v>
      </c>
      <c r="C150" s="4">
        <v>633.4</v>
      </c>
      <c r="D150" s="4">
        <v>3.14</v>
      </c>
      <c r="E150" s="4">
        <v>65.400000000000006</v>
      </c>
      <c r="F150" s="4">
        <v>0.26</v>
      </c>
      <c r="G150" s="4">
        <v>53.79</v>
      </c>
      <c r="H150" s="4">
        <v>52.5</v>
      </c>
      <c r="I150" s="4">
        <v>64.400000000000006</v>
      </c>
      <c r="J150" s="4">
        <v>61.3</v>
      </c>
      <c r="K150" s="4">
        <v>324375.93</v>
      </c>
      <c r="L150" s="4" t="s">
        <v>15</v>
      </c>
      <c r="M150" s="4" t="s">
        <v>38</v>
      </c>
    </row>
    <row r="151" spans="1:13" x14ac:dyDescent="0.2">
      <c r="A151" s="4">
        <v>150</v>
      </c>
      <c r="B151" s="4" t="s">
        <v>283</v>
      </c>
      <c r="C151" s="4">
        <v>592.6</v>
      </c>
      <c r="D151" s="4">
        <v>3.41</v>
      </c>
      <c r="E151" s="4">
        <v>74.2</v>
      </c>
      <c r="F151" s="4">
        <v>0.28999999999999998</v>
      </c>
      <c r="G151" s="4">
        <v>50.78</v>
      </c>
      <c r="H151" s="4">
        <v>50.7</v>
      </c>
      <c r="I151" s="4">
        <v>72.7</v>
      </c>
      <c r="J151" s="4">
        <v>66.3</v>
      </c>
      <c r="K151" s="4">
        <v>293221.71999999997</v>
      </c>
      <c r="L151" s="4" t="s">
        <v>15</v>
      </c>
      <c r="M151" s="4" t="s">
        <v>38</v>
      </c>
    </row>
    <row r="152" spans="1:13" x14ac:dyDescent="0.2">
      <c r="A152" s="4">
        <v>151</v>
      </c>
      <c r="B152" s="4" t="s">
        <v>284</v>
      </c>
      <c r="C152" s="4">
        <v>832.5</v>
      </c>
      <c r="D152" s="4">
        <v>3.86</v>
      </c>
      <c r="E152" s="4">
        <v>79.900000000000006</v>
      </c>
      <c r="F152" s="4">
        <v>0.32</v>
      </c>
      <c r="G152" s="4">
        <v>69.239999999999995</v>
      </c>
      <c r="H152" s="4">
        <v>68.2</v>
      </c>
      <c r="I152" s="4">
        <v>76.7</v>
      </c>
      <c r="J152" s="4">
        <v>70.7</v>
      </c>
      <c r="K152" s="4">
        <v>276057.09999999998</v>
      </c>
      <c r="L152" s="4" t="s">
        <v>15</v>
      </c>
      <c r="M152" s="4" t="s">
        <v>55</v>
      </c>
    </row>
    <row r="153" spans="1:13" x14ac:dyDescent="0.2">
      <c r="A153" s="4">
        <v>152</v>
      </c>
      <c r="B153" s="4" t="s">
        <v>285</v>
      </c>
      <c r="C153" s="4">
        <v>1260.5999999999999</v>
      </c>
      <c r="D153" s="4">
        <v>3.57</v>
      </c>
      <c r="E153" s="4">
        <v>2.2000000000000002</v>
      </c>
      <c r="F153" s="4">
        <v>0.27</v>
      </c>
      <c r="G153" s="4">
        <v>105.39</v>
      </c>
      <c r="H153" s="4">
        <v>93.6</v>
      </c>
      <c r="I153" s="4">
        <v>79.400000000000006</v>
      </c>
      <c r="J153" s="4">
        <v>1.9</v>
      </c>
      <c r="K153" s="4">
        <v>518777.73</v>
      </c>
      <c r="L153" s="4" t="s">
        <v>15</v>
      </c>
      <c r="M153" s="4" t="s">
        <v>91</v>
      </c>
    </row>
    <row r="154" spans="1:13" x14ac:dyDescent="0.2">
      <c r="A154" s="4">
        <v>153</v>
      </c>
      <c r="B154" s="4" t="s">
        <v>286</v>
      </c>
      <c r="C154" s="4">
        <v>734.2</v>
      </c>
      <c r="D154" s="4">
        <v>3.05</v>
      </c>
      <c r="E154" s="4">
        <v>82.4</v>
      </c>
      <c r="F154" s="4">
        <v>0.34</v>
      </c>
      <c r="G154" s="4">
        <v>79.52</v>
      </c>
      <c r="H154" s="4">
        <v>80.8</v>
      </c>
      <c r="I154" s="4">
        <v>82.2</v>
      </c>
      <c r="J154" s="4">
        <v>74</v>
      </c>
      <c r="K154" s="4">
        <v>320293.51</v>
      </c>
      <c r="L154" s="4" t="s">
        <v>15</v>
      </c>
      <c r="M154" s="4" t="s">
        <v>188</v>
      </c>
    </row>
    <row r="155" spans="1:13" x14ac:dyDescent="0.2">
      <c r="A155" s="4">
        <v>154</v>
      </c>
      <c r="B155" s="4" t="s">
        <v>287</v>
      </c>
      <c r="C155" s="4">
        <v>292</v>
      </c>
      <c r="D155" s="4">
        <v>3.53</v>
      </c>
      <c r="E155" s="4">
        <v>3.1</v>
      </c>
      <c r="F155" s="4">
        <v>0.34</v>
      </c>
      <c r="G155" s="4">
        <v>29.02</v>
      </c>
      <c r="H155" s="4">
        <v>28.2</v>
      </c>
      <c r="I155" s="4">
        <v>31.6</v>
      </c>
      <c r="J155" s="4">
        <v>2.5</v>
      </c>
      <c r="K155" s="4">
        <v>124898.78</v>
      </c>
      <c r="L155" s="4" t="s">
        <v>15</v>
      </c>
      <c r="M155" s="4" t="s">
        <v>16</v>
      </c>
    </row>
    <row r="156" spans="1:13" x14ac:dyDescent="0.2">
      <c r="A156" s="4">
        <v>155</v>
      </c>
      <c r="B156" s="4" t="s">
        <v>288</v>
      </c>
      <c r="C156" s="4">
        <v>619.5</v>
      </c>
      <c r="D156" s="4">
        <v>3.34</v>
      </c>
      <c r="E156" s="4">
        <v>78</v>
      </c>
      <c r="F156" s="4">
        <v>0.27</v>
      </c>
      <c r="G156" s="4">
        <v>52.51</v>
      </c>
      <c r="H156" s="4">
        <v>50.1</v>
      </c>
      <c r="I156" s="4">
        <v>68.3</v>
      </c>
      <c r="J156" s="4">
        <v>71.400000000000006</v>
      </c>
      <c r="K156" s="4">
        <v>235755.7</v>
      </c>
      <c r="L156" s="4" t="s">
        <v>15</v>
      </c>
      <c r="M156" s="4" t="s">
        <v>16</v>
      </c>
    </row>
    <row r="157" spans="1:13" x14ac:dyDescent="0.2">
      <c r="A157" s="4">
        <v>156</v>
      </c>
      <c r="B157" s="4" t="s">
        <v>289</v>
      </c>
      <c r="C157" s="4">
        <v>504.9</v>
      </c>
      <c r="D157" s="4">
        <v>3.48</v>
      </c>
      <c r="E157" s="4">
        <v>0</v>
      </c>
      <c r="F157" s="4">
        <v>0.26</v>
      </c>
      <c r="G157" s="4">
        <v>40.39</v>
      </c>
      <c r="H157" s="4">
        <v>38.4</v>
      </c>
      <c r="I157" s="4">
        <v>0</v>
      </c>
      <c r="J157" s="4" t="s">
        <v>14</v>
      </c>
      <c r="K157" s="4">
        <v>229181.59</v>
      </c>
      <c r="L157" s="4" t="s">
        <v>15</v>
      </c>
      <c r="M157" s="4" t="s">
        <v>141</v>
      </c>
    </row>
    <row r="158" spans="1:13" x14ac:dyDescent="0.2">
      <c r="A158" s="4">
        <v>157</v>
      </c>
      <c r="B158" s="4" t="s">
        <v>290</v>
      </c>
      <c r="C158" s="4">
        <v>725.8</v>
      </c>
      <c r="D158" s="4">
        <v>3.89</v>
      </c>
      <c r="E158" s="4">
        <v>0</v>
      </c>
      <c r="F158" s="4">
        <v>0.3</v>
      </c>
      <c r="G158" s="4">
        <v>60.73</v>
      </c>
      <c r="H158" s="4">
        <v>56.2</v>
      </c>
      <c r="I158" s="4">
        <v>0</v>
      </c>
      <c r="J158" s="4" t="s">
        <v>14</v>
      </c>
      <c r="K158" s="4">
        <v>298836.23</v>
      </c>
      <c r="L158" s="4" t="s">
        <v>15</v>
      </c>
      <c r="M158" s="4" t="s">
        <v>141</v>
      </c>
    </row>
    <row r="159" spans="1:13" x14ac:dyDescent="0.2">
      <c r="A159" s="4">
        <v>158</v>
      </c>
      <c r="B159" s="4" t="s">
        <v>291</v>
      </c>
      <c r="C159" s="4">
        <v>1897</v>
      </c>
      <c r="D159" s="4">
        <v>3.8</v>
      </c>
      <c r="E159" s="4">
        <v>0</v>
      </c>
      <c r="F159" s="4">
        <v>0.32</v>
      </c>
      <c r="G159" s="4">
        <v>162.31</v>
      </c>
      <c r="H159" s="4">
        <v>158.6</v>
      </c>
      <c r="I159" s="4">
        <v>0</v>
      </c>
      <c r="J159" s="4" t="s">
        <v>14</v>
      </c>
      <c r="K159" s="4">
        <v>691207.5</v>
      </c>
      <c r="L159" s="4" t="s">
        <v>15</v>
      </c>
      <c r="M159" s="4" t="s">
        <v>141</v>
      </c>
    </row>
    <row r="160" spans="1:13" x14ac:dyDescent="0.2">
      <c r="A160" s="4">
        <v>159</v>
      </c>
      <c r="B160" s="4">
        <v>2508</v>
      </c>
      <c r="C160" s="4">
        <v>763.9</v>
      </c>
      <c r="D160" s="4">
        <v>4.4000000000000004</v>
      </c>
      <c r="E160" s="4">
        <v>0</v>
      </c>
      <c r="F160" s="4">
        <v>0.35</v>
      </c>
      <c r="G160" s="4">
        <v>65.569999999999993</v>
      </c>
      <c r="H160" s="4">
        <v>60.8</v>
      </c>
      <c r="I160" s="4">
        <v>0</v>
      </c>
      <c r="J160" s="4" t="s">
        <v>14</v>
      </c>
      <c r="K160" s="4">
        <v>255304.56</v>
      </c>
      <c r="L160" s="4" t="s">
        <v>15</v>
      </c>
      <c r="M160" s="4" t="s">
        <v>38</v>
      </c>
    </row>
    <row r="161" spans="1:13" x14ac:dyDescent="0.2">
      <c r="A161" s="4">
        <v>160</v>
      </c>
      <c r="B161" s="4">
        <v>2509</v>
      </c>
      <c r="C161" s="4">
        <v>954</v>
      </c>
      <c r="D161" s="4">
        <v>4.57</v>
      </c>
      <c r="E161" s="4">
        <v>0</v>
      </c>
      <c r="F161" s="4">
        <v>0.25</v>
      </c>
      <c r="G161" s="4">
        <v>82.92</v>
      </c>
      <c r="H161" s="4">
        <v>51.5</v>
      </c>
      <c r="I161" s="4">
        <v>0</v>
      </c>
      <c r="J161" s="4" t="s">
        <v>14</v>
      </c>
      <c r="K161" s="4">
        <v>313649.73</v>
      </c>
      <c r="L161" s="4" t="s">
        <v>15</v>
      </c>
      <c r="M161" s="4" t="s">
        <v>38</v>
      </c>
    </row>
    <row r="162" spans="1:13" x14ac:dyDescent="0.2">
      <c r="A162" s="4">
        <v>161</v>
      </c>
      <c r="B162" s="4">
        <v>2510</v>
      </c>
      <c r="C162" s="4">
        <v>528.79999999999995</v>
      </c>
      <c r="D162" s="4">
        <v>4.5599999999999996</v>
      </c>
      <c r="E162" s="4">
        <v>0</v>
      </c>
      <c r="F162" s="4">
        <v>0.36</v>
      </c>
      <c r="G162" s="4">
        <v>23.99</v>
      </c>
      <c r="H162" s="4">
        <v>42.2</v>
      </c>
      <c r="I162" s="4">
        <v>0</v>
      </c>
      <c r="J162" s="4" t="s">
        <v>14</v>
      </c>
      <c r="K162" s="4">
        <v>175542.58</v>
      </c>
      <c r="L162" s="4" t="s">
        <v>44</v>
      </c>
      <c r="M162" s="4" t="s">
        <v>38</v>
      </c>
    </row>
    <row r="163" spans="1:13" x14ac:dyDescent="0.2">
      <c r="A163" s="4">
        <v>162</v>
      </c>
      <c r="B163" s="4" t="s">
        <v>292</v>
      </c>
      <c r="C163" s="4">
        <v>1844.5</v>
      </c>
      <c r="D163" s="4">
        <v>3.69</v>
      </c>
      <c r="E163" s="4">
        <v>0</v>
      </c>
      <c r="F163" s="4">
        <v>0.28999999999999998</v>
      </c>
      <c r="G163" s="4">
        <v>159.72999999999999</v>
      </c>
      <c r="H163" s="4">
        <v>145.5</v>
      </c>
      <c r="I163" s="4">
        <v>0</v>
      </c>
      <c r="J163" s="4" t="s">
        <v>14</v>
      </c>
      <c r="K163" s="4">
        <v>687907.05</v>
      </c>
      <c r="L163" s="4" t="s">
        <v>15</v>
      </c>
      <c r="M163" s="4" t="s">
        <v>188</v>
      </c>
    </row>
    <row r="164" spans="1:13" x14ac:dyDescent="0.2">
      <c r="A164" s="4">
        <v>163</v>
      </c>
      <c r="B164" s="4" t="s">
        <v>293</v>
      </c>
      <c r="C164" s="4">
        <v>510</v>
      </c>
      <c r="D164" s="4">
        <v>3.41</v>
      </c>
      <c r="E164" s="4">
        <v>0</v>
      </c>
      <c r="F164" s="4">
        <v>0.27</v>
      </c>
      <c r="G164" s="4">
        <v>40.03</v>
      </c>
      <c r="H164" s="4">
        <v>40</v>
      </c>
      <c r="I164" s="4">
        <v>0</v>
      </c>
      <c r="J164" s="4" t="s">
        <v>14</v>
      </c>
      <c r="K164" s="4">
        <v>200287.83</v>
      </c>
      <c r="L164" s="4" t="s">
        <v>15</v>
      </c>
      <c r="M164" s="4" t="s">
        <v>188</v>
      </c>
    </row>
    <row r="165" spans="1:13" x14ac:dyDescent="0.2">
      <c r="A165" s="4">
        <v>164</v>
      </c>
      <c r="B165" s="4" t="s">
        <v>294</v>
      </c>
      <c r="C165" s="4">
        <v>1784.4</v>
      </c>
      <c r="D165" s="4">
        <v>3.64</v>
      </c>
      <c r="E165" s="4">
        <v>77.599999999999994</v>
      </c>
      <c r="F165" s="4">
        <v>0.28999999999999998</v>
      </c>
      <c r="G165" s="4">
        <v>132.65</v>
      </c>
      <c r="H165" s="4">
        <v>144.4</v>
      </c>
      <c r="I165" s="4">
        <v>75.400000000000006</v>
      </c>
      <c r="J165" s="4">
        <v>71.5</v>
      </c>
      <c r="K165" s="4">
        <v>533909.56999999995</v>
      </c>
      <c r="L165" s="4" t="s">
        <v>15</v>
      </c>
      <c r="M165" s="4" t="s">
        <v>141</v>
      </c>
    </row>
    <row r="166" spans="1:13" x14ac:dyDescent="0.2">
      <c r="A166" s="4">
        <v>165</v>
      </c>
      <c r="B166" s="4" t="s">
        <v>295</v>
      </c>
      <c r="C166" s="4">
        <v>0</v>
      </c>
      <c r="D166" s="4">
        <v>0</v>
      </c>
      <c r="E166" s="4">
        <v>0</v>
      </c>
      <c r="F166" s="4">
        <v>0</v>
      </c>
      <c r="G166" s="4">
        <v>1.35</v>
      </c>
      <c r="H166" s="4">
        <v>0</v>
      </c>
      <c r="I166" s="4">
        <v>2.8</v>
      </c>
      <c r="J166" s="4">
        <v>41</v>
      </c>
      <c r="K166" s="4">
        <v>233786.81</v>
      </c>
      <c r="L166" s="4" t="s">
        <v>296</v>
      </c>
      <c r="M166" s="4" t="s">
        <v>141</v>
      </c>
    </row>
    <row r="167" spans="1:13" x14ac:dyDescent="0.2">
      <c r="A167" s="4">
        <v>166</v>
      </c>
      <c r="B167" s="4" t="s">
        <v>297</v>
      </c>
      <c r="C167" s="4">
        <v>1711.4</v>
      </c>
      <c r="D167" s="4">
        <v>3.43</v>
      </c>
      <c r="E167" s="4">
        <v>76.599999999999994</v>
      </c>
      <c r="F167" s="4">
        <v>0.25</v>
      </c>
      <c r="G167" s="4">
        <v>141.51</v>
      </c>
      <c r="H167" s="4">
        <v>126.5</v>
      </c>
      <c r="I167" s="4">
        <v>78.599999999999994</v>
      </c>
      <c r="J167" s="4">
        <v>69.400000000000006</v>
      </c>
      <c r="K167" s="4">
        <v>526603.5</v>
      </c>
      <c r="L167" s="4" t="s">
        <v>15</v>
      </c>
      <c r="M167" s="4" t="s">
        <v>141</v>
      </c>
    </row>
    <row r="168" spans="1:13" x14ac:dyDescent="0.2">
      <c r="A168" s="4">
        <v>167</v>
      </c>
      <c r="B168" s="4" t="s">
        <v>298</v>
      </c>
      <c r="C168" s="4">
        <v>1612.4</v>
      </c>
      <c r="D168" s="4">
        <v>3.23</v>
      </c>
      <c r="E168" s="4">
        <v>0</v>
      </c>
      <c r="F168" s="4">
        <v>0.26</v>
      </c>
      <c r="G168" s="4">
        <v>128.72999999999999</v>
      </c>
      <c r="H168" s="4">
        <v>127.3</v>
      </c>
      <c r="I168" s="4">
        <v>0</v>
      </c>
      <c r="J168" s="4" t="s">
        <v>14</v>
      </c>
      <c r="K168" s="4">
        <v>458791.92</v>
      </c>
      <c r="L168" s="4" t="s">
        <v>15</v>
      </c>
      <c r="M168" s="4" t="s">
        <v>55</v>
      </c>
    </row>
    <row r="169" spans="1:13" x14ac:dyDescent="0.2">
      <c r="A169" s="4">
        <v>168</v>
      </c>
      <c r="B169" s="4" t="s">
        <v>299</v>
      </c>
      <c r="C169" s="4">
        <v>1774.3</v>
      </c>
      <c r="D169" s="4">
        <v>3.56</v>
      </c>
      <c r="E169" s="4">
        <v>0</v>
      </c>
      <c r="F169" s="4">
        <v>0.33</v>
      </c>
      <c r="G169" s="4">
        <v>171.43</v>
      </c>
      <c r="H169" s="4">
        <v>163.80000000000001</v>
      </c>
      <c r="I169" s="4">
        <v>0</v>
      </c>
      <c r="J169" s="4" t="s">
        <v>14</v>
      </c>
      <c r="K169" s="4">
        <v>460932.04</v>
      </c>
      <c r="L169" s="4" t="s">
        <v>15</v>
      </c>
      <c r="M169" s="4" t="s">
        <v>16</v>
      </c>
    </row>
    <row r="170" spans="1:13" x14ac:dyDescent="0.2">
      <c r="A170" s="4">
        <v>169</v>
      </c>
      <c r="B170" s="4" t="s">
        <v>300</v>
      </c>
      <c r="C170" s="4">
        <v>1602.9</v>
      </c>
      <c r="D170" s="4">
        <v>3.21</v>
      </c>
      <c r="E170" s="4">
        <v>0</v>
      </c>
      <c r="F170" s="4">
        <v>0.26</v>
      </c>
      <c r="G170" s="4">
        <v>117.73</v>
      </c>
      <c r="H170" s="4">
        <v>127.9</v>
      </c>
      <c r="I170" s="4">
        <v>0</v>
      </c>
      <c r="J170" s="4" t="s">
        <v>14</v>
      </c>
      <c r="K170" s="4">
        <v>487426.94</v>
      </c>
      <c r="L170" s="4" t="s">
        <v>15</v>
      </c>
      <c r="M170" s="4" t="s">
        <v>141</v>
      </c>
    </row>
    <row r="171" spans="1:13" x14ac:dyDescent="0.2">
      <c r="A171" s="4">
        <v>170</v>
      </c>
      <c r="B171" s="4" t="s">
        <v>301</v>
      </c>
      <c r="C171" s="4">
        <v>397.1</v>
      </c>
      <c r="D171" s="4">
        <v>3.53</v>
      </c>
      <c r="E171" s="4">
        <v>69.099999999999994</v>
      </c>
      <c r="F171" s="4">
        <v>0.26</v>
      </c>
      <c r="G171" s="4">
        <v>30.53</v>
      </c>
      <c r="H171" s="4">
        <v>29.7</v>
      </c>
      <c r="I171" s="4">
        <v>51.2</v>
      </c>
      <c r="J171" s="4">
        <v>64.5</v>
      </c>
      <c r="K171" s="4">
        <v>116071.91</v>
      </c>
      <c r="L171" s="4" t="s">
        <v>15</v>
      </c>
      <c r="M171" s="4" t="s">
        <v>141</v>
      </c>
    </row>
    <row r="172" spans="1:13" x14ac:dyDescent="0.2">
      <c r="A172" s="4">
        <v>171</v>
      </c>
      <c r="B172" s="4" t="s">
        <v>302</v>
      </c>
      <c r="C172" s="4">
        <v>181.8</v>
      </c>
      <c r="D172" s="4">
        <v>2.78</v>
      </c>
      <c r="E172" s="4">
        <v>0</v>
      </c>
      <c r="F172" s="4">
        <v>0.2</v>
      </c>
      <c r="G172" s="4">
        <v>14.87</v>
      </c>
      <c r="H172" s="4">
        <v>13.4</v>
      </c>
      <c r="I172" s="4">
        <v>0</v>
      </c>
      <c r="J172" s="4" t="s">
        <v>14</v>
      </c>
      <c r="K172" s="4">
        <v>56958.15</v>
      </c>
      <c r="L172" s="4" t="s">
        <v>44</v>
      </c>
      <c r="M172" s="4" t="s">
        <v>141</v>
      </c>
    </row>
    <row r="173" spans="1:13" x14ac:dyDescent="0.2">
      <c r="A173" s="4">
        <v>172</v>
      </c>
      <c r="B173" s="4" t="s">
        <v>303</v>
      </c>
      <c r="C173" s="4">
        <v>219.1</v>
      </c>
      <c r="D173" s="4">
        <v>2.59</v>
      </c>
      <c r="E173" s="4">
        <v>43.4</v>
      </c>
      <c r="F173" s="4">
        <v>0.26</v>
      </c>
      <c r="G173" s="4">
        <v>28.83</v>
      </c>
      <c r="H173" s="4">
        <v>22</v>
      </c>
      <c r="I173" s="4">
        <v>71.900000000000006</v>
      </c>
      <c r="J173" s="4">
        <v>60.9</v>
      </c>
      <c r="K173" s="4">
        <v>81220.36</v>
      </c>
      <c r="L173" s="4" t="s">
        <v>15</v>
      </c>
      <c r="M173" s="4" t="s">
        <v>141</v>
      </c>
    </row>
    <row r="174" spans="1:13" x14ac:dyDescent="0.2">
      <c r="A174" s="4">
        <v>173</v>
      </c>
      <c r="B174" s="4" t="s">
        <v>304</v>
      </c>
      <c r="C174" s="4">
        <v>390.9</v>
      </c>
      <c r="D174" s="4">
        <v>4.43</v>
      </c>
      <c r="E174" s="4">
        <v>0</v>
      </c>
      <c r="F174" s="4">
        <v>0.24</v>
      </c>
      <c r="G174" s="4">
        <v>31.68</v>
      </c>
      <c r="H174" s="4">
        <v>20.8</v>
      </c>
      <c r="I174" s="4">
        <v>0</v>
      </c>
      <c r="J174" s="4" t="s">
        <v>14</v>
      </c>
      <c r="K174" s="4">
        <v>110088.49</v>
      </c>
      <c r="L174" s="4" t="s">
        <v>15</v>
      </c>
      <c r="M174" s="4" t="s">
        <v>141</v>
      </c>
    </row>
    <row r="175" spans="1:13" x14ac:dyDescent="0.2">
      <c r="A175" s="4">
        <v>174</v>
      </c>
      <c r="B175" s="4" t="s">
        <v>305</v>
      </c>
      <c r="C175" s="4">
        <v>367.6</v>
      </c>
      <c r="D175" s="4">
        <v>4.46</v>
      </c>
      <c r="E175" s="4">
        <v>0</v>
      </c>
      <c r="F175" s="4">
        <v>0.3</v>
      </c>
      <c r="G175" s="4">
        <v>29.38</v>
      </c>
      <c r="H175" s="4">
        <v>24.7</v>
      </c>
      <c r="I175" s="4">
        <v>0</v>
      </c>
      <c r="J175" s="4" t="s">
        <v>14</v>
      </c>
      <c r="K175" s="4">
        <v>105152.25</v>
      </c>
      <c r="L175" s="4" t="s">
        <v>15</v>
      </c>
      <c r="M175" s="4" t="s">
        <v>141</v>
      </c>
    </row>
    <row r="176" spans="1:13" x14ac:dyDescent="0.2">
      <c r="A176" s="4">
        <v>175</v>
      </c>
      <c r="B176" s="4" t="s">
        <v>306</v>
      </c>
      <c r="C176" s="4">
        <v>376.1</v>
      </c>
      <c r="D176" s="4">
        <v>4.4000000000000004</v>
      </c>
      <c r="E176" s="4">
        <v>0</v>
      </c>
      <c r="F176" s="4">
        <v>0.28999999999999998</v>
      </c>
      <c r="G176" s="4">
        <v>30.31</v>
      </c>
      <c r="H176" s="4">
        <v>24.9</v>
      </c>
      <c r="I176" s="4">
        <v>0</v>
      </c>
      <c r="J176" s="4" t="s">
        <v>14</v>
      </c>
      <c r="K176" s="4">
        <v>108918.92</v>
      </c>
      <c r="L176" s="4" t="s">
        <v>15</v>
      </c>
      <c r="M176" s="4" t="s">
        <v>141</v>
      </c>
    </row>
    <row r="177" spans="1:13" x14ac:dyDescent="0.2">
      <c r="A177" s="4">
        <v>176</v>
      </c>
      <c r="B177" s="4" t="s">
        <v>307</v>
      </c>
      <c r="C177" s="4">
        <v>61</v>
      </c>
      <c r="D177" s="4">
        <v>3.39</v>
      </c>
      <c r="E177" s="4">
        <v>78.400000000000006</v>
      </c>
      <c r="F177" s="4">
        <v>0.26</v>
      </c>
      <c r="G177" s="4">
        <v>5.64</v>
      </c>
      <c r="H177" s="4">
        <v>4.7</v>
      </c>
      <c r="I177" s="4">
        <v>61</v>
      </c>
      <c r="J177" s="4">
        <v>69.2</v>
      </c>
      <c r="K177" s="4">
        <v>19183.02</v>
      </c>
      <c r="L177" s="4" t="s">
        <v>44</v>
      </c>
      <c r="M177" s="4" t="s">
        <v>141</v>
      </c>
    </row>
    <row r="178" spans="1:13" x14ac:dyDescent="0.2">
      <c r="A178" s="4">
        <v>177</v>
      </c>
      <c r="B178" s="4" t="s">
        <v>308</v>
      </c>
      <c r="C178" s="4">
        <v>1801.8</v>
      </c>
      <c r="D178" s="4">
        <v>4.03</v>
      </c>
      <c r="E178" s="4">
        <v>84.8</v>
      </c>
      <c r="F178" s="4">
        <v>0.35</v>
      </c>
      <c r="G178" s="4">
        <v>157</v>
      </c>
      <c r="H178" s="4">
        <v>156.19999999999999</v>
      </c>
      <c r="I178" s="4">
        <v>83.9</v>
      </c>
      <c r="J178" s="4">
        <v>85.6</v>
      </c>
      <c r="K178" s="4">
        <v>103542.1</v>
      </c>
      <c r="L178" s="4" t="s">
        <v>15</v>
      </c>
      <c r="M178" s="4" t="s">
        <v>55</v>
      </c>
    </row>
    <row r="179" spans="1:13" x14ac:dyDescent="0.2">
      <c r="A179" s="4">
        <v>178</v>
      </c>
      <c r="B179" s="4" t="s">
        <v>309</v>
      </c>
      <c r="C179" s="4">
        <v>1378.1</v>
      </c>
      <c r="D179" s="4">
        <v>3.96</v>
      </c>
      <c r="E179" s="4">
        <v>82.3</v>
      </c>
      <c r="F179" s="4">
        <v>0.25</v>
      </c>
      <c r="G179" s="4">
        <v>111.95</v>
      </c>
      <c r="H179" s="4">
        <v>86.4</v>
      </c>
      <c r="I179" s="4">
        <v>76.8</v>
      </c>
      <c r="J179" s="4">
        <v>74.099999999999994</v>
      </c>
      <c r="K179" s="4">
        <v>417648.53</v>
      </c>
      <c r="L179" s="4" t="s">
        <v>15</v>
      </c>
      <c r="M179" s="4" t="s">
        <v>141</v>
      </c>
    </row>
    <row r="180" spans="1:13" x14ac:dyDescent="0.2">
      <c r="A180" s="4">
        <v>179</v>
      </c>
      <c r="B180" s="4" t="s">
        <v>310</v>
      </c>
      <c r="C180" s="4">
        <v>0</v>
      </c>
      <c r="D180" s="4">
        <v>0</v>
      </c>
      <c r="E180" s="4">
        <v>0</v>
      </c>
      <c r="F180" s="4">
        <v>0</v>
      </c>
      <c r="G180" s="4">
        <v>26.8</v>
      </c>
      <c r="H180" s="4">
        <v>0</v>
      </c>
      <c r="I180" s="4">
        <v>93.3</v>
      </c>
      <c r="J180" s="4">
        <v>63</v>
      </c>
      <c r="K180" s="4">
        <v>50651.65</v>
      </c>
      <c r="L180" s="4" t="s">
        <v>311</v>
      </c>
      <c r="M180" s="4" t="s">
        <v>91</v>
      </c>
    </row>
    <row r="181" spans="1:13" x14ac:dyDescent="0.2">
      <c r="A181" s="4">
        <v>180</v>
      </c>
      <c r="B181" s="4" t="s">
        <v>312</v>
      </c>
      <c r="C181" s="4">
        <v>354.9</v>
      </c>
      <c r="D181" s="4">
        <v>3.87</v>
      </c>
      <c r="E181" s="4">
        <v>88.3</v>
      </c>
      <c r="F181" s="4">
        <v>0.44</v>
      </c>
      <c r="G181" s="4">
        <v>37.869999999999997</v>
      </c>
      <c r="H181" s="4">
        <v>40.799999999999997</v>
      </c>
      <c r="I181" s="4">
        <v>95.9</v>
      </c>
      <c r="J181" s="4">
        <v>60.4</v>
      </c>
      <c r="K181" s="4">
        <v>27390.54</v>
      </c>
      <c r="L181" s="4" t="s">
        <v>15</v>
      </c>
      <c r="M181" s="4" t="s">
        <v>91</v>
      </c>
    </row>
    <row r="182" spans="1:13" x14ac:dyDescent="0.2">
      <c r="A182" s="4">
        <v>181</v>
      </c>
      <c r="B182" s="4" t="s">
        <v>313</v>
      </c>
      <c r="C182" s="4">
        <v>1731</v>
      </c>
      <c r="D182" s="4">
        <v>3.46</v>
      </c>
      <c r="E182" s="4">
        <v>74.099999999999994</v>
      </c>
      <c r="F182" s="4">
        <v>0.3</v>
      </c>
      <c r="G182" s="4">
        <v>143.86000000000001</v>
      </c>
      <c r="H182" s="4">
        <v>148.4</v>
      </c>
      <c r="I182" s="4">
        <v>72.400000000000006</v>
      </c>
      <c r="J182" s="4">
        <v>67.099999999999994</v>
      </c>
      <c r="K182" s="4">
        <v>470635.52000000002</v>
      </c>
      <c r="L182" s="4" t="s">
        <v>15</v>
      </c>
      <c r="M182" s="4" t="s">
        <v>141</v>
      </c>
    </row>
    <row r="183" spans="1:13" x14ac:dyDescent="0.2">
      <c r="A183" s="4">
        <v>182</v>
      </c>
      <c r="B183" s="4" t="s">
        <v>314</v>
      </c>
      <c r="C183" s="4">
        <v>1231</v>
      </c>
      <c r="D183" s="4">
        <v>3.2</v>
      </c>
      <c r="E183" s="4">
        <v>67.8</v>
      </c>
      <c r="F183" s="4">
        <v>0.3</v>
      </c>
      <c r="G183" s="4">
        <v>111.19</v>
      </c>
      <c r="H183" s="4">
        <v>114.9</v>
      </c>
      <c r="I183" s="4">
        <v>71.3</v>
      </c>
      <c r="J183" s="4">
        <v>63.6</v>
      </c>
      <c r="K183" s="4">
        <v>381592.32000000001</v>
      </c>
      <c r="L183" s="4" t="s">
        <v>15</v>
      </c>
      <c r="M183" s="4" t="s">
        <v>141</v>
      </c>
    </row>
    <row r="184" spans="1:13" x14ac:dyDescent="0.2">
      <c r="A184" s="4">
        <v>183</v>
      </c>
      <c r="B184" s="4" t="s">
        <v>315</v>
      </c>
      <c r="C184" s="4">
        <v>1000.5</v>
      </c>
      <c r="D184" s="4">
        <v>3.38</v>
      </c>
      <c r="E184" s="4">
        <v>0</v>
      </c>
      <c r="F184" s="4">
        <v>0.27</v>
      </c>
      <c r="G184" s="4">
        <v>81.66</v>
      </c>
      <c r="H184" s="4">
        <v>80.5</v>
      </c>
      <c r="I184" s="4">
        <v>0</v>
      </c>
      <c r="J184" s="4" t="s">
        <v>14</v>
      </c>
      <c r="K184" s="4">
        <v>275656.44</v>
      </c>
      <c r="L184" s="4" t="s">
        <v>15</v>
      </c>
      <c r="M184" s="4" t="s">
        <v>55</v>
      </c>
    </row>
    <row r="185" spans="1:13" x14ac:dyDescent="0.2">
      <c r="A185" s="4">
        <v>184</v>
      </c>
      <c r="B185" s="4" t="s">
        <v>316</v>
      </c>
      <c r="C185" s="4">
        <v>93.3</v>
      </c>
      <c r="D185" s="4">
        <v>2.5099999999999998</v>
      </c>
      <c r="E185" s="4">
        <v>81.3</v>
      </c>
      <c r="F185" s="4">
        <v>0.3</v>
      </c>
      <c r="G185" s="4">
        <v>11.51</v>
      </c>
      <c r="H185" s="4">
        <v>11.2</v>
      </c>
      <c r="I185" s="4">
        <v>82.3</v>
      </c>
      <c r="J185" s="4">
        <v>71</v>
      </c>
      <c r="K185" s="4">
        <v>44027.99</v>
      </c>
      <c r="L185" s="4" t="s">
        <v>15</v>
      </c>
      <c r="M185" s="4" t="s">
        <v>16</v>
      </c>
    </row>
    <row r="186" spans="1:13" x14ac:dyDescent="0.2">
      <c r="A186" s="4">
        <v>185</v>
      </c>
      <c r="B186" s="4" t="s">
        <v>317</v>
      </c>
      <c r="C186" s="4">
        <v>339.8</v>
      </c>
      <c r="D186" s="4">
        <v>3.43</v>
      </c>
      <c r="E186" s="4">
        <v>0</v>
      </c>
      <c r="F186" s="4">
        <v>0.38</v>
      </c>
      <c r="G186" s="4">
        <v>40.71</v>
      </c>
      <c r="H186" s="4">
        <v>38</v>
      </c>
      <c r="I186" s="4">
        <v>0</v>
      </c>
      <c r="J186" s="4" t="s">
        <v>14</v>
      </c>
      <c r="K186" s="4">
        <v>121067.27</v>
      </c>
      <c r="L186" s="4" t="s">
        <v>15</v>
      </c>
      <c r="M186" s="4" t="s">
        <v>318</v>
      </c>
    </row>
    <row r="187" spans="1:13" x14ac:dyDescent="0.2">
      <c r="A187" s="4">
        <v>186</v>
      </c>
      <c r="B187" s="4" t="s">
        <v>319</v>
      </c>
      <c r="C187" s="4">
        <v>281.10000000000002</v>
      </c>
      <c r="D187" s="4">
        <v>3.58</v>
      </c>
      <c r="E187" s="4">
        <v>85.8</v>
      </c>
      <c r="F187" s="4">
        <v>0.39</v>
      </c>
      <c r="G187" s="4">
        <v>19.25</v>
      </c>
      <c r="H187" s="4">
        <v>30.8</v>
      </c>
      <c r="I187" s="4">
        <v>73</v>
      </c>
      <c r="J187" s="4">
        <v>75.5</v>
      </c>
      <c r="K187" s="4">
        <v>95063.9</v>
      </c>
      <c r="L187" s="4" t="s">
        <v>44</v>
      </c>
      <c r="M187" s="4" t="s">
        <v>318</v>
      </c>
    </row>
    <row r="188" spans="1:13" x14ac:dyDescent="0.2">
      <c r="A188" s="4">
        <v>187</v>
      </c>
      <c r="B188" s="4" t="s">
        <v>320</v>
      </c>
      <c r="C188" s="4">
        <v>375.5</v>
      </c>
      <c r="D188" s="4">
        <v>3.79</v>
      </c>
      <c r="E188" s="4">
        <v>85.2</v>
      </c>
      <c r="F188" s="4">
        <v>0.34</v>
      </c>
      <c r="G188" s="4">
        <v>34.909999999999997</v>
      </c>
      <c r="H188" s="4">
        <v>34.1</v>
      </c>
      <c r="I188" s="4">
        <v>85.8</v>
      </c>
      <c r="J188" s="4">
        <v>74.2</v>
      </c>
      <c r="K188" s="4">
        <v>123841.44</v>
      </c>
      <c r="L188" s="4" t="s">
        <v>15</v>
      </c>
      <c r="M188" s="4" t="s">
        <v>318</v>
      </c>
    </row>
    <row r="189" spans="1:13" x14ac:dyDescent="0.2">
      <c r="A189" s="4">
        <v>188</v>
      </c>
      <c r="B189" s="4" t="s">
        <v>321</v>
      </c>
      <c r="C189" s="4">
        <v>384.5</v>
      </c>
      <c r="D189" s="4">
        <v>3.88</v>
      </c>
      <c r="E189" s="4">
        <v>0</v>
      </c>
      <c r="F189" s="4">
        <v>0.36</v>
      </c>
      <c r="G189" s="4">
        <v>36.68</v>
      </c>
      <c r="H189" s="4">
        <v>35.9</v>
      </c>
      <c r="I189" s="4">
        <v>0</v>
      </c>
      <c r="J189" s="4" t="s">
        <v>14</v>
      </c>
      <c r="K189" s="4">
        <v>124664.8</v>
      </c>
      <c r="L189" s="4" t="s">
        <v>15</v>
      </c>
      <c r="M189" s="4" t="s">
        <v>318</v>
      </c>
    </row>
    <row r="190" spans="1:13" x14ac:dyDescent="0.2">
      <c r="A190" s="4">
        <v>189</v>
      </c>
      <c r="B190" s="4" t="s">
        <v>322</v>
      </c>
      <c r="C190" s="4">
        <v>374.9</v>
      </c>
      <c r="D190" s="4">
        <v>3.64</v>
      </c>
      <c r="E190" s="4">
        <v>0</v>
      </c>
      <c r="F190" s="4">
        <v>0.27</v>
      </c>
      <c r="G190" s="4">
        <v>29.21</v>
      </c>
      <c r="H190" s="4">
        <v>27.9</v>
      </c>
      <c r="I190" s="4">
        <v>0</v>
      </c>
      <c r="J190" s="4" t="s">
        <v>14</v>
      </c>
      <c r="K190" s="4">
        <v>89982.88</v>
      </c>
      <c r="L190" s="4" t="s">
        <v>15</v>
      </c>
      <c r="M190" s="4" t="s">
        <v>141</v>
      </c>
    </row>
    <row r="191" spans="1:13" x14ac:dyDescent="0.2">
      <c r="A191" s="4">
        <v>190</v>
      </c>
      <c r="B191" s="4" t="s">
        <v>323</v>
      </c>
      <c r="C191" s="4">
        <v>294.89999999999998</v>
      </c>
      <c r="D191" s="4">
        <v>3.41</v>
      </c>
      <c r="E191" s="4">
        <v>0</v>
      </c>
      <c r="F191" s="4">
        <v>0.26</v>
      </c>
      <c r="G191" s="4">
        <v>26.7</v>
      </c>
      <c r="H191" s="4">
        <v>22.3</v>
      </c>
      <c r="I191" s="4">
        <v>0</v>
      </c>
      <c r="J191" s="4" t="s">
        <v>14</v>
      </c>
      <c r="K191" s="4">
        <v>110631.98</v>
      </c>
      <c r="L191" s="4" t="s">
        <v>15</v>
      </c>
      <c r="M191" s="4" t="s">
        <v>141</v>
      </c>
    </row>
    <row r="192" spans="1:13" x14ac:dyDescent="0.2">
      <c r="A192" s="4">
        <v>191</v>
      </c>
      <c r="B192" s="4" t="s">
        <v>324</v>
      </c>
      <c r="C192" s="4">
        <v>816.4</v>
      </c>
      <c r="D192" s="4">
        <v>3.72</v>
      </c>
      <c r="E192" s="4">
        <v>0</v>
      </c>
      <c r="F192" s="4">
        <v>0.28000000000000003</v>
      </c>
      <c r="G192" s="4">
        <v>72.34</v>
      </c>
      <c r="H192" s="4">
        <v>60.9</v>
      </c>
      <c r="I192" s="4">
        <v>0</v>
      </c>
      <c r="J192" s="4" t="s">
        <v>14</v>
      </c>
      <c r="K192" s="4">
        <v>275194.39</v>
      </c>
      <c r="L192" s="4" t="s">
        <v>15</v>
      </c>
      <c r="M192" s="4" t="s">
        <v>141</v>
      </c>
    </row>
    <row r="193" spans="1:13" x14ac:dyDescent="0.2">
      <c r="A193" s="4">
        <v>192</v>
      </c>
      <c r="B193" s="4" t="s">
        <v>325</v>
      </c>
      <c r="C193" s="4">
        <v>331.9</v>
      </c>
      <c r="D193" s="4">
        <v>3.44</v>
      </c>
      <c r="E193" s="4">
        <v>0</v>
      </c>
      <c r="F193" s="4">
        <v>0.25</v>
      </c>
      <c r="G193" s="4">
        <v>28.28</v>
      </c>
      <c r="H193" s="4">
        <v>23.9</v>
      </c>
      <c r="I193" s="4">
        <v>0</v>
      </c>
      <c r="J193" s="4" t="s">
        <v>14</v>
      </c>
      <c r="K193" s="4">
        <v>76882.289999999994</v>
      </c>
      <c r="L193" s="4" t="s">
        <v>15</v>
      </c>
      <c r="M193" s="4" t="s">
        <v>141</v>
      </c>
    </row>
    <row r="194" spans="1:13" x14ac:dyDescent="0.2">
      <c r="A194" s="4">
        <v>193</v>
      </c>
      <c r="B194" s="4" t="s">
        <v>326</v>
      </c>
      <c r="C194" s="4">
        <v>258.8</v>
      </c>
      <c r="D194" s="4">
        <v>2.88</v>
      </c>
      <c r="E194" s="4">
        <v>0</v>
      </c>
      <c r="F194" s="4">
        <v>0.25</v>
      </c>
      <c r="G194" s="4">
        <v>25.75</v>
      </c>
      <c r="H194" s="4">
        <v>22.7</v>
      </c>
      <c r="I194" s="4">
        <v>0</v>
      </c>
      <c r="J194" s="4" t="s">
        <v>14</v>
      </c>
      <c r="K194" s="4">
        <v>100191.66</v>
      </c>
      <c r="L194" s="4" t="s">
        <v>15</v>
      </c>
      <c r="M194" s="4" t="s">
        <v>141</v>
      </c>
    </row>
    <row r="195" spans="1:13" x14ac:dyDescent="0.2">
      <c r="A195" s="4">
        <v>194</v>
      </c>
      <c r="B195" s="4" t="s">
        <v>327</v>
      </c>
      <c r="C195" s="4">
        <v>977.3</v>
      </c>
      <c r="D195" s="4">
        <v>4.1900000000000004</v>
      </c>
      <c r="E195" s="4">
        <v>0</v>
      </c>
      <c r="F195" s="4">
        <v>0.21</v>
      </c>
      <c r="G195" s="4">
        <v>74.25</v>
      </c>
      <c r="H195" s="4">
        <v>49.8</v>
      </c>
      <c r="I195" s="4">
        <v>0</v>
      </c>
      <c r="J195" s="4" t="s">
        <v>14</v>
      </c>
      <c r="K195" s="4">
        <v>202921.7</v>
      </c>
      <c r="L195" s="4" t="s">
        <v>15</v>
      </c>
      <c r="M195" s="4" t="s">
        <v>141</v>
      </c>
    </row>
    <row r="196" spans="1:13" x14ac:dyDescent="0.2">
      <c r="A196" s="4">
        <v>195</v>
      </c>
      <c r="B196" s="4" t="s">
        <v>328</v>
      </c>
      <c r="C196" s="4">
        <v>688.5</v>
      </c>
      <c r="D196" s="4">
        <v>4.25</v>
      </c>
      <c r="E196" s="4">
        <v>0</v>
      </c>
      <c r="F196" s="4">
        <v>0.22</v>
      </c>
      <c r="G196" s="4">
        <v>53.08</v>
      </c>
      <c r="H196" s="4">
        <v>35.5</v>
      </c>
      <c r="I196" s="4">
        <v>0</v>
      </c>
      <c r="J196" s="4" t="s">
        <v>14</v>
      </c>
      <c r="K196" s="4">
        <v>164757.98000000001</v>
      </c>
      <c r="L196" s="4" t="s">
        <v>15</v>
      </c>
      <c r="M196" s="4" t="s">
        <v>141</v>
      </c>
    </row>
    <row r="197" spans="1:13" x14ac:dyDescent="0.2">
      <c r="A197" s="4">
        <v>196</v>
      </c>
      <c r="B197" s="4" t="s">
        <v>329</v>
      </c>
      <c r="C197" s="4">
        <v>884.1</v>
      </c>
      <c r="D197" s="4">
        <v>4.0599999999999996</v>
      </c>
      <c r="E197" s="4">
        <v>0</v>
      </c>
      <c r="F197" s="4">
        <v>0.21</v>
      </c>
      <c r="G197" s="4">
        <v>68.73</v>
      </c>
      <c r="H197" s="4">
        <v>46.5</v>
      </c>
      <c r="I197" s="4">
        <v>0</v>
      </c>
      <c r="J197" s="4" t="s">
        <v>14</v>
      </c>
      <c r="K197" s="4">
        <v>271666.88</v>
      </c>
      <c r="L197" s="4" t="s">
        <v>15</v>
      </c>
      <c r="M197" s="4" t="s">
        <v>141</v>
      </c>
    </row>
    <row r="198" spans="1:13" x14ac:dyDescent="0.2">
      <c r="A198" s="4">
        <v>197</v>
      </c>
      <c r="B198" s="4" t="s">
        <v>330</v>
      </c>
      <c r="C198" s="4">
        <v>1001.1</v>
      </c>
      <c r="D198" s="4">
        <v>4.09</v>
      </c>
      <c r="E198" s="4">
        <v>0</v>
      </c>
      <c r="F198" s="4">
        <v>0.21</v>
      </c>
      <c r="G198" s="4">
        <v>77.73</v>
      </c>
      <c r="H198" s="4">
        <v>52.4</v>
      </c>
      <c r="I198" s="4">
        <v>0</v>
      </c>
      <c r="J198" s="4" t="s">
        <v>14</v>
      </c>
      <c r="K198" s="4">
        <v>305982.08000000002</v>
      </c>
      <c r="L198" s="4" t="s">
        <v>15</v>
      </c>
      <c r="M198" s="4" t="s">
        <v>141</v>
      </c>
    </row>
    <row r="199" spans="1:13" x14ac:dyDescent="0.2">
      <c r="A199" s="4">
        <v>198</v>
      </c>
      <c r="B199" s="4" t="s">
        <v>331</v>
      </c>
      <c r="C199" s="4">
        <v>904.5</v>
      </c>
      <c r="D199" s="4">
        <v>3.73</v>
      </c>
      <c r="E199" s="4">
        <v>80.5</v>
      </c>
      <c r="F199" s="4">
        <v>0.28000000000000003</v>
      </c>
      <c r="G199" s="4">
        <v>78.36</v>
      </c>
      <c r="H199" s="4">
        <v>68</v>
      </c>
      <c r="I199" s="4">
        <v>77.7</v>
      </c>
      <c r="J199" s="4">
        <v>71.599999999999994</v>
      </c>
      <c r="K199" s="4">
        <v>336268.85</v>
      </c>
      <c r="L199" s="4" t="s">
        <v>15</v>
      </c>
      <c r="M199" s="4" t="s">
        <v>141</v>
      </c>
    </row>
    <row r="200" spans="1:13" x14ac:dyDescent="0.2">
      <c r="A200" s="4">
        <v>199</v>
      </c>
      <c r="B200" s="4" t="s">
        <v>332</v>
      </c>
      <c r="C200" s="4">
        <v>464.8</v>
      </c>
      <c r="D200" s="4">
        <v>3.69</v>
      </c>
      <c r="E200" s="4">
        <v>0</v>
      </c>
      <c r="F200" s="4">
        <v>0.28000000000000003</v>
      </c>
      <c r="G200" s="4">
        <v>40.520000000000003</v>
      </c>
      <c r="H200" s="4">
        <v>35.4</v>
      </c>
      <c r="I200" s="4">
        <v>0</v>
      </c>
      <c r="J200" s="4" t="s">
        <v>14</v>
      </c>
      <c r="K200" s="4">
        <v>137384.57</v>
      </c>
      <c r="L200" s="4" t="s">
        <v>15</v>
      </c>
      <c r="M200" s="4" t="s">
        <v>141</v>
      </c>
    </row>
    <row r="201" spans="1:13" x14ac:dyDescent="0.2">
      <c r="A201" s="4">
        <v>200</v>
      </c>
      <c r="B201" s="4" t="s">
        <v>333</v>
      </c>
      <c r="C201" s="4">
        <v>579.5</v>
      </c>
      <c r="D201" s="4">
        <v>3.71</v>
      </c>
      <c r="E201" s="4">
        <v>0</v>
      </c>
      <c r="F201" s="4">
        <v>0.28999999999999998</v>
      </c>
      <c r="G201" s="4">
        <v>50.74</v>
      </c>
      <c r="H201" s="4">
        <v>44.5</v>
      </c>
      <c r="I201" s="4">
        <v>0</v>
      </c>
      <c r="J201" s="4" t="s">
        <v>14</v>
      </c>
      <c r="K201" s="4">
        <v>216358.69</v>
      </c>
      <c r="L201" s="4" t="s">
        <v>15</v>
      </c>
      <c r="M201" s="4" t="s">
        <v>141</v>
      </c>
    </row>
    <row r="202" spans="1:13" x14ac:dyDescent="0.2">
      <c r="A202" s="4">
        <v>208</v>
      </c>
      <c r="B202" s="4" t="s">
        <v>334</v>
      </c>
      <c r="C202" s="4">
        <v>632.4</v>
      </c>
      <c r="D202" s="4">
        <v>3.66</v>
      </c>
      <c r="E202" s="4">
        <v>82.1</v>
      </c>
      <c r="F202" s="4">
        <v>0.27</v>
      </c>
      <c r="G202" s="4">
        <v>56.7</v>
      </c>
      <c r="H202" s="4">
        <v>47.5</v>
      </c>
      <c r="I202" s="4">
        <v>75.900000000000006</v>
      </c>
      <c r="J202" s="4">
        <v>72.400000000000006</v>
      </c>
      <c r="K202" s="4">
        <v>234221.99</v>
      </c>
      <c r="L202" s="4" t="s">
        <v>15</v>
      </c>
      <c r="M202" s="4" t="s">
        <v>141</v>
      </c>
    </row>
    <row r="203" spans="1:13" x14ac:dyDescent="0.2">
      <c r="A203" s="4">
        <v>209</v>
      </c>
      <c r="B203" s="4" t="s">
        <v>335</v>
      </c>
      <c r="C203" s="4">
        <v>958.8</v>
      </c>
      <c r="D203" s="4">
        <v>3.57</v>
      </c>
      <c r="E203" s="4">
        <v>79.599999999999994</v>
      </c>
      <c r="F203" s="4">
        <v>0.27</v>
      </c>
      <c r="G203" s="4">
        <v>86.98</v>
      </c>
      <c r="H203" s="4">
        <v>72.599999999999994</v>
      </c>
      <c r="I203" s="4">
        <v>75.599999999999994</v>
      </c>
      <c r="J203" s="4">
        <v>69.8</v>
      </c>
      <c r="K203" s="4">
        <v>356192.26</v>
      </c>
      <c r="L203" s="4" t="s">
        <v>15</v>
      </c>
      <c r="M203" s="4" t="s">
        <v>141</v>
      </c>
    </row>
    <row r="204" spans="1:13" x14ac:dyDescent="0.2">
      <c r="A204" s="4">
        <v>210</v>
      </c>
      <c r="B204" s="4" t="s">
        <v>336</v>
      </c>
      <c r="C204" s="4">
        <v>1102.5999999999999</v>
      </c>
      <c r="D204" s="4">
        <v>3.66</v>
      </c>
      <c r="E204" s="4">
        <v>0</v>
      </c>
      <c r="F204" s="4">
        <v>0.28000000000000003</v>
      </c>
      <c r="G204" s="4">
        <v>97.75</v>
      </c>
      <c r="H204" s="4">
        <v>84.3</v>
      </c>
      <c r="I204" s="4">
        <v>0</v>
      </c>
      <c r="J204" s="4" t="s">
        <v>14</v>
      </c>
      <c r="K204" s="4">
        <v>410146.66</v>
      </c>
      <c r="L204" s="4" t="s">
        <v>15</v>
      </c>
      <c r="M204" s="4" t="s">
        <v>141</v>
      </c>
    </row>
    <row r="205" spans="1:13" x14ac:dyDescent="0.2">
      <c r="A205" s="4">
        <v>211</v>
      </c>
      <c r="B205" s="4" t="s">
        <v>337</v>
      </c>
      <c r="C205" s="4">
        <v>454.5</v>
      </c>
      <c r="D205" s="4">
        <v>3.71</v>
      </c>
      <c r="E205" s="4">
        <v>0</v>
      </c>
      <c r="F205" s="4">
        <v>0.31</v>
      </c>
      <c r="G205" s="4">
        <v>42.47</v>
      </c>
      <c r="H205" s="4">
        <v>37.4</v>
      </c>
      <c r="I205" s="4">
        <v>0</v>
      </c>
      <c r="J205" s="4" t="s">
        <v>14</v>
      </c>
      <c r="K205" s="4">
        <v>137439.91</v>
      </c>
      <c r="L205" s="4" t="s">
        <v>44</v>
      </c>
      <c r="M205" s="4" t="s">
        <v>141</v>
      </c>
    </row>
    <row r="206" spans="1:13" x14ac:dyDescent="0.2">
      <c r="A206" s="4">
        <v>212</v>
      </c>
      <c r="B206" s="4" t="s">
        <v>338</v>
      </c>
      <c r="C206" s="4">
        <v>308.3</v>
      </c>
      <c r="D206" s="4">
        <v>3.32</v>
      </c>
      <c r="E206" s="4">
        <v>100</v>
      </c>
      <c r="F206" s="4">
        <v>0.36</v>
      </c>
      <c r="G206" s="4">
        <v>34.090000000000003</v>
      </c>
      <c r="H206" s="4">
        <v>33.200000000000003</v>
      </c>
      <c r="I206" s="4">
        <v>100</v>
      </c>
      <c r="J206" s="4">
        <v>86.7</v>
      </c>
      <c r="K206" s="4">
        <v>63170.27</v>
      </c>
      <c r="L206" s="4" t="s">
        <v>15</v>
      </c>
      <c r="M206" s="4" t="s">
        <v>16</v>
      </c>
    </row>
    <row r="207" spans="1:13" x14ac:dyDescent="0.2">
      <c r="A207" s="4">
        <v>213</v>
      </c>
      <c r="B207" s="4" t="s">
        <v>339</v>
      </c>
      <c r="C207" s="4">
        <v>321.3</v>
      </c>
      <c r="D207" s="4">
        <v>3.31</v>
      </c>
      <c r="E207" s="4">
        <v>87.4</v>
      </c>
      <c r="F207" s="4">
        <v>0.28000000000000003</v>
      </c>
      <c r="G207" s="4">
        <v>31.9</v>
      </c>
      <c r="H207" s="4">
        <v>27.7</v>
      </c>
      <c r="I207" s="4">
        <v>71</v>
      </c>
      <c r="J207" s="4">
        <v>78.099999999999994</v>
      </c>
      <c r="K207" s="4">
        <v>60271.12</v>
      </c>
      <c r="L207" s="4" t="s">
        <v>15</v>
      </c>
      <c r="M207" s="4" t="s">
        <v>16</v>
      </c>
    </row>
    <row r="208" spans="1:13" x14ac:dyDescent="0.2">
      <c r="A208" s="4">
        <v>214</v>
      </c>
      <c r="B208" s="4" t="s">
        <v>340</v>
      </c>
      <c r="C208" s="4">
        <v>325.5</v>
      </c>
      <c r="D208" s="4">
        <v>3.35</v>
      </c>
      <c r="E208" s="4">
        <v>86.9</v>
      </c>
      <c r="F208" s="4">
        <v>0.36</v>
      </c>
      <c r="G208" s="4">
        <v>35.979999999999997</v>
      </c>
      <c r="H208" s="4">
        <v>34.9</v>
      </c>
      <c r="I208" s="4">
        <v>85.8</v>
      </c>
      <c r="J208" s="4">
        <v>76.2</v>
      </c>
      <c r="K208" s="4">
        <v>63054.05</v>
      </c>
      <c r="L208" s="4" t="s">
        <v>15</v>
      </c>
      <c r="M208" s="4" t="s">
        <v>16</v>
      </c>
    </row>
    <row r="209" spans="1:13" x14ac:dyDescent="0.2">
      <c r="A209" s="4">
        <v>215</v>
      </c>
      <c r="B209" s="4" t="s">
        <v>341</v>
      </c>
      <c r="C209" s="4">
        <v>314.89999999999998</v>
      </c>
      <c r="D209" s="4">
        <v>3.24</v>
      </c>
      <c r="E209" s="4">
        <v>100</v>
      </c>
      <c r="F209" s="4">
        <v>0.33</v>
      </c>
      <c r="G209" s="4">
        <v>34.409999999999997</v>
      </c>
      <c r="H209" s="4">
        <v>32.200000000000003</v>
      </c>
      <c r="I209" s="4">
        <v>100</v>
      </c>
      <c r="J209" s="4">
        <v>86.3</v>
      </c>
      <c r="K209" s="4">
        <v>47507.03</v>
      </c>
      <c r="L209" s="4" t="s">
        <v>15</v>
      </c>
      <c r="M209" s="4" t="s">
        <v>16</v>
      </c>
    </row>
    <row r="210" spans="1:13" x14ac:dyDescent="0.2">
      <c r="A210" s="4">
        <v>216</v>
      </c>
      <c r="B210" s="4" t="s">
        <v>342</v>
      </c>
      <c r="C210" s="4">
        <v>313.7</v>
      </c>
      <c r="D210" s="4">
        <v>3.23</v>
      </c>
      <c r="E210" s="4">
        <v>100</v>
      </c>
      <c r="F210" s="4">
        <v>0.32</v>
      </c>
      <c r="G210" s="4">
        <v>33.15</v>
      </c>
      <c r="H210" s="4">
        <v>31.3</v>
      </c>
      <c r="I210" s="4">
        <v>100</v>
      </c>
      <c r="J210" s="4">
        <v>82.9</v>
      </c>
      <c r="K210" s="4">
        <v>58247.83</v>
      </c>
      <c r="L210" s="4" t="s">
        <v>15</v>
      </c>
      <c r="M210" s="4" t="s">
        <v>16</v>
      </c>
    </row>
    <row r="211" spans="1:13" x14ac:dyDescent="0.2">
      <c r="A211" s="4">
        <v>217</v>
      </c>
      <c r="B211" s="4" t="s">
        <v>343</v>
      </c>
      <c r="C211" s="4">
        <v>321.60000000000002</v>
      </c>
      <c r="D211" s="4">
        <v>3.97</v>
      </c>
      <c r="E211" s="4">
        <v>84.9</v>
      </c>
      <c r="F211" s="4">
        <v>0.39</v>
      </c>
      <c r="G211" s="4">
        <v>31.2</v>
      </c>
      <c r="H211" s="4">
        <v>31.8</v>
      </c>
      <c r="I211" s="4">
        <v>77.400000000000006</v>
      </c>
      <c r="J211" s="4">
        <v>75.8</v>
      </c>
      <c r="K211" s="4">
        <v>64116.73</v>
      </c>
      <c r="L211" s="4" t="s">
        <v>15</v>
      </c>
      <c r="M211" s="4" t="s">
        <v>16</v>
      </c>
    </row>
    <row r="212" spans="1:13" x14ac:dyDescent="0.2">
      <c r="A212" s="4">
        <v>218</v>
      </c>
      <c r="B212" s="4" t="s">
        <v>344</v>
      </c>
      <c r="C212" s="4">
        <v>401.1</v>
      </c>
      <c r="D212" s="4">
        <v>3.98</v>
      </c>
      <c r="E212" s="4">
        <v>84.4</v>
      </c>
      <c r="F212" s="4">
        <v>0.38</v>
      </c>
      <c r="G212" s="4">
        <v>37.770000000000003</v>
      </c>
      <c r="H212" s="4">
        <v>38.700000000000003</v>
      </c>
      <c r="I212" s="4">
        <v>81.5</v>
      </c>
      <c r="J212" s="4">
        <v>75.099999999999994</v>
      </c>
      <c r="K212" s="4">
        <v>78360.5</v>
      </c>
      <c r="L212" s="4" t="s">
        <v>15</v>
      </c>
      <c r="M212" s="4" t="s">
        <v>16</v>
      </c>
    </row>
    <row r="213" spans="1:13" x14ac:dyDescent="0.2">
      <c r="A213" s="4">
        <v>219</v>
      </c>
      <c r="B213" s="4" t="s">
        <v>345</v>
      </c>
      <c r="C213" s="4">
        <v>285.8</v>
      </c>
      <c r="D213" s="4">
        <v>3.05</v>
      </c>
      <c r="E213" s="4">
        <v>4.2</v>
      </c>
      <c r="F213" s="4">
        <v>0.33</v>
      </c>
      <c r="G213" s="4">
        <v>37.06</v>
      </c>
      <c r="H213" s="4">
        <v>30.7</v>
      </c>
      <c r="I213" s="4">
        <v>100</v>
      </c>
      <c r="J213" s="4">
        <v>15.3</v>
      </c>
      <c r="K213" s="4">
        <v>45733.19</v>
      </c>
      <c r="L213" s="4" t="s">
        <v>15</v>
      </c>
      <c r="M213" s="4" t="s">
        <v>16</v>
      </c>
    </row>
    <row r="214" spans="1:13" x14ac:dyDescent="0.2">
      <c r="A214" s="4">
        <v>220</v>
      </c>
      <c r="B214" s="4" t="s">
        <v>346</v>
      </c>
      <c r="C214" s="4">
        <v>338.3</v>
      </c>
      <c r="D214" s="4">
        <v>3.43</v>
      </c>
      <c r="E214" s="4">
        <v>88.8</v>
      </c>
      <c r="F214" s="4">
        <v>0.4</v>
      </c>
      <c r="G214" s="4">
        <v>36.450000000000003</v>
      </c>
      <c r="H214" s="4">
        <v>39.1</v>
      </c>
      <c r="I214" s="4">
        <v>95.6</v>
      </c>
      <c r="J214" s="4">
        <v>79.2</v>
      </c>
      <c r="K214" s="4">
        <v>62722.14</v>
      </c>
      <c r="L214" s="4" t="s">
        <v>15</v>
      </c>
      <c r="M214" s="4" t="s">
        <v>16</v>
      </c>
    </row>
    <row r="215" spans="1:13" x14ac:dyDescent="0.2">
      <c r="A215" s="4">
        <v>221</v>
      </c>
      <c r="B215" s="4" t="s">
        <v>347</v>
      </c>
      <c r="C215" s="4">
        <v>339.4</v>
      </c>
      <c r="D215" s="4">
        <v>3.44</v>
      </c>
      <c r="E215" s="4">
        <v>87.7</v>
      </c>
      <c r="F215" s="4">
        <v>0.36</v>
      </c>
      <c r="G215" s="4">
        <v>36.35</v>
      </c>
      <c r="H215" s="4">
        <v>35.200000000000003</v>
      </c>
      <c r="I215" s="4">
        <v>89.3</v>
      </c>
      <c r="J215" s="4">
        <v>78.7</v>
      </c>
      <c r="K215" s="4">
        <v>64943.1</v>
      </c>
      <c r="L215" s="4" t="s">
        <v>348</v>
      </c>
      <c r="M215" s="4" t="s">
        <v>16</v>
      </c>
    </row>
    <row r="216" spans="1:13" x14ac:dyDescent="0.2">
      <c r="A216" s="4">
        <v>222</v>
      </c>
      <c r="B216" s="4" t="s">
        <v>349</v>
      </c>
      <c r="C216" s="4">
        <v>336</v>
      </c>
      <c r="D216" s="4">
        <v>3.4</v>
      </c>
      <c r="E216" s="4">
        <v>91.6</v>
      </c>
      <c r="F216" s="4">
        <v>0.37</v>
      </c>
      <c r="G216" s="4">
        <v>34.51</v>
      </c>
      <c r="H216" s="4">
        <v>36.5</v>
      </c>
      <c r="I216" s="4">
        <v>100</v>
      </c>
      <c r="J216" s="4">
        <v>79.400000000000006</v>
      </c>
      <c r="K216" s="4">
        <v>64548.25</v>
      </c>
      <c r="L216" s="4" t="s">
        <v>15</v>
      </c>
      <c r="M216" s="4" t="s">
        <v>16</v>
      </c>
    </row>
    <row r="217" spans="1:13" x14ac:dyDescent="0.2">
      <c r="A217" s="4">
        <v>223</v>
      </c>
      <c r="B217" s="4" t="s">
        <v>350</v>
      </c>
      <c r="C217" s="4">
        <v>330.9</v>
      </c>
      <c r="D217" s="4">
        <v>3.34</v>
      </c>
      <c r="E217" s="4">
        <v>91.1</v>
      </c>
      <c r="F217" s="4">
        <v>0.42</v>
      </c>
      <c r="G217" s="4">
        <v>46.42</v>
      </c>
      <c r="H217" s="4">
        <v>41.6</v>
      </c>
      <c r="I217" s="4">
        <v>82.5</v>
      </c>
      <c r="J217" s="4">
        <v>82.6</v>
      </c>
      <c r="K217" s="4">
        <v>56922.720000000001</v>
      </c>
      <c r="L217" s="4" t="s">
        <v>15</v>
      </c>
      <c r="M217" s="4" t="s">
        <v>16</v>
      </c>
    </row>
    <row r="218" spans="1:13" x14ac:dyDescent="0.2">
      <c r="A218" s="4">
        <v>224</v>
      </c>
      <c r="B218" s="4" t="s">
        <v>351</v>
      </c>
      <c r="C218" s="4">
        <v>337.8</v>
      </c>
      <c r="D218" s="4">
        <v>3.52</v>
      </c>
      <c r="E218" s="4">
        <v>88.5</v>
      </c>
      <c r="F218" s="4">
        <v>0.4</v>
      </c>
      <c r="G218" s="4">
        <v>37.21</v>
      </c>
      <c r="H218" s="4">
        <v>38.299999999999997</v>
      </c>
      <c r="I218" s="4">
        <v>86.5</v>
      </c>
      <c r="J218" s="4">
        <v>77.3</v>
      </c>
      <c r="K218" s="4">
        <v>61272.72</v>
      </c>
      <c r="L218" s="4" t="s">
        <v>15</v>
      </c>
      <c r="M218" s="4" t="s">
        <v>16</v>
      </c>
    </row>
    <row r="219" spans="1:13" x14ac:dyDescent="0.2">
      <c r="A219" s="4">
        <v>225</v>
      </c>
      <c r="B219" s="4" t="s">
        <v>352</v>
      </c>
      <c r="C219" s="4">
        <v>315.2</v>
      </c>
      <c r="D219" s="4">
        <v>3.5</v>
      </c>
      <c r="E219" s="4">
        <v>88.5</v>
      </c>
      <c r="F219" s="4">
        <v>0.37</v>
      </c>
      <c r="G219" s="4">
        <v>32.659999999999997</v>
      </c>
      <c r="H219" s="4">
        <v>33.4</v>
      </c>
      <c r="I219" s="4">
        <v>87.5</v>
      </c>
      <c r="J219" s="4">
        <v>77.7</v>
      </c>
      <c r="K219" s="4">
        <v>57109.86</v>
      </c>
      <c r="L219" s="4" t="s">
        <v>348</v>
      </c>
      <c r="M219" s="4" t="s">
        <v>16</v>
      </c>
    </row>
    <row r="220" spans="1:13" x14ac:dyDescent="0.2">
      <c r="A220" s="4">
        <v>226</v>
      </c>
      <c r="B220" s="4" t="s">
        <v>353</v>
      </c>
      <c r="C220" s="4">
        <v>265.89999999999998</v>
      </c>
      <c r="D220" s="4">
        <v>2.95</v>
      </c>
      <c r="E220" s="4">
        <v>100</v>
      </c>
      <c r="F220" s="4">
        <v>0.16</v>
      </c>
      <c r="G220" s="4">
        <v>27.66</v>
      </c>
      <c r="H220" s="4">
        <v>14.7</v>
      </c>
      <c r="I220" s="4">
        <v>100</v>
      </c>
      <c r="J220" s="4">
        <v>83.9</v>
      </c>
      <c r="K220" s="4">
        <v>52369.19</v>
      </c>
      <c r="L220" s="4" t="s">
        <v>348</v>
      </c>
      <c r="M220" s="4" t="s">
        <v>16</v>
      </c>
    </row>
    <row r="221" spans="1:13" x14ac:dyDescent="0.2">
      <c r="A221" s="4">
        <v>227</v>
      </c>
      <c r="B221" s="4" t="s">
        <v>354</v>
      </c>
      <c r="C221" s="4">
        <v>270.10000000000002</v>
      </c>
      <c r="D221" s="4">
        <v>2.81</v>
      </c>
      <c r="E221" s="4">
        <v>100</v>
      </c>
      <c r="F221" s="4">
        <v>0.14000000000000001</v>
      </c>
      <c r="G221" s="4">
        <v>13.13</v>
      </c>
      <c r="H221" s="4">
        <v>13</v>
      </c>
      <c r="I221" s="4">
        <v>100</v>
      </c>
      <c r="J221" s="4">
        <v>85.7</v>
      </c>
      <c r="K221" s="4">
        <v>37184.339999999997</v>
      </c>
      <c r="L221" s="4" t="s">
        <v>15</v>
      </c>
      <c r="M221" s="4" t="s">
        <v>16</v>
      </c>
    </row>
    <row r="222" spans="1:13" x14ac:dyDescent="0.2">
      <c r="A222" s="4">
        <v>228</v>
      </c>
      <c r="B222" s="4" t="s">
        <v>355</v>
      </c>
      <c r="C222" s="4">
        <v>316.5</v>
      </c>
      <c r="D222" s="4">
        <v>3.52</v>
      </c>
      <c r="E222" s="4">
        <v>87.3</v>
      </c>
      <c r="F222" s="4">
        <v>0.4</v>
      </c>
      <c r="G222" s="4">
        <v>34.97</v>
      </c>
      <c r="H222" s="4">
        <v>36.299999999999997</v>
      </c>
      <c r="I222" s="4">
        <v>86.7</v>
      </c>
      <c r="J222" s="4">
        <v>76.8</v>
      </c>
      <c r="K222" s="4">
        <v>54798.91</v>
      </c>
      <c r="L222" s="4" t="s">
        <v>15</v>
      </c>
      <c r="M222" s="4" t="s">
        <v>16</v>
      </c>
    </row>
    <row r="223" spans="1:13" x14ac:dyDescent="0.2">
      <c r="A223" s="4">
        <v>229</v>
      </c>
      <c r="B223" s="4" t="s">
        <v>356</v>
      </c>
      <c r="C223" s="4">
        <v>335.8</v>
      </c>
      <c r="D223" s="4">
        <v>3.5</v>
      </c>
      <c r="E223" s="4">
        <v>91.6</v>
      </c>
      <c r="F223" s="4">
        <v>0.4</v>
      </c>
      <c r="G223" s="4">
        <v>37.19</v>
      </c>
      <c r="H223" s="4">
        <v>38.5</v>
      </c>
      <c r="I223" s="4">
        <v>87.5</v>
      </c>
      <c r="J223" s="4">
        <v>79.7</v>
      </c>
      <c r="K223" s="4">
        <v>58578.400000000001</v>
      </c>
      <c r="L223" s="4" t="s">
        <v>15</v>
      </c>
      <c r="M223" s="4" t="s">
        <v>16</v>
      </c>
    </row>
    <row r="224" spans="1:13" x14ac:dyDescent="0.2">
      <c r="A224" s="4">
        <v>230</v>
      </c>
      <c r="B224" s="4" t="s">
        <v>357</v>
      </c>
      <c r="C224" s="4">
        <v>321.10000000000002</v>
      </c>
      <c r="D224" s="4">
        <v>3.3</v>
      </c>
      <c r="E224" s="4">
        <v>84.8</v>
      </c>
      <c r="F224" s="4">
        <v>0.42</v>
      </c>
      <c r="G224" s="4">
        <v>39.57</v>
      </c>
      <c r="H224" s="4">
        <v>41.3</v>
      </c>
      <c r="I224" s="4">
        <v>76.599999999999994</v>
      </c>
      <c r="J224" s="4">
        <v>75.900000000000006</v>
      </c>
      <c r="K224" s="4">
        <v>58902.71</v>
      </c>
      <c r="L224" s="4" t="s">
        <v>15</v>
      </c>
      <c r="M224" s="4" t="s">
        <v>16</v>
      </c>
    </row>
    <row r="225" spans="1:16373" x14ac:dyDescent="0.2">
      <c r="A225" s="4">
        <v>231</v>
      </c>
      <c r="B225" s="4" t="s">
        <v>358</v>
      </c>
      <c r="C225" s="4">
        <v>286.5</v>
      </c>
      <c r="D225" s="4">
        <v>3.41</v>
      </c>
      <c r="E225" s="4">
        <v>100</v>
      </c>
      <c r="F225" s="4">
        <v>0.32</v>
      </c>
      <c r="G225" s="4">
        <v>39.61</v>
      </c>
      <c r="H225" s="4">
        <v>26.7</v>
      </c>
      <c r="I225" s="4">
        <v>100</v>
      </c>
      <c r="J225" s="4">
        <v>86.4</v>
      </c>
      <c r="K225" s="4">
        <v>49118.77</v>
      </c>
      <c r="L225" s="4" t="s">
        <v>348</v>
      </c>
      <c r="M225" s="4" t="s">
        <v>16</v>
      </c>
    </row>
    <row r="226" spans="1:16373" x14ac:dyDescent="0.2">
      <c r="A226" s="4">
        <v>232</v>
      </c>
      <c r="B226" s="4" t="s">
        <v>359</v>
      </c>
      <c r="C226" s="4">
        <v>304.89999999999998</v>
      </c>
      <c r="D226" s="4">
        <v>3.14</v>
      </c>
      <c r="E226" s="4">
        <v>78.599999999999994</v>
      </c>
      <c r="F226" s="4">
        <v>0.36</v>
      </c>
      <c r="G226" s="4">
        <v>36.35</v>
      </c>
      <c r="H226" s="4">
        <v>35.299999999999997</v>
      </c>
      <c r="I226" s="4">
        <v>56.2</v>
      </c>
      <c r="J226" s="4">
        <v>53.8</v>
      </c>
      <c r="K226" s="4">
        <v>32196.84</v>
      </c>
      <c r="L226" s="4" t="s">
        <v>15</v>
      </c>
      <c r="M226" s="4" t="s">
        <v>16</v>
      </c>
    </row>
    <row r="227" spans="1:16373" x14ac:dyDescent="0.2">
      <c r="A227" s="4">
        <v>233</v>
      </c>
      <c r="B227" s="4" t="s">
        <v>360</v>
      </c>
      <c r="C227" s="4">
        <v>317.89999999999998</v>
      </c>
      <c r="D227" s="4">
        <v>1.45</v>
      </c>
      <c r="E227" s="4">
        <v>41</v>
      </c>
      <c r="F227" s="4">
        <v>0.34</v>
      </c>
      <c r="G227" s="4">
        <v>72.790000000000006</v>
      </c>
      <c r="H227" s="4">
        <v>74.900000000000006</v>
      </c>
      <c r="I227" s="4">
        <v>83.9</v>
      </c>
      <c r="J227" s="4">
        <v>71.400000000000006</v>
      </c>
      <c r="K227" s="4">
        <v>107278.66</v>
      </c>
      <c r="L227" s="4" t="s">
        <v>15</v>
      </c>
      <c r="M227" s="4" t="s">
        <v>16</v>
      </c>
    </row>
    <row r="228" spans="1:16373" x14ac:dyDescent="0.2">
      <c r="A228" s="4">
        <v>234</v>
      </c>
      <c r="B228" s="4" t="s">
        <v>361</v>
      </c>
      <c r="C228" s="4">
        <v>1053.4000000000001</v>
      </c>
      <c r="D228" s="4">
        <v>4.0999999999999996</v>
      </c>
      <c r="E228" s="4">
        <v>81.2</v>
      </c>
      <c r="F228" s="4">
        <v>0.33</v>
      </c>
      <c r="G228" s="4">
        <v>103.65</v>
      </c>
      <c r="H228" s="4">
        <v>84</v>
      </c>
      <c r="I228" s="4">
        <v>75.2</v>
      </c>
      <c r="J228" s="4">
        <v>69.400000000000006</v>
      </c>
      <c r="K228" s="4">
        <v>181453.19</v>
      </c>
      <c r="L228" s="4" t="s">
        <v>15</v>
      </c>
      <c r="M228" s="4" t="s">
        <v>208</v>
      </c>
    </row>
    <row r="229" spans="1:16373" x14ac:dyDescent="0.2">
      <c r="A229" s="4">
        <v>235</v>
      </c>
      <c r="B229" s="4" t="s">
        <v>362</v>
      </c>
      <c r="C229" s="4">
        <v>1868.8</v>
      </c>
      <c r="D229" s="4">
        <v>3.76</v>
      </c>
      <c r="E229" s="4">
        <v>88.2</v>
      </c>
      <c r="F229" s="4">
        <v>0.33</v>
      </c>
      <c r="G229" s="4">
        <v>150.25</v>
      </c>
      <c r="H229" s="4">
        <v>164.3</v>
      </c>
      <c r="I229" s="4">
        <v>100</v>
      </c>
      <c r="J229" s="4">
        <v>79.3</v>
      </c>
      <c r="K229" s="4">
        <v>223433.67</v>
      </c>
      <c r="L229" s="4" t="s">
        <v>15</v>
      </c>
      <c r="M229" s="4" t="s">
        <v>188</v>
      </c>
    </row>
    <row r="230" spans="1:16373" x14ac:dyDescent="0.2">
      <c r="A230" s="4">
        <v>236</v>
      </c>
      <c r="B230" s="4" t="s">
        <v>363</v>
      </c>
      <c r="C230" s="4">
        <v>484.1</v>
      </c>
      <c r="D230" s="4">
        <v>3.67</v>
      </c>
      <c r="E230" s="4">
        <v>86</v>
      </c>
      <c r="F230" s="4">
        <v>0.33</v>
      </c>
      <c r="G230" s="4">
        <v>40.49</v>
      </c>
      <c r="H230" s="4">
        <v>43.8</v>
      </c>
      <c r="I230" s="4">
        <v>100</v>
      </c>
      <c r="J230" s="4">
        <v>79</v>
      </c>
      <c r="K230" s="4">
        <v>59370.7</v>
      </c>
      <c r="L230" s="4" t="s">
        <v>15</v>
      </c>
      <c r="M230" s="4" t="s">
        <v>188</v>
      </c>
    </row>
    <row r="231" spans="1:16373" x14ac:dyDescent="0.2">
      <c r="A231" s="4">
        <v>237</v>
      </c>
      <c r="B231" s="4" t="s">
        <v>364</v>
      </c>
      <c r="C231" s="4">
        <v>598.20000000000005</v>
      </c>
      <c r="D231" s="4">
        <v>3.97</v>
      </c>
      <c r="E231" s="4">
        <v>79.599999999999994</v>
      </c>
      <c r="F231" s="4">
        <v>0.36</v>
      </c>
      <c r="G231" s="4">
        <v>55.09</v>
      </c>
      <c r="H231" s="4">
        <v>53.9</v>
      </c>
      <c r="I231" s="4">
        <v>81.8</v>
      </c>
      <c r="J231" s="4">
        <v>71.5</v>
      </c>
      <c r="K231" s="4">
        <v>81749.52</v>
      </c>
      <c r="L231" s="4" t="s">
        <v>15</v>
      </c>
      <c r="M231" s="4" t="s">
        <v>55</v>
      </c>
    </row>
    <row r="232" spans="1:16373" x14ac:dyDescent="0.2">
      <c r="A232" s="4">
        <v>238</v>
      </c>
      <c r="B232" s="4" t="s">
        <v>365</v>
      </c>
      <c r="C232" s="4">
        <v>402.6</v>
      </c>
      <c r="D232" s="4">
        <v>0.81</v>
      </c>
      <c r="E232" s="4">
        <v>0</v>
      </c>
      <c r="F232" s="4">
        <v>7.0000000000000007E-2</v>
      </c>
      <c r="G232" s="4">
        <v>35.96</v>
      </c>
      <c r="H232" s="4">
        <v>33.299999999999997</v>
      </c>
      <c r="I232" s="4">
        <v>0</v>
      </c>
      <c r="J232" s="4" t="s">
        <v>14</v>
      </c>
      <c r="K232" s="4">
        <v>93746.94</v>
      </c>
      <c r="L232" s="4" t="s">
        <v>15</v>
      </c>
      <c r="M232" s="4" t="s">
        <v>16</v>
      </c>
    </row>
    <row r="233" spans="1:16373" x14ac:dyDescent="0.2">
      <c r="A233" s="4">
        <v>239</v>
      </c>
      <c r="B233" s="4" t="s">
        <v>366</v>
      </c>
      <c r="C233" s="4">
        <v>1832.8</v>
      </c>
      <c r="D233" s="4">
        <v>3.67</v>
      </c>
      <c r="E233" s="4">
        <v>0</v>
      </c>
      <c r="F233" s="4">
        <v>0.31</v>
      </c>
      <c r="G233" s="4">
        <v>166.08</v>
      </c>
      <c r="H233" s="4">
        <v>152.69999999999999</v>
      </c>
      <c r="I233" s="4">
        <v>0</v>
      </c>
      <c r="J233" s="4" t="s">
        <v>14</v>
      </c>
      <c r="K233" s="4">
        <v>127569.04</v>
      </c>
      <c r="L233" s="4" t="s">
        <v>348</v>
      </c>
      <c r="M233" s="4" t="s">
        <v>16</v>
      </c>
    </row>
    <row r="234" spans="1:16373" x14ac:dyDescent="0.2">
      <c r="A234" s="4">
        <v>240</v>
      </c>
      <c r="B234" s="4" t="s">
        <v>367</v>
      </c>
      <c r="C234" s="4">
        <v>1314.9</v>
      </c>
      <c r="D234" s="4">
        <v>2.64</v>
      </c>
      <c r="E234" s="4">
        <v>0</v>
      </c>
      <c r="F234" s="4">
        <v>0.31</v>
      </c>
      <c r="G234" s="4">
        <v>167.31</v>
      </c>
      <c r="H234" s="4">
        <v>155.1</v>
      </c>
      <c r="I234" s="4">
        <v>0</v>
      </c>
      <c r="J234" s="4" t="s">
        <v>14</v>
      </c>
      <c r="K234" s="4">
        <v>80450.67</v>
      </c>
      <c r="L234" s="4" t="s">
        <v>348</v>
      </c>
      <c r="M234" s="4" t="s">
        <v>16</v>
      </c>
    </row>
    <row r="235" spans="1:16373" x14ac:dyDescent="0.2">
      <c r="A235" s="4">
        <v>241</v>
      </c>
      <c r="B235" s="4" t="s">
        <v>368</v>
      </c>
      <c r="C235" s="4">
        <v>219.7</v>
      </c>
      <c r="D235" s="4">
        <v>3.81</v>
      </c>
      <c r="E235" s="4">
        <v>0</v>
      </c>
      <c r="F235" s="4">
        <v>0.34</v>
      </c>
      <c r="G235" s="4">
        <v>20.49</v>
      </c>
      <c r="H235" s="4">
        <v>19.399999999999999</v>
      </c>
      <c r="I235" s="4">
        <v>0</v>
      </c>
      <c r="J235" s="4" t="s">
        <v>14</v>
      </c>
      <c r="K235" s="4">
        <v>74874.539999999994</v>
      </c>
      <c r="L235" s="4" t="s">
        <v>15</v>
      </c>
      <c r="M235" s="4" t="s">
        <v>16</v>
      </c>
    </row>
    <row r="236" spans="1:16373" x14ac:dyDescent="0.2">
      <c r="A236" s="4">
        <v>242</v>
      </c>
      <c r="B236" s="4" t="s">
        <v>369</v>
      </c>
      <c r="C236" s="4">
        <v>1444.8</v>
      </c>
      <c r="D236" s="4">
        <v>3.73</v>
      </c>
      <c r="E236" s="4">
        <v>0</v>
      </c>
      <c r="F236" s="4">
        <v>0.34</v>
      </c>
      <c r="G236" s="4">
        <v>131.55000000000001</v>
      </c>
      <c r="H236" s="4">
        <v>132.69999999999999</v>
      </c>
      <c r="I236" s="4">
        <v>0</v>
      </c>
      <c r="J236" s="4" t="s">
        <v>14</v>
      </c>
      <c r="K236" s="4">
        <v>453288.05</v>
      </c>
      <c r="L236" s="4" t="s">
        <v>15</v>
      </c>
      <c r="M236" s="4" t="s">
        <v>16</v>
      </c>
    </row>
    <row r="237" spans="1:16373" x14ac:dyDescent="0.2">
      <c r="A237" s="4">
        <v>243</v>
      </c>
      <c r="B237" s="4" t="s">
        <v>370</v>
      </c>
      <c r="C237" s="4">
        <v>1735.2</v>
      </c>
      <c r="D237" s="4">
        <v>3.54</v>
      </c>
      <c r="E237" s="4">
        <v>0</v>
      </c>
      <c r="F237" s="4">
        <v>0.26</v>
      </c>
      <c r="G237" s="4">
        <v>141.91</v>
      </c>
      <c r="H237" s="4">
        <v>127</v>
      </c>
      <c r="I237" s="4">
        <v>0</v>
      </c>
      <c r="J237" s="4" t="s">
        <v>14</v>
      </c>
      <c r="K237" s="4">
        <v>134474.72</v>
      </c>
      <c r="L237" s="4" t="s">
        <v>348</v>
      </c>
      <c r="M237" s="4" t="s">
        <v>141</v>
      </c>
    </row>
    <row r="238" spans="1:16373" x14ac:dyDescent="0.2">
      <c r="A238" s="4">
        <v>244</v>
      </c>
      <c r="B238" s="4" t="s">
        <v>371</v>
      </c>
      <c r="C238" s="4">
        <v>1342.6</v>
      </c>
      <c r="D238" s="4">
        <v>2.74</v>
      </c>
      <c r="E238" s="4">
        <v>0</v>
      </c>
      <c r="F238" s="4">
        <v>0.2</v>
      </c>
      <c r="G238" s="4">
        <v>109.95</v>
      </c>
      <c r="H238" s="4">
        <v>99.8</v>
      </c>
      <c r="I238" s="4">
        <v>0</v>
      </c>
      <c r="J238" s="4" t="s">
        <v>14</v>
      </c>
      <c r="K238" s="4">
        <v>90720.58</v>
      </c>
      <c r="L238" s="4" t="s">
        <v>348</v>
      </c>
      <c r="M238" s="4" t="s">
        <v>141</v>
      </c>
    </row>
    <row r="239" spans="1:16373" x14ac:dyDescent="0.2">
      <c r="A239" s="4">
        <v>245</v>
      </c>
      <c r="B239" s="4" t="s">
        <v>372</v>
      </c>
      <c r="C239" s="4">
        <v>1736</v>
      </c>
      <c r="D239" s="4">
        <v>3.53</v>
      </c>
      <c r="E239" s="4">
        <v>0</v>
      </c>
      <c r="F239" s="4">
        <v>0.26</v>
      </c>
      <c r="G239" s="4">
        <v>142.57</v>
      </c>
      <c r="H239" s="4">
        <v>127.5</v>
      </c>
      <c r="I239" s="4">
        <v>0</v>
      </c>
      <c r="J239" s="4" t="s">
        <v>14</v>
      </c>
      <c r="K239" s="4">
        <v>135359.54</v>
      </c>
      <c r="L239" s="4" t="s">
        <v>348</v>
      </c>
      <c r="M239" s="4" t="s">
        <v>141</v>
      </c>
    </row>
    <row r="240" spans="1:16373" x14ac:dyDescent="0.2">
      <c r="A240" s="4">
        <v>246</v>
      </c>
      <c r="B240" s="4" t="s">
        <v>373</v>
      </c>
      <c r="C240" s="4">
        <v>335.1</v>
      </c>
      <c r="D240" s="4">
        <v>3.45</v>
      </c>
      <c r="E240" s="4">
        <v>88.5</v>
      </c>
      <c r="F240" s="4">
        <v>0.44</v>
      </c>
      <c r="G240" s="4">
        <v>42.02</v>
      </c>
      <c r="H240" s="4">
        <v>42.3</v>
      </c>
      <c r="I240" s="4">
        <v>92.2</v>
      </c>
      <c r="J240" s="4" t="s">
        <v>14</v>
      </c>
      <c r="K240" s="4">
        <v>21163.88</v>
      </c>
      <c r="L240" s="4" t="s">
        <v>348</v>
      </c>
      <c r="M240" s="4" t="s">
        <v>16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  <c r="IG240" s="4"/>
      <c r="IH240" s="4"/>
      <c r="II240" s="4"/>
      <c r="IJ240" s="4"/>
      <c r="IK240" s="4"/>
      <c r="IL240" s="4"/>
      <c r="IM240" s="4"/>
      <c r="IN240" s="4"/>
      <c r="IO240" s="4"/>
      <c r="IP240" s="4"/>
      <c r="IQ240" s="4"/>
      <c r="IR240" s="4"/>
      <c r="IS240" s="4"/>
      <c r="IT240" s="4"/>
      <c r="IU240" s="4"/>
      <c r="IV240" s="4"/>
      <c r="IW240" s="4"/>
      <c r="IX240" s="4"/>
      <c r="IY240" s="4"/>
      <c r="IZ240" s="4"/>
      <c r="JA240" s="4"/>
      <c r="JB240" s="4"/>
      <c r="JC240" s="4"/>
      <c r="JD240" s="4"/>
      <c r="JE240" s="4"/>
      <c r="JF240" s="4"/>
      <c r="JG240" s="4"/>
      <c r="JH240" s="4"/>
      <c r="JI240" s="4"/>
      <c r="JJ240" s="4"/>
      <c r="JK240" s="4"/>
      <c r="JL240" s="4"/>
      <c r="JM240" s="4"/>
      <c r="JN240" s="4"/>
      <c r="JO240" s="4"/>
      <c r="JP240" s="4"/>
      <c r="JQ240" s="4"/>
      <c r="JR240" s="4"/>
      <c r="JS240" s="4"/>
      <c r="JT240" s="4"/>
      <c r="JU240" s="4"/>
      <c r="JV240" s="4"/>
      <c r="JW240" s="4"/>
      <c r="JX240" s="4"/>
      <c r="JY240" s="4"/>
      <c r="JZ240" s="4"/>
      <c r="KA240" s="4"/>
      <c r="KB240" s="4"/>
      <c r="KC240" s="4"/>
      <c r="KD240" s="4"/>
      <c r="KE240" s="4"/>
      <c r="KF240" s="4"/>
      <c r="KG240" s="4"/>
      <c r="KH240" s="4"/>
      <c r="KI240" s="4"/>
      <c r="KJ240" s="4"/>
      <c r="KK240" s="4"/>
      <c r="KL240" s="4"/>
      <c r="KM240" s="4"/>
      <c r="KN240" s="4"/>
      <c r="KO240" s="4"/>
      <c r="KP240" s="4"/>
      <c r="KQ240" s="4"/>
      <c r="KR240" s="4"/>
      <c r="KS240" s="4"/>
      <c r="KT240" s="4"/>
      <c r="KU240" s="4"/>
      <c r="KV240" s="4"/>
      <c r="KW240" s="4"/>
      <c r="KX240" s="4"/>
      <c r="KY240" s="4"/>
      <c r="KZ240" s="4"/>
      <c r="LA240" s="4"/>
      <c r="LB240" s="4"/>
      <c r="LC240" s="4"/>
      <c r="LD240" s="4"/>
      <c r="LE240" s="4"/>
      <c r="LF240" s="4"/>
      <c r="LG240" s="4"/>
      <c r="LH240" s="4"/>
      <c r="LI240" s="4"/>
      <c r="LJ240" s="4"/>
      <c r="LK240" s="4"/>
      <c r="LL240" s="4"/>
      <c r="LM240" s="4"/>
      <c r="LN240" s="4"/>
      <c r="LO240" s="4"/>
      <c r="LP240" s="4"/>
      <c r="LQ240" s="4"/>
      <c r="LR240" s="4"/>
      <c r="LS240" s="4"/>
      <c r="LT240" s="4"/>
      <c r="LU240" s="4"/>
      <c r="LV240" s="4"/>
      <c r="LW240" s="4"/>
      <c r="LX240" s="4"/>
      <c r="LY240" s="4"/>
      <c r="LZ240" s="4"/>
      <c r="MA240" s="4"/>
      <c r="MB240" s="4"/>
      <c r="MC240" s="4"/>
      <c r="MD240" s="4"/>
      <c r="ME240" s="4"/>
      <c r="MF240" s="4"/>
      <c r="MG240" s="4"/>
      <c r="MH240" s="4"/>
      <c r="MI240" s="4"/>
      <c r="MJ240" s="4"/>
      <c r="MK240" s="4"/>
      <c r="ML240" s="4"/>
      <c r="MM240" s="4"/>
      <c r="MN240" s="4"/>
      <c r="MO240" s="4"/>
      <c r="MP240" s="4"/>
      <c r="MQ240" s="4"/>
      <c r="MR240" s="4"/>
      <c r="MS240" s="4"/>
      <c r="MT240" s="4"/>
      <c r="MU240" s="4"/>
      <c r="MV240" s="4"/>
      <c r="MW240" s="4"/>
      <c r="MX240" s="4"/>
      <c r="MY240" s="4"/>
      <c r="MZ240" s="4"/>
      <c r="NA240" s="4"/>
      <c r="NB240" s="4"/>
      <c r="NC240" s="4"/>
      <c r="ND240" s="4"/>
      <c r="NE240" s="4"/>
      <c r="NF240" s="4"/>
      <c r="NG240" s="4"/>
      <c r="NH240" s="4"/>
      <c r="NI240" s="4"/>
      <c r="NJ240" s="4"/>
      <c r="NK240" s="4"/>
      <c r="NL240" s="4"/>
      <c r="NM240" s="4"/>
      <c r="NN240" s="4"/>
      <c r="NO240" s="4"/>
      <c r="NP240" s="4"/>
      <c r="NQ240" s="4"/>
      <c r="NR240" s="4"/>
      <c r="NS240" s="4"/>
      <c r="NT240" s="4"/>
      <c r="NU240" s="4"/>
      <c r="NV240" s="4"/>
      <c r="NW240" s="4"/>
      <c r="NX240" s="4"/>
      <c r="NY240" s="4"/>
      <c r="NZ240" s="4"/>
      <c r="OA240" s="4"/>
      <c r="OB240" s="4"/>
      <c r="OC240" s="4"/>
      <c r="OD240" s="4"/>
      <c r="OE240" s="4"/>
      <c r="OF240" s="4"/>
      <c r="OG240" s="4"/>
      <c r="OH240" s="4"/>
      <c r="OI240" s="4"/>
      <c r="OJ240" s="4"/>
      <c r="OK240" s="4"/>
      <c r="OL240" s="4"/>
      <c r="OM240" s="4"/>
      <c r="ON240" s="4"/>
      <c r="OO240" s="4"/>
      <c r="OP240" s="4"/>
      <c r="OQ240" s="4"/>
      <c r="OR240" s="4"/>
      <c r="OS240" s="4"/>
      <c r="OT240" s="4"/>
      <c r="OU240" s="4"/>
      <c r="OV240" s="4"/>
      <c r="OW240" s="4"/>
      <c r="OX240" s="4"/>
      <c r="OY240" s="4"/>
      <c r="OZ240" s="4"/>
      <c r="PA240" s="4"/>
      <c r="PB240" s="4"/>
      <c r="PC240" s="4"/>
      <c r="PD240" s="4"/>
      <c r="PE240" s="4"/>
      <c r="PF240" s="4"/>
      <c r="PG240" s="4"/>
      <c r="PH240" s="4"/>
      <c r="PI240" s="4"/>
      <c r="PJ240" s="4"/>
      <c r="PK240" s="4"/>
      <c r="PL240" s="4"/>
      <c r="PM240" s="4"/>
      <c r="PN240" s="4"/>
      <c r="PO240" s="4"/>
      <c r="PP240" s="4"/>
      <c r="PQ240" s="4"/>
      <c r="PR240" s="4"/>
      <c r="PS240" s="4"/>
      <c r="PT240" s="4"/>
      <c r="PU240" s="4"/>
      <c r="PV240" s="4"/>
      <c r="PW240" s="4"/>
      <c r="PX240" s="4"/>
      <c r="PY240" s="4"/>
      <c r="PZ240" s="4"/>
      <c r="QA240" s="4"/>
      <c r="QB240" s="4"/>
      <c r="QC240" s="4"/>
      <c r="QD240" s="4"/>
      <c r="QE240" s="4"/>
      <c r="QF240" s="4"/>
      <c r="QG240" s="4"/>
      <c r="QH240" s="4"/>
      <c r="QI240" s="4"/>
      <c r="QJ240" s="4"/>
      <c r="QK240" s="4"/>
      <c r="QL240" s="4"/>
      <c r="QM240" s="4"/>
      <c r="QN240" s="4"/>
      <c r="QO240" s="4"/>
      <c r="QP240" s="4"/>
      <c r="QQ240" s="4"/>
      <c r="QR240" s="4"/>
      <c r="QS240" s="4"/>
      <c r="QT240" s="4"/>
      <c r="QU240" s="4"/>
      <c r="QV240" s="4"/>
      <c r="QW240" s="4"/>
      <c r="QX240" s="4"/>
      <c r="QY240" s="4"/>
      <c r="QZ240" s="4"/>
      <c r="RA240" s="4"/>
      <c r="RB240" s="4"/>
      <c r="RC240" s="4"/>
      <c r="RD240" s="4"/>
      <c r="RE240" s="4"/>
      <c r="RF240" s="4"/>
      <c r="RG240" s="4"/>
      <c r="RH240" s="4"/>
      <c r="RI240" s="4"/>
      <c r="RJ240" s="4"/>
      <c r="RK240" s="4"/>
      <c r="RL240" s="4"/>
      <c r="RM240" s="4"/>
      <c r="RN240" s="4"/>
      <c r="RO240" s="4"/>
      <c r="RP240" s="4"/>
      <c r="RQ240" s="4"/>
      <c r="RR240" s="4"/>
      <c r="RS240" s="4"/>
      <c r="RT240" s="4"/>
      <c r="RU240" s="4"/>
      <c r="RV240" s="4"/>
      <c r="RW240" s="4"/>
      <c r="RX240" s="4"/>
      <c r="RY240" s="4"/>
      <c r="RZ240" s="4"/>
      <c r="SA240" s="4"/>
      <c r="SB240" s="4"/>
      <c r="SC240" s="4"/>
      <c r="SD240" s="4"/>
      <c r="SE240" s="4"/>
      <c r="SF240" s="4"/>
      <c r="SG240" s="4"/>
      <c r="SH240" s="4"/>
      <c r="SI240" s="4"/>
      <c r="SJ240" s="4"/>
      <c r="SK240" s="4"/>
      <c r="SL240" s="4"/>
      <c r="SM240" s="4"/>
      <c r="SN240" s="4"/>
      <c r="SO240" s="4"/>
      <c r="SP240" s="4"/>
      <c r="SQ240" s="4"/>
      <c r="SR240" s="4"/>
      <c r="SS240" s="4"/>
      <c r="ST240" s="4"/>
      <c r="SU240" s="4"/>
      <c r="SV240" s="4"/>
      <c r="SW240" s="4"/>
      <c r="SX240" s="4"/>
      <c r="SY240" s="4"/>
      <c r="SZ240" s="4"/>
      <c r="TA240" s="4"/>
      <c r="TB240" s="4"/>
      <c r="TC240" s="4"/>
      <c r="TD240" s="4"/>
      <c r="TE240" s="4"/>
      <c r="TF240" s="4"/>
      <c r="TG240" s="4"/>
      <c r="TH240" s="4"/>
      <c r="TI240" s="4"/>
      <c r="TJ240" s="4"/>
      <c r="TK240" s="4"/>
      <c r="TL240" s="4"/>
      <c r="TM240" s="4"/>
      <c r="TN240" s="4"/>
      <c r="TO240" s="4"/>
      <c r="TP240" s="4"/>
      <c r="TQ240" s="4"/>
      <c r="TR240" s="4"/>
      <c r="TS240" s="4"/>
      <c r="TT240" s="4"/>
      <c r="TU240" s="4"/>
      <c r="TV240" s="4"/>
      <c r="TW240" s="4"/>
      <c r="TX240" s="4"/>
      <c r="TY240" s="4"/>
      <c r="TZ240" s="4"/>
      <c r="UA240" s="4"/>
      <c r="UB240" s="4"/>
      <c r="UC240" s="4"/>
      <c r="UD240" s="4"/>
      <c r="UE240" s="4"/>
      <c r="UF240" s="4"/>
      <c r="UG240" s="4"/>
      <c r="UH240" s="4"/>
      <c r="UI240" s="4"/>
      <c r="UJ240" s="4"/>
      <c r="UK240" s="4"/>
      <c r="UL240" s="4"/>
      <c r="UM240" s="4"/>
      <c r="UN240" s="4"/>
      <c r="UO240" s="4"/>
      <c r="UP240" s="4"/>
      <c r="UQ240" s="4"/>
      <c r="UR240" s="4"/>
      <c r="US240" s="4"/>
      <c r="UT240" s="4"/>
      <c r="UU240" s="4"/>
      <c r="UV240" s="4"/>
      <c r="UW240" s="4"/>
      <c r="UX240" s="4"/>
      <c r="UY240" s="4"/>
      <c r="UZ240" s="4"/>
      <c r="VA240" s="4"/>
      <c r="VB240" s="4"/>
      <c r="VC240" s="4"/>
      <c r="VD240" s="4"/>
      <c r="VE240" s="4"/>
      <c r="VF240" s="4"/>
      <c r="VG240" s="4"/>
      <c r="VH240" s="4"/>
      <c r="VI240" s="4"/>
      <c r="VJ240" s="4"/>
      <c r="VK240" s="4"/>
      <c r="VL240" s="4"/>
      <c r="VM240" s="4"/>
      <c r="VN240" s="4"/>
      <c r="VO240" s="4"/>
      <c r="VP240" s="4"/>
      <c r="VQ240" s="4"/>
      <c r="VR240" s="4"/>
      <c r="VS240" s="4"/>
      <c r="VT240" s="4"/>
      <c r="VU240" s="4"/>
      <c r="VV240" s="4"/>
      <c r="VW240" s="4"/>
      <c r="VX240" s="4"/>
      <c r="VY240" s="4"/>
      <c r="VZ240" s="4"/>
      <c r="WA240" s="4"/>
      <c r="WB240" s="4"/>
      <c r="WC240" s="4"/>
      <c r="WD240" s="4"/>
      <c r="WE240" s="4"/>
      <c r="WF240" s="4"/>
      <c r="WG240" s="4"/>
      <c r="WH240" s="4"/>
      <c r="WI240" s="4"/>
      <c r="WJ240" s="4"/>
      <c r="WK240" s="4"/>
      <c r="WL240" s="4"/>
      <c r="WM240" s="4"/>
      <c r="WN240" s="4"/>
      <c r="WO240" s="4"/>
      <c r="WP240" s="4"/>
      <c r="WQ240" s="4"/>
      <c r="WR240" s="4"/>
      <c r="WS240" s="4"/>
      <c r="WT240" s="4"/>
      <c r="WU240" s="4"/>
      <c r="WV240" s="4"/>
      <c r="WW240" s="4"/>
      <c r="WX240" s="4"/>
      <c r="WY240" s="4"/>
      <c r="WZ240" s="4"/>
      <c r="XA240" s="4"/>
      <c r="XB240" s="4"/>
      <c r="XC240" s="4"/>
      <c r="XD240" s="4"/>
      <c r="XE240" s="4"/>
      <c r="XF240" s="4"/>
      <c r="XG240" s="4"/>
      <c r="XH240" s="4"/>
      <c r="XI240" s="4"/>
      <c r="XJ240" s="4"/>
      <c r="XK240" s="4"/>
      <c r="XL240" s="4"/>
      <c r="XM240" s="4"/>
      <c r="XN240" s="4"/>
      <c r="XO240" s="4"/>
      <c r="XP240" s="4"/>
      <c r="XQ240" s="4"/>
      <c r="XR240" s="4"/>
      <c r="XS240" s="4"/>
      <c r="XT240" s="4"/>
      <c r="XU240" s="4"/>
      <c r="XV240" s="4"/>
      <c r="XW240" s="4"/>
      <c r="XX240" s="4"/>
      <c r="XY240" s="4"/>
      <c r="XZ240" s="4"/>
      <c r="YA240" s="4"/>
      <c r="YB240" s="4"/>
      <c r="YC240" s="4"/>
      <c r="YD240" s="4"/>
      <c r="YE240" s="4"/>
      <c r="YF240" s="4"/>
      <c r="YG240" s="4"/>
      <c r="YH240" s="4"/>
      <c r="YI240" s="4"/>
      <c r="YJ240" s="4"/>
      <c r="YK240" s="4"/>
      <c r="YL240" s="4"/>
      <c r="YM240" s="4"/>
      <c r="YN240" s="4"/>
      <c r="YO240" s="4"/>
      <c r="YP240" s="4"/>
      <c r="YQ240" s="4"/>
      <c r="YR240" s="4"/>
      <c r="YS240" s="4"/>
      <c r="YT240" s="4"/>
      <c r="YU240" s="4"/>
      <c r="YV240" s="4"/>
      <c r="YW240" s="4"/>
      <c r="YX240" s="4"/>
      <c r="YY240" s="4"/>
      <c r="YZ240" s="4"/>
      <c r="ZA240" s="4"/>
      <c r="ZB240" s="4"/>
      <c r="ZC240" s="4"/>
      <c r="ZD240" s="4"/>
      <c r="ZE240" s="4"/>
      <c r="ZF240" s="4"/>
      <c r="ZG240" s="4"/>
      <c r="ZH240" s="4"/>
      <c r="ZI240" s="4"/>
      <c r="ZJ240" s="4"/>
      <c r="ZK240" s="4"/>
      <c r="ZL240" s="4"/>
      <c r="ZM240" s="4"/>
      <c r="ZN240" s="4"/>
      <c r="ZO240" s="4"/>
      <c r="ZP240" s="4"/>
      <c r="ZQ240" s="4"/>
      <c r="ZR240" s="4"/>
      <c r="ZS240" s="4"/>
      <c r="ZT240" s="4"/>
      <c r="ZU240" s="4"/>
      <c r="ZV240" s="4"/>
      <c r="ZW240" s="4"/>
      <c r="ZX240" s="4"/>
      <c r="ZY240" s="4"/>
      <c r="ZZ240" s="4"/>
      <c r="AAA240" s="4"/>
      <c r="AAB240" s="4"/>
      <c r="AAC240" s="4"/>
      <c r="AAD240" s="4"/>
      <c r="AAE240" s="4"/>
      <c r="AAF240" s="4"/>
      <c r="AAG240" s="4"/>
      <c r="AAH240" s="4"/>
      <c r="AAI240" s="4"/>
      <c r="AAJ240" s="4"/>
      <c r="AAK240" s="4"/>
      <c r="AAL240" s="4"/>
      <c r="AAM240" s="4"/>
      <c r="AAN240" s="4"/>
      <c r="AAO240" s="4"/>
      <c r="AAP240" s="4"/>
      <c r="AAQ240" s="4"/>
      <c r="AAR240" s="4"/>
      <c r="AAS240" s="4"/>
      <c r="AAT240" s="4"/>
      <c r="AAU240" s="4"/>
      <c r="AAV240" s="4"/>
      <c r="AAW240" s="4"/>
      <c r="AAX240" s="4"/>
      <c r="AAY240" s="4"/>
      <c r="AAZ240" s="4"/>
      <c r="ABA240" s="4"/>
      <c r="ABB240" s="4"/>
      <c r="ABC240" s="4"/>
      <c r="ABD240" s="4"/>
      <c r="ABE240" s="4"/>
      <c r="ABF240" s="4"/>
      <c r="ABG240" s="4"/>
      <c r="ABH240" s="4"/>
      <c r="ABI240" s="4"/>
      <c r="ABJ240" s="4"/>
      <c r="ABK240" s="4"/>
      <c r="ABL240" s="4"/>
      <c r="ABM240" s="4"/>
      <c r="ABN240" s="4"/>
      <c r="ABO240" s="4"/>
      <c r="ABP240" s="4"/>
      <c r="ABQ240" s="4"/>
      <c r="ABR240" s="4"/>
      <c r="ABS240" s="4"/>
      <c r="ABT240" s="4"/>
      <c r="ABU240" s="4"/>
      <c r="ABV240" s="4"/>
      <c r="ABW240" s="4"/>
      <c r="ABX240" s="4"/>
      <c r="ABY240" s="4"/>
      <c r="ABZ240" s="4"/>
      <c r="ACA240" s="4"/>
      <c r="ACB240" s="4"/>
      <c r="ACC240" s="4"/>
      <c r="ACD240" s="4"/>
      <c r="ACE240" s="4"/>
      <c r="ACF240" s="4"/>
      <c r="ACG240" s="4"/>
      <c r="ACH240" s="4"/>
      <c r="ACI240" s="4"/>
      <c r="ACJ240" s="4"/>
      <c r="ACK240" s="4"/>
      <c r="ACL240" s="4"/>
      <c r="ACM240" s="4"/>
      <c r="ACN240" s="4"/>
      <c r="ACO240" s="4"/>
      <c r="ACP240" s="4"/>
      <c r="ACQ240" s="4"/>
      <c r="ACR240" s="4"/>
      <c r="ACS240" s="4"/>
      <c r="ACT240" s="4"/>
      <c r="ACU240" s="4"/>
      <c r="ACV240" s="4"/>
      <c r="ACW240" s="4"/>
      <c r="ACX240" s="4"/>
      <c r="ACY240" s="4"/>
      <c r="ACZ240" s="4"/>
      <c r="ADA240" s="4"/>
      <c r="ADB240" s="4"/>
      <c r="ADC240" s="4"/>
      <c r="ADD240" s="4"/>
      <c r="ADE240" s="4"/>
      <c r="ADF240" s="4"/>
      <c r="ADG240" s="4"/>
      <c r="ADH240" s="4"/>
      <c r="ADI240" s="4"/>
      <c r="ADJ240" s="4"/>
      <c r="ADK240" s="4"/>
      <c r="ADL240" s="4"/>
      <c r="ADM240" s="4"/>
      <c r="ADN240" s="4"/>
      <c r="ADO240" s="4"/>
      <c r="ADP240" s="4"/>
      <c r="ADQ240" s="4"/>
      <c r="ADR240" s="4"/>
      <c r="ADS240" s="4"/>
      <c r="ADT240" s="4"/>
      <c r="ADU240" s="4"/>
      <c r="ADV240" s="4"/>
      <c r="ADW240" s="4"/>
      <c r="ADX240" s="4"/>
      <c r="ADY240" s="4"/>
      <c r="ADZ240" s="4"/>
      <c r="AEA240" s="4"/>
      <c r="AEB240" s="4"/>
      <c r="AEC240" s="4"/>
      <c r="AED240" s="4"/>
      <c r="AEE240" s="4"/>
      <c r="AEF240" s="4"/>
      <c r="AEG240" s="4"/>
      <c r="AEH240" s="4"/>
      <c r="AEI240" s="4"/>
      <c r="AEJ240" s="4"/>
      <c r="AEK240" s="4"/>
      <c r="AEL240" s="4"/>
      <c r="AEM240" s="4"/>
      <c r="AEN240" s="4"/>
      <c r="AEO240" s="4"/>
      <c r="AEP240" s="4"/>
      <c r="AEQ240" s="4"/>
      <c r="AER240" s="4"/>
      <c r="AES240" s="4"/>
      <c r="AET240" s="4"/>
      <c r="AEU240" s="4"/>
      <c r="AEV240" s="4"/>
      <c r="AEW240" s="4"/>
      <c r="AEX240" s="4"/>
      <c r="AEY240" s="4"/>
      <c r="AEZ240" s="4"/>
      <c r="AFA240" s="4"/>
      <c r="AFB240" s="4"/>
      <c r="AFC240" s="4"/>
      <c r="AFD240" s="4"/>
      <c r="AFE240" s="4"/>
      <c r="AFF240" s="4"/>
      <c r="AFG240" s="4"/>
      <c r="AFH240" s="4"/>
      <c r="AFI240" s="4"/>
      <c r="AFJ240" s="4"/>
      <c r="AFK240" s="4"/>
      <c r="AFL240" s="4"/>
      <c r="AFM240" s="4"/>
      <c r="AFN240" s="4"/>
      <c r="AFO240" s="4"/>
      <c r="AFP240" s="4"/>
      <c r="AFQ240" s="4"/>
      <c r="AFR240" s="4"/>
      <c r="AFS240" s="4"/>
      <c r="AFT240" s="4"/>
      <c r="AFU240" s="4"/>
      <c r="AFV240" s="4"/>
      <c r="AFW240" s="4"/>
      <c r="AFX240" s="4"/>
      <c r="AFY240" s="4"/>
      <c r="AFZ240" s="4"/>
      <c r="AGA240" s="4"/>
      <c r="AGB240" s="4"/>
      <c r="AGC240" s="4"/>
      <c r="AGD240" s="4"/>
      <c r="AGE240" s="4"/>
      <c r="AGF240" s="4"/>
      <c r="AGG240" s="4"/>
      <c r="AGH240" s="4"/>
      <c r="AGI240" s="4"/>
      <c r="AGJ240" s="4"/>
      <c r="AGK240" s="4"/>
      <c r="AGL240" s="4"/>
      <c r="AGM240" s="4"/>
      <c r="AGN240" s="4"/>
      <c r="AGO240" s="4"/>
      <c r="AGP240" s="4"/>
      <c r="AGQ240" s="4"/>
      <c r="AGR240" s="4"/>
      <c r="AGS240" s="4"/>
      <c r="AGT240" s="4"/>
      <c r="AGU240" s="4"/>
      <c r="AGV240" s="4"/>
      <c r="AGW240" s="4"/>
      <c r="AGX240" s="4"/>
      <c r="AGY240" s="4"/>
      <c r="AGZ240" s="4"/>
      <c r="AHA240" s="4"/>
      <c r="AHB240" s="4"/>
      <c r="AHC240" s="4"/>
      <c r="AHD240" s="4"/>
      <c r="AHE240" s="4"/>
      <c r="AHF240" s="4"/>
      <c r="AHG240" s="4"/>
      <c r="AHH240" s="4"/>
      <c r="AHI240" s="4"/>
      <c r="AHJ240" s="4"/>
      <c r="AHK240" s="4"/>
      <c r="AHL240" s="4"/>
      <c r="AHM240" s="4"/>
      <c r="AHN240" s="4"/>
      <c r="AHO240" s="4"/>
      <c r="AHP240" s="4"/>
      <c r="AHQ240" s="4"/>
      <c r="AHR240" s="4"/>
      <c r="AHS240" s="4"/>
      <c r="AHT240" s="4"/>
      <c r="AHU240" s="4"/>
      <c r="AHV240" s="4"/>
      <c r="AHW240" s="4"/>
      <c r="AHX240" s="4"/>
      <c r="AHY240" s="4"/>
      <c r="AHZ240" s="4"/>
      <c r="AIA240" s="4"/>
      <c r="AIB240" s="4"/>
      <c r="AIC240" s="4"/>
      <c r="AID240" s="4"/>
      <c r="AIE240" s="4"/>
      <c r="AIF240" s="4"/>
      <c r="AIG240" s="4"/>
      <c r="AIH240" s="4"/>
      <c r="AII240" s="4"/>
      <c r="AIJ240" s="4"/>
      <c r="AIK240" s="4"/>
      <c r="AIL240" s="4"/>
      <c r="AIM240" s="4"/>
      <c r="AIN240" s="4"/>
      <c r="AIO240" s="4"/>
      <c r="AIP240" s="4"/>
      <c r="AIQ240" s="4"/>
      <c r="AIR240" s="4"/>
      <c r="AIS240" s="4"/>
      <c r="AIT240" s="4"/>
      <c r="AIU240" s="4"/>
      <c r="AIV240" s="4"/>
      <c r="AIW240" s="4"/>
      <c r="AIX240" s="4"/>
      <c r="AIY240" s="4"/>
      <c r="AIZ240" s="4"/>
      <c r="AJA240" s="4"/>
      <c r="AJB240" s="4"/>
      <c r="AJC240" s="4"/>
      <c r="AJD240" s="4"/>
      <c r="AJE240" s="4"/>
      <c r="AJF240" s="4"/>
      <c r="AJG240" s="4"/>
      <c r="AJH240" s="4"/>
      <c r="AJI240" s="4"/>
      <c r="AJJ240" s="4"/>
      <c r="AJK240" s="4"/>
      <c r="AJL240" s="4"/>
      <c r="AJM240" s="4"/>
      <c r="AJN240" s="4"/>
      <c r="AJO240" s="4"/>
      <c r="AJP240" s="4"/>
      <c r="AJQ240" s="4"/>
      <c r="AJR240" s="4"/>
      <c r="AJS240" s="4"/>
      <c r="AJT240" s="4"/>
      <c r="AJU240" s="4"/>
      <c r="AJV240" s="4"/>
      <c r="AJW240" s="4"/>
      <c r="AJX240" s="4"/>
      <c r="AJY240" s="4"/>
      <c r="AJZ240" s="4"/>
      <c r="AKA240" s="4"/>
      <c r="AKB240" s="4"/>
      <c r="AKC240" s="4"/>
      <c r="AKD240" s="4"/>
      <c r="AKE240" s="4"/>
      <c r="AKF240" s="4"/>
      <c r="AKG240" s="4"/>
      <c r="AKH240" s="4"/>
      <c r="AKI240" s="4"/>
      <c r="AKJ240" s="4"/>
      <c r="AKK240" s="4"/>
      <c r="AKL240" s="4"/>
      <c r="AKM240" s="4"/>
      <c r="AKN240" s="4"/>
      <c r="AKO240" s="4"/>
      <c r="AKP240" s="4"/>
      <c r="AKQ240" s="4"/>
      <c r="AKR240" s="4"/>
      <c r="AKS240" s="4"/>
      <c r="AKT240" s="4"/>
      <c r="AKU240" s="4"/>
      <c r="AKV240" s="4"/>
      <c r="AKW240" s="4"/>
      <c r="AKX240" s="4"/>
      <c r="AKY240" s="4"/>
      <c r="AKZ240" s="4"/>
      <c r="ALA240" s="4"/>
      <c r="ALB240" s="4"/>
      <c r="ALC240" s="4"/>
      <c r="ALD240" s="4"/>
      <c r="ALE240" s="4"/>
      <c r="ALF240" s="4"/>
      <c r="ALG240" s="4"/>
      <c r="ALH240" s="4"/>
      <c r="ALI240" s="4"/>
      <c r="ALJ240" s="4"/>
      <c r="ALK240" s="4"/>
      <c r="ALL240" s="4"/>
      <c r="ALM240" s="4"/>
      <c r="ALN240" s="4"/>
      <c r="ALO240" s="4"/>
      <c r="ALP240" s="4"/>
      <c r="ALQ240" s="4"/>
      <c r="ALR240" s="4"/>
      <c r="ALS240" s="4"/>
      <c r="ALT240" s="4"/>
      <c r="ALU240" s="4"/>
      <c r="ALV240" s="4"/>
      <c r="ALW240" s="4"/>
      <c r="ALX240" s="4"/>
      <c r="ALY240" s="4"/>
      <c r="ALZ240" s="4"/>
      <c r="AMA240" s="4"/>
      <c r="AMB240" s="4"/>
      <c r="AMC240" s="4"/>
      <c r="AMD240" s="4"/>
      <c r="AME240" s="4"/>
      <c r="AMF240" s="4"/>
      <c r="AMG240" s="4"/>
      <c r="AMH240" s="4"/>
      <c r="AMI240" s="4"/>
      <c r="AMJ240" s="4"/>
      <c r="AMK240" s="4"/>
      <c r="AML240" s="4"/>
      <c r="AMM240" s="4"/>
      <c r="AMN240" s="4"/>
      <c r="AMO240" s="4"/>
      <c r="AMP240" s="4"/>
      <c r="AMQ240" s="4"/>
      <c r="AMR240" s="4"/>
      <c r="AMS240" s="4"/>
      <c r="AMT240" s="4"/>
      <c r="AMU240" s="4"/>
      <c r="AMV240" s="4"/>
      <c r="AMW240" s="4"/>
      <c r="AMX240" s="4"/>
      <c r="AMY240" s="4"/>
      <c r="AMZ240" s="4"/>
      <c r="ANA240" s="4"/>
      <c r="ANB240" s="4"/>
      <c r="ANC240" s="4"/>
      <c r="AND240" s="4"/>
      <c r="ANE240" s="4"/>
      <c r="ANF240" s="4"/>
      <c r="ANG240" s="4"/>
      <c r="ANH240" s="4"/>
      <c r="ANI240" s="4"/>
      <c r="ANJ240" s="4"/>
      <c r="ANK240" s="4"/>
      <c r="ANL240" s="4"/>
      <c r="ANM240" s="4"/>
      <c r="ANN240" s="4"/>
      <c r="ANO240" s="4"/>
      <c r="ANP240" s="4"/>
      <c r="ANQ240" s="4"/>
      <c r="ANR240" s="4"/>
      <c r="ANS240" s="4"/>
      <c r="ANT240" s="4"/>
      <c r="ANU240" s="4"/>
      <c r="ANV240" s="4"/>
      <c r="ANW240" s="4"/>
      <c r="ANX240" s="4"/>
      <c r="ANY240" s="4"/>
      <c r="ANZ240" s="4"/>
      <c r="AOA240" s="4"/>
      <c r="AOB240" s="4"/>
      <c r="AOC240" s="4"/>
      <c r="AOD240" s="4"/>
      <c r="AOE240" s="4"/>
      <c r="AOF240" s="4"/>
      <c r="AOG240" s="4"/>
      <c r="AOH240" s="4"/>
      <c r="AOI240" s="4"/>
      <c r="AOJ240" s="4"/>
      <c r="AOK240" s="4"/>
      <c r="AOL240" s="4"/>
      <c r="AOM240" s="4"/>
      <c r="AON240" s="4"/>
      <c r="AOO240" s="4"/>
      <c r="AOP240" s="4"/>
      <c r="AOQ240" s="4"/>
      <c r="AOR240" s="4"/>
      <c r="AOS240" s="4"/>
      <c r="AOT240" s="4"/>
      <c r="AOU240" s="4"/>
      <c r="AOV240" s="4"/>
      <c r="AOW240" s="4"/>
      <c r="AOX240" s="4"/>
      <c r="AOY240" s="4"/>
      <c r="AOZ240" s="4"/>
      <c r="APA240" s="4"/>
      <c r="APB240" s="4"/>
      <c r="APC240" s="4"/>
      <c r="APD240" s="4"/>
      <c r="APE240" s="4"/>
      <c r="APF240" s="4"/>
      <c r="APG240" s="4"/>
      <c r="APH240" s="4"/>
      <c r="API240" s="4"/>
      <c r="APJ240" s="4"/>
      <c r="APK240" s="4"/>
      <c r="APL240" s="4"/>
      <c r="APM240" s="4"/>
      <c r="APN240" s="4"/>
      <c r="APO240" s="4"/>
      <c r="APP240" s="4"/>
      <c r="APQ240" s="4"/>
      <c r="APR240" s="4"/>
      <c r="APS240" s="4"/>
      <c r="APT240" s="4"/>
      <c r="APU240" s="4"/>
      <c r="APV240" s="4"/>
      <c r="APW240" s="4"/>
      <c r="APX240" s="4"/>
      <c r="APY240" s="4"/>
      <c r="APZ240" s="4"/>
      <c r="AQA240" s="4"/>
      <c r="AQB240" s="4"/>
      <c r="AQC240" s="4"/>
      <c r="AQD240" s="4"/>
      <c r="AQE240" s="4"/>
      <c r="AQF240" s="4"/>
      <c r="AQG240" s="4"/>
      <c r="AQH240" s="4"/>
      <c r="AQI240" s="4"/>
      <c r="AQJ240" s="4"/>
      <c r="AQK240" s="4"/>
      <c r="AQL240" s="4"/>
      <c r="AQM240" s="4"/>
      <c r="AQN240" s="4"/>
      <c r="AQO240" s="4"/>
      <c r="AQP240" s="4"/>
      <c r="AQQ240" s="4"/>
      <c r="AQR240" s="4"/>
      <c r="AQS240" s="4"/>
      <c r="AQT240" s="4"/>
      <c r="AQU240" s="4"/>
      <c r="AQV240" s="4"/>
      <c r="AQW240" s="4"/>
      <c r="AQX240" s="4"/>
      <c r="AQY240" s="4"/>
      <c r="AQZ240" s="4"/>
      <c r="ARA240" s="4"/>
      <c r="ARB240" s="4"/>
      <c r="ARC240" s="4"/>
      <c r="ARD240" s="4"/>
      <c r="ARE240" s="4"/>
      <c r="ARF240" s="4"/>
      <c r="ARG240" s="4"/>
      <c r="ARH240" s="4"/>
      <c r="ARI240" s="4"/>
      <c r="ARJ240" s="4"/>
      <c r="ARK240" s="4"/>
      <c r="ARL240" s="4"/>
      <c r="ARM240" s="4"/>
      <c r="ARN240" s="4"/>
      <c r="ARO240" s="4"/>
      <c r="ARP240" s="4"/>
      <c r="ARQ240" s="4"/>
      <c r="ARR240" s="4"/>
      <c r="ARS240" s="4"/>
      <c r="ART240" s="4"/>
      <c r="ARU240" s="4"/>
      <c r="ARV240" s="4"/>
      <c r="ARW240" s="4"/>
      <c r="ARX240" s="4"/>
      <c r="ARY240" s="4"/>
      <c r="ARZ240" s="4"/>
      <c r="ASA240" s="4"/>
      <c r="ASB240" s="4"/>
      <c r="ASC240" s="4"/>
      <c r="ASD240" s="4"/>
      <c r="ASE240" s="4"/>
      <c r="ASF240" s="4"/>
      <c r="ASG240" s="4"/>
      <c r="ASH240" s="4"/>
      <c r="ASI240" s="4"/>
      <c r="ASJ240" s="4"/>
      <c r="ASK240" s="4"/>
      <c r="ASL240" s="4"/>
      <c r="ASM240" s="4"/>
      <c r="ASN240" s="4"/>
      <c r="ASO240" s="4"/>
      <c r="ASP240" s="4"/>
      <c r="ASQ240" s="4"/>
      <c r="ASR240" s="4"/>
      <c r="ASS240" s="4"/>
      <c r="AST240" s="4"/>
      <c r="ASU240" s="4"/>
      <c r="ASV240" s="4"/>
      <c r="ASW240" s="4"/>
      <c r="ASX240" s="4"/>
      <c r="ASY240" s="4"/>
      <c r="ASZ240" s="4"/>
      <c r="ATA240" s="4"/>
      <c r="ATB240" s="4"/>
      <c r="ATC240" s="4"/>
      <c r="ATD240" s="4"/>
      <c r="ATE240" s="4"/>
      <c r="ATF240" s="4"/>
      <c r="ATG240" s="4"/>
      <c r="ATH240" s="4"/>
      <c r="ATI240" s="4"/>
      <c r="ATJ240" s="4"/>
      <c r="ATK240" s="4"/>
      <c r="ATL240" s="4"/>
      <c r="ATM240" s="4"/>
      <c r="ATN240" s="4"/>
      <c r="ATO240" s="4"/>
      <c r="ATP240" s="4"/>
      <c r="ATQ240" s="4"/>
      <c r="ATR240" s="4"/>
      <c r="ATS240" s="4"/>
      <c r="ATT240" s="4"/>
      <c r="ATU240" s="4"/>
      <c r="ATV240" s="4"/>
      <c r="ATW240" s="4"/>
      <c r="ATX240" s="4"/>
      <c r="ATY240" s="4"/>
      <c r="ATZ240" s="4"/>
      <c r="AUA240" s="4"/>
      <c r="AUB240" s="4"/>
      <c r="AUC240" s="4"/>
      <c r="AUD240" s="4"/>
      <c r="AUE240" s="4"/>
      <c r="AUF240" s="4"/>
      <c r="AUG240" s="4"/>
      <c r="AUH240" s="4"/>
      <c r="AUI240" s="4"/>
      <c r="AUJ240" s="4"/>
      <c r="AUK240" s="4"/>
      <c r="AUL240" s="4"/>
      <c r="AUM240" s="4"/>
      <c r="AUN240" s="4"/>
      <c r="AUO240" s="4"/>
      <c r="AUP240" s="4"/>
      <c r="AUQ240" s="4"/>
      <c r="AUR240" s="4"/>
      <c r="AUS240" s="4"/>
      <c r="AUT240" s="4"/>
      <c r="AUU240" s="4"/>
      <c r="AUV240" s="4"/>
      <c r="AUW240" s="4"/>
      <c r="AUX240" s="4"/>
      <c r="AUY240" s="4"/>
      <c r="AUZ240" s="4"/>
      <c r="AVA240" s="4"/>
      <c r="AVB240" s="4"/>
      <c r="AVC240" s="4"/>
      <c r="AVD240" s="4"/>
      <c r="AVE240" s="4"/>
      <c r="AVF240" s="4"/>
      <c r="AVG240" s="4"/>
      <c r="AVH240" s="4"/>
      <c r="AVI240" s="4"/>
      <c r="AVJ240" s="4"/>
      <c r="AVK240" s="4"/>
      <c r="AVL240" s="4"/>
      <c r="AVM240" s="4"/>
      <c r="AVN240" s="4"/>
      <c r="AVO240" s="4"/>
      <c r="AVP240" s="4"/>
      <c r="AVQ240" s="4"/>
      <c r="AVR240" s="4"/>
      <c r="AVS240" s="4"/>
      <c r="AVT240" s="4"/>
      <c r="AVU240" s="4"/>
      <c r="AVV240" s="4"/>
      <c r="AVW240" s="4"/>
      <c r="AVX240" s="4"/>
      <c r="AVY240" s="4"/>
      <c r="AVZ240" s="4"/>
      <c r="AWA240" s="4"/>
      <c r="AWB240" s="4"/>
      <c r="AWC240" s="4"/>
      <c r="AWD240" s="4"/>
      <c r="AWE240" s="4"/>
      <c r="AWF240" s="4"/>
      <c r="AWG240" s="4"/>
      <c r="AWH240" s="4"/>
      <c r="AWI240" s="4"/>
      <c r="AWJ240" s="4"/>
      <c r="AWK240" s="4"/>
      <c r="AWL240" s="4"/>
      <c r="AWM240" s="4"/>
      <c r="AWN240" s="4"/>
      <c r="AWO240" s="4"/>
      <c r="AWP240" s="4"/>
      <c r="AWQ240" s="4"/>
      <c r="AWR240" s="4"/>
      <c r="AWS240" s="4"/>
      <c r="AWT240" s="4"/>
      <c r="AWU240" s="4"/>
      <c r="AWV240" s="4"/>
      <c r="AWW240" s="4"/>
      <c r="AWX240" s="4"/>
      <c r="AWY240" s="4"/>
      <c r="AWZ240" s="4"/>
      <c r="AXA240" s="4"/>
      <c r="AXB240" s="4"/>
      <c r="AXC240" s="4"/>
      <c r="AXD240" s="4"/>
      <c r="AXE240" s="4"/>
      <c r="AXF240" s="4"/>
      <c r="AXG240" s="4"/>
      <c r="AXH240" s="4"/>
      <c r="AXI240" s="4"/>
      <c r="AXJ240" s="4"/>
      <c r="AXK240" s="4"/>
      <c r="AXL240" s="4"/>
      <c r="AXM240" s="4"/>
      <c r="AXN240" s="4"/>
      <c r="AXO240" s="4"/>
      <c r="AXP240" s="4"/>
      <c r="AXQ240" s="4"/>
      <c r="AXR240" s="4"/>
      <c r="AXS240" s="4"/>
      <c r="AXT240" s="4"/>
      <c r="AXU240" s="4"/>
      <c r="AXV240" s="4"/>
      <c r="AXW240" s="4"/>
      <c r="AXX240" s="4"/>
      <c r="AXY240" s="4"/>
      <c r="AXZ240" s="4"/>
      <c r="AYA240" s="4"/>
      <c r="AYB240" s="4"/>
      <c r="AYC240" s="4"/>
      <c r="AYD240" s="4"/>
      <c r="AYE240" s="4"/>
      <c r="AYF240" s="4"/>
      <c r="AYG240" s="4"/>
      <c r="AYH240" s="4"/>
      <c r="AYI240" s="4"/>
      <c r="AYJ240" s="4"/>
      <c r="AYK240" s="4"/>
      <c r="AYL240" s="4"/>
      <c r="AYM240" s="4"/>
      <c r="AYN240" s="4"/>
      <c r="AYO240" s="4"/>
      <c r="AYP240" s="4"/>
      <c r="AYQ240" s="4"/>
      <c r="AYR240" s="4"/>
      <c r="AYS240" s="4"/>
      <c r="AYT240" s="4"/>
      <c r="AYU240" s="4"/>
      <c r="AYV240" s="4"/>
      <c r="AYW240" s="4"/>
      <c r="AYX240" s="4"/>
      <c r="AYY240" s="4"/>
      <c r="AYZ240" s="4"/>
      <c r="AZA240" s="4"/>
      <c r="AZB240" s="4"/>
      <c r="AZC240" s="4"/>
      <c r="AZD240" s="4"/>
      <c r="AZE240" s="4"/>
      <c r="AZF240" s="4"/>
      <c r="AZG240" s="4"/>
      <c r="AZH240" s="4"/>
      <c r="AZI240" s="4"/>
      <c r="AZJ240" s="4"/>
      <c r="AZK240" s="4"/>
      <c r="AZL240" s="4"/>
      <c r="AZM240" s="4"/>
      <c r="AZN240" s="4"/>
      <c r="AZO240" s="4"/>
      <c r="AZP240" s="4"/>
      <c r="AZQ240" s="4"/>
      <c r="AZR240" s="4"/>
      <c r="AZS240" s="4"/>
      <c r="AZT240" s="4"/>
      <c r="AZU240" s="4"/>
      <c r="AZV240" s="4"/>
      <c r="AZW240" s="4"/>
      <c r="AZX240" s="4"/>
      <c r="AZY240" s="4"/>
      <c r="AZZ240" s="4"/>
      <c r="BAA240" s="4"/>
      <c r="BAB240" s="4"/>
      <c r="BAC240" s="4"/>
      <c r="BAD240" s="4"/>
      <c r="BAE240" s="4"/>
      <c r="BAF240" s="4"/>
      <c r="BAG240" s="4"/>
      <c r="BAH240" s="4"/>
      <c r="BAI240" s="4"/>
      <c r="BAJ240" s="4"/>
      <c r="BAK240" s="4"/>
      <c r="BAL240" s="4"/>
      <c r="BAM240" s="4"/>
      <c r="BAN240" s="4"/>
      <c r="BAO240" s="4"/>
      <c r="BAP240" s="4"/>
      <c r="BAQ240" s="4"/>
      <c r="BAR240" s="4"/>
      <c r="BAS240" s="4"/>
      <c r="BAT240" s="4"/>
      <c r="BAU240" s="4"/>
      <c r="BAV240" s="4"/>
      <c r="BAW240" s="4"/>
      <c r="BAX240" s="4"/>
      <c r="BAY240" s="4"/>
      <c r="BAZ240" s="4"/>
      <c r="BBA240" s="4"/>
      <c r="BBB240" s="4"/>
      <c r="BBC240" s="4"/>
      <c r="BBD240" s="4"/>
      <c r="BBE240" s="4"/>
      <c r="BBF240" s="4"/>
      <c r="BBG240" s="4"/>
      <c r="BBH240" s="4"/>
      <c r="BBI240" s="4"/>
      <c r="BBJ240" s="4"/>
      <c r="BBK240" s="4"/>
      <c r="BBL240" s="4"/>
      <c r="BBM240" s="4"/>
      <c r="BBN240" s="4"/>
      <c r="BBO240" s="4"/>
      <c r="BBP240" s="4"/>
      <c r="BBQ240" s="4"/>
      <c r="BBR240" s="4"/>
      <c r="BBS240" s="4"/>
      <c r="BBT240" s="4"/>
      <c r="BBU240" s="4"/>
      <c r="BBV240" s="4"/>
      <c r="BBW240" s="4"/>
      <c r="BBX240" s="4"/>
      <c r="BBY240" s="4"/>
      <c r="BBZ240" s="4"/>
      <c r="BCA240" s="4"/>
      <c r="BCB240" s="4"/>
      <c r="BCC240" s="4"/>
      <c r="BCD240" s="4"/>
      <c r="BCE240" s="4"/>
      <c r="BCF240" s="4"/>
      <c r="BCG240" s="4"/>
      <c r="BCH240" s="4"/>
      <c r="BCI240" s="4"/>
      <c r="BCJ240" s="4"/>
      <c r="BCK240" s="4"/>
      <c r="BCL240" s="4"/>
      <c r="BCM240" s="4"/>
      <c r="BCN240" s="4"/>
      <c r="BCO240" s="4"/>
      <c r="BCP240" s="4"/>
      <c r="BCQ240" s="4"/>
      <c r="BCR240" s="4"/>
      <c r="BCS240" s="4"/>
      <c r="BCT240" s="4"/>
      <c r="BCU240" s="4"/>
      <c r="BCV240" s="4"/>
      <c r="BCW240" s="4"/>
      <c r="BCX240" s="4"/>
      <c r="BCY240" s="4"/>
      <c r="BCZ240" s="4"/>
      <c r="BDA240" s="4"/>
      <c r="BDB240" s="4"/>
      <c r="BDC240" s="4"/>
      <c r="BDD240" s="4"/>
      <c r="BDE240" s="4"/>
      <c r="BDF240" s="4"/>
      <c r="BDG240" s="4"/>
      <c r="BDH240" s="4"/>
      <c r="BDI240" s="4"/>
      <c r="BDJ240" s="4"/>
      <c r="BDK240" s="4"/>
      <c r="BDL240" s="4"/>
      <c r="BDM240" s="4"/>
      <c r="BDN240" s="4"/>
      <c r="BDO240" s="4"/>
      <c r="BDP240" s="4"/>
      <c r="BDQ240" s="4"/>
      <c r="BDR240" s="4"/>
      <c r="BDS240" s="4"/>
      <c r="BDT240" s="4"/>
      <c r="BDU240" s="4"/>
      <c r="BDV240" s="4"/>
      <c r="BDW240" s="4"/>
      <c r="BDX240" s="4"/>
      <c r="BDY240" s="4"/>
      <c r="BDZ240" s="4"/>
      <c r="BEA240" s="4"/>
      <c r="BEB240" s="4"/>
      <c r="BEC240" s="4"/>
      <c r="BED240" s="4"/>
      <c r="BEE240" s="4"/>
      <c r="BEF240" s="4"/>
      <c r="BEG240" s="4"/>
      <c r="BEH240" s="4"/>
      <c r="BEI240" s="4"/>
      <c r="BEJ240" s="4"/>
      <c r="BEK240" s="4"/>
      <c r="BEL240" s="4"/>
      <c r="BEM240" s="4"/>
      <c r="BEN240" s="4"/>
      <c r="BEO240" s="4"/>
      <c r="BEP240" s="4"/>
      <c r="BEQ240" s="4"/>
      <c r="BER240" s="4"/>
      <c r="BES240" s="4"/>
      <c r="BET240" s="4"/>
      <c r="BEU240" s="4"/>
      <c r="BEV240" s="4"/>
      <c r="BEW240" s="4"/>
      <c r="BEX240" s="4"/>
      <c r="BEY240" s="4"/>
      <c r="BEZ240" s="4"/>
      <c r="BFA240" s="4"/>
      <c r="BFB240" s="4"/>
      <c r="BFC240" s="4"/>
      <c r="BFD240" s="4"/>
      <c r="BFE240" s="4"/>
      <c r="BFF240" s="4"/>
      <c r="BFG240" s="4"/>
      <c r="BFH240" s="4"/>
      <c r="BFI240" s="4"/>
      <c r="BFJ240" s="4"/>
      <c r="BFK240" s="4"/>
      <c r="BFL240" s="4"/>
      <c r="BFM240" s="4"/>
      <c r="BFN240" s="4"/>
      <c r="BFO240" s="4"/>
      <c r="BFP240" s="4"/>
      <c r="BFQ240" s="4"/>
      <c r="BFR240" s="4"/>
      <c r="BFS240" s="4"/>
      <c r="BFT240" s="4"/>
      <c r="BFU240" s="4"/>
      <c r="BFV240" s="4"/>
      <c r="BFW240" s="4"/>
      <c r="BFX240" s="4"/>
      <c r="BFY240" s="4"/>
      <c r="BFZ240" s="4"/>
      <c r="BGA240" s="4"/>
      <c r="BGB240" s="4"/>
      <c r="BGC240" s="4"/>
      <c r="BGD240" s="4"/>
      <c r="BGE240" s="4"/>
      <c r="BGF240" s="4"/>
      <c r="BGG240" s="4"/>
      <c r="BGH240" s="4"/>
      <c r="BGI240" s="4"/>
      <c r="BGJ240" s="4"/>
      <c r="BGK240" s="4"/>
      <c r="BGL240" s="4"/>
      <c r="BGM240" s="4"/>
      <c r="BGN240" s="4"/>
      <c r="BGO240" s="4"/>
      <c r="BGP240" s="4"/>
      <c r="BGQ240" s="4"/>
      <c r="BGR240" s="4"/>
      <c r="BGS240" s="4"/>
      <c r="BGT240" s="4"/>
      <c r="BGU240" s="4"/>
      <c r="BGV240" s="4"/>
      <c r="BGW240" s="4"/>
      <c r="BGX240" s="4"/>
      <c r="BGY240" s="4"/>
      <c r="BGZ240" s="4"/>
      <c r="BHA240" s="4"/>
      <c r="BHB240" s="4"/>
      <c r="BHC240" s="4"/>
      <c r="BHD240" s="4"/>
      <c r="BHE240" s="4"/>
      <c r="BHF240" s="4"/>
      <c r="BHG240" s="4"/>
      <c r="BHH240" s="4"/>
      <c r="BHI240" s="4"/>
      <c r="BHJ240" s="4"/>
      <c r="BHK240" s="4"/>
      <c r="BHL240" s="4"/>
      <c r="BHM240" s="4"/>
      <c r="BHN240" s="4"/>
      <c r="BHO240" s="4"/>
      <c r="BHP240" s="4"/>
      <c r="BHQ240" s="4"/>
      <c r="BHR240" s="4"/>
      <c r="BHS240" s="4"/>
      <c r="BHT240" s="4"/>
      <c r="BHU240" s="4"/>
      <c r="BHV240" s="4"/>
      <c r="BHW240" s="4"/>
      <c r="BHX240" s="4"/>
      <c r="BHY240" s="4"/>
      <c r="BHZ240" s="4"/>
      <c r="BIA240" s="4"/>
      <c r="BIB240" s="4"/>
      <c r="BIC240" s="4"/>
      <c r="BID240" s="4"/>
      <c r="BIE240" s="4"/>
      <c r="BIF240" s="4"/>
      <c r="BIG240" s="4"/>
      <c r="BIH240" s="4"/>
      <c r="BII240" s="4"/>
      <c r="BIJ240" s="4"/>
      <c r="BIK240" s="4"/>
      <c r="BIL240" s="4"/>
      <c r="BIM240" s="4"/>
      <c r="BIN240" s="4"/>
      <c r="BIO240" s="4"/>
      <c r="BIP240" s="4"/>
      <c r="BIQ240" s="4"/>
      <c r="BIR240" s="4"/>
      <c r="BIS240" s="4"/>
      <c r="BIT240" s="4"/>
      <c r="BIU240" s="4"/>
      <c r="BIV240" s="4"/>
      <c r="BIW240" s="4"/>
      <c r="BIX240" s="4"/>
      <c r="BIY240" s="4"/>
      <c r="BIZ240" s="4"/>
      <c r="BJA240" s="4"/>
      <c r="BJB240" s="4"/>
      <c r="BJC240" s="4"/>
      <c r="BJD240" s="4"/>
      <c r="BJE240" s="4"/>
      <c r="BJF240" s="4"/>
      <c r="BJG240" s="4"/>
      <c r="BJH240" s="4"/>
      <c r="BJI240" s="4"/>
      <c r="BJJ240" s="4"/>
      <c r="BJK240" s="4"/>
      <c r="BJL240" s="4"/>
      <c r="BJM240" s="4"/>
      <c r="BJN240" s="4"/>
      <c r="BJO240" s="4"/>
      <c r="BJP240" s="4"/>
      <c r="BJQ240" s="4"/>
      <c r="BJR240" s="4"/>
      <c r="BJS240" s="4"/>
      <c r="BJT240" s="4"/>
      <c r="BJU240" s="4"/>
      <c r="BJV240" s="4"/>
      <c r="BJW240" s="4"/>
      <c r="BJX240" s="4"/>
      <c r="BJY240" s="4"/>
      <c r="BJZ240" s="4"/>
      <c r="BKA240" s="4"/>
      <c r="BKB240" s="4"/>
      <c r="BKC240" s="4"/>
      <c r="BKD240" s="4"/>
      <c r="BKE240" s="4"/>
      <c r="BKF240" s="4"/>
      <c r="BKG240" s="4"/>
      <c r="BKH240" s="4"/>
      <c r="BKI240" s="4"/>
      <c r="BKJ240" s="4"/>
      <c r="BKK240" s="4"/>
      <c r="BKL240" s="4"/>
      <c r="BKM240" s="4"/>
      <c r="BKN240" s="4"/>
      <c r="BKO240" s="4"/>
      <c r="BKP240" s="4"/>
      <c r="BKQ240" s="4"/>
      <c r="BKR240" s="4"/>
      <c r="BKS240" s="4"/>
      <c r="BKT240" s="4"/>
      <c r="BKU240" s="4"/>
      <c r="BKV240" s="4"/>
      <c r="BKW240" s="4"/>
      <c r="BKX240" s="4"/>
      <c r="BKY240" s="4"/>
      <c r="BKZ240" s="4"/>
      <c r="BLA240" s="4"/>
      <c r="BLB240" s="4"/>
      <c r="BLC240" s="4"/>
      <c r="BLD240" s="4"/>
      <c r="BLE240" s="4"/>
      <c r="BLF240" s="4"/>
      <c r="BLG240" s="4"/>
      <c r="BLH240" s="4"/>
      <c r="BLI240" s="4"/>
      <c r="BLJ240" s="4"/>
      <c r="BLK240" s="4"/>
      <c r="BLL240" s="4"/>
      <c r="BLM240" s="4"/>
      <c r="BLN240" s="4"/>
      <c r="BLO240" s="4"/>
      <c r="BLP240" s="4"/>
      <c r="BLQ240" s="4"/>
      <c r="BLR240" s="4"/>
      <c r="BLS240" s="4"/>
      <c r="BLT240" s="4"/>
      <c r="BLU240" s="4"/>
      <c r="BLV240" s="4"/>
      <c r="BLW240" s="4"/>
      <c r="BLX240" s="4"/>
      <c r="BLY240" s="4"/>
      <c r="BLZ240" s="4"/>
      <c r="BMA240" s="4"/>
      <c r="BMB240" s="4"/>
      <c r="BMC240" s="4"/>
      <c r="BMD240" s="4"/>
      <c r="BME240" s="4"/>
      <c r="BMF240" s="4"/>
      <c r="BMG240" s="4"/>
      <c r="BMH240" s="4"/>
      <c r="BMI240" s="4"/>
      <c r="BMJ240" s="4"/>
      <c r="BMK240" s="4"/>
      <c r="BML240" s="4"/>
      <c r="BMM240" s="4"/>
      <c r="BMN240" s="4"/>
      <c r="BMO240" s="4"/>
      <c r="BMP240" s="4"/>
      <c r="BMQ240" s="4"/>
      <c r="BMR240" s="4"/>
      <c r="BMS240" s="4"/>
      <c r="BMT240" s="4"/>
      <c r="BMU240" s="4"/>
      <c r="BMV240" s="4"/>
      <c r="BMW240" s="4"/>
      <c r="BMX240" s="4"/>
      <c r="BMY240" s="4"/>
      <c r="BMZ240" s="4"/>
      <c r="BNA240" s="4"/>
      <c r="BNB240" s="4"/>
      <c r="BNC240" s="4"/>
      <c r="BND240" s="4"/>
      <c r="BNE240" s="4"/>
      <c r="BNF240" s="4"/>
      <c r="BNG240" s="4"/>
      <c r="BNH240" s="4"/>
      <c r="BNI240" s="4"/>
      <c r="BNJ240" s="4"/>
      <c r="BNK240" s="4"/>
      <c r="BNL240" s="4"/>
      <c r="BNM240" s="4"/>
      <c r="BNN240" s="4"/>
      <c r="BNO240" s="4"/>
      <c r="BNP240" s="4"/>
      <c r="BNQ240" s="4"/>
      <c r="BNR240" s="4"/>
      <c r="BNS240" s="4"/>
      <c r="BNT240" s="4"/>
      <c r="BNU240" s="4"/>
      <c r="BNV240" s="4"/>
      <c r="BNW240" s="4"/>
      <c r="BNX240" s="4"/>
      <c r="BNY240" s="4"/>
      <c r="BNZ240" s="4"/>
      <c r="BOA240" s="4"/>
      <c r="BOB240" s="4"/>
      <c r="BOC240" s="4"/>
      <c r="BOD240" s="4"/>
      <c r="BOE240" s="4"/>
      <c r="BOF240" s="4"/>
      <c r="BOG240" s="4"/>
      <c r="BOH240" s="4"/>
      <c r="BOI240" s="4"/>
      <c r="BOJ240" s="4"/>
      <c r="BOK240" s="4"/>
      <c r="BOL240" s="4"/>
      <c r="BOM240" s="4"/>
      <c r="BON240" s="4"/>
      <c r="BOO240" s="4"/>
      <c r="BOP240" s="4"/>
      <c r="BOQ240" s="4"/>
      <c r="BOR240" s="4"/>
      <c r="BOS240" s="4"/>
      <c r="BOT240" s="4"/>
      <c r="BOU240" s="4"/>
      <c r="BOV240" s="4"/>
      <c r="BOW240" s="4"/>
      <c r="BOX240" s="4"/>
      <c r="BOY240" s="4"/>
      <c r="BOZ240" s="4"/>
      <c r="BPA240" s="4"/>
      <c r="BPB240" s="4"/>
      <c r="BPC240" s="4"/>
      <c r="BPD240" s="4"/>
      <c r="BPE240" s="4"/>
      <c r="BPF240" s="4"/>
      <c r="BPG240" s="4"/>
      <c r="BPH240" s="4"/>
      <c r="BPI240" s="4"/>
      <c r="BPJ240" s="4"/>
      <c r="BPK240" s="4"/>
      <c r="BPL240" s="4"/>
      <c r="BPM240" s="4"/>
      <c r="BPN240" s="4"/>
      <c r="BPO240" s="4"/>
      <c r="BPP240" s="4"/>
      <c r="BPQ240" s="4"/>
      <c r="BPR240" s="4"/>
      <c r="BPS240" s="4"/>
      <c r="BPT240" s="4"/>
      <c r="BPU240" s="4"/>
      <c r="BPV240" s="4"/>
      <c r="BPW240" s="4"/>
      <c r="BPX240" s="4"/>
      <c r="BPY240" s="4"/>
      <c r="BPZ240" s="4"/>
      <c r="BQA240" s="4"/>
      <c r="BQB240" s="4"/>
      <c r="BQC240" s="4"/>
      <c r="BQD240" s="4"/>
      <c r="BQE240" s="4"/>
      <c r="BQF240" s="4"/>
      <c r="BQG240" s="4"/>
      <c r="BQH240" s="4"/>
      <c r="BQI240" s="4"/>
      <c r="BQJ240" s="4"/>
      <c r="BQK240" s="4"/>
      <c r="BQL240" s="4"/>
      <c r="BQM240" s="4"/>
      <c r="BQN240" s="4"/>
      <c r="BQO240" s="4"/>
      <c r="BQP240" s="4"/>
      <c r="BQQ240" s="4"/>
      <c r="BQR240" s="4"/>
      <c r="BQS240" s="4"/>
      <c r="BQT240" s="4"/>
      <c r="BQU240" s="4"/>
      <c r="BQV240" s="4"/>
      <c r="BQW240" s="4"/>
      <c r="BQX240" s="4"/>
      <c r="BQY240" s="4"/>
      <c r="BQZ240" s="4"/>
      <c r="BRA240" s="4"/>
      <c r="BRB240" s="4"/>
      <c r="BRC240" s="4"/>
      <c r="BRD240" s="4"/>
      <c r="BRE240" s="4"/>
      <c r="BRF240" s="4"/>
      <c r="BRG240" s="4"/>
      <c r="BRH240" s="4"/>
      <c r="BRI240" s="4"/>
      <c r="BRJ240" s="4"/>
      <c r="BRK240" s="4"/>
      <c r="BRL240" s="4"/>
      <c r="BRM240" s="4"/>
      <c r="BRN240" s="4"/>
      <c r="BRO240" s="4"/>
      <c r="BRP240" s="4"/>
      <c r="BRQ240" s="4"/>
      <c r="BRR240" s="4"/>
      <c r="BRS240" s="4"/>
      <c r="BRT240" s="4"/>
      <c r="BRU240" s="4"/>
      <c r="BRV240" s="4"/>
      <c r="BRW240" s="4"/>
      <c r="BRX240" s="4"/>
      <c r="BRY240" s="4"/>
      <c r="BRZ240" s="4"/>
      <c r="BSA240" s="4"/>
      <c r="BSB240" s="4"/>
      <c r="BSC240" s="4"/>
      <c r="BSD240" s="4"/>
      <c r="BSE240" s="4"/>
      <c r="BSF240" s="4"/>
      <c r="BSG240" s="4"/>
      <c r="BSH240" s="4"/>
      <c r="BSI240" s="4"/>
      <c r="BSJ240" s="4"/>
      <c r="BSK240" s="4"/>
      <c r="BSL240" s="4"/>
      <c r="BSM240" s="4"/>
      <c r="BSN240" s="4"/>
      <c r="BSO240" s="4"/>
      <c r="BSP240" s="4"/>
      <c r="BSQ240" s="4"/>
      <c r="BSR240" s="4"/>
      <c r="BSS240" s="4"/>
      <c r="BST240" s="4"/>
      <c r="BSU240" s="4"/>
      <c r="BSV240" s="4"/>
      <c r="BSW240" s="4"/>
      <c r="BSX240" s="4"/>
      <c r="BSY240" s="4"/>
      <c r="BSZ240" s="4"/>
      <c r="BTA240" s="4"/>
      <c r="BTB240" s="4"/>
      <c r="BTC240" s="4"/>
      <c r="BTD240" s="4"/>
      <c r="BTE240" s="4"/>
      <c r="BTF240" s="4"/>
      <c r="BTG240" s="4"/>
      <c r="BTH240" s="4"/>
      <c r="BTI240" s="4"/>
      <c r="BTJ240" s="4"/>
      <c r="BTK240" s="4"/>
      <c r="BTL240" s="4"/>
      <c r="BTM240" s="4"/>
      <c r="BTN240" s="4"/>
      <c r="BTO240" s="4"/>
      <c r="BTP240" s="4"/>
      <c r="BTQ240" s="4"/>
      <c r="BTR240" s="4"/>
      <c r="BTS240" s="4"/>
      <c r="BTT240" s="4"/>
      <c r="BTU240" s="4"/>
      <c r="BTV240" s="4"/>
      <c r="BTW240" s="4"/>
      <c r="BTX240" s="4"/>
      <c r="BTY240" s="4"/>
      <c r="BTZ240" s="4"/>
      <c r="BUA240" s="4"/>
      <c r="BUB240" s="4"/>
      <c r="BUC240" s="4"/>
      <c r="BUD240" s="4"/>
      <c r="BUE240" s="4"/>
      <c r="BUF240" s="4"/>
      <c r="BUG240" s="4"/>
      <c r="BUH240" s="4"/>
      <c r="BUI240" s="4"/>
      <c r="BUJ240" s="4"/>
      <c r="BUK240" s="4"/>
      <c r="BUL240" s="4"/>
      <c r="BUM240" s="4"/>
      <c r="BUN240" s="4"/>
      <c r="BUO240" s="4"/>
      <c r="BUP240" s="4"/>
      <c r="BUQ240" s="4"/>
      <c r="BUR240" s="4"/>
      <c r="BUS240" s="4"/>
      <c r="BUT240" s="4"/>
      <c r="BUU240" s="4"/>
      <c r="BUV240" s="4"/>
      <c r="BUW240" s="4"/>
      <c r="BUX240" s="4"/>
      <c r="BUY240" s="4"/>
      <c r="BUZ240" s="4"/>
      <c r="BVA240" s="4"/>
      <c r="BVB240" s="4"/>
      <c r="BVC240" s="4"/>
      <c r="BVD240" s="4"/>
      <c r="BVE240" s="4"/>
      <c r="BVF240" s="4"/>
      <c r="BVG240" s="4"/>
      <c r="BVH240" s="4"/>
      <c r="BVI240" s="4"/>
      <c r="BVJ240" s="4"/>
      <c r="BVK240" s="4"/>
      <c r="BVL240" s="4"/>
      <c r="BVM240" s="4"/>
      <c r="BVN240" s="4"/>
      <c r="BVO240" s="4"/>
      <c r="BVP240" s="4"/>
      <c r="BVQ240" s="4"/>
      <c r="BVR240" s="4"/>
      <c r="BVS240" s="4"/>
      <c r="BVT240" s="4"/>
      <c r="BVU240" s="4"/>
      <c r="BVV240" s="4"/>
      <c r="BVW240" s="4"/>
      <c r="BVX240" s="4"/>
      <c r="BVY240" s="4"/>
      <c r="BVZ240" s="4"/>
      <c r="BWA240" s="4"/>
      <c r="BWB240" s="4"/>
      <c r="BWC240" s="4"/>
      <c r="BWD240" s="4"/>
      <c r="BWE240" s="4"/>
      <c r="BWF240" s="4"/>
      <c r="BWG240" s="4"/>
      <c r="BWH240" s="4"/>
      <c r="BWI240" s="4"/>
      <c r="BWJ240" s="4"/>
      <c r="BWK240" s="4"/>
      <c r="BWL240" s="4"/>
      <c r="BWM240" s="4"/>
      <c r="BWN240" s="4"/>
      <c r="BWO240" s="4"/>
      <c r="BWP240" s="4"/>
      <c r="BWQ240" s="4"/>
      <c r="BWR240" s="4"/>
      <c r="BWS240" s="4"/>
      <c r="BWT240" s="4"/>
      <c r="BWU240" s="4"/>
      <c r="BWV240" s="4"/>
      <c r="BWW240" s="4"/>
      <c r="BWX240" s="4"/>
      <c r="BWY240" s="4"/>
      <c r="BWZ240" s="4"/>
      <c r="BXA240" s="4"/>
      <c r="BXB240" s="4"/>
      <c r="BXC240" s="4"/>
      <c r="BXD240" s="4"/>
      <c r="BXE240" s="4"/>
      <c r="BXF240" s="4"/>
      <c r="BXG240" s="4"/>
      <c r="BXH240" s="4"/>
      <c r="BXI240" s="4"/>
      <c r="BXJ240" s="4"/>
      <c r="BXK240" s="4"/>
      <c r="BXL240" s="4"/>
      <c r="BXM240" s="4"/>
      <c r="BXN240" s="4"/>
      <c r="BXO240" s="4"/>
      <c r="BXP240" s="4"/>
      <c r="BXQ240" s="4"/>
      <c r="BXR240" s="4"/>
      <c r="BXS240" s="4"/>
      <c r="BXT240" s="4"/>
      <c r="BXU240" s="4"/>
      <c r="BXV240" s="4"/>
      <c r="BXW240" s="4"/>
      <c r="BXX240" s="4"/>
      <c r="BXY240" s="4"/>
      <c r="BXZ240" s="4"/>
      <c r="BYA240" s="4"/>
      <c r="BYB240" s="4"/>
      <c r="BYC240" s="4"/>
      <c r="BYD240" s="4"/>
      <c r="BYE240" s="4"/>
      <c r="BYF240" s="4"/>
      <c r="BYG240" s="4"/>
      <c r="BYH240" s="4"/>
      <c r="BYI240" s="4"/>
      <c r="BYJ240" s="4"/>
      <c r="BYK240" s="4"/>
      <c r="BYL240" s="4"/>
      <c r="BYM240" s="4"/>
      <c r="BYN240" s="4"/>
      <c r="BYO240" s="4"/>
      <c r="BYP240" s="4"/>
      <c r="BYQ240" s="4"/>
      <c r="BYR240" s="4"/>
      <c r="BYS240" s="4"/>
      <c r="BYT240" s="4"/>
      <c r="BYU240" s="4"/>
      <c r="BYV240" s="4"/>
      <c r="BYW240" s="4"/>
      <c r="BYX240" s="4"/>
      <c r="BYY240" s="4"/>
      <c r="BYZ240" s="4"/>
      <c r="BZA240" s="4"/>
      <c r="BZB240" s="4"/>
      <c r="BZC240" s="4"/>
      <c r="BZD240" s="4"/>
      <c r="BZE240" s="4"/>
      <c r="BZF240" s="4"/>
      <c r="BZG240" s="4"/>
      <c r="BZH240" s="4"/>
      <c r="BZI240" s="4"/>
      <c r="BZJ240" s="4"/>
      <c r="BZK240" s="4"/>
      <c r="BZL240" s="4"/>
      <c r="BZM240" s="4"/>
      <c r="BZN240" s="4"/>
      <c r="BZO240" s="4"/>
      <c r="BZP240" s="4"/>
      <c r="BZQ240" s="4"/>
      <c r="BZR240" s="4"/>
      <c r="BZS240" s="4"/>
      <c r="BZT240" s="4"/>
      <c r="BZU240" s="4"/>
      <c r="BZV240" s="4"/>
      <c r="BZW240" s="4"/>
      <c r="BZX240" s="4"/>
      <c r="BZY240" s="4"/>
      <c r="BZZ240" s="4"/>
      <c r="CAA240" s="4"/>
      <c r="CAB240" s="4"/>
      <c r="CAC240" s="4"/>
      <c r="CAD240" s="4"/>
      <c r="CAE240" s="4"/>
      <c r="CAF240" s="4"/>
      <c r="CAG240" s="4"/>
      <c r="CAH240" s="4"/>
      <c r="CAI240" s="4"/>
      <c r="CAJ240" s="4"/>
      <c r="CAK240" s="4"/>
      <c r="CAL240" s="4"/>
      <c r="CAM240" s="4"/>
      <c r="CAN240" s="4"/>
      <c r="CAO240" s="4"/>
      <c r="CAP240" s="4"/>
      <c r="CAQ240" s="4"/>
      <c r="CAR240" s="4"/>
      <c r="CAS240" s="4"/>
      <c r="CAT240" s="4"/>
      <c r="CAU240" s="4"/>
      <c r="CAV240" s="4"/>
      <c r="CAW240" s="4"/>
      <c r="CAX240" s="4"/>
      <c r="CAY240" s="4"/>
      <c r="CAZ240" s="4"/>
      <c r="CBA240" s="4"/>
      <c r="CBB240" s="4"/>
      <c r="CBC240" s="4"/>
      <c r="CBD240" s="4"/>
      <c r="CBE240" s="4"/>
      <c r="CBF240" s="4"/>
      <c r="CBG240" s="4"/>
      <c r="CBH240" s="4"/>
      <c r="CBI240" s="4"/>
      <c r="CBJ240" s="4"/>
      <c r="CBK240" s="4"/>
      <c r="CBL240" s="4"/>
      <c r="CBM240" s="4"/>
      <c r="CBN240" s="4"/>
      <c r="CBO240" s="4"/>
      <c r="CBP240" s="4"/>
      <c r="CBQ240" s="4"/>
      <c r="CBR240" s="4"/>
      <c r="CBS240" s="4"/>
      <c r="CBT240" s="4"/>
      <c r="CBU240" s="4"/>
      <c r="CBV240" s="4"/>
      <c r="CBW240" s="4"/>
      <c r="CBX240" s="4"/>
      <c r="CBY240" s="4"/>
      <c r="CBZ240" s="4"/>
      <c r="CCA240" s="4"/>
      <c r="CCB240" s="4"/>
      <c r="CCC240" s="4"/>
      <c r="CCD240" s="4"/>
      <c r="CCE240" s="4"/>
      <c r="CCF240" s="4"/>
      <c r="CCG240" s="4"/>
      <c r="CCH240" s="4"/>
      <c r="CCI240" s="4"/>
      <c r="CCJ240" s="4"/>
      <c r="CCK240" s="4"/>
      <c r="CCL240" s="4"/>
      <c r="CCM240" s="4"/>
      <c r="CCN240" s="4"/>
      <c r="CCO240" s="4"/>
      <c r="CCP240" s="4"/>
      <c r="CCQ240" s="4"/>
      <c r="CCR240" s="4"/>
      <c r="CCS240" s="4"/>
      <c r="CCT240" s="4"/>
      <c r="CCU240" s="4"/>
      <c r="CCV240" s="4"/>
      <c r="CCW240" s="4"/>
      <c r="CCX240" s="4"/>
      <c r="CCY240" s="4"/>
      <c r="CCZ240" s="4"/>
      <c r="CDA240" s="4"/>
      <c r="CDB240" s="4"/>
      <c r="CDC240" s="4"/>
      <c r="CDD240" s="4"/>
      <c r="CDE240" s="4"/>
      <c r="CDF240" s="4"/>
      <c r="CDG240" s="4"/>
      <c r="CDH240" s="4"/>
      <c r="CDI240" s="4"/>
      <c r="CDJ240" s="4"/>
      <c r="CDK240" s="4"/>
      <c r="CDL240" s="4"/>
      <c r="CDM240" s="4"/>
      <c r="CDN240" s="4"/>
      <c r="CDO240" s="4"/>
      <c r="CDP240" s="4"/>
      <c r="CDQ240" s="4"/>
      <c r="CDR240" s="4"/>
      <c r="CDS240" s="4"/>
      <c r="CDT240" s="4"/>
      <c r="CDU240" s="4"/>
      <c r="CDV240" s="4"/>
      <c r="CDW240" s="4"/>
      <c r="CDX240" s="4"/>
      <c r="CDY240" s="4"/>
      <c r="CDZ240" s="4"/>
      <c r="CEA240" s="4"/>
      <c r="CEB240" s="4"/>
      <c r="CEC240" s="4"/>
      <c r="CED240" s="4"/>
      <c r="CEE240" s="4"/>
      <c r="CEF240" s="4"/>
      <c r="CEG240" s="4"/>
      <c r="CEH240" s="4"/>
      <c r="CEI240" s="4"/>
      <c r="CEJ240" s="4"/>
      <c r="CEK240" s="4"/>
      <c r="CEL240" s="4"/>
      <c r="CEM240" s="4"/>
      <c r="CEN240" s="4"/>
      <c r="CEO240" s="4"/>
      <c r="CEP240" s="4"/>
      <c r="CEQ240" s="4"/>
      <c r="CER240" s="4"/>
      <c r="CES240" s="4"/>
      <c r="CET240" s="4"/>
      <c r="CEU240" s="4"/>
      <c r="CEV240" s="4"/>
      <c r="CEW240" s="4"/>
      <c r="CEX240" s="4"/>
      <c r="CEY240" s="4"/>
      <c r="CEZ240" s="4"/>
      <c r="CFA240" s="4"/>
      <c r="CFB240" s="4"/>
      <c r="CFC240" s="4"/>
      <c r="CFD240" s="4"/>
      <c r="CFE240" s="4"/>
      <c r="CFF240" s="4"/>
      <c r="CFG240" s="4"/>
      <c r="CFH240" s="4"/>
      <c r="CFI240" s="4"/>
      <c r="CFJ240" s="4"/>
      <c r="CFK240" s="4"/>
      <c r="CFL240" s="4"/>
      <c r="CFM240" s="4"/>
      <c r="CFN240" s="4"/>
      <c r="CFO240" s="4"/>
      <c r="CFP240" s="4"/>
      <c r="CFQ240" s="4"/>
      <c r="CFR240" s="4"/>
      <c r="CFS240" s="4"/>
      <c r="CFT240" s="4"/>
      <c r="CFU240" s="4"/>
      <c r="CFV240" s="4"/>
      <c r="CFW240" s="4"/>
      <c r="CFX240" s="4"/>
      <c r="CFY240" s="4"/>
      <c r="CFZ240" s="4"/>
      <c r="CGA240" s="4"/>
      <c r="CGB240" s="4"/>
      <c r="CGC240" s="4"/>
      <c r="CGD240" s="4"/>
      <c r="CGE240" s="4"/>
      <c r="CGF240" s="4"/>
      <c r="CGG240" s="4"/>
      <c r="CGH240" s="4"/>
      <c r="CGI240" s="4"/>
      <c r="CGJ240" s="4"/>
      <c r="CGK240" s="4"/>
      <c r="CGL240" s="4"/>
      <c r="CGM240" s="4"/>
      <c r="CGN240" s="4"/>
      <c r="CGO240" s="4"/>
      <c r="CGP240" s="4"/>
      <c r="CGQ240" s="4"/>
      <c r="CGR240" s="4"/>
      <c r="CGS240" s="4"/>
      <c r="CGT240" s="4"/>
      <c r="CGU240" s="4"/>
      <c r="CGV240" s="4"/>
      <c r="CGW240" s="4"/>
      <c r="CGX240" s="4"/>
      <c r="CGY240" s="4"/>
      <c r="CGZ240" s="4"/>
      <c r="CHA240" s="4"/>
      <c r="CHB240" s="4"/>
      <c r="CHC240" s="4"/>
      <c r="CHD240" s="4"/>
      <c r="CHE240" s="4"/>
      <c r="CHF240" s="4"/>
      <c r="CHG240" s="4"/>
      <c r="CHH240" s="4"/>
      <c r="CHI240" s="4"/>
      <c r="CHJ240" s="4"/>
      <c r="CHK240" s="4"/>
      <c r="CHL240" s="4"/>
      <c r="CHM240" s="4"/>
      <c r="CHN240" s="4"/>
      <c r="CHO240" s="4"/>
      <c r="CHP240" s="4"/>
      <c r="CHQ240" s="4"/>
      <c r="CHR240" s="4"/>
      <c r="CHS240" s="4"/>
      <c r="CHT240" s="4"/>
      <c r="CHU240" s="4"/>
      <c r="CHV240" s="4"/>
      <c r="CHW240" s="4"/>
      <c r="CHX240" s="4"/>
      <c r="CHY240" s="4"/>
      <c r="CHZ240" s="4"/>
      <c r="CIA240" s="4"/>
      <c r="CIB240" s="4"/>
      <c r="CIC240" s="4"/>
      <c r="CID240" s="4"/>
      <c r="CIE240" s="4"/>
      <c r="CIF240" s="4"/>
      <c r="CIG240" s="4"/>
      <c r="CIH240" s="4"/>
      <c r="CII240" s="4"/>
      <c r="CIJ240" s="4"/>
      <c r="CIK240" s="4"/>
      <c r="CIL240" s="4"/>
      <c r="CIM240" s="4"/>
      <c r="CIN240" s="4"/>
      <c r="CIO240" s="4"/>
      <c r="CIP240" s="4"/>
      <c r="CIQ240" s="4"/>
      <c r="CIR240" s="4"/>
      <c r="CIS240" s="4"/>
      <c r="CIT240" s="4"/>
      <c r="CIU240" s="4"/>
      <c r="CIV240" s="4"/>
      <c r="CIW240" s="4"/>
      <c r="CIX240" s="4"/>
      <c r="CIY240" s="4"/>
      <c r="CIZ240" s="4"/>
      <c r="CJA240" s="4"/>
      <c r="CJB240" s="4"/>
      <c r="CJC240" s="4"/>
      <c r="CJD240" s="4"/>
      <c r="CJE240" s="4"/>
      <c r="CJF240" s="4"/>
      <c r="CJG240" s="4"/>
      <c r="CJH240" s="4"/>
      <c r="CJI240" s="4"/>
      <c r="CJJ240" s="4"/>
      <c r="CJK240" s="4"/>
      <c r="CJL240" s="4"/>
      <c r="CJM240" s="4"/>
      <c r="CJN240" s="4"/>
      <c r="CJO240" s="4"/>
      <c r="CJP240" s="4"/>
      <c r="CJQ240" s="4"/>
      <c r="CJR240" s="4"/>
      <c r="CJS240" s="4"/>
      <c r="CJT240" s="4"/>
      <c r="CJU240" s="4"/>
      <c r="CJV240" s="4"/>
      <c r="CJW240" s="4"/>
      <c r="CJX240" s="4"/>
      <c r="CJY240" s="4"/>
      <c r="CJZ240" s="4"/>
      <c r="CKA240" s="4"/>
      <c r="CKB240" s="4"/>
      <c r="CKC240" s="4"/>
      <c r="CKD240" s="4"/>
      <c r="CKE240" s="4"/>
      <c r="CKF240" s="4"/>
      <c r="CKG240" s="4"/>
      <c r="CKH240" s="4"/>
      <c r="CKI240" s="4"/>
      <c r="CKJ240" s="4"/>
      <c r="CKK240" s="4"/>
      <c r="CKL240" s="4"/>
      <c r="CKM240" s="4"/>
      <c r="CKN240" s="4"/>
      <c r="CKO240" s="4"/>
      <c r="CKP240" s="4"/>
      <c r="CKQ240" s="4"/>
      <c r="CKR240" s="4"/>
      <c r="CKS240" s="4"/>
      <c r="CKT240" s="4"/>
      <c r="CKU240" s="4"/>
      <c r="CKV240" s="4"/>
      <c r="CKW240" s="4"/>
      <c r="CKX240" s="4"/>
      <c r="CKY240" s="4"/>
      <c r="CKZ240" s="4"/>
      <c r="CLA240" s="4"/>
      <c r="CLB240" s="4"/>
      <c r="CLC240" s="4"/>
      <c r="CLD240" s="4"/>
      <c r="CLE240" s="4"/>
      <c r="CLF240" s="4"/>
      <c r="CLG240" s="4"/>
      <c r="CLH240" s="4"/>
      <c r="CLI240" s="4"/>
      <c r="CLJ240" s="4"/>
      <c r="CLK240" s="4"/>
      <c r="CLL240" s="4"/>
      <c r="CLM240" s="4"/>
      <c r="CLN240" s="4"/>
      <c r="CLO240" s="4"/>
      <c r="CLP240" s="4"/>
      <c r="CLQ240" s="4"/>
      <c r="CLR240" s="4"/>
      <c r="CLS240" s="4"/>
      <c r="CLT240" s="4"/>
      <c r="CLU240" s="4"/>
      <c r="CLV240" s="4"/>
      <c r="CLW240" s="4"/>
      <c r="CLX240" s="4"/>
      <c r="CLY240" s="4"/>
      <c r="CLZ240" s="4"/>
      <c r="CMA240" s="4"/>
      <c r="CMB240" s="4"/>
      <c r="CMC240" s="4"/>
      <c r="CMD240" s="4"/>
      <c r="CME240" s="4"/>
      <c r="CMF240" s="4"/>
      <c r="CMG240" s="4"/>
      <c r="CMH240" s="4"/>
      <c r="CMI240" s="4"/>
      <c r="CMJ240" s="4"/>
      <c r="CMK240" s="4"/>
      <c r="CML240" s="4"/>
      <c r="CMM240" s="4"/>
      <c r="CMN240" s="4"/>
      <c r="CMO240" s="4"/>
      <c r="CMP240" s="4"/>
      <c r="CMQ240" s="4"/>
      <c r="CMR240" s="4"/>
      <c r="CMS240" s="4"/>
      <c r="CMT240" s="4"/>
      <c r="CMU240" s="4"/>
      <c r="CMV240" s="4"/>
      <c r="CMW240" s="4"/>
      <c r="CMX240" s="4"/>
      <c r="CMY240" s="4"/>
      <c r="CMZ240" s="4"/>
      <c r="CNA240" s="4"/>
      <c r="CNB240" s="4"/>
      <c r="CNC240" s="4"/>
      <c r="CND240" s="4"/>
      <c r="CNE240" s="4"/>
      <c r="CNF240" s="4"/>
      <c r="CNG240" s="4"/>
      <c r="CNH240" s="4"/>
      <c r="CNI240" s="4"/>
      <c r="CNJ240" s="4"/>
      <c r="CNK240" s="4"/>
      <c r="CNL240" s="4"/>
      <c r="CNM240" s="4"/>
      <c r="CNN240" s="4"/>
      <c r="CNO240" s="4"/>
      <c r="CNP240" s="4"/>
      <c r="CNQ240" s="4"/>
      <c r="CNR240" s="4"/>
      <c r="CNS240" s="4"/>
      <c r="CNT240" s="4"/>
      <c r="CNU240" s="4"/>
      <c r="CNV240" s="4"/>
      <c r="CNW240" s="4"/>
      <c r="CNX240" s="4"/>
      <c r="CNY240" s="4"/>
      <c r="CNZ240" s="4"/>
      <c r="COA240" s="4"/>
      <c r="COB240" s="4"/>
      <c r="COC240" s="4"/>
      <c r="COD240" s="4"/>
      <c r="COE240" s="4"/>
      <c r="COF240" s="4"/>
      <c r="COG240" s="4"/>
      <c r="COH240" s="4"/>
      <c r="COI240" s="4"/>
      <c r="COJ240" s="4"/>
      <c r="COK240" s="4"/>
      <c r="COL240" s="4"/>
      <c r="COM240" s="4"/>
      <c r="CON240" s="4"/>
      <c r="COO240" s="4"/>
      <c r="COP240" s="4"/>
      <c r="COQ240" s="4"/>
      <c r="COR240" s="4"/>
      <c r="COS240" s="4"/>
      <c r="COT240" s="4"/>
      <c r="COU240" s="4"/>
      <c r="COV240" s="4"/>
      <c r="COW240" s="4"/>
      <c r="COX240" s="4"/>
      <c r="COY240" s="4"/>
      <c r="COZ240" s="4"/>
      <c r="CPA240" s="4"/>
      <c r="CPB240" s="4"/>
      <c r="CPC240" s="4"/>
      <c r="CPD240" s="4"/>
      <c r="CPE240" s="4"/>
      <c r="CPF240" s="4"/>
      <c r="CPG240" s="4"/>
      <c r="CPH240" s="4"/>
      <c r="CPI240" s="4"/>
      <c r="CPJ240" s="4"/>
      <c r="CPK240" s="4"/>
      <c r="CPL240" s="4"/>
      <c r="CPM240" s="4"/>
      <c r="CPN240" s="4"/>
      <c r="CPO240" s="4"/>
      <c r="CPP240" s="4"/>
      <c r="CPQ240" s="4"/>
      <c r="CPR240" s="4"/>
      <c r="CPS240" s="4"/>
      <c r="CPT240" s="4"/>
      <c r="CPU240" s="4"/>
      <c r="CPV240" s="4"/>
      <c r="CPW240" s="4"/>
      <c r="CPX240" s="4"/>
      <c r="CPY240" s="4"/>
      <c r="CPZ240" s="4"/>
      <c r="CQA240" s="4"/>
      <c r="CQB240" s="4"/>
      <c r="CQC240" s="4"/>
      <c r="CQD240" s="4"/>
      <c r="CQE240" s="4"/>
      <c r="CQF240" s="4"/>
      <c r="CQG240" s="4"/>
      <c r="CQH240" s="4"/>
      <c r="CQI240" s="4"/>
      <c r="CQJ240" s="4"/>
      <c r="CQK240" s="4"/>
      <c r="CQL240" s="4"/>
      <c r="CQM240" s="4"/>
      <c r="CQN240" s="4"/>
      <c r="CQO240" s="4"/>
      <c r="CQP240" s="4"/>
      <c r="CQQ240" s="4"/>
      <c r="CQR240" s="4"/>
      <c r="CQS240" s="4"/>
      <c r="CQT240" s="4"/>
      <c r="CQU240" s="4"/>
      <c r="CQV240" s="4"/>
      <c r="CQW240" s="4"/>
      <c r="CQX240" s="4"/>
      <c r="CQY240" s="4"/>
      <c r="CQZ240" s="4"/>
      <c r="CRA240" s="4"/>
      <c r="CRB240" s="4"/>
      <c r="CRC240" s="4"/>
      <c r="CRD240" s="4"/>
      <c r="CRE240" s="4"/>
      <c r="CRF240" s="4"/>
      <c r="CRG240" s="4"/>
      <c r="CRH240" s="4"/>
      <c r="CRI240" s="4"/>
      <c r="CRJ240" s="4"/>
      <c r="CRK240" s="4"/>
      <c r="CRL240" s="4"/>
      <c r="CRM240" s="4"/>
      <c r="CRN240" s="4"/>
      <c r="CRO240" s="4"/>
      <c r="CRP240" s="4"/>
      <c r="CRQ240" s="4"/>
      <c r="CRR240" s="4"/>
      <c r="CRS240" s="4"/>
      <c r="CRT240" s="4"/>
      <c r="CRU240" s="4"/>
      <c r="CRV240" s="4"/>
      <c r="CRW240" s="4"/>
      <c r="CRX240" s="4"/>
      <c r="CRY240" s="4"/>
      <c r="CRZ240" s="4"/>
      <c r="CSA240" s="4"/>
      <c r="CSB240" s="4"/>
      <c r="CSC240" s="4"/>
      <c r="CSD240" s="4"/>
      <c r="CSE240" s="4"/>
      <c r="CSF240" s="4"/>
      <c r="CSG240" s="4"/>
      <c r="CSH240" s="4"/>
      <c r="CSI240" s="4"/>
      <c r="CSJ240" s="4"/>
      <c r="CSK240" s="4"/>
      <c r="CSL240" s="4"/>
      <c r="CSM240" s="4"/>
      <c r="CSN240" s="4"/>
      <c r="CSO240" s="4"/>
      <c r="CSP240" s="4"/>
      <c r="CSQ240" s="4"/>
      <c r="CSR240" s="4"/>
      <c r="CSS240" s="4"/>
      <c r="CST240" s="4"/>
      <c r="CSU240" s="4"/>
      <c r="CSV240" s="4"/>
      <c r="CSW240" s="4"/>
      <c r="CSX240" s="4"/>
      <c r="CSY240" s="4"/>
      <c r="CSZ240" s="4"/>
      <c r="CTA240" s="4"/>
      <c r="CTB240" s="4"/>
      <c r="CTC240" s="4"/>
      <c r="CTD240" s="4"/>
      <c r="CTE240" s="4"/>
      <c r="CTF240" s="4"/>
      <c r="CTG240" s="4"/>
      <c r="CTH240" s="4"/>
      <c r="CTI240" s="4"/>
      <c r="CTJ240" s="4"/>
      <c r="CTK240" s="4"/>
      <c r="CTL240" s="4"/>
      <c r="CTM240" s="4"/>
      <c r="CTN240" s="4"/>
      <c r="CTO240" s="4"/>
      <c r="CTP240" s="4"/>
      <c r="CTQ240" s="4"/>
      <c r="CTR240" s="4"/>
      <c r="CTS240" s="4"/>
      <c r="CTT240" s="4"/>
      <c r="CTU240" s="4"/>
      <c r="CTV240" s="4"/>
      <c r="CTW240" s="4"/>
      <c r="CTX240" s="4"/>
      <c r="CTY240" s="4"/>
      <c r="CTZ240" s="4"/>
      <c r="CUA240" s="4"/>
      <c r="CUB240" s="4"/>
      <c r="CUC240" s="4"/>
      <c r="CUD240" s="4"/>
      <c r="CUE240" s="4"/>
      <c r="CUF240" s="4"/>
      <c r="CUG240" s="4"/>
      <c r="CUH240" s="4"/>
      <c r="CUI240" s="4"/>
      <c r="CUJ240" s="4"/>
      <c r="CUK240" s="4"/>
      <c r="CUL240" s="4"/>
      <c r="CUM240" s="4"/>
      <c r="CUN240" s="4"/>
      <c r="CUO240" s="4"/>
      <c r="CUP240" s="4"/>
      <c r="CUQ240" s="4"/>
      <c r="CUR240" s="4"/>
      <c r="CUS240" s="4"/>
      <c r="CUT240" s="4"/>
      <c r="CUU240" s="4"/>
      <c r="CUV240" s="4"/>
      <c r="CUW240" s="4"/>
      <c r="CUX240" s="4"/>
      <c r="CUY240" s="4"/>
      <c r="CUZ240" s="4"/>
      <c r="CVA240" s="4"/>
      <c r="CVB240" s="4"/>
      <c r="CVC240" s="4"/>
      <c r="CVD240" s="4"/>
      <c r="CVE240" s="4"/>
      <c r="CVF240" s="4"/>
      <c r="CVG240" s="4"/>
      <c r="CVH240" s="4"/>
      <c r="CVI240" s="4"/>
      <c r="CVJ240" s="4"/>
      <c r="CVK240" s="4"/>
      <c r="CVL240" s="4"/>
      <c r="CVM240" s="4"/>
      <c r="CVN240" s="4"/>
      <c r="CVO240" s="4"/>
      <c r="CVP240" s="4"/>
      <c r="CVQ240" s="4"/>
      <c r="CVR240" s="4"/>
      <c r="CVS240" s="4"/>
      <c r="CVT240" s="4"/>
      <c r="CVU240" s="4"/>
      <c r="CVV240" s="4"/>
      <c r="CVW240" s="4"/>
      <c r="CVX240" s="4"/>
      <c r="CVY240" s="4"/>
      <c r="CVZ240" s="4"/>
      <c r="CWA240" s="4"/>
      <c r="CWB240" s="4"/>
      <c r="CWC240" s="4"/>
      <c r="CWD240" s="4"/>
      <c r="CWE240" s="4"/>
      <c r="CWF240" s="4"/>
      <c r="CWG240" s="4"/>
      <c r="CWH240" s="4"/>
      <c r="CWI240" s="4"/>
      <c r="CWJ240" s="4"/>
      <c r="CWK240" s="4"/>
      <c r="CWL240" s="4"/>
      <c r="CWM240" s="4"/>
      <c r="CWN240" s="4"/>
      <c r="CWO240" s="4"/>
      <c r="CWP240" s="4"/>
      <c r="CWQ240" s="4"/>
      <c r="CWR240" s="4"/>
      <c r="CWS240" s="4"/>
      <c r="CWT240" s="4"/>
      <c r="CWU240" s="4"/>
      <c r="CWV240" s="4"/>
      <c r="CWW240" s="4"/>
      <c r="CWX240" s="4"/>
      <c r="CWY240" s="4"/>
      <c r="CWZ240" s="4"/>
      <c r="CXA240" s="4"/>
      <c r="CXB240" s="4"/>
      <c r="CXC240" s="4"/>
      <c r="CXD240" s="4"/>
      <c r="CXE240" s="4"/>
      <c r="CXF240" s="4"/>
      <c r="CXG240" s="4"/>
      <c r="CXH240" s="4"/>
      <c r="CXI240" s="4"/>
      <c r="CXJ240" s="4"/>
      <c r="CXK240" s="4"/>
      <c r="CXL240" s="4"/>
      <c r="CXM240" s="4"/>
      <c r="CXN240" s="4"/>
      <c r="CXO240" s="4"/>
      <c r="CXP240" s="4"/>
      <c r="CXQ240" s="4"/>
      <c r="CXR240" s="4"/>
      <c r="CXS240" s="4"/>
      <c r="CXT240" s="4"/>
      <c r="CXU240" s="4"/>
      <c r="CXV240" s="4"/>
      <c r="CXW240" s="4"/>
      <c r="CXX240" s="4"/>
      <c r="CXY240" s="4"/>
      <c r="CXZ240" s="4"/>
      <c r="CYA240" s="4"/>
      <c r="CYB240" s="4"/>
      <c r="CYC240" s="4"/>
      <c r="CYD240" s="4"/>
      <c r="CYE240" s="4"/>
      <c r="CYF240" s="4"/>
      <c r="CYG240" s="4"/>
      <c r="CYH240" s="4"/>
      <c r="CYI240" s="4"/>
      <c r="CYJ240" s="4"/>
      <c r="CYK240" s="4"/>
      <c r="CYL240" s="4"/>
      <c r="CYM240" s="4"/>
      <c r="CYN240" s="4"/>
      <c r="CYO240" s="4"/>
      <c r="CYP240" s="4"/>
      <c r="CYQ240" s="4"/>
      <c r="CYR240" s="4"/>
      <c r="CYS240" s="4"/>
      <c r="CYT240" s="4"/>
      <c r="CYU240" s="4"/>
      <c r="CYV240" s="4"/>
      <c r="CYW240" s="4"/>
      <c r="CYX240" s="4"/>
      <c r="CYY240" s="4"/>
      <c r="CYZ240" s="4"/>
      <c r="CZA240" s="4"/>
      <c r="CZB240" s="4"/>
      <c r="CZC240" s="4"/>
      <c r="CZD240" s="4"/>
      <c r="CZE240" s="4"/>
      <c r="CZF240" s="4"/>
      <c r="CZG240" s="4"/>
      <c r="CZH240" s="4"/>
      <c r="CZI240" s="4"/>
      <c r="CZJ240" s="4"/>
      <c r="CZK240" s="4"/>
      <c r="CZL240" s="4"/>
      <c r="CZM240" s="4"/>
      <c r="CZN240" s="4"/>
      <c r="CZO240" s="4"/>
      <c r="CZP240" s="4"/>
      <c r="CZQ240" s="4"/>
      <c r="CZR240" s="4"/>
      <c r="CZS240" s="4"/>
      <c r="CZT240" s="4"/>
      <c r="CZU240" s="4"/>
      <c r="CZV240" s="4"/>
      <c r="CZW240" s="4"/>
      <c r="CZX240" s="4"/>
      <c r="CZY240" s="4"/>
      <c r="CZZ240" s="4"/>
      <c r="DAA240" s="4"/>
      <c r="DAB240" s="4"/>
      <c r="DAC240" s="4"/>
      <c r="DAD240" s="4"/>
      <c r="DAE240" s="4"/>
      <c r="DAF240" s="4"/>
      <c r="DAG240" s="4"/>
      <c r="DAH240" s="4"/>
      <c r="DAI240" s="4"/>
      <c r="DAJ240" s="4"/>
      <c r="DAK240" s="4"/>
      <c r="DAL240" s="4"/>
      <c r="DAM240" s="4"/>
      <c r="DAN240" s="4"/>
      <c r="DAO240" s="4"/>
      <c r="DAP240" s="4"/>
      <c r="DAQ240" s="4"/>
      <c r="DAR240" s="4"/>
      <c r="DAS240" s="4"/>
      <c r="DAT240" s="4"/>
      <c r="DAU240" s="4"/>
      <c r="DAV240" s="4"/>
      <c r="DAW240" s="4"/>
      <c r="DAX240" s="4"/>
      <c r="DAY240" s="4"/>
      <c r="DAZ240" s="4"/>
      <c r="DBA240" s="4"/>
      <c r="DBB240" s="4"/>
      <c r="DBC240" s="4"/>
      <c r="DBD240" s="4"/>
      <c r="DBE240" s="4"/>
      <c r="DBF240" s="4"/>
      <c r="DBG240" s="4"/>
      <c r="DBH240" s="4"/>
      <c r="DBI240" s="4"/>
      <c r="DBJ240" s="4"/>
      <c r="DBK240" s="4"/>
      <c r="DBL240" s="4"/>
      <c r="DBM240" s="4"/>
      <c r="DBN240" s="4"/>
      <c r="DBO240" s="4"/>
      <c r="DBP240" s="4"/>
      <c r="DBQ240" s="4"/>
      <c r="DBR240" s="4"/>
      <c r="DBS240" s="4"/>
      <c r="DBT240" s="4"/>
      <c r="DBU240" s="4"/>
      <c r="DBV240" s="4"/>
      <c r="DBW240" s="4"/>
      <c r="DBX240" s="4"/>
      <c r="DBY240" s="4"/>
      <c r="DBZ240" s="4"/>
      <c r="DCA240" s="4"/>
      <c r="DCB240" s="4"/>
      <c r="DCC240" s="4"/>
      <c r="DCD240" s="4"/>
      <c r="DCE240" s="4"/>
      <c r="DCF240" s="4"/>
      <c r="DCG240" s="4"/>
      <c r="DCH240" s="4"/>
      <c r="DCI240" s="4"/>
      <c r="DCJ240" s="4"/>
      <c r="DCK240" s="4"/>
      <c r="DCL240" s="4"/>
      <c r="DCM240" s="4"/>
      <c r="DCN240" s="4"/>
      <c r="DCO240" s="4"/>
      <c r="DCP240" s="4"/>
      <c r="DCQ240" s="4"/>
      <c r="DCR240" s="4"/>
      <c r="DCS240" s="4"/>
      <c r="DCT240" s="4"/>
      <c r="DCU240" s="4"/>
      <c r="DCV240" s="4"/>
      <c r="DCW240" s="4"/>
      <c r="DCX240" s="4"/>
      <c r="DCY240" s="4"/>
      <c r="DCZ240" s="4"/>
      <c r="DDA240" s="4"/>
      <c r="DDB240" s="4"/>
      <c r="DDC240" s="4"/>
      <c r="DDD240" s="4"/>
      <c r="DDE240" s="4"/>
      <c r="DDF240" s="4"/>
      <c r="DDG240" s="4"/>
      <c r="DDH240" s="4"/>
      <c r="DDI240" s="4"/>
      <c r="DDJ240" s="4"/>
      <c r="DDK240" s="4"/>
      <c r="DDL240" s="4"/>
      <c r="DDM240" s="4"/>
      <c r="DDN240" s="4"/>
      <c r="DDO240" s="4"/>
      <c r="DDP240" s="4"/>
      <c r="DDQ240" s="4"/>
      <c r="DDR240" s="4"/>
      <c r="DDS240" s="4"/>
      <c r="DDT240" s="4"/>
      <c r="DDU240" s="4"/>
      <c r="DDV240" s="4"/>
      <c r="DDW240" s="4"/>
      <c r="DDX240" s="4"/>
      <c r="DDY240" s="4"/>
      <c r="DDZ240" s="4"/>
      <c r="DEA240" s="4"/>
      <c r="DEB240" s="4"/>
      <c r="DEC240" s="4"/>
      <c r="DED240" s="4"/>
      <c r="DEE240" s="4"/>
      <c r="DEF240" s="4"/>
      <c r="DEG240" s="4"/>
      <c r="DEH240" s="4"/>
      <c r="DEI240" s="4"/>
      <c r="DEJ240" s="4"/>
      <c r="DEK240" s="4"/>
      <c r="DEL240" s="4"/>
      <c r="DEM240" s="4"/>
      <c r="DEN240" s="4"/>
      <c r="DEO240" s="4"/>
      <c r="DEP240" s="4"/>
      <c r="DEQ240" s="4"/>
      <c r="DER240" s="4"/>
      <c r="DES240" s="4"/>
      <c r="DET240" s="4"/>
      <c r="DEU240" s="4"/>
      <c r="DEV240" s="4"/>
      <c r="DEW240" s="4"/>
      <c r="DEX240" s="4"/>
      <c r="DEY240" s="4"/>
      <c r="DEZ240" s="4"/>
      <c r="DFA240" s="4"/>
      <c r="DFB240" s="4"/>
      <c r="DFC240" s="4"/>
      <c r="DFD240" s="4"/>
      <c r="DFE240" s="4"/>
      <c r="DFF240" s="4"/>
      <c r="DFG240" s="4"/>
      <c r="DFH240" s="4"/>
      <c r="DFI240" s="4"/>
      <c r="DFJ240" s="4"/>
      <c r="DFK240" s="4"/>
      <c r="DFL240" s="4"/>
      <c r="DFM240" s="4"/>
      <c r="DFN240" s="4"/>
      <c r="DFO240" s="4"/>
      <c r="DFP240" s="4"/>
      <c r="DFQ240" s="4"/>
      <c r="DFR240" s="4"/>
      <c r="DFS240" s="4"/>
      <c r="DFT240" s="4"/>
      <c r="DFU240" s="4"/>
      <c r="DFV240" s="4"/>
      <c r="DFW240" s="4"/>
      <c r="DFX240" s="4"/>
      <c r="DFY240" s="4"/>
      <c r="DFZ240" s="4"/>
      <c r="DGA240" s="4"/>
      <c r="DGB240" s="4"/>
      <c r="DGC240" s="4"/>
      <c r="DGD240" s="4"/>
      <c r="DGE240" s="4"/>
      <c r="DGF240" s="4"/>
      <c r="DGG240" s="4"/>
      <c r="DGH240" s="4"/>
      <c r="DGI240" s="4"/>
      <c r="DGJ240" s="4"/>
      <c r="DGK240" s="4"/>
      <c r="DGL240" s="4"/>
      <c r="DGM240" s="4"/>
      <c r="DGN240" s="4"/>
      <c r="DGO240" s="4"/>
      <c r="DGP240" s="4"/>
      <c r="DGQ240" s="4"/>
      <c r="DGR240" s="4"/>
      <c r="DGS240" s="4"/>
      <c r="DGT240" s="4"/>
      <c r="DGU240" s="4"/>
      <c r="DGV240" s="4"/>
      <c r="DGW240" s="4"/>
      <c r="DGX240" s="4"/>
      <c r="DGY240" s="4"/>
      <c r="DGZ240" s="4"/>
      <c r="DHA240" s="4"/>
      <c r="DHB240" s="4"/>
      <c r="DHC240" s="4"/>
      <c r="DHD240" s="4"/>
      <c r="DHE240" s="4"/>
      <c r="DHF240" s="4"/>
      <c r="DHG240" s="4"/>
      <c r="DHH240" s="4"/>
      <c r="DHI240" s="4"/>
      <c r="DHJ240" s="4"/>
      <c r="DHK240" s="4"/>
      <c r="DHL240" s="4"/>
      <c r="DHM240" s="4"/>
      <c r="DHN240" s="4"/>
      <c r="DHO240" s="4"/>
      <c r="DHP240" s="4"/>
      <c r="DHQ240" s="4"/>
      <c r="DHR240" s="4"/>
      <c r="DHS240" s="4"/>
      <c r="DHT240" s="4"/>
      <c r="DHU240" s="4"/>
      <c r="DHV240" s="4"/>
      <c r="DHW240" s="4"/>
      <c r="DHX240" s="4"/>
      <c r="DHY240" s="4"/>
      <c r="DHZ240" s="4"/>
      <c r="DIA240" s="4"/>
      <c r="DIB240" s="4"/>
      <c r="DIC240" s="4"/>
      <c r="DID240" s="4"/>
      <c r="DIE240" s="4"/>
      <c r="DIF240" s="4"/>
      <c r="DIG240" s="4"/>
      <c r="DIH240" s="4"/>
      <c r="DII240" s="4"/>
      <c r="DIJ240" s="4"/>
      <c r="DIK240" s="4"/>
      <c r="DIL240" s="4"/>
      <c r="DIM240" s="4"/>
      <c r="DIN240" s="4"/>
      <c r="DIO240" s="4"/>
      <c r="DIP240" s="4"/>
      <c r="DIQ240" s="4"/>
      <c r="DIR240" s="4"/>
      <c r="DIS240" s="4"/>
      <c r="DIT240" s="4"/>
      <c r="DIU240" s="4"/>
      <c r="DIV240" s="4"/>
      <c r="DIW240" s="4"/>
      <c r="DIX240" s="4"/>
      <c r="DIY240" s="4"/>
      <c r="DIZ240" s="4"/>
      <c r="DJA240" s="4"/>
      <c r="DJB240" s="4"/>
      <c r="DJC240" s="4"/>
      <c r="DJD240" s="4"/>
      <c r="DJE240" s="4"/>
      <c r="DJF240" s="4"/>
      <c r="DJG240" s="4"/>
      <c r="DJH240" s="4"/>
      <c r="DJI240" s="4"/>
      <c r="DJJ240" s="4"/>
      <c r="DJK240" s="4"/>
      <c r="DJL240" s="4"/>
      <c r="DJM240" s="4"/>
      <c r="DJN240" s="4"/>
      <c r="DJO240" s="4"/>
      <c r="DJP240" s="4"/>
      <c r="DJQ240" s="4"/>
      <c r="DJR240" s="4"/>
      <c r="DJS240" s="4"/>
      <c r="DJT240" s="4"/>
      <c r="DJU240" s="4"/>
      <c r="DJV240" s="4"/>
      <c r="DJW240" s="4"/>
      <c r="DJX240" s="4"/>
      <c r="DJY240" s="4"/>
      <c r="DJZ240" s="4"/>
      <c r="DKA240" s="4"/>
      <c r="DKB240" s="4"/>
      <c r="DKC240" s="4"/>
      <c r="DKD240" s="4"/>
      <c r="DKE240" s="4"/>
      <c r="DKF240" s="4"/>
      <c r="DKG240" s="4"/>
      <c r="DKH240" s="4"/>
      <c r="DKI240" s="4"/>
      <c r="DKJ240" s="4"/>
      <c r="DKK240" s="4"/>
      <c r="DKL240" s="4"/>
      <c r="DKM240" s="4"/>
      <c r="DKN240" s="4"/>
      <c r="DKO240" s="4"/>
      <c r="DKP240" s="4"/>
      <c r="DKQ240" s="4"/>
      <c r="DKR240" s="4"/>
      <c r="DKS240" s="4"/>
      <c r="DKT240" s="4"/>
      <c r="DKU240" s="4"/>
      <c r="DKV240" s="4"/>
      <c r="DKW240" s="4"/>
      <c r="DKX240" s="4"/>
      <c r="DKY240" s="4"/>
      <c r="DKZ240" s="4"/>
      <c r="DLA240" s="4"/>
      <c r="DLB240" s="4"/>
      <c r="DLC240" s="4"/>
      <c r="DLD240" s="4"/>
      <c r="DLE240" s="4"/>
      <c r="DLF240" s="4"/>
      <c r="DLG240" s="4"/>
      <c r="DLH240" s="4"/>
      <c r="DLI240" s="4"/>
      <c r="DLJ240" s="4"/>
      <c r="DLK240" s="4"/>
      <c r="DLL240" s="4"/>
      <c r="DLM240" s="4"/>
      <c r="DLN240" s="4"/>
      <c r="DLO240" s="4"/>
      <c r="DLP240" s="4"/>
      <c r="DLQ240" s="4"/>
      <c r="DLR240" s="4"/>
      <c r="DLS240" s="4"/>
      <c r="DLT240" s="4"/>
      <c r="DLU240" s="4"/>
      <c r="DLV240" s="4"/>
      <c r="DLW240" s="4"/>
      <c r="DLX240" s="4"/>
      <c r="DLY240" s="4"/>
      <c r="DLZ240" s="4"/>
      <c r="DMA240" s="4"/>
      <c r="DMB240" s="4"/>
      <c r="DMC240" s="4"/>
      <c r="DMD240" s="4"/>
      <c r="DME240" s="4"/>
      <c r="DMF240" s="4"/>
      <c r="DMG240" s="4"/>
      <c r="DMH240" s="4"/>
      <c r="DMI240" s="4"/>
      <c r="DMJ240" s="4"/>
      <c r="DMK240" s="4"/>
      <c r="DML240" s="4"/>
      <c r="DMM240" s="4"/>
      <c r="DMN240" s="4"/>
      <c r="DMO240" s="4"/>
      <c r="DMP240" s="4"/>
      <c r="DMQ240" s="4"/>
      <c r="DMR240" s="4"/>
      <c r="DMS240" s="4"/>
      <c r="DMT240" s="4"/>
      <c r="DMU240" s="4"/>
      <c r="DMV240" s="4"/>
      <c r="DMW240" s="4"/>
      <c r="DMX240" s="4"/>
      <c r="DMY240" s="4"/>
      <c r="DMZ240" s="4"/>
      <c r="DNA240" s="4"/>
      <c r="DNB240" s="4"/>
      <c r="DNC240" s="4"/>
      <c r="DND240" s="4"/>
      <c r="DNE240" s="4"/>
      <c r="DNF240" s="4"/>
      <c r="DNG240" s="4"/>
      <c r="DNH240" s="4"/>
      <c r="DNI240" s="4"/>
      <c r="DNJ240" s="4"/>
      <c r="DNK240" s="4"/>
      <c r="DNL240" s="4"/>
      <c r="DNM240" s="4"/>
      <c r="DNN240" s="4"/>
      <c r="DNO240" s="4"/>
      <c r="DNP240" s="4"/>
      <c r="DNQ240" s="4"/>
      <c r="DNR240" s="4"/>
      <c r="DNS240" s="4"/>
      <c r="DNT240" s="4"/>
      <c r="DNU240" s="4"/>
      <c r="DNV240" s="4"/>
      <c r="DNW240" s="4"/>
      <c r="DNX240" s="4"/>
      <c r="DNY240" s="4"/>
      <c r="DNZ240" s="4"/>
      <c r="DOA240" s="4"/>
      <c r="DOB240" s="4"/>
      <c r="DOC240" s="4"/>
      <c r="DOD240" s="4"/>
      <c r="DOE240" s="4"/>
      <c r="DOF240" s="4"/>
      <c r="DOG240" s="4"/>
      <c r="DOH240" s="4"/>
      <c r="DOI240" s="4"/>
      <c r="DOJ240" s="4"/>
      <c r="DOK240" s="4"/>
      <c r="DOL240" s="4"/>
      <c r="DOM240" s="4"/>
      <c r="DON240" s="4"/>
      <c r="DOO240" s="4"/>
      <c r="DOP240" s="4"/>
      <c r="DOQ240" s="4"/>
      <c r="DOR240" s="4"/>
      <c r="DOS240" s="4"/>
      <c r="DOT240" s="4"/>
      <c r="DOU240" s="4"/>
      <c r="DOV240" s="4"/>
      <c r="DOW240" s="4"/>
      <c r="DOX240" s="4"/>
      <c r="DOY240" s="4"/>
      <c r="DOZ240" s="4"/>
      <c r="DPA240" s="4"/>
      <c r="DPB240" s="4"/>
      <c r="DPC240" s="4"/>
      <c r="DPD240" s="4"/>
      <c r="DPE240" s="4"/>
      <c r="DPF240" s="4"/>
      <c r="DPG240" s="4"/>
      <c r="DPH240" s="4"/>
      <c r="DPI240" s="4"/>
      <c r="DPJ240" s="4"/>
      <c r="DPK240" s="4"/>
      <c r="DPL240" s="4"/>
      <c r="DPM240" s="4"/>
      <c r="DPN240" s="4"/>
      <c r="DPO240" s="4"/>
      <c r="DPP240" s="4"/>
      <c r="DPQ240" s="4"/>
      <c r="DPR240" s="4"/>
      <c r="DPS240" s="4"/>
      <c r="DPT240" s="4"/>
      <c r="DPU240" s="4"/>
      <c r="DPV240" s="4"/>
      <c r="DPW240" s="4"/>
      <c r="DPX240" s="4"/>
      <c r="DPY240" s="4"/>
      <c r="DPZ240" s="4"/>
      <c r="DQA240" s="4"/>
      <c r="DQB240" s="4"/>
      <c r="DQC240" s="4"/>
      <c r="DQD240" s="4"/>
      <c r="DQE240" s="4"/>
      <c r="DQF240" s="4"/>
      <c r="DQG240" s="4"/>
      <c r="DQH240" s="4"/>
      <c r="DQI240" s="4"/>
      <c r="DQJ240" s="4"/>
      <c r="DQK240" s="4"/>
      <c r="DQL240" s="4"/>
      <c r="DQM240" s="4"/>
      <c r="DQN240" s="4"/>
      <c r="DQO240" s="4"/>
      <c r="DQP240" s="4"/>
      <c r="DQQ240" s="4"/>
      <c r="DQR240" s="4"/>
      <c r="DQS240" s="4"/>
      <c r="DQT240" s="4"/>
      <c r="DQU240" s="4"/>
      <c r="DQV240" s="4"/>
      <c r="DQW240" s="4"/>
      <c r="DQX240" s="4"/>
      <c r="DQY240" s="4"/>
      <c r="DQZ240" s="4"/>
      <c r="DRA240" s="4"/>
      <c r="DRB240" s="4"/>
      <c r="DRC240" s="4"/>
      <c r="DRD240" s="4"/>
      <c r="DRE240" s="4"/>
      <c r="DRF240" s="4"/>
      <c r="DRG240" s="4"/>
      <c r="DRH240" s="4"/>
      <c r="DRI240" s="4"/>
      <c r="DRJ240" s="4"/>
      <c r="DRK240" s="4"/>
      <c r="DRL240" s="4"/>
      <c r="DRM240" s="4"/>
      <c r="DRN240" s="4"/>
      <c r="DRO240" s="4"/>
      <c r="DRP240" s="4"/>
      <c r="DRQ240" s="4"/>
      <c r="DRR240" s="4"/>
      <c r="DRS240" s="4"/>
      <c r="DRT240" s="4"/>
      <c r="DRU240" s="4"/>
      <c r="DRV240" s="4"/>
      <c r="DRW240" s="4"/>
      <c r="DRX240" s="4"/>
      <c r="DRY240" s="4"/>
      <c r="DRZ240" s="4"/>
      <c r="DSA240" s="4"/>
      <c r="DSB240" s="4"/>
      <c r="DSC240" s="4"/>
      <c r="DSD240" s="4"/>
      <c r="DSE240" s="4"/>
      <c r="DSF240" s="4"/>
      <c r="DSG240" s="4"/>
      <c r="DSH240" s="4"/>
      <c r="DSI240" s="4"/>
      <c r="DSJ240" s="4"/>
      <c r="DSK240" s="4"/>
      <c r="DSL240" s="4"/>
      <c r="DSM240" s="4"/>
      <c r="DSN240" s="4"/>
      <c r="DSO240" s="4"/>
      <c r="DSP240" s="4"/>
      <c r="DSQ240" s="4"/>
      <c r="DSR240" s="4"/>
      <c r="DSS240" s="4"/>
      <c r="DST240" s="4"/>
      <c r="DSU240" s="4"/>
      <c r="DSV240" s="4"/>
      <c r="DSW240" s="4"/>
      <c r="DSX240" s="4"/>
      <c r="DSY240" s="4"/>
      <c r="DSZ240" s="4"/>
      <c r="DTA240" s="4"/>
      <c r="DTB240" s="4"/>
      <c r="DTC240" s="4"/>
      <c r="DTD240" s="4"/>
      <c r="DTE240" s="4"/>
      <c r="DTF240" s="4"/>
      <c r="DTG240" s="4"/>
      <c r="DTH240" s="4"/>
      <c r="DTI240" s="4"/>
      <c r="DTJ240" s="4"/>
      <c r="DTK240" s="4"/>
      <c r="DTL240" s="4"/>
      <c r="DTM240" s="4"/>
      <c r="DTN240" s="4"/>
      <c r="DTO240" s="4"/>
      <c r="DTP240" s="4"/>
      <c r="DTQ240" s="4"/>
      <c r="DTR240" s="4"/>
      <c r="DTS240" s="4"/>
      <c r="DTT240" s="4"/>
      <c r="DTU240" s="4"/>
      <c r="DTV240" s="4"/>
      <c r="DTW240" s="4"/>
      <c r="DTX240" s="4"/>
      <c r="DTY240" s="4"/>
      <c r="DTZ240" s="4"/>
      <c r="DUA240" s="4"/>
      <c r="DUB240" s="4"/>
      <c r="DUC240" s="4"/>
      <c r="DUD240" s="4"/>
      <c r="DUE240" s="4"/>
      <c r="DUF240" s="4"/>
      <c r="DUG240" s="4"/>
      <c r="DUH240" s="4"/>
      <c r="DUI240" s="4"/>
      <c r="DUJ240" s="4"/>
      <c r="DUK240" s="4"/>
      <c r="DUL240" s="4"/>
      <c r="DUM240" s="4"/>
      <c r="DUN240" s="4"/>
      <c r="DUO240" s="4"/>
      <c r="DUP240" s="4"/>
      <c r="DUQ240" s="4"/>
      <c r="DUR240" s="4"/>
      <c r="DUS240" s="4"/>
      <c r="DUT240" s="4"/>
      <c r="DUU240" s="4"/>
      <c r="DUV240" s="4"/>
      <c r="DUW240" s="4"/>
      <c r="DUX240" s="4"/>
      <c r="DUY240" s="4"/>
      <c r="DUZ240" s="4"/>
      <c r="DVA240" s="4"/>
      <c r="DVB240" s="4"/>
      <c r="DVC240" s="4"/>
      <c r="DVD240" s="4"/>
      <c r="DVE240" s="4"/>
      <c r="DVF240" s="4"/>
      <c r="DVG240" s="4"/>
      <c r="DVH240" s="4"/>
      <c r="DVI240" s="4"/>
      <c r="DVJ240" s="4"/>
      <c r="DVK240" s="4"/>
      <c r="DVL240" s="4"/>
      <c r="DVM240" s="4"/>
      <c r="DVN240" s="4"/>
      <c r="DVO240" s="4"/>
      <c r="DVP240" s="4"/>
      <c r="DVQ240" s="4"/>
      <c r="DVR240" s="4"/>
      <c r="DVS240" s="4"/>
      <c r="DVT240" s="4"/>
      <c r="DVU240" s="4"/>
      <c r="DVV240" s="4"/>
      <c r="DVW240" s="4"/>
      <c r="DVX240" s="4"/>
      <c r="DVY240" s="4"/>
      <c r="DVZ240" s="4"/>
      <c r="DWA240" s="4"/>
      <c r="DWB240" s="4"/>
      <c r="DWC240" s="4"/>
      <c r="DWD240" s="4"/>
      <c r="DWE240" s="4"/>
      <c r="DWF240" s="4"/>
      <c r="DWG240" s="4"/>
      <c r="DWH240" s="4"/>
      <c r="DWI240" s="4"/>
      <c r="DWJ240" s="4"/>
      <c r="DWK240" s="4"/>
      <c r="DWL240" s="4"/>
      <c r="DWM240" s="4"/>
      <c r="DWN240" s="4"/>
      <c r="DWO240" s="4"/>
      <c r="DWP240" s="4"/>
      <c r="DWQ240" s="4"/>
      <c r="DWR240" s="4"/>
      <c r="DWS240" s="4"/>
      <c r="DWT240" s="4"/>
      <c r="DWU240" s="4"/>
      <c r="DWV240" s="4"/>
      <c r="DWW240" s="4"/>
      <c r="DWX240" s="4"/>
      <c r="DWY240" s="4"/>
      <c r="DWZ240" s="4"/>
      <c r="DXA240" s="4"/>
      <c r="DXB240" s="4"/>
      <c r="DXC240" s="4"/>
      <c r="DXD240" s="4"/>
      <c r="DXE240" s="4"/>
      <c r="DXF240" s="4"/>
      <c r="DXG240" s="4"/>
      <c r="DXH240" s="4"/>
      <c r="DXI240" s="4"/>
      <c r="DXJ240" s="4"/>
      <c r="DXK240" s="4"/>
      <c r="DXL240" s="4"/>
      <c r="DXM240" s="4"/>
      <c r="DXN240" s="4"/>
      <c r="DXO240" s="4"/>
      <c r="DXP240" s="4"/>
      <c r="DXQ240" s="4"/>
      <c r="DXR240" s="4"/>
      <c r="DXS240" s="4"/>
      <c r="DXT240" s="4"/>
      <c r="DXU240" s="4"/>
      <c r="DXV240" s="4"/>
      <c r="DXW240" s="4"/>
      <c r="DXX240" s="4"/>
      <c r="DXY240" s="4"/>
      <c r="DXZ240" s="4"/>
      <c r="DYA240" s="4"/>
      <c r="DYB240" s="4"/>
      <c r="DYC240" s="4"/>
      <c r="DYD240" s="4"/>
      <c r="DYE240" s="4"/>
      <c r="DYF240" s="4"/>
      <c r="DYG240" s="4"/>
      <c r="DYH240" s="4"/>
      <c r="DYI240" s="4"/>
      <c r="DYJ240" s="4"/>
      <c r="DYK240" s="4"/>
      <c r="DYL240" s="4"/>
      <c r="DYM240" s="4"/>
      <c r="DYN240" s="4"/>
      <c r="DYO240" s="4"/>
      <c r="DYP240" s="4"/>
      <c r="DYQ240" s="4"/>
      <c r="DYR240" s="4"/>
      <c r="DYS240" s="4"/>
      <c r="DYT240" s="4"/>
      <c r="DYU240" s="4"/>
      <c r="DYV240" s="4"/>
      <c r="DYW240" s="4"/>
      <c r="DYX240" s="4"/>
      <c r="DYY240" s="4"/>
      <c r="DYZ240" s="4"/>
      <c r="DZA240" s="4"/>
      <c r="DZB240" s="4"/>
      <c r="DZC240" s="4"/>
      <c r="DZD240" s="4"/>
      <c r="DZE240" s="4"/>
      <c r="DZF240" s="4"/>
      <c r="DZG240" s="4"/>
      <c r="DZH240" s="4"/>
      <c r="DZI240" s="4"/>
      <c r="DZJ240" s="4"/>
      <c r="DZK240" s="4"/>
      <c r="DZL240" s="4"/>
      <c r="DZM240" s="4"/>
      <c r="DZN240" s="4"/>
      <c r="DZO240" s="4"/>
      <c r="DZP240" s="4"/>
      <c r="DZQ240" s="4"/>
      <c r="DZR240" s="4"/>
      <c r="DZS240" s="4"/>
      <c r="DZT240" s="4"/>
      <c r="DZU240" s="4"/>
      <c r="DZV240" s="4"/>
      <c r="DZW240" s="4"/>
      <c r="DZX240" s="4"/>
      <c r="DZY240" s="4"/>
      <c r="DZZ240" s="4"/>
      <c r="EAA240" s="4"/>
      <c r="EAB240" s="4"/>
      <c r="EAC240" s="4"/>
      <c r="EAD240" s="4"/>
      <c r="EAE240" s="4"/>
      <c r="EAF240" s="4"/>
      <c r="EAG240" s="4"/>
      <c r="EAH240" s="4"/>
      <c r="EAI240" s="4"/>
      <c r="EAJ240" s="4"/>
      <c r="EAK240" s="4"/>
      <c r="EAL240" s="4"/>
      <c r="EAM240" s="4"/>
      <c r="EAN240" s="4"/>
      <c r="EAO240" s="4"/>
      <c r="EAP240" s="4"/>
      <c r="EAQ240" s="4"/>
      <c r="EAR240" s="4"/>
      <c r="EAS240" s="4"/>
      <c r="EAT240" s="4"/>
      <c r="EAU240" s="4"/>
      <c r="EAV240" s="4"/>
      <c r="EAW240" s="4"/>
      <c r="EAX240" s="4"/>
      <c r="EAY240" s="4"/>
      <c r="EAZ240" s="4"/>
      <c r="EBA240" s="4"/>
      <c r="EBB240" s="4"/>
      <c r="EBC240" s="4"/>
      <c r="EBD240" s="4"/>
      <c r="EBE240" s="4"/>
      <c r="EBF240" s="4"/>
      <c r="EBG240" s="4"/>
      <c r="EBH240" s="4"/>
      <c r="EBI240" s="4"/>
      <c r="EBJ240" s="4"/>
      <c r="EBK240" s="4"/>
      <c r="EBL240" s="4"/>
      <c r="EBM240" s="4"/>
      <c r="EBN240" s="4"/>
      <c r="EBO240" s="4"/>
      <c r="EBP240" s="4"/>
      <c r="EBQ240" s="4"/>
      <c r="EBR240" s="4"/>
      <c r="EBS240" s="4"/>
      <c r="EBT240" s="4"/>
      <c r="EBU240" s="4"/>
      <c r="EBV240" s="4"/>
      <c r="EBW240" s="4"/>
      <c r="EBX240" s="4"/>
      <c r="EBY240" s="4"/>
      <c r="EBZ240" s="4"/>
      <c r="ECA240" s="4"/>
      <c r="ECB240" s="4"/>
      <c r="ECC240" s="4"/>
      <c r="ECD240" s="4"/>
      <c r="ECE240" s="4"/>
      <c r="ECF240" s="4"/>
      <c r="ECG240" s="4"/>
      <c r="ECH240" s="4"/>
      <c r="ECI240" s="4"/>
      <c r="ECJ240" s="4"/>
      <c r="ECK240" s="4"/>
      <c r="ECL240" s="4"/>
      <c r="ECM240" s="4"/>
      <c r="ECN240" s="4"/>
      <c r="ECO240" s="4"/>
      <c r="ECP240" s="4"/>
      <c r="ECQ240" s="4"/>
      <c r="ECR240" s="4"/>
      <c r="ECS240" s="4"/>
      <c r="ECT240" s="4"/>
      <c r="ECU240" s="4"/>
      <c r="ECV240" s="4"/>
      <c r="ECW240" s="4"/>
      <c r="ECX240" s="4"/>
      <c r="ECY240" s="4"/>
      <c r="ECZ240" s="4"/>
      <c r="EDA240" s="4"/>
      <c r="EDB240" s="4"/>
      <c r="EDC240" s="4"/>
      <c r="EDD240" s="4"/>
      <c r="EDE240" s="4"/>
      <c r="EDF240" s="4"/>
      <c r="EDG240" s="4"/>
      <c r="EDH240" s="4"/>
      <c r="EDI240" s="4"/>
      <c r="EDJ240" s="4"/>
      <c r="EDK240" s="4"/>
      <c r="EDL240" s="4"/>
      <c r="EDM240" s="4"/>
      <c r="EDN240" s="4"/>
      <c r="EDO240" s="4"/>
      <c r="EDP240" s="4"/>
      <c r="EDQ240" s="4"/>
      <c r="EDR240" s="4"/>
      <c r="EDS240" s="4"/>
      <c r="EDT240" s="4"/>
      <c r="EDU240" s="4"/>
      <c r="EDV240" s="4"/>
      <c r="EDW240" s="4"/>
      <c r="EDX240" s="4"/>
      <c r="EDY240" s="4"/>
      <c r="EDZ240" s="4"/>
      <c r="EEA240" s="4"/>
      <c r="EEB240" s="4"/>
      <c r="EEC240" s="4"/>
      <c r="EED240" s="4"/>
      <c r="EEE240" s="4"/>
      <c r="EEF240" s="4"/>
      <c r="EEG240" s="4"/>
      <c r="EEH240" s="4"/>
      <c r="EEI240" s="4"/>
      <c r="EEJ240" s="4"/>
      <c r="EEK240" s="4"/>
      <c r="EEL240" s="4"/>
      <c r="EEM240" s="4"/>
      <c r="EEN240" s="4"/>
      <c r="EEO240" s="4"/>
      <c r="EEP240" s="4"/>
      <c r="EEQ240" s="4"/>
      <c r="EER240" s="4"/>
      <c r="EES240" s="4"/>
      <c r="EET240" s="4"/>
      <c r="EEU240" s="4"/>
      <c r="EEV240" s="4"/>
      <c r="EEW240" s="4"/>
      <c r="EEX240" s="4"/>
      <c r="EEY240" s="4"/>
      <c r="EEZ240" s="4"/>
      <c r="EFA240" s="4"/>
      <c r="EFB240" s="4"/>
      <c r="EFC240" s="4"/>
      <c r="EFD240" s="4"/>
      <c r="EFE240" s="4"/>
      <c r="EFF240" s="4"/>
      <c r="EFG240" s="4"/>
      <c r="EFH240" s="4"/>
      <c r="EFI240" s="4"/>
      <c r="EFJ240" s="4"/>
      <c r="EFK240" s="4"/>
      <c r="EFL240" s="4"/>
      <c r="EFM240" s="4"/>
      <c r="EFN240" s="4"/>
      <c r="EFO240" s="4"/>
      <c r="EFP240" s="4"/>
      <c r="EFQ240" s="4"/>
      <c r="EFR240" s="4"/>
      <c r="EFS240" s="4"/>
      <c r="EFT240" s="4"/>
      <c r="EFU240" s="4"/>
      <c r="EFV240" s="4"/>
      <c r="EFW240" s="4"/>
      <c r="EFX240" s="4"/>
      <c r="EFY240" s="4"/>
      <c r="EFZ240" s="4"/>
      <c r="EGA240" s="4"/>
      <c r="EGB240" s="4"/>
      <c r="EGC240" s="4"/>
      <c r="EGD240" s="4"/>
      <c r="EGE240" s="4"/>
      <c r="EGF240" s="4"/>
      <c r="EGG240" s="4"/>
      <c r="EGH240" s="4"/>
      <c r="EGI240" s="4"/>
      <c r="EGJ240" s="4"/>
      <c r="EGK240" s="4"/>
      <c r="EGL240" s="4"/>
      <c r="EGM240" s="4"/>
      <c r="EGN240" s="4"/>
      <c r="EGO240" s="4"/>
      <c r="EGP240" s="4"/>
      <c r="EGQ240" s="4"/>
      <c r="EGR240" s="4"/>
      <c r="EGS240" s="4"/>
      <c r="EGT240" s="4"/>
      <c r="EGU240" s="4"/>
      <c r="EGV240" s="4"/>
      <c r="EGW240" s="4"/>
      <c r="EGX240" s="4"/>
      <c r="EGY240" s="4"/>
      <c r="EGZ240" s="4"/>
      <c r="EHA240" s="4"/>
      <c r="EHB240" s="4"/>
      <c r="EHC240" s="4"/>
      <c r="EHD240" s="4"/>
      <c r="EHE240" s="4"/>
      <c r="EHF240" s="4"/>
      <c r="EHG240" s="4"/>
      <c r="EHH240" s="4"/>
      <c r="EHI240" s="4"/>
      <c r="EHJ240" s="4"/>
      <c r="EHK240" s="4"/>
      <c r="EHL240" s="4"/>
      <c r="EHM240" s="4"/>
      <c r="EHN240" s="4"/>
      <c r="EHO240" s="4"/>
      <c r="EHP240" s="4"/>
      <c r="EHQ240" s="4"/>
      <c r="EHR240" s="4"/>
      <c r="EHS240" s="4"/>
      <c r="EHT240" s="4"/>
      <c r="EHU240" s="4"/>
      <c r="EHV240" s="4"/>
      <c r="EHW240" s="4"/>
      <c r="EHX240" s="4"/>
      <c r="EHY240" s="4"/>
      <c r="EHZ240" s="4"/>
      <c r="EIA240" s="4"/>
      <c r="EIB240" s="4"/>
      <c r="EIC240" s="4"/>
      <c r="EID240" s="4"/>
      <c r="EIE240" s="4"/>
      <c r="EIF240" s="4"/>
      <c r="EIG240" s="4"/>
      <c r="EIH240" s="4"/>
      <c r="EII240" s="4"/>
      <c r="EIJ240" s="4"/>
      <c r="EIK240" s="4"/>
      <c r="EIL240" s="4"/>
      <c r="EIM240" s="4"/>
      <c r="EIN240" s="4"/>
      <c r="EIO240" s="4"/>
      <c r="EIP240" s="4"/>
      <c r="EIQ240" s="4"/>
      <c r="EIR240" s="4"/>
      <c r="EIS240" s="4"/>
      <c r="EIT240" s="4"/>
      <c r="EIU240" s="4"/>
      <c r="EIV240" s="4"/>
      <c r="EIW240" s="4"/>
      <c r="EIX240" s="4"/>
      <c r="EIY240" s="4"/>
      <c r="EIZ240" s="4"/>
      <c r="EJA240" s="4"/>
      <c r="EJB240" s="4"/>
      <c r="EJC240" s="4"/>
      <c r="EJD240" s="4"/>
      <c r="EJE240" s="4"/>
      <c r="EJF240" s="4"/>
      <c r="EJG240" s="4"/>
      <c r="EJH240" s="4"/>
      <c r="EJI240" s="4"/>
      <c r="EJJ240" s="4"/>
      <c r="EJK240" s="4"/>
      <c r="EJL240" s="4"/>
      <c r="EJM240" s="4"/>
      <c r="EJN240" s="4"/>
      <c r="EJO240" s="4"/>
      <c r="EJP240" s="4"/>
      <c r="EJQ240" s="4"/>
      <c r="EJR240" s="4"/>
      <c r="EJS240" s="4"/>
      <c r="EJT240" s="4"/>
      <c r="EJU240" s="4"/>
      <c r="EJV240" s="4"/>
      <c r="EJW240" s="4"/>
      <c r="EJX240" s="4"/>
      <c r="EJY240" s="4"/>
      <c r="EJZ240" s="4"/>
      <c r="EKA240" s="4"/>
      <c r="EKB240" s="4"/>
      <c r="EKC240" s="4"/>
      <c r="EKD240" s="4"/>
      <c r="EKE240" s="4"/>
      <c r="EKF240" s="4"/>
      <c r="EKG240" s="4"/>
      <c r="EKH240" s="4"/>
      <c r="EKI240" s="4"/>
      <c r="EKJ240" s="4"/>
      <c r="EKK240" s="4"/>
      <c r="EKL240" s="4"/>
      <c r="EKM240" s="4"/>
      <c r="EKN240" s="4"/>
      <c r="EKO240" s="4"/>
      <c r="EKP240" s="4"/>
      <c r="EKQ240" s="4"/>
      <c r="EKR240" s="4"/>
      <c r="EKS240" s="4"/>
      <c r="EKT240" s="4"/>
      <c r="EKU240" s="4"/>
      <c r="EKV240" s="4"/>
      <c r="EKW240" s="4"/>
      <c r="EKX240" s="4"/>
      <c r="EKY240" s="4"/>
      <c r="EKZ240" s="4"/>
      <c r="ELA240" s="4"/>
      <c r="ELB240" s="4"/>
      <c r="ELC240" s="4"/>
      <c r="ELD240" s="4"/>
      <c r="ELE240" s="4"/>
      <c r="ELF240" s="4"/>
      <c r="ELG240" s="4"/>
      <c r="ELH240" s="4"/>
      <c r="ELI240" s="4"/>
      <c r="ELJ240" s="4"/>
      <c r="ELK240" s="4"/>
      <c r="ELL240" s="4"/>
      <c r="ELM240" s="4"/>
      <c r="ELN240" s="4"/>
      <c r="ELO240" s="4"/>
      <c r="ELP240" s="4"/>
      <c r="ELQ240" s="4"/>
      <c r="ELR240" s="4"/>
      <c r="ELS240" s="4"/>
      <c r="ELT240" s="4"/>
      <c r="ELU240" s="4"/>
      <c r="ELV240" s="4"/>
      <c r="ELW240" s="4"/>
      <c r="ELX240" s="4"/>
      <c r="ELY240" s="4"/>
      <c r="ELZ240" s="4"/>
      <c r="EMA240" s="4"/>
      <c r="EMB240" s="4"/>
      <c r="EMC240" s="4"/>
      <c r="EMD240" s="4"/>
      <c r="EME240" s="4"/>
      <c r="EMF240" s="4"/>
      <c r="EMG240" s="4"/>
      <c r="EMH240" s="4"/>
      <c r="EMI240" s="4"/>
      <c r="EMJ240" s="4"/>
      <c r="EMK240" s="4"/>
      <c r="EML240" s="4"/>
      <c r="EMM240" s="4"/>
      <c r="EMN240" s="4"/>
      <c r="EMO240" s="4"/>
      <c r="EMP240" s="4"/>
      <c r="EMQ240" s="4"/>
      <c r="EMR240" s="4"/>
      <c r="EMS240" s="4"/>
      <c r="EMT240" s="4"/>
      <c r="EMU240" s="4"/>
      <c r="EMV240" s="4"/>
      <c r="EMW240" s="4"/>
      <c r="EMX240" s="4"/>
      <c r="EMY240" s="4"/>
      <c r="EMZ240" s="4"/>
      <c r="ENA240" s="4"/>
      <c r="ENB240" s="4"/>
      <c r="ENC240" s="4"/>
      <c r="END240" s="4"/>
      <c r="ENE240" s="4"/>
      <c r="ENF240" s="4"/>
      <c r="ENG240" s="4"/>
      <c r="ENH240" s="4"/>
      <c r="ENI240" s="4"/>
      <c r="ENJ240" s="4"/>
      <c r="ENK240" s="4"/>
      <c r="ENL240" s="4"/>
      <c r="ENM240" s="4"/>
      <c r="ENN240" s="4"/>
      <c r="ENO240" s="4"/>
      <c r="ENP240" s="4"/>
      <c r="ENQ240" s="4"/>
      <c r="ENR240" s="4"/>
      <c r="ENS240" s="4"/>
      <c r="ENT240" s="4"/>
      <c r="ENU240" s="4"/>
      <c r="ENV240" s="4"/>
      <c r="ENW240" s="4"/>
      <c r="ENX240" s="4"/>
      <c r="ENY240" s="4"/>
      <c r="ENZ240" s="4"/>
      <c r="EOA240" s="4"/>
      <c r="EOB240" s="4"/>
      <c r="EOC240" s="4"/>
      <c r="EOD240" s="4"/>
      <c r="EOE240" s="4"/>
      <c r="EOF240" s="4"/>
      <c r="EOG240" s="4"/>
      <c r="EOH240" s="4"/>
      <c r="EOI240" s="4"/>
      <c r="EOJ240" s="4"/>
      <c r="EOK240" s="4"/>
      <c r="EOL240" s="4"/>
      <c r="EOM240" s="4"/>
      <c r="EON240" s="4"/>
      <c r="EOO240" s="4"/>
      <c r="EOP240" s="4"/>
      <c r="EOQ240" s="4"/>
      <c r="EOR240" s="4"/>
      <c r="EOS240" s="4"/>
      <c r="EOT240" s="4"/>
      <c r="EOU240" s="4"/>
      <c r="EOV240" s="4"/>
      <c r="EOW240" s="4"/>
      <c r="EOX240" s="4"/>
      <c r="EOY240" s="4"/>
      <c r="EOZ240" s="4"/>
      <c r="EPA240" s="4"/>
      <c r="EPB240" s="4"/>
      <c r="EPC240" s="4"/>
      <c r="EPD240" s="4"/>
      <c r="EPE240" s="4"/>
      <c r="EPF240" s="4"/>
      <c r="EPG240" s="4"/>
      <c r="EPH240" s="4"/>
      <c r="EPI240" s="4"/>
      <c r="EPJ240" s="4"/>
      <c r="EPK240" s="4"/>
      <c r="EPL240" s="4"/>
      <c r="EPM240" s="4"/>
      <c r="EPN240" s="4"/>
      <c r="EPO240" s="4"/>
      <c r="EPP240" s="4"/>
      <c r="EPQ240" s="4"/>
      <c r="EPR240" s="4"/>
      <c r="EPS240" s="4"/>
      <c r="EPT240" s="4"/>
      <c r="EPU240" s="4"/>
      <c r="EPV240" s="4"/>
      <c r="EPW240" s="4"/>
      <c r="EPX240" s="4"/>
      <c r="EPY240" s="4"/>
      <c r="EPZ240" s="4"/>
      <c r="EQA240" s="4"/>
      <c r="EQB240" s="4"/>
      <c r="EQC240" s="4"/>
      <c r="EQD240" s="4"/>
      <c r="EQE240" s="4"/>
      <c r="EQF240" s="4"/>
      <c r="EQG240" s="4"/>
      <c r="EQH240" s="4"/>
      <c r="EQI240" s="4"/>
      <c r="EQJ240" s="4"/>
      <c r="EQK240" s="4"/>
      <c r="EQL240" s="4"/>
      <c r="EQM240" s="4"/>
      <c r="EQN240" s="4"/>
      <c r="EQO240" s="4"/>
      <c r="EQP240" s="4"/>
      <c r="EQQ240" s="4"/>
      <c r="EQR240" s="4"/>
      <c r="EQS240" s="4"/>
      <c r="EQT240" s="4"/>
      <c r="EQU240" s="4"/>
      <c r="EQV240" s="4"/>
      <c r="EQW240" s="4"/>
      <c r="EQX240" s="4"/>
      <c r="EQY240" s="4"/>
      <c r="EQZ240" s="4"/>
      <c r="ERA240" s="4"/>
      <c r="ERB240" s="4"/>
      <c r="ERC240" s="4"/>
      <c r="ERD240" s="4"/>
      <c r="ERE240" s="4"/>
      <c r="ERF240" s="4"/>
      <c r="ERG240" s="4"/>
      <c r="ERH240" s="4"/>
      <c r="ERI240" s="4"/>
      <c r="ERJ240" s="4"/>
      <c r="ERK240" s="4"/>
      <c r="ERL240" s="4"/>
      <c r="ERM240" s="4"/>
      <c r="ERN240" s="4"/>
      <c r="ERO240" s="4"/>
      <c r="ERP240" s="4"/>
      <c r="ERQ240" s="4"/>
      <c r="ERR240" s="4"/>
      <c r="ERS240" s="4"/>
      <c r="ERT240" s="4"/>
      <c r="ERU240" s="4"/>
      <c r="ERV240" s="4"/>
      <c r="ERW240" s="4"/>
      <c r="ERX240" s="4"/>
      <c r="ERY240" s="4"/>
      <c r="ERZ240" s="4"/>
      <c r="ESA240" s="4"/>
      <c r="ESB240" s="4"/>
      <c r="ESC240" s="4"/>
      <c r="ESD240" s="4"/>
      <c r="ESE240" s="4"/>
      <c r="ESF240" s="4"/>
      <c r="ESG240" s="4"/>
      <c r="ESH240" s="4"/>
      <c r="ESI240" s="4"/>
      <c r="ESJ240" s="4"/>
      <c r="ESK240" s="4"/>
      <c r="ESL240" s="4"/>
      <c r="ESM240" s="4"/>
      <c r="ESN240" s="4"/>
      <c r="ESO240" s="4"/>
      <c r="ESP240" s="4"/>
      <c r="ESQ240" s="4"/>
      <c r="ESR240" s="4"/>
      <c r="ESS240" s="4"/>
      <c r="EST240" s="4"/>
      <c r="ESU240" s="4"/>
      <c r="ESV240" s="4"/>
      <c r="ESW240" s="4"/>
      <c r="ESX240" s="4"/>
      <c r="ESY240" s="4"/>
      <c r="ESZ240" s="4"/>
      <c r="ETA240" s="4"/>
      <c r="ETB240" s="4"/>
      <c r="ETC240" s="4"/>
      <c r="ETD240" s="4"/>
      <c r="ETE240" s="4"/>
      <c r="ETF240" s="4"/>
      <c r="ETG240" s="4"/>
      <c r="ETH240" s="4"/>
      <c r="ETI240" s="4"/>
      <c r="ETJ240" s="4"/>
      <c r="ETK240" s="4"/>
      <c r="ETL240" s="4"/>
      <c r="ETM240" s="4"/>
      <c r="ETN240" s="4"/>
      <c r="ETO240" s="4"/>
      <c r="ETP240" s="4"/>
      <c r="ETQ240" s="4"/>
      <c r="ETR240" s="4"/>
      <c r="ETS240" s="4"/>
      <c r="ETT240" s="4"/>
      <c r="ETU240" s="4"/>
      <c r="ETV240" s="4"/>
      <c r="ETW240" s="4"/>
      <c r="ETX240" s="4"/>
      <c r="ETY240" s="4"/>
      <c r="ETZ240" s="4"/>
      <c r="EUA240" s="4"/>
      <c r="EUB240" s="4"/>
      <c r="EUC240" s="4"/>
      <c r="EUD240" s="4"/>
      <c r="EUE240" s="4"/>
      <c r="EUF240" s="4"/>
      <c r="EUG240" s="4"/>
      <c r="EUH240" s="4"/>
      <c r="EUI240" s="4"/>
      <c r="EUJ240" s="4"/>
      <c r="EUK240" s="4"/>
      <c r="EUL240" s="4"/>
      <c r="EUM240" s="4"/>
      <c r="EUN240" s="4"/>
      <c r="EUO240" s="4"/>
      <c r="EUP240" s="4"/>
      <c r="EUQ240" s="4"/>
      <c r="EUR240" s="4"/>
      <c r="EUS240" s="4"/>
      <c r="EUT240" s="4"/>
      <c r="EUU240" s="4"/>
      <c r="EUV240" s="4"/>
      <c r="EUW240" s="4"/>
      <c r="EUX240" s="4"/>
      <c r="EUY240" s="4"/>
      <c r="EUZ240" s="4"/>
      <c r="EVA240" s="4"/>
      <c r="EVB240" s="4"/>
      <c r="EVC240" s="4"/>
      <c r="EVD240" s="4"/>
      <c r="EVE240" s="4"/>
      <c r="EVF240" s="4"/>
      <c r="EVG240" s="4"/>
      <c r="EVH240" s="4"/>
      <c r="EVI240" s="4"/>
      <c r="EVJ240" s="4"/>
      <c r="EVK240" s="4"/>
      <c r="EVL240" s="4"/>
      <c r="EVM240" s="4"/>
      <c r="EVN240" s="4"/>
      <c r="EVO240" s="4"/>
      <c r="EVP240" s="4"/>
      <c r="EVQ240" s="4"/>
      <c r="EVR240" s="4"/>
      <c r="EVS240" s="4"/>
      <c r="EVT240" s="4"/>
      <c r="EVU240" s="4"/>
      <c r="EVV240" s="4"/>
      <c r="EVW240" s="4"/>
      <c r="EVX240" s="4"/>
      <c r="EVY240" s="4"/>
      <c r="EVZ240" s="4"/>
      <c r="EWA240" s="4"/>
      <c r="EWB240" s="4"/>
      <c r="EWC240" s="4"/>
      <c r="EWD240" s="4"/>
      <c r="EWE240" s="4"/>
      <c r="EWF240" s="4"/>
      <c r="EWG240" s="4"/>
      <c r="EWH240" s="4"/>
      <c r="EWI240" s="4"/>
      <c r="EWJ240" s="4"/>
      <c r="EWK240" s="4"/>
      <c r="EWL240" s="4"/>
      <c r="EWM240" s="4"/>
      <c r="EWN240" s="4"/>
      <c r="EWO240" s="4"/>
      <c r="EWP240" s="4"/>
      <c r="EWQ240" s="4"/>
      <c r="EWR240" s="4"/>
      <c r="EWS240" s="4"/>
      <c r="EWT240" s="4"/>
      <c r="EWU240" s="4"/>
      <c r="EWV240" s="4"/>
      <c r="EWW240" s="4"/>
      <c r="EWX240" s="4"/>
      <c r="EWY240" s="4"/>
      <c r="EWZ240" s="4"/>
      <c r="EXA240" s="4"/>
      <c r="EXB240" s="4"/>
      <c r="EXC240" s="4"/>
      <c r="EXD240" s="4"/>
      <c r="EXE240" s="4"/>
      <c r="EXF240" s="4"/>
      <c r="EXG240" s="4"/>
      <c r="EXH240" s="4"/>
      <c r="EXI240" s="4"/>
      <c r="EXJ240" s="4"/>
      <c r="EXK240" s="4"/>
      <c r="EXL240" s="4"/>
      <c r="EXM240" s="4"/>
      <c r="EXN240" s="4"/>
      <c r="EXO240" s="4"/>
      <c r="EXP240" s="4"/>
      <c r="EXQ240" s="4"/>
      <c r="EXR240" s="4"/>
      <c r="EXS240" s="4"/>
      <c r="EXT240" s="4"/>
      <c r="EXU240" s="4"/>
      <c r="EXV240" s="4"/>
      <c r="EXW240" s="4"/>
      <c r="EXX240" s="4"/>
      <c r="EXY240" s="4"/>
      <c r="EXZ240" s="4"/>
      <c r="EYA240" s="4"/>
      <c r="EYB240" s="4"/>
      <c r="EYC240" s="4"/>
      <c r="EYD240" s="4"/>
      <c r="EYE240" s="4"/>
      <c r="EYF240" s="4"/>
      <c r="EYG240" s="4"/>
      <c r="EYH240" s="4"/>
      <c r="EYI240" s="4"/>
      <c r="EYJ240" s="4"/>
      <c r="EYK240" s="4"/>
      <c r="EYL240" s="4"/>
      <c r="EYM240" s="4"/>
      <c r="EYN240" s="4"/>
      <c r="EYO240" s="4"/>
      <c r="EYP240" s="4"/>
      <c r="EYQ240" s="4"/>
      <c r="EYR240" s="4"/>
      <c r="EYS240" s="4"/>
      <c r="EYT240" s="4"/>
      <c r="EYU240" s="4"/>
      <c r="EYV240" s="4"/>
      <c r="EYW240" s="4"/>
      <c r="EYX240" s="4"/>
      <c r="EYY240" s="4"/>
      <c r="EYZ240" s="4"/>
      <c r="EZA240" s="4"/>
      <c r="EZB240" s="4"/>
      <c r="EZC240" s="4"/>
      <c r="EZD240" s="4"/>
      <c r="EZE240" s="4"/>
      <c r="EZF240" s="4"/>
      <c r="EZG240" s="4"/>
      <c r="EZH240" s="4"/>
      <c r="EZI240" s="4"/>
      <c r="EZJ240" s="4"/>
      <c r="EZK240" s="4"/>
      <c r="EZL240" s="4"/>
      <c r="EZM240" s="4"/>
      <c r="EZN240" s="4"/>
      <c r="EZO240" s="4"/>
      <c r="EZP240" s="4"/>
      <c r="EZQ240" s="4"/>
      <c r="EZR240" s="4"/>
      <c r="EZS240" s="4"/>
      <c r="EZT240" s="4"/>
      <c r="EZU240" s="4"/>
      <c r="EZV240" s="4"/>
      <c r="EZW240" s="4"/>
      <c r="EZX240" s="4"/>
      <c r="EZY240" s="4"/>
      <c r="EZZ240" s="4"/>
      <c r="FAA240" s="4"/>
      <c r="FAB240" s="4"/>
      <c r="FAC240" s="4"/>
      <c r="FAD240" s="4"/>
      <c r="FAE240" s="4"/>
      <c r="FAF240" s="4"/>
      <c r="FAG240" s="4"/>
      <c r="FAH240" s="4"/>
      <c r="FAI240" s="4"/>
      <c r="FAJ240" s="4"/>
      <c r="FAK240" s="4"/>
      <c r="FAL240" s="4"/>
      <c r="FAM240" s="4"/>
      <c r="FAN240" s="4"/>
      <c r="FAO240" s="4"/>
      <c r="FAP240" s="4"/>
      <c r="FAQ240" s="4"/>
      <c r="FAR240" s="4"/>
      <c r="FAS240" s="4"/>
      <c r="FAT240" s="4"/>
      <c r="FAU240" s="4"/>
      <c r="FAV240" s="4"/>
      <c r="FAW240" s="4"/>
      <c r="FAX240" s="4"/>
      <c r="FAY240" s="4"/>
      <c r="FAZ240" s="4"/>
      <c r="FBA240" s="4"/>
      <c r="FBB240" s="4"/>
      <c r="FBC240" s="4"/>
      <c r="FBD240" s="4"/>
      <c r="FBE240" s="4"/>
      <c r="FBF240" s="4"/>
      <c r="FBG240" s="4"/>
      <c r="FBH240" s="4"/>
      <c r="FBI240" s="4"/>
      <c r="FBJ240" s="4"/>
      <c r="FBK240" s="4"/>
      <c r="FBL240" s="4"/>
      <c r="FBM240" s="4"/>
      <c r="FBN240" s="4"/>
      <c r="FBO240" s="4"/>
      <c r="FBP240" s="4"/>
      <c r="FBQ240" s="4"/>
      <c r="FBR240" s="4"/>
      <c r="FBS240" s="4"/>
      <c r="FBT240" s="4"/>
      <c r="FBU240" s="4"/>
      <c r="FBV240" s="4"/>
      <c r="FBW240" s="4"/>
      <c r="FBX240" s="4"/>
      <c r="FBY240" s="4"/>
      <c r="FBZ240" s="4"/>
      <c r="FCA240" s="4"/>
      <c r="FCB240" s="4"/>
      <c r="FCC240" s="4"/>
      <c r="FCD240" s="4"/>
      <c r="FCE240" s="4"/>
      <c r="FCF240" s="4"/>
      <c r="FCG240" s="4"/>
      <c r="FCH240" s="4"/>
      <c r="FCI240" s="4"/>
      <c r="FCJ240" s="4"/>
      <c r="FCK240" s="4"/>
      <c r="FCL240" s="4"/>
      <c r="FCM240" s="4"/>
      <c r="FCN240" s="4"/>
      <c r="FCO240" s="4"/>
      <c r="FCP240" s="4"/>
      <c r="FCQ240" s="4"/>
      <c r="FCR240" s="4"/>
      <c r="FCS240" s="4"/>
      <c r="FCT240" s="4"/>
      <c r="FCU240" s="4"/>
      <c r="FCV240" s="4"/>
      <c r="FCW240" s="4"/>
      <c r="FCX240" s="4"/>
      <c r="FCY240" s="4"/>
      <c r="FCZ240" s="4"/>
      <c r="FDA240" s="4"/>
      <c r="FDB240" s="4"/>
      <c r="FDC240" s="4"/>
      <c r="FDD240" s="4"/>
      <c r="FDE240" s="4"/>
      <c r="FDF240" s="4"/>
      <c r="FDG240" s="4"/>
      <c r="FDH240" s="4"/>
      <c r="FDI240" s="4"/>
      <c r="FDJ240" s="4"/>
      <c r="FDK240" s="4"/>
      <c r="FDL240" s="4"/>
      <c r="FDM240" s="4"/>
      <c r="FDN240" s="4"/>
      <c r="FDO240" s="4"/>
      <c r="FDP240" s="4"/>
      <c r="FDQ240" s="4"/>
      <c r="FDR240" s="4"/>
      <c r="FDS240" s="4"/>
      <c r="FDT240" s="4"/>
      <c r="FDU240" s="4"/>
      <c r="FDV240" s="4"/>
      <c r="FDW240" s="4"/>
      <c r="FDX240" s="4"/>
      <c r="FDY240" s="4"/>
      <c r="FDZ240" s="4"/>
      <c r="FEA240" s="4"/>
      <c r="FEB240" s="4"/>
      <c r="FEC240" s="4"/>
      <c r="FED240" s="4"/>
      <c r="FEE240" s="4"/>
      <c r="FEF240" s="4"/>
      <c r="FEG240" s="4"/>
      <c r="FEH240" s="4"/>
      <c r="FEI240" s="4"/>
      <c r="FEJ240" s="4"/>
      <c r="FEK240" s="4"/>
      <c r="FEL240" s="4"/>
      <c r="FEM240" s="4"/>
      <c r="FEN240" s="4"/>
      <c r="FEO240" s="4"/>
      <c r="FEP240" s="4"/>
      <c r="FEQ240" s="4"/>
      <c r="FER240" s="4"/>
      <c r="FES240" s="4"/>
      <c r="FET240" s="4"/>
      <c r="FEU240" s="4"/>
      <c r="FEV240" s="4"/>
      <c r="FEW240" s="4"/>
      <c r="FEX240" s="4"/>
      <c r="FEY240" s="4"/>
      <c r="FEZ240" s="4"/>
      <c r="FFA240" s="4"/>
      <c r="FFB240" s="4"/>
      <c r="FFC240" s="4"/>
      <c r="FFD240" s="4"/>
      <c r="FFE240" s="4"/>
      <c r="FFF240" s="4"/>
      <c r="FFG240" s="4"/>
      <c r="FFH240" s="4"/>
      <c r="FFI240" s="4"/>
      <c r="FFJ240" s="4"/>
      <c r="FFK240" s="4"/>
      <c r="FFL240" s="4"/>
      <c r="FFM240" s="4"/>
      <c r="FFN240" s="4"/>
      <c r="FFO240" s="4"/>
      <c r="FFP240" s="4"/>
      <c r="FFQ240" s="4"/>
      <c r="FFR240" s="4"/>
      <c r="FFS240" s="4"/>
      <c r="FFT240" s="4"/>
      <c r="FFU240" s="4"/>
      <c r="FFV240" s="4"/>
      <c r="FFW240" s="4"/>
      <c r="FFX240" s="4"/>
      <c r="FFY240" s="4"/>
      <c r="FFZ240" s="4"/>
      <c r="FGA240" s="4"/>
      <c r="FGB240" s="4"/>
      <c r="FGC240" s="4"/>
      <c r="FGD240" s="4"/>
      <c r="FGE240" s="4"/>
      <c r="FGF240" s="4"/>
      <c r="FGG240" s="4"/>
      <c r="FGH240" s="4"/>
      <c r="FGI240" s="4"/>
      <c r="FGJ240" s="4"/>
      <c r="FGK240" s="4"/>
      <c r="FGL240" s="4"/>
      <c r="FGM240" s="4"/>
      <c r="FGN240" s="4"/>
      <c r="FGO240" s="4"/>
      <c r="FGP240" s="4"/>
      <c r="FGQ240" s="4"/>
      <c r="FGR240" s="4"/>
      <c r="FGS240" s="4"/>
      <c r="FGT240" s="4"/>
      <c r="FGU240" s="4"/>
      <c r="FGV240" s="4"/>
      <c r="FGW240" s="4"/>
      <c r="FGX240" s="4"/>
      <c r="FGY240" s="4"/>
      <c r="FGZ240" s="4"/>
      <c r="FHA240" s="4"/>
      <c r="FHB240" s="4"/>
      <c r="FHC240" s="4"/>
      <c r="FHD240" s="4"/>
      <c r="FHE240" s="4"/>
      <c r="FHF240" s="4"/>
      <c r="FHG240" s="4"/>
      <c r="FHH240" s="4"/>
      <c r="FHI240" s="4"/>
      <c r="FHJ240" s="4"/>
      <c r="FHK240" s="4"/>
      <c r="FHL240" s="4"/>
      <c r="FHM240" s="4"/>
      <c r="FHN240" s="4"/>
      <c r="FHO240" s="4"/>
      <c r="FHP240" s="4"/>
      <c r="FHQ240" s="4"/>
      <c r="FHR240" s="4"/>
      <c r="FHS240" s="4"/>
      <c r="FHT240" s="4"/>
      <c r="FHU240" s="4"/>
      <c r="FHV240" s="4"/>
      <c r="FHW240" s="4"/>
      <c r="FHX240" s="4"/>
      <c r="FHY240" s="4"/>
      <c r="FHZ240" s="4"/>
      <c r="FIA240" s="4"/>
      <c r="FIB240" s="4"/>
      <c r="FIC240" s="4"/>
      <c r="FID240" s="4"/>
      <c r="FIE240" s="4"/>
      <c r="FIF240" s="4"/>
      <c r="FIG240" s="4"/>
      <c r="FIH240" s="4"/>
      <c r="FII240" s="4"/>
      <c r="FIJ240" s="4"/>
      <c r="FIK240" s="4"/>
      <c r="FIL240" s="4"/>
      <c r="FIM240" s="4"/>
      <c r="FIN240" s="4"/>
      <c r="FIO240" s="4"/>
      <c r="FIP240" s="4"/>
      <c r="FIQ240" s="4"/>
      <c r="FIR240" s="4"/>
      <c r="FIS240" s="4"/>
      <c r="FIT240" s="4"/>
      <c r="FIU240" s="4"/>
      <c r="FIV240" s="4"/>
      <c r="FIW240" s="4"/>
      <c r="FIX240" s="4"/>
      <c r="FIY240" s="4"/>
      <c r="FIZ240" s="4"/>
      <c r="FJA240" s="4"/>
      <c r="FJB240" s="4"/>
      <c r="FJC240" s="4"/>
      <c r="FJD240" s="4"/>
      <c r="FJE240" s="4"/>
      <c r="FJF240" s="4"/>
      <c r="FJG240" s="4"/>
      <c r="FJH240" s="4"/>
      <c r="FJI240" s="4"/>
      <c r="FJJ240" s="4"/>
      <c r="FJK240" s="4"/>
      <c r="FJL240" s="4"/>
      <c r="FJM240" s="4"/>
      <c r="FJN240" s="4"/>
      <c r="FJO240" s="4"/>
      <c r="FJP240" s="4"/>
      <c r="FJQ240" s="4"/>
      <c r="FJR240" s="4"/>
      <c r="FJS240" s="4"/>
      <c r="FJT240" s="4"/>
      <c r="FJU240" s="4"/>
      <c r="FJV240" s="4"/>
      <c r="FJW240" s="4"/>
      <c r="FJX240" s="4"/>
      <c r="FJY240" s="4"/>
      <c r="FJZ240" s="4"/>
      <c r="FKA240" s="4"/>
      <c r="FKB240" s="4"/>
      <c r="FKC240" s="4"/>
      <c r="FKD240" s="4"/>
      <c r="FKE240" s="4"/>
      <c r="FKF240" s="4"/>
      <c r="FKG240" s="4"/>
      <c r="FKH240" s="4"/>
      <c r="FKI240" s="4"/>
      <c r="FKJ240" s="4"/>
      <c r="FKK240" s="4"/>
      <c r="FKL240" s="4"/>
      <c r="FKM240" s="4"/>
      <c r="FKN240" s="4"/>
      <c r="FKO240" s="4"/>
      <c r="FKP240" s="4"/>
      <c r="FKQ240" s="4"/>
      <c r="FKR240" s="4"/>
      <c r="FKS240" s="4"/>
      <c r="FKT240" s="4"/>
      <c r="FKU240" s="4"/>
      <c r="FKV240" s="4"/>
      <c r="FKW240" s="4"/>
      <c r="FKX240" s="4"/>
      <c r="FKY240" s="4"/>
      <c r="FKZ240" s="4"/>
      <c r="FLA240" s="4"/>
      <c r="FLB240" s="4"/>
      <c r="FLC240" s="4"/>
      <c r="FLD240" s="4"/>
      <c r="FLE240" s="4"/>
      <c r="FLF240" s="4"/>
      <c r="FLG240" s="4"/>
      <c r="FLH240" s="4"/>
      <c r="FLI240" s="4"/>
      <c r="FLJ240" s="4"/>
      <c r="FLK240" s="4"/>
      <c r="FLL240" s="4"/>
      <c r="FLM240" s="4"/>
      <c r="FLN240" s="4"/>
      <c r="FLO240" s="4"/>
      <c r="FLP240" s="4"/>
      <c r="FLQ240" s="4"/>
      <c r="FLR240" s="4"/>
      <c r="FLS240" s="4"/>
      <c r="FLT240" s="4"/>
      <c r="FLU240" s="4"/>
      <c r="FLV240" s="4"/>
      <c r="FLW240" s="4"/>
      <c r="FLX240" s="4"/>
      <c r="FLY240" s="4"/>
      <c r="FLZ240" s="4"/>
      <c r="FMA240" s="4"/>
      <c r="FMB240" s="4"/>
      <c r="FMC240" s="4"/>
      <c r="FMD240" s="4"/>
      <c r="FME240" s="4"/>
      <c r="FMF240" s="4"/>
      <c r="FMG240" s="4"/>
      <c r="FMH240" s="4"/>
      <c r="FMI240" s="4"/>
      <c r="FMJ240" s="4"/>
      <c r="FMK240" s="4"/>
      <c r="FML240" s="4"/>
      <c r="FMM240" s="4"/>
      <c r="FMN240" s="4"/>
      <c r="FMO240" s="4"/>
      <c r="FMP240" s="4"/>
      <c r="FMQ240" s="4"/>
      <c r="FMR240" s="4"/>
      <c r="FMS240" s="4"/>
      <c r="FMT240" s="4"/>
      <c r="FMU240" s="4"/>
      <c r="FMV240" s="4"/>
      <c r="FMW240" s="4"/>
      <c r="FMX240" s="4"/>
      <c r="FMY240" s="4"/>
      <c r="FMZ240" s="4"/>
      <c r="FNA240" s="4"/>
      <c r="FNB240" s="4"/>
      <c r="FNC240" s="4"/>
      <c r="FND240" s="4"/>
      <c r="FNE240" s="4"/>
      <c r="FNF240" s="4"/>
      <c r="FNG240" s="4"/>
      <c r="FNH240" s="4"/>
      <c r="FNI240" s="4"/>
      <c r="FNJ240" s="4"/>
      <c r="FNK240" s="4"/>
      <c r="FNL240" s="4"/>
      <c r="FNM240" s="4"/>
      <c r="FNN240" s="4"/>
      <c r="FNO240" s="4"/>
      <c r="FNP240" s="4"/>
      <c r="FNQ240" s="4"/>
      <c r="FNR240" s="4"/>
      <c r="FNS240" s="4"/>
      <c r="FNT240" s="4"/>
      <c r="FNU240" s="4"/>
      <c r="FNV240" s="4"/>
      <c r="FNW240" s="4"/>
      <c r="FNX240" s="4"/>
      <c r="FNY240" s="4"/>
      <c r="FNZ240" s="4"/>
      <c r="FOA240" s="4"/>
      <c r="FOB240" s="4"/>
      <c r="FOC240" s="4"/>
      <c r="FOD240" s="4"/>
      <c r="FOE240" s="4"/>
      <c r="FOF240" s="4"/>
      <c r="FOG240" s="4"/>
      <c r="FOH240" s="4"/>
      <c r="FOI240" s="4"/>
      <c r="FOJ240" s="4"/>
      <c r="FOK240" s="4"/>
      <c r="FOL240" s="4"/>
      <c r="FOM240" s="4"/>
      <c r="FON240" s="4"/>
      <c r="FOO240" s="4"/>
      <c r="FOP240" s="4"/>
      <c r="FOQ240" s="4"/>
      <c r="FOR240" s="4"/>
      <c r="FOS240" s="4"/>
      <c r="FOT240" s="4"/>
      <c r="FOU240" s="4"/>
      <c r="FOV240" s="4"/>
      <c r="FOW240" s="4"/>
      <c r="FOX240" s="4"/>
      <c r="FOY240" s="4"/>
      <c r="FOZ240" s="4"/>
      <c r="FPA240" s="4"/>
      <c r="FPB240" s="4"/>
      <c r="FPC240" s="4"/>
      <c r="FPD240" s="4"/>
      <c r="FPE240" s="4"/>
      <c r="FPF240" s="4"/>
      <c r="FPG240" s="4"/>
      <c r="FPH240" s="4"/>
      <c r="FPI240" s="4"/>
      <c r="FPJ240" s="4"/>
      <c r="FPK240" s="4"/>
      <c r="FPL240" s="4"/>
      <c r="FPM240" s="4"/>
      <c r="FPN240" s="4"/>
      <c r="FPO240" s="4"/>
      <c r="FPP240" s="4"/>
      <c r="FPQ240" s="4"/>
      <c r="FPR240" s="4"/>
      <c r="FPS240" s="4"/>
      <c r="FPT240" s="4"/>
      <c r="FPU240" s="4"/>
      <c r="FPV240" s="4"/>
      <c r="FPW240" s="4"/>
      <c r="FPX240" s="4"/>
      <c r="FPY240" s="4"/>
      <c r="FPZ240" s="4"/>
      <c r="FQA240" s="4"/>
      <c r="FQB240" s="4"/>
      <c r="FQC240" s="4"/>
      <c r="FQD240" s="4"/>
      <c r="FQE240" s="4"/>
      <c r="FQF240" s="4"/>
      <c r="FQG240" s="4"/>
      <c r="FQH240" s="4"/>
      <c r="FQI240" s="4"/>
      <c r="FQJ240" s="4"/>
      <c r="FQK240" s="4"/>
      <c r="FQL240" s="4"/>
      <c r="FQM240" s="4"/>
      <c r="FQN240" s="4"/>
      <c r="FQO240" s="4"/>
      <c r="FQP240" s="4"/>
      <c r="FQQ240" s="4"/>
      <c r="FQR240" s="4"/>
      <c r="FQS240" s="4"/>
      <c r="FQT240" s="4"/>
      <c r="FQU240" s="4"/>
      <c r="FQV240" s="4"/>
      <c r="FQW240" s="4"/>
      <c r="FQX240" s="4"/>
      <c r="FQY240" s="4"/>
      <c r="FQZ240" s="4"/>
      <c r="FRA240" s="4"/>
      <c r="FRB240" s="4"/>
      <c r="FRC240" s="4"/>
      <c r="FRD240" s="4"/>
      <c r="FRE240" s="4"/>
      <c r="FRF240" s="4"/>
      <c r="FRG240" s="4"/>
      <c r="FRH240" s="4"/>
      <c r="FRI240" s="4"/>
      <c r="FRJ240" s="4"/>
      <c r="FRK240" s="4"/>
      <c r="FRL240" s="4"/>
      <c r="FRM240" s="4"/>
      <c r="FRN240" s="4"/>
      <c r="FRO240" s="4"/>
      <c r="FRP240" s="4"/>
      <c r="FRQ240" s="4"/>
      <c r="FRR240" s="4"/>
      <c r="FRS240" s="4"/>
      <c r="FRT240" s="4"/>
      <c r="FRU240" s="4"/>
      <c r="FRV240" s="4"/>
      <c r="FRW240" s="4"/>
      <c r="FRX240" s="4"/>
      <c r="FRY240" s="4"/>
      <c r="FRZ240" s="4"/>
      <c r="FSA240" s="4"/>
      <c r="FSB240" s="4"/>
      <c r="FSC240" s="4"/>
      <c r="FSD240" s="4"/>
      <c r="FSE240" s="4"/>
      <c r="FSF240" s="4"/>
      <c r="FSG240" s="4"/>
      <c r="FSH240" s="4"/>
      <c r="FSI240" s="4"/>
      <c r="FSJ240" s="4"/>
      <c r="FSK240" s="4"/>
      <c r="FSL240" s="4"/>
      <c r="FSM240" s="4"/>
      <c r="FSN240" s="4"/>
      <c r="FSO240" s="4"/>
      <c r="FSP240" s="4"/>
      <c r="FSQ240" s="4"/>
      <c r="FSR240" s="4"/>
      <c r="FSS240" s="4"/>
      <c r="FST240" s="4"/>
      <c r="FSU240" s="4"/>
      <c r="FSV240" s="4"/>
      <c r="FSW240" s="4"/>
      <c r="FSX240" s="4"/>
      <c r="FSY240" s="4"/>
      <c r="FSZ240" s="4"/>
      <c r="FTA240" s="4"/>
      <c r="FTB240" s="4"/>
      <c r="FTC240" s="4"/>
      <c r="FTD240" s="4"/>
      <c r="FTE240" s="4"/>
      <c r="FTF240" s="4"/>
      <c r="FTG240" s="4"/>
      <c r="FTH240" s="4"/>
      <c r="FTI240" s="4"/>
      <c r="FTJ240" s="4"/>
      <c r="FTK240" s="4"/>
      <c r="FTL240" s="4"/>
      <c r="FTM240" s="4"/>
      <c r="FTN240" s="4"/>
      <c r="FTO240" s="4"/>
      <c r="FTP240" s="4"/>
      <c r="FTQ240" s="4"/>
      <c r="FTR240" s="4"/>
      <c r="FTS240" s="4"/>
      <c r="FTT240" s="4"/>
      <c r="FTU240" s="4"/>
      <c r="FTV240" s="4"/>
      <c r="FTW240" s="4"/>
      <c r="FTX240" s="4"/>
      <c r="FTY240" s="4"/>
      <c r="FTZ240" s="4"/>
      <c r="FUA240" s="4"/>
      <c r="FUB240" s="4"/>
      <c r="FUC240" s="4"/>
      <c r="FUD240" s="4"/>
      <c r="FUE240" s="4"/>
      <c r="FUF240" s="4"/>
      <c r="FUG240" s="4"/>
      <c r="FUH240" s="4"/>
      <c r="FUI240" s="4"/>
      <c r="FUJ240" s="4"/>
      <c r="FUK240" s="4"/>
      <c r="FUL240" s="4"/>
      <c r="FUM240" s="4"/>
      <c r="FUN240" s="4"/>
      <c r="FUO240" s="4"/>
      <c r="FUP240" s="4"/>
      <c r="FUQ240" s="4"/>
      <c r="FUR240" s="4"/>
      <c r="FUS240" s="4"/>
      <c r="FUT240" s="4"/>
      <c r="FUU240" s="4"/>
      <c r="FUV240" s="4"/>
      <c r="FUW240" s="4"/>
      <c r="FUX240" s="4"/>
      <c r="FUY240" s="4"/>
      <c r="FUZ240" s="4"/>
      <c r="FVA240" s="4"/>
      <c r="FVB240" s="4"/>
      <c r="FVC240" s="4"/>
      <c r="FVD240" s="4"/>
      <c r="FVE240" s="4"/>
      <c r="FVF240" s="4"/>
      <c r="FVG240" s="4"/>
      <c r="FVH240" s="4"/>
      <c r="FVI240" s="4"/>
      <c r="FVJ240" s="4"/>
      <c r="FVK240" s="4"/>
      <c r="FVL240" s="4"/>
      <c r="FVM240" s="4"/>
      <c r="FVN240" s="4"/>
      <c r="FVO240" s="4"/>
      <c r="FVP240" s="4"/>
      <c r="FVQ240" s="4"/>
      <c r="FVR240" s="4"/>
      <c r="FVS240" s="4"/>
      <c r="FVT240" s="4"/>
      <c r="FVU240" s="4"/>
      <c r="FVV240" s="4"/>
      <c r="FVW240" s="4"/>
      <c r="FVX240" s="4"/>
      <c r="FVY240" s="4"/>
      <c r="FVZ240" s="4"/>
      <c r="FWA240" s="4"/>
      <c r="FWB240" s="4"/>
      <c r="FWC240" s="4"/>
      <c r="FWD240" s="4"/>
      <c r="FWE240" s="4"/>
      <c r="FWF240" s="4"/>
      <c r="FWG240" s="4"/>
      <c r="FWH240" s="4"/>
      <c r="FWI240" s="4"/>
      <c r="FWJ240" s="4"/>
      <c r="FWK240" s="4"/>
      <c r="FWL240" s="4"/>
      <c r="FWM240" s="4"/>
      <c r="FWN240" s="4"/>
      <c r="FWO240" s="4"/>
      <c r="FWP240" s="4"/>
      <c r="FWQ240" s="4"/>
      <c r="FWR240" s="4"/>
      <c r="FWS240" s="4"/>
      <c r="FWT240" s="4"/>
      <c r="FWU240" s="4"/>
      <c r="FWV240" s="4"/>
      <c r="FWW240" s="4"/>
      <c r="FWX240" s="4"/>
      <c r="FWY240" s="4"/>
      <c r="FWZ240" s="4"/>
      <c r="FXA240" s="4"/>
      <c r="FXB240" s="4"/>
      <c r="FXC240" s="4"/>
      <c r="FXD240" s="4"/>
      <c r="FXE240" s="4"/>
      <c r="FXF240" s="4"/>
      <c r="FXG240" s="4"/>
      <c r="FXH240" s="4"/>
      <c r="FXI240" s="4"/>
      <c r="FXJ240" s="4"/>
      <c r="FXK240" s="4"/>
      <c r="FXL240" s="4"/>
      <c r="FXM240" s="4"/>
      <c r="FXN240" s="4"/>
      <c r="FXO240" s="4"/>
      <c r="FXP240" s="4"/>
      <c r="FXQ240" s="4"/>
      <c r="FXR240" s="4"/>
      <c r="FXS240" s="4"/>
      <c r="FXT240" s="4"/>
      <c r="FXU240" s="4"/>
      <c r="FXV240" s="4"/>
      <c r="FXW240" s="4"/>
      <c r="FXX240" s="4"/>
      <c r="FXY240" s="4"/>
      <c r="FXZ240" s="4"/>
      <c r="FYA240" s="4"/>
      <c r="FYB240" s="4"/>
      <c r="FYC240" s="4"/>
      <c r="FYD240" s="4"/>
      <c r="FYE240" s="4"/>
      <c r="FYF240" s="4"/>
      <c r="FYG240" s="4"/>
      <c r="FYH240" s="4"/>
      <c r="FYI240" s="4"/>
      <c r="FYJ240" s="4"/>
      <c r="FYK240" s="4"/>
      <c r="FYL240" s="4"/>
      <c r="FYM240" s="4"/>
      <c r="FYN240" s="4"/>
      <c r="FYO240" s="4"/>
      <c r="FYP240" s="4"/>
      <c r="FYQ240" s="4"/>
      <c r="FYR240" s="4"/>
      <c r="FYS240" s="4"/>
      <c r="FYT240" s="4"/>
      <c r="FYU240" s="4"/>
      <c r="FYV240" s="4"/>
      <c r="FYW240" s="4"/>
      <c r="FYX240" s="4"/>
      <c r="FYY240" s="4"/>
      <c r="FYZ240" s="4"/>
      <c r="FZA240" s="4"/>
      <c r="FZB240" s="4"/>
      <c r="FZC240" s="4"/>
      <c r="FZD240" s="4"/>
      <c r="FZE240" s="4"/>
      <c r="FZF240" s="4"/>
      <c r="FZG240" s="4"/>
      <c r="FZH240" s="4"/>
      <c r="FZI240" s="4"/>
      <c r="FZJ240" s="4"/>
      <c r="FZK240" s="4"/>
      <c r="FZL240" s="4"/>
      <c r="FZM240" s="4"/>
      <c r="FZN240" s="4"/>
      <c r="FZO240" s="4"/>
      <c r="FZP240" s="4"/>
      <c r="FZQ240" s="4"/>
      <c r="FZR240" s="4"/>
      <c r="FZS240" s="4"/>
      <c r="FZT240" s="4"/>
      <c r="FZU240" s="4"/>
      <c r="FZV240" s="4"/>
      <c r="FZW240" s="4"/>
      <c r="FZX240" s="4"/>
      <c r="FZY240" s="4"/>
      <c r="FZZ240" s="4"/>
      <c r="GAA240" s="4"/>
      <c r="GAB240" s="4"/>
      <c r="GAC240" s="4"/>
      <c r="GAD240" s="4"/>
      <c r="GAE240" s="4"/>
      <c r="GAF240" s="4"/>
      <c r="GAG240" s="4"/>
      <c r="GAH240" s="4"/>
      <c r="GAI240" s="4"/>
      <c r="GAJ240" s="4"/>
      <c r="GAK240" s="4"/>
      <c r="GAL240" s="4"/>
      <c r="GAM240" s="4"/>
      <c r="GAN240" s="4"/>
      <c r="GAO240" s="4"/>
      <c r="GAP240" s="4"/>
      <c r="GAQ240" s="4"/>
      <c r="GAR240" s="4"/>
      <c r="GAS240" s="4"/>
      <c r="GAT240" s="4"/>
      <c r="GAU240" s="4"/>
      <c r="GAV240" s="4"/>
      <c r="GAW240" s="4"/>
      <c r="GAX240" s="4"/>
      <c r="GAY240" s="4"/>
      <c r="GAZ240" s="4"/>
      <c r="GBA240" s="4"/>
      <c r="GBB240" s="4"/>
      <c r="GBC240" s="4"/>
      <c r="GBD240" s="4"/>
      <c r="GBE240" s="4"/>
      <c r="GBF240" s="4"/>
      <c r="GBG240" s="4"/>
      <c r="GBH240" s="4"/>
      <c r="GBI240" s="4"/>
      <c r="GBJ240" s="4"/>
      <c r="GBK240" s="4"/>
      <c r="GBL240" s="4"/>
      <c r="GBM240" s="4"/>
      <c r="GBN240" s="4"/>
      <c r="GBO240" s="4"/>
      <c r="GBP240" s="4"/>
      <c r="GBQ240" s="4"/>
      <c r="GBR240" s="4"/>
      <c r="GBS240" s="4"/>
      <c r="GBT240" s="4"/>
      <c r="GBU240" s="4"/>
      <c r="GBV240" s="4"/>
      <c r="GBW240" s="4"/>
      <c r="GBX240" s="4"/>
      <c r="GBY240" s="4"/>
      <c r="GBZ240" s="4"/>
      <c r="GCA240" s="4"/>
      <c r="GCB240" s="4"/>
      <c r="GCC240" s="4"/>
      <c r="GCD240" s="4"/>
      <c r="GCE240" s="4"/>
      <c r="GCF240" s="4"/>
      <c r="GCG240" s="4"/>
      <c r="GCH240" s="4"/>
      <c r="GCI240" s="4"/>
      <c r="GCJ240" s="4"/>
      <c r="GCK240" s="4"/>
      <c r="GCL240" s="4"/>
      <c r="GCM240" s="4"/>
      <c r="GCN240" s="4"/>
      <c r="GCO240" s="4"/>
      <c r="GCP240" s="4"/>
      <c r="GCQ240" s="4"/>
      <c r="GCR240" s="4"/>
      <c r="GCS240" s="4"/>
      <c r="GCT240" s="4"/>
      <c r="GCU240" s="4"/>
      <c r="GCV240" s="4"/>
      <c r="GCW240" s="4"/>
      <c r="GCX240" s="4"/>
      <c r="GCY240" s="4"/>
      <c r="GCZ240" s="4"/>
      <c r="GDA240" s="4"/>
      <c r="GDB240" s="4"/>
      <c r="GDC240" s="4"/>
      <c r="GDD240" s="4"/>
      <c r="GDE240" s="4"/>
      <c r="GDF240" s="4"/>
      <c r="GDG240" s="4"/>
      <c r="GDH240" s="4"/>
      <c r="GDI240" s="4"/>
      <c r="GDJ240" s="4"/>
      <c r="GDK240" s="4"/>
      <c r="GDL240" s="4"/>
      <c r="GDM240" s="4"/>
      <c r="GDN240" s="4"/>
      <c r="GDO240" s="4"/>
      <c r="GDP240" s="4"/>
      <c r="GDQ240" s="4"/>
      <c r="GDR240" s="4"/>
      <c r="GDS240" s="4"/>
      <c r="GDT240" s="4"/>
      <c r="GDU240" s="4"/>
      <c r="GDV240" s="4"/>
      <c r="GDW240" s="4"/>
      <c r="GDX240" s="4"/>
      <c r="GDY240" s="4"/>
      <c r="GDZ240" s="4"/>
      <c r="GEA240" s="4"/>
      <c r="GEB240" s="4"/>
      <c r="GEC240" s="4"/>
      <c r="GED240" s="4"/>
      <c r="GEE240" s="4"/>
      <c r="GEF240" s="4"/>
      <c r="GEG240" s="4"/>
      <c r="GEH240" s="4"/>
      <c r="GEI240" s="4"/>
      <c r="GEJ240" s="4"/>
      <c r="GEK240" s="4"/>
      <c r="GEL240" s="4"/>
      <c r="GEM240" s="4"/>
      <c r="GEN240" s="4"/>
      <c r="GEO240" s="4"/>
      <c r="GEP240" s="4"/>
      <c r="GEQ240" s="4"/>
      <c r="GER240" s="4"/>
      <c r="GES240" s="4"/>
      <c r="GET240" s="4"/>
      <c r="GEU240" s="4"/>
      <c r="GEV240" s="4"/>
      <c r="GEW240" s="4"/>
      <c r="GEX240" s="4"/>
      <c r="GEY240" s="4"/>
      <c r="GEZ240" s="4"/>
      <c r="GFA240" s="4"/>
      <c r="GFB240" s="4"/>
      <c r="GFC240" s="4"/>
      <c r="GFD240" s="4"/>
      <c r="GFE240" s="4"/>
      <c r="GFF240" s="4"/>
      <c r="GFG240" s="4"/>
      <c r="GFH240" s="4"/>
      <c r="GFI240" s="4"/>
      <c r="GFJ240" s="4"/>
      <c r="GFK240" s="4"/>
      <c r="GFL240" s="4"/>
      <c r="GFM240" s="4"/>
      <c r="GFN240" s="4"/>
      <c r="GFO240" s="4"/>
      <c r="GFP240" s="4"/>
      <c r="GFQ240" s="4"/>
      <c r="GFR240" s="4"/>
      <c r="GFS240" s="4"/>
      <c r="GFT240" s="4"/>
      <c r="GFU240" s="4"/>
      <c r="GFV240" s="4"/>
      <c r="GFW240" s="4"/>
      <c r="GFX240" s="4"/>
      <c r="GFY240" s="4"/>
      <c r="GFZ240" s="4"/>
      <c r="GGA240" s="4"/>
      <c r="GGB240" s="4"/>
      <c r="GGC240" s="4"/>
      <c r="GGD240" s="4"/>
      <c r="GGE240" s="4"/>
      <c r="GGF240" s="4"/>
      <c r="GGG240" s="4"/>
      <c r="GGH240" s="4"/>
      <c r="GGI240" s="4"/>
      <c r="GGJ240" s="4"/>
      <c r="GGK240" s="4"/>
      <c r="GGL240" s="4"/>
      <c r="GGM240" s="4"/>
      <c r="GGN240" s="4"/>
      <c r="GGO240" s="4"/>
      <c r="GGP240" s="4"/>
      <c r="GGQ240" s="4"/>
      <c r="GGR240" s="4"/>
      <c r="GGS240" s="4"/>
      <c r="GGT240" s="4"/>
      <c r="GGU240" s="4"/>
      <c r="GGV240" s="4"/>
      <c r="GGW240" s="4"/>
      <c r="GGX240" s="4"/>
      <c r="GGY240" s="4"/>
      <c r="GGZ240" s="4"/>
      <c r="GHA240" s="4"/>
      <c r="GHB240" s="4"/>
      <c r="GHC240" s="4"/>
      <c r="GHD240" s="4"/>
      <c r="GHE240" s="4"/>
      <c r="GHF240" s="4"/>
      <c r="GHG240" s="4"/>
      <c r="GHH240" s="4"/>
      <c r="GHI240" s="4"/>
      <c r="GHJ240" s="4"/>
      <c r="GHK240" s="4"/>
      <c r="GHL240" s="4"/>
      <c r="GHM240" s="4"/>
      <c r="GHN240" s="4"/>
      <c r="GHO240" s="4"/>
      <c r="GHP240" s="4"/>
      <c r="GHQ240" s="4"/>
      <c r="GHR240" s="4"/>
      <c r="GHS240" s="4"/>
      <c r="GHT240" s="4"/>
      <c r="GHU240" s="4"/>
      <c r="GHV240" s="4"/>
      <c r="GHW240" s="4"/>
      <c r="GHX240" s="4"/>
      <c r="GHY240" s="4"/>
      <c r="GHZ240" s="4"/>
      <c r="GIA240" s="4"/>
      <c r="GIB240" s="4"/>
      <c r="GIC240" s="4"/>
      <c r="GID240" s="4"/>
      <c r="GIE240" s="4"/>
      <c r="GIF240" s="4"/>
      <c r="GIG240" s="4"/>
      <c r="GIH240" s="4"/>
      <c r="GII240" s="4"/>
      <c r="GIJ240" s="4"/>
      <c r="GIK240" s="4"/>
      <c r="GIL240" s="4"/>
      <c r="GIM240" s="4"/>
      <c r="GIN240" s="4"/>
      <c r="GIO240" s="4"/>
      <c r="GIP240" s="4"/>
      <c r="GIQ240" s="4"/>
      <c r="GIR240" s="4"/>
      <c r="GIS240" s="4"/>
      <c r="GIT240" s="4"/>
      <c r="GIU240" s="4"/>
      <c r="GIV240" s="4"/>
      <c r="GIW240" s="4"/>
      <c r="GIX240" s="4"/>
      <c r="GIY240" s="4"/>
      <c r="GIZ240" s="4"/>
      <c r="GJA240" s="4"/>
      <c r="GJB240" s="4"/>
      <c r="GJC240" s="4"/>
      <c r="GJD240" s="4"/>
      <c r="GJE240" s="4"/>
      <c r="GJF240" s="4"/>
      <c r="GJG240" s="4"/>
      <c r="GJH240" s="4"/>
      <c r="GJI240" s="4"/>
      <c r="GJJ240" s="4"/>
      <c r="GJK240" s="4"/>
      <c r="GJL240" s="4"/>
      <c r="GJM240" s="4"/>
      <c r="GJN240" s="4"/>
      <c r="GJO240" s="4"/>
      <c r="GJP240" s="4"/>
      <c r="GJQ240" s="4"/>
      <c r="GJR240" s="4"/>
      <c r="GJS240" s="4"/>
      <c r="GJT240" s="4"/>
      <c r="GJU240" s="4"/>
      <c r="GJV240" s="4"/>
      <c r="GJW240" s="4"/>
      <c r="GJX240" s="4"/>
      <c r="GJY240" s="4"/>
      <c r="GJZ240" s="4"/>
      <c r="GKA240" s="4"/>
      <c r="GKB240" s="4"/>
      <c r="GKC240" s="4"/>
      <c r="GKD240" s="4"/>
      <c r="GKE240" s="4"/>
      <c r="GKF240" s="4"/>
      <c r="GKG240" s="4"/>
      <c r="GKH240" s="4"/>
      <c r="GKI240" s="4"/>
      <c r="GKJ240" s="4"/>
      <c r="GKK240" s="4"/>
      <c r="GKL240" s="4"/>
      <c r="GKM240" s="4"/>
      <c r="GKN240" s="4"/>
      <c r="GKO240" s="4"/>
      <c r="GKP240" s="4"/>
      <c r="GKQ240" s="4"/>
      <c r="GKR240" s="4"/>
      <c r="GKS240" s="4"/>
      <c r="GKT240" s="4"/>
      <c r="GKU240" s="4"/>
      <c r="GKV240" s="4"/>
      <c r="GKW240" s="4"/>
      <c r="GKX240" s="4"/>
      <c r="GKY240" s="4"/>
      <c r="GKZ240" s="4"/>
      <c r="GLA240" s="4"/>
      <c r="GLB240" s="4"/>
      <c r="GLC240" s="4"/>
      <c r="GLD240" s="4"/>
      <c r="GLE240" s="4"/>
      <c r="GLF240" s="4"/>
      <c r="GLG240" s="4"/>
      <c r="GLH240" s="4"/>
      <c r="GLI240" s="4"/>
      <c r="GLJ240" s="4"/>
      <c r="GLK240" s="4"/>
      <c r="GLL240" s="4"/>
      <c r="GLM240" s="4"/>
      <c r="GLN240" s="4"/>
      <c r="GLO240" s="4"/>
      <c r="GLP240" s="4"/>
      <c r="GLQ240" s="4"/>
      <c r="GLR240" s="4"/>
      <c r="GLS240" s="4"/>
      <c r="GLT240" s="4"/>
      <c r="GLU240" s="4"/>
      <c r="GLV240" s="4"/>
      <c r="GLW240" s="4"/>
      <c r="GLX240" s="4"/>
      <c r="GLY240" s="4"/>
      <c r="GLZ240" s="4"/>
      <c r="GMA240" s="4"/>
      <c r="GMB240" s="4"/>
      <c r="GMC240" s="4"/>
      <c r="GMD240" s="4"/>
      <c r="GME240" s="4"/>
      <c r="GMF240" s="4"/>
      <c r="GMG240" s="4"/>
      <c r="GMH240" s="4"/>
      <c r="GMI240" s="4"/>
      <c r="GMJ240" s="4"/>
      <c r="GMK240" s="4"/>
      <c r="GML240" s="4"/>
      <c r="GMM240" s="4"/>
      <c r="GMN240" s="4"/>
      <c r="GMO240" s="4"/>
      <c r="GMP240" s="4"/>
      <c r="GMQ240" s="4"/>
      <c r="GMR240" s="4"/>
      <c r="GMS240" s="4"/>
      <c r="GMT240" s="4"/>
      <c r="GMU240" s="4"/>
      <c r="GMV240" s="4"/>
      <c r="GMW240" s="4"/>
      <c r="GMX240" s="4"/>
      <c r="GMY240" s="4"/>
      <c r="GMZ240" s="4"/>
      <c r="GNA240" s="4"/>
      <c r="GNB240" s="4"/>
      <c r="GNC240" s="4"/>
      <c r="GND240" s="4"/>
      <c r="GNE240" s="4"/>
      <c r="GNF240" s="4"/>
      <c r="GNG240" s="4"/>
      <c r="GNH240" s="4"/>
      <c r="GNI240" s="4"/>
      <c r="GNJ240" s="4"/>
      <c r="GNK240" s="4"/>
      <c r="GNL240" s="4"/>
      <c r="GNM240" s="4"/>
      <c r="GNN240" s="4"/>
      <c r="GNO240" s="4"/>
      <c r="GNP240" s="4"/>
      <c r="GNQ240" s="4"/>
      <c r="GNR240" s="4"/>
      <c r="GNS240" s="4"/>
      <c r="GNT240" s="4"/>
      <c r="GNU240" s="4"/>
      <c r="GNV240" s="4"/>
      <c r="GNW240" s="4"/>
      <c r="GNX240" s="4"/>
      <c r="GNY240" s="4"/>
      <c r="GNZ240" s="4"/>
      <c r="GOA240" s="4"/>
      <c r="GOB240" s="4"/>
      <c r="GOC240" s="4"/>
      <c r="GOD240" s="4"/>
      <c r="GOE240" s="4"/>
      <c r="GOF240" s="4"/>
      <c r="GOG240" s="4"/>
      <c r="GOH240" s="4"/>
      <c r="GOI240" s="4"/>
      <c r="GOJ240" s="4"/>
      <c r="GOK240" s="4"/>
      <c r="GOL240" s="4"/>
      <c r="GOM240" s="4"/>
      <c r="GON240" s="4"/>
      <c r="GOO240" s="4"/>
      <c r="GOP240" s="4"/>
      <c r="GOQ240" s="4"/>
      <c r="GOR240" s="4"/>
      <c r="GOS240" s="4"/>
      <c r="GOT240" s="4"/>
      <c r="GOU240" s="4"/>
      <c r="GOV240" s="4"/>
      <c r="GOW240" s="4"/>
      <c r="GOX240" s="4"/>
      <c r="GOY240" s="4"/>
      <c r="GOZ240" s="4"/>
      <c r="GPA240" s="4"/>
      <c r="GPB240" s="4"/>
      <c r="GPC240" s="4"/>
      <c r="GPD240" s="4"/>
      <c r="GPE240" s="4"/>
      <c r="GPF240" s="4"/>
      <c r="GPG240" s="4"/>
      <c r="GPH240" s="4"/>
      <c r="GPI240" s="4"/>
      <c r="GPJ240" s="4"/>
      <c r="GPK240" s="4"/>
      <c r="GPL240" s="4"/>
      <c r="GPM240" s="4"/>
      <c r="GPN240" s="4"/>
      <c r="GPO240" s="4"/>
      <c r="GPP240" s="4"/>
      <c r="GPQ240" s="4"/>
      <c r="GPR240" s="4"/>
      <c r="GPS240" s="4"/>
      <c r="GPT240" s="4"/>
      <c r="GPU240" s="4"/>
      <c r="GPV240" s="4"/>
      <c r="GPW240" s="4"/>
      <c r="GPX240" s="4"/>
      <c r="GPY240" s="4"/>
      <c r="GPZ240" s="4"/>
      <c r="GQA240" s="4"/>
      <c r="GQB240" s="4"/>
      <c r="GQC240" s="4"/>
      <c r="GQD240" s="4"/>
      <c r="GQE240" s="4"/>
      <c r="GQF240" s="4"/>
      <c r="GQG240" s="4"/>
      <c r="GQH240" s="4"/>
      <c r="GQI240" s="4"/>
      <c r="GQJ240" s="4"/>
      <c r="GQK240" s="4"/>
      <c r="GQL240" s="4"/>
      <c r="GQM240" s="4"/>
      <c r="GQN240" s="4"/>
      <c r="GQO240" s="4"/>
      <c r="GQP240" s="4"/>
      <c r="GQQ240" s="4"/>
      <c r="GQR240" s="4"/>
      <c r="GQS240" s="4"/>
      <c r="GQT240" s="4"/>
      <c r="GQU240" s="4"/>
      <c r="GQV240" s="4"/>
      <c r="GQW240" s="4"/>
      <c r="GQX240" s="4"/>
      <c r="GQY240" s="4"/>
      <c r="GQZ240" s="4"/>
      <c r="GRA240" s="4"/>
      <c r="GRB240" s="4"/>
      <c r="GRC240" s="4"/>
      <c r="GRD240" s="4"/>
      <c r="GRE240" s="4"/>
      <c r="GRF240" s="4"/>
      <c r="GRG240" s="4"/>
      <c r="GRH240" s="4"/>
      <c r="GRI240" s="4"/>
      <c r="GRJ240" s="4"/>
      <c r="GRK240" s="4"/>
      <c r="GRL240" s="4"/>
      <c r="GRM240" s="4"/>
      <c r="GRN240" s="4"/>
      <c r="GRO240" s="4"/>
      <c r="GRP240" s="4"/>
      <c r="GRQ240" s="4"/>
      <c r="GRR240" s="4"/>
      <c r="GRS240" s="4"/>
      <c r="GRT240" s="4"/>
      <c r="GRU240" s="4"/>
      <c r="GRV240" s="4"/>
      <c r="GRW240" s="4"/>
      <c r="GRX240" s="4"/>
      <c r="GRY240" s="4"/>
      <c r="GRZ240" s="4"/>
      <c r="GSA240" s="4"/>
      <c r="GSB240" s="4"/>
      <c r="GSC240" s="4"/>
      <c r="GSD240" s="4"/>
      <c r="GSE240" s="4"/>
      <c r="GSF240" s="4"/>
      <c r="GSG240" s="4"/>
      <c r="GSH240" s="4"/>
      <c r="GSI240" s="4"/>
      <c r="GSJ240" s="4"/>
      <c r="GSK240" s="4"/>
      <c r="GSL240" s="4"/>
      <c r="GSM240" s="4"/>
      <c r="GSN240" s="4"/>
      <c r="GSO240" s="4"/>
      <c r="GSP240" s="4"/>
      <c r="GSQ240" s="4"/>
      <c r="GSR240" s="4"/>
      <c r="GSS240" s="4"/>
      <c r="GST240" s="4"/>
      <c r="GSU240" s="4"/>
      <c r="GSV240" s="4"/>
      <c r="GSW240" s="4"/>
      <c r="GSX240" s="4"/>
      <c r="GSY240" s="4"/>
      <c r="GSZ240" s="4"/>
      <c r="GTA240" s="4"/>
      <c r="GTB240" s="4"/>
      <c r="GTC240" s="4"/>
      <c r="GTD240" s="4"/>
      <c r="GTE240" s="4"/>
      <c r="GTF240" s="4"/>
      <c r="GTG240" s="4"/>
      <c r="GTH240" s="4"/>
      <c r="GTI240" s="4"/>
      <c r="GTJ240" s="4"/>
      <c r="GTK240" s="4"/>
      <c r="GTL240" s="4"/>
      <c r="GTM240" s="4"/>
      <c r="GTN240" s="4"/>
      <c r="GTO240" s="4"/>
      <c r="GTP240" s="4"/>
      <c r="GTQ240" s="4"/>
      <c r="GTR240" s="4"/>
      <c r="GTS240" s="4"/>
      <c r="GTT240" s="4"/>
      <c r="GTU240" s="4"/>
      <c r="GTV240" s="4"/>
      <c r="GTW240" s="4"/>
      <c r="GTX240" s="4"/>
      <c r="GTY240" s="4"/>
      <c r="GTZ240" s="4"/>
      <c r="GUA240" s="4"/>
      <c r="GUB240" s="4"/>
      <c r="GUC240" s="4"/>
      <c r="GUD240" s="4"/>
      <c r="GUE240" s="4"/>
      <c r="GUF240" s="4"/>
      <c r="GUG240" s="4"/>
      <c r="GUH240" s="4"/>
      <c r="GUI240" s="4"/>
      <c r="GUJ240" s="4"/>
      <c r="GUK240" s="4"/>
      <c r="GUL240" s="4"/>
      <c r="GUM240" s="4"/>
      <c r="GUN240" s="4"/>
      <c r="GUO240" s="4"/>
      <c r="GUP240" s="4"/>
      <c r="GUQ240" s="4"/>
      <c r="GUR240" s="4"/>
      <c r="GUS240" s="4"/>
      <c r="GUT240" s="4"/>
      <c r="GUU240" s="4"/>
      <c r="GUV240" s="4"/>
      <c r="GUW240" s="4"/>
      <c r="GUX240" s="4"/>
      <c r="GUY240" s="4"/>
      <c r="GUZ240" s="4"/>
      <c r="GVA240" s="4"/>
      <c r="GVB240" s="4"/>
      <c r="GVC240" s="4"/>
      <c r="GVD240" s="4"/>
      <c r="GVE240" s="4"/>
      <c r="GVF240" s="4"/>
      <c r="GVG240" s="4"/>
      <c r="GVH240" s="4"/>
      <c r="GVI240" s="4"/>
      <c r="GVJ240" s="4"/>
      <c r="GVK240" s="4"/>
      <c r="GVL240" s="4"/>
      <c r="GVM240" s="4"/>
      <c r="GVN240" s="4"/>
      <c r="GVO240" s="4"/>
      <c r="GVP240" s="4"/>
      <c r="GVQ240" s="4"/>
      <c r="GVR240" s="4"/>
      <c r="GVS240" s="4"/>
      <c r="GVT240" s="4"/>
      <c r="GVU240" s="4"/>
      <c r="GVV240" s="4"/>
      <c r="GVW240" s="4"/>
      <c r="GVX240" s="4"/>
      <c r="GVY240" s="4"/>
      <c r="GVZ240" s="4"/>
      <c r="GWA240" s="4"/>
      <c r="GWB240" s="4"/>
      <c r="GWC240" s="4"/>
      <c r="GWD240" s="4"/>
      <c r="GWE240" s="4"/>
      <c r="GWF240" s="4"/>
      <c r="GWG240" s="4"/>
      <c r="GWH240" s="4"/>
      <c r="GWI240" s="4"/>
      <c r="GWJ240" s="4"/>
      <c r="GWK240" s="4"/>
      <c r="GWL240" s="4"/>
      <c r="GWM240" s="4"/>
      <c r="GWN240" s="4"/>
      <c r="GWO240" s="4"/>
      <c r="GWP240" s="4"/>
      <c r="GWQ240" s="4"/>
      <c r="GWR240" s="4"/>
      <c r="GWS240" s="4"/>
      <c r="GWT240" s="4"/>
      <c r="GWU240" s="4"/>
      <c r="GWV240" s="4"/>
      <c r="GWW240" s="4"/>
      <c r="GWX240" s="4"/>
      <c r="GWY240" s="4"/>
      <c r="GWZ240" s="4"/>
      <c r="GXA240" s="4"/>
      <c r="GXB240" s="4"/>
      <c r="GXC240" s="4"/>
      <c r="GXD240" s="4"/>
      <c r="GXE240" s="4"/>
      <c r="GXF240" s="4"/>
      <c r="GXG240" s="4"/>
      <c r="GXH240" s="4"/>
      <c r="GXI240" s="4"/>
      <c r="GXJ240" s="4"/>
      <c r="GXK240" s="4"/>
      <c r="GXL240" s="4"/>
      <c r="GXM240" s="4"/>
      <c r="GXN240" s="4"/>
      <c r="GXO240" s="4"/>
      <c r="GXP240" s="4"/>
      <c r="GXQ240" s="4"/>
      <c r="GXR240" s="4"/>
      <c r="GXS240" s="4"/>
      <c r="GXT240" s="4"/>
      <c r="GXU240" s="4"/>
      <c r="GXV240" s="4"/>
      <c r="GXW240" s="4"/>
      <c r="GXX240" s="4"/>
      <c r="GXY240" s="4"/>
      <c r="GXZ240" s="4"/>
      <c r="GYA240" s="4"/>
      <c r="GYB240" s="4"/>
      <c r="GYC240" s="4"/>
      <c r="GYD240" s="4"/>
      <c r="GYE240" s="4"/>
      <c r="GYF240" s="4"/>
      <c r="GYG240" s="4"/>
      <c r="GYH240" s="4"/>
      <c r="GYI240" s="4"/>
      <c r="GYJ240" s="4"/>
      <c r="GYK240" s="4"/>
      <c r="GYL240" s="4"/>
      <c r="GYM240" s="4"/>
      <c r="GYN240" s="4"/>
      <c r="GYO240" s="4"/>
      <c r="GYP240" s="4"/>
      <c r="GYQ240" s="4"/>
      <c r="GYR240" s="4"/>
      <c r="GYS240" s="4"/>
      <c r="GYT240" s="4"/>
      <c r="GYU240" s="4"/>
      <c r="GYV240" s="4"/>
      <c r="GYW240" s="4"/>
      <c r="GYX240" s="4"/>
      <c r="GYY240" s="4"/>
      <c r="GYZ240" s="4"/>
      <c r="GZA240" s="4"/>
      <c r="GZB240" s="4"/>
      <c r="GZC240" s="4"/>
      <c r="GZD240" s="4"/>
      <c r="GZE240" s="4"/>
      <c r="GZF240" s="4"/>
      <c r="GZG240" s="4"/>
      <c r="GZH240" s="4"/>
      <c r="GZI240" s="4"/>
      <c r="GZJ240" s="4"/>
      <c r="GZK240" s="4"/>
      <c r="GZL240" s="4"/>
      <c r="GZM240" s="4"/>
      <c r="GZN240" s="4"/>
      <c r="GZO240" s="4"/>
      <c r="GZP240" s="4"/>
      <c r="GZQ240" s="4"/>
      <c r="GZR240" s="4"/>
      <c r="GZS240" s="4"/>
      <c r="GZT240" s="4"/>
      <c r="GZU240" s="4"/>
      <c r="GZV240" s="4"/>
      <c r="GZW240" s="4"/>
      <c r="GZX240" s="4"/>
      <c r="GZY240" s="4"/>
      <c r="GZZ240" s="4"/>
      <c r="HAA240" s="4"/>
      <c r="HAB240" s="4"/>
      <c r="HAC240" s="4"/>
      <c r="HAD240" s="4"/>
      <c r="HAE240" s="4"/>
      <c r="HAF240" s="4"/>
      <c r="HAG240" s="4"/>
      <c r="HAH240" s="4"/>
      <c r="HAI240" s="4"/>
      <c r="HAJ240" s="4"/>
      <c r="HAK240" s="4"/>
      <c r="HAL240" s="4"/>
      <c r="HAM240" s="4"/>
      <c r="HAN240" s="4"/>
      <c r="HAO240" s="4"/>
      <c r="HAP240" s="4"/>
      <c r="HAQ240" s="4"/>
      <c r="HAR240" s="4"/>
      <c r="HAS240" s="4"/>
      <c r="HAT240" s="4"/>
      <c r="HAU240" s="4"/>
      <c r="HAV240" s="4"/>
      <c r="HAW240" s="4"/>
      <c r="HAX240" s="4"/>
      <c r="HAY240" s="4"/>
      <c r="HAZ240" s="4"/>
      <c r="HBA240" s="4"/>
      <c r="HBB240" s="4"/>
      <c r="HBC240" s="4"/>
      <c r="HBD240" s="4"/>
      <c r="HBE240" s="4"/>
      <c r="HBF240" s="4"/>
      <c r="HBG240" s="4"/>
      <c r="HBH240" s="4"/>
      <c r="HBI240" s="4"/>
      <c r="HBJ240" s="4"/>
      <c r="HBK240" s="4"/>
      <c r="HBL240" s="4"/>
      <c r="HBM240" s="4"/>
      <c r="HBN240" s="4"/>
      <c r="HBO240" s="4"/>
      <c r="HBP240" s="4"/>
      <c r="HBQ240" s="4"/>
      <c r="HBR240" s="4"/>
      <c r="HBS240" s="4"/>
      <c r="HBT240" s="4"/>
      <c r="HBU240" s="4"/>
      <c r="HBV240" s="4"/>
      <c r="HBW240" s="4"/>
      <c r="HBX240" s="4"/>
      <c r="HBY240" s="4"/>
      <c r="HBZ240" s="4"/>
      <c r="HCA240" s="4"/>
      <c r="HCB240" s="4"/>
      <c r="HCC240" s="4"/>
      <c r="HCD240" s="4"/>
      <c r="HCE240" s="4"/>
      <c r="HCF240" s="4"/>
      <c r="HCG240" s="4"/>
      <c r="HCH240" s="4"/>
      <c r="HCI240" s="4"/>
      <c r="HCJ240" s="4"/>
      <c r="HCK240" s="4"/>
      <c r="HCL240" s="4"/>
      <c r="HCM240" s="4"/>
      <c r="HCN240" s="4"/>
      <c r="HCO240" s="4"/>
      <c r="HCP240" s="4"/>
      <c r="HCQ240" s="4"/>
      <c r="HCR240" s="4"/>
      <c r="HCS240" s="4"/>
      <c r="HCT240" s="4"/>
      <c r="HCU240" s="4"/>
      <c r="HCV240" s="4"/>
      <c r="HCW240" s="4"/>
      <c r="HCX240" s="4"/>
      <c r="HCY240" s="4"/>
      <c r="HCZ240" s="4"/>
      <c r="HDA240" s="4"/>
      <c r="HDB240" s="4"/>
      <c r="HDC240" s="4"/>
      <c r="HDD240" s="4"/>
      <c r="HDE240" s="4"/>
      <c r="HDF240" s="4"/>
      <c r="HDG240" s="4"/>
      <c r="HDH240" s="4"/>
      <c r="HDI240" s="4"/>
      <c r="HDJ240" s="4"/>
      <c r="HDK240" s="4"/>
      <c r="HDL240" s="4"/>
      <c r="HDM240" s="4"/>
      <c r="HDN240" s="4"/>
      <c r="HDO240" s="4"/>
      <c r="HDP240" s="4"/>
      <c r="HDQ240" s="4"/>
      <c r="HDR240" s="4"/>
      <c r="HDS240" s="4"/>
      <c r="HDT240" s="4"/>
      <c r="HDU240" s="4"/>
      <c r="HDV240" s="4"/>
      <c r="HDW240" s="4"/>
      <c r="HDX240" s="4"/>
      <c r="HDY240" s="4"/>
      <c r="HDZ240" s="4"/>
      <c r="HEA240" s="4"/>
      <c r="HEB240" s="4"/>
      <c r="HEC240" s="4"/>
      <c r="HED240" s="4"/>
      <c r="HEE240" s="4"/>
      <c r="HEF240" s="4"/>
      <c r="HEG240" s="4"/>
      <c r="HEH240" s="4"/>
      <c r="HEI240" s="4"/>
      <c r="HEJ240" s="4"/>
      <c r="HEK240" s="4"/>
      <c r="HEL240" s="4"/>
      <c r="HEM240" s="4"/>
      <c r="HEN240" s="4"/>
      <c r="HEO240" s="4"/>
      <c r="HEP240" s="4"/>
      <c r="HEQ240" s="4"/>
      <c r="HER240" s="4"/>
      <c r="HES240" s="4"/>
      <c r="HET240" s="4"/>
      <c r="HEU240" s="4"/>
      <c r="HEV240" s="4"/>
      <c r="HEW240" s="4"/>
      <c r="HEX240" s="4"/>
      <c r="HEY240" s="4"/>
      <c r="HEZ240" s="4"/>
      <c r="HFA240" s="4"/>
      <c r="HFB240" s="4"/>
      <c r="HFC240" s="4"/>
      <c r="HFD240" s="4"/>
      <c r="HFE240" s="4"/>
      <c r="HFF240" s="4"/>
      <c r="HFG240" s="4"/>
      <c r="HFH240" s="4"/>
      <c r="HFI240" s="4"/>
      <c r="HFJ240" s="4"/>
      <c r="HFK240" s="4"/>
      <c r="HFL240" s="4"/>
      <c r="HFM240" s="4"/>
      <c r="HFN240" s="4"/>
      <c r="HFO240" s="4"/>
      <c r="HFP240" s="4"/>
      <c r="HFQ240" s="4"/>
      <c r="HFR240" s="4"/>
      <c r="HFS240" s="4"/>
      <c r="HFT240" s="4"/>
      <c r="HFU240" s="4"/>
      <c r="HFV240" s="4"/>
      <c r="HFW240" s="4"/>
      <c r="HFX240" s="4"/>
      <c r="HFY240" s="4"/>
      <c r="HFZ240" s="4"/>
      <c r="HGA240" s="4"/>
      <c r="HGB240" s="4"/>
      <c r="HGC240" s="4"/>
      <c r="HGD240" s="4"/>
      <c r="HGE240" s="4"/>
      <c r="HGF240" s="4"/>
      <c r="HGG240" s="4"/>
      <c r="HGH240" s="4"/>
      <c r="HGI240" s="4"/>
      <c r="HGJ240" s="4"/>
      <c r="HGK240" s="4"/>
      <c r="HGL240" s="4"/>
      <c r="HGM240" s="4"/>
      <c r="HGN240" s="4"/>
      <c r="HGO240" s="4"/>
      <c r="HGP240" s="4"/>
      <c r="HGQ240" s="4"/>
      <c r="HGR240" s="4"/>
      <c r="HGS240" s="4"/>
      <c r="HGT240" s="4"/>
      <c r="HGU240" s="4"/>
      <c r="HGV240" s="4"/>
      <c r="HGW240" s="4"/>
      <c r="HGX240" s="4"/>
      <c r="HGY240" s="4"/>
      <c r="HGZ240" s="4"/>
      <c r="HHA240" s="4"/>
      <c r="HHB240" s="4"/>
      <c r="HHC240" s="4"/>
      <c r="HHD240" s="4"/>
      <c r="HHE240" s="4"/>
      <c r="HHF240" s="4"/>
      <c r="HHG240" s="4"/>
      <c r="HHH240" s="4"/>
      <c r="HHI240" s="4"/>
      <c r="HHJ240" s="4"/>
      <c r="HHK240" s="4"/>
      <c r="HHL240" s="4"/>
      <c r="HHM240" s="4"/>
      <c r="HHN240" s="4"/>
      <c r="HHO240" s="4"/>
      <c r="HHP240" s="4"/>
      <c r="HHQ240" s="4"/>
      <c r="HHR240" s="4"/>
      <c r="HHS240" s="4"/>
      <c r="HHT240" s="4"/>
      <c r="HHU240" s="4"/>
      <c r="HHV240" s="4"/>
      <c r="HHW240" s="4"/>
      <c r="HHX240" s="4"/>
      <c r="HHY240" s="4"/>
      <c r="HHZ240" s="4"/>
      <c r="HIA240" s="4"/>
      <c r="HIB240" s="4"/>
      <c r="HIC240" s="4"/>
      <c r="HID240" s="4"/>
      <c r="HIE240" s="4"/>
      <c r="HIF240" s="4"/>
      <c r="HIG240" s="4"/>
      <c r="HIH240" s="4"/>
      <c r="HII240" s="4"/>
      <c r="HIJ240" s="4"/>
      <c r="HIK240" s="4"/>
      <c r="HIL240" s="4"/>
      <c r="HIM240" s="4"/>
      <c r="HIN240" s="4"/>
      <c r="HIO240" s="4"/>
      <c r="HIP240" s="4"/>
      <c r="HIQ240" s="4"/>
      <c r="HIR240" s="4"/>
      <c r="HIS240" s="4"/>
      <c r="HIT240" s="4"/>
      <c r="HIU240" s="4"/>
      <c r="HIV240" s="4"/>
      <c r="HIW240" s="4"/>
      <c r="HIX240" s="4"/>
      <c r="HIY240" s="4"/>
      <c r="HIZ240" s="4"/>
      <c r="HJA240" s="4"/>
      <c r="HJB240" s="4"/>
      <c r="HJC240" s="4"/>
      <c r="HJD240" s="4"/>
      <c r="HJE240" s="4"/>
      <c r="HJF240" s="4"/>
      <c r="HJG240" s="4"/>
      <c r="HJH240" s="4"/>
      <c r="HJI240" s="4"/>
      <c r="HJJ240" s="4"/>
      <c r="HJK240" s="4"/>
      <c r="HJL240" s="4"/>
      <c r="HJM240" s="4"/>
      <c r="HJN240" s="4"/>
      <c r="HJO240" s="4"/>
      <c r="HJP240" s="4"/>
      <c r="HJQ240" s="4"/>
      <c r="HJR240" s="4"/>
      <c r="HJS240" s="4"/>
      <c r="HJT240" s="4"/>
      <c r="HJU240" s="4"/>
      <c r="HJV240" s="4"/>
      <c r="HJW240" s="4"/>
      <c r="HJX240" s="4"/>
      <c r="HJY240" s="4"/>
      <c r="HJZ240" s="4"/>
      <c r="HKA240" s="4"/>
      <c r="HKB240" s="4"/>
      <c r="HKC240" s="4"/>
      <c r="HKD240" s="4"/>
      <c r="HKE240" s="4"/>
      <c r="HKF240" s="4"/>
      <c r="HKG240" s="4"/>
      <c r="HKH240" s="4"/>
      <c r="HKI240" s="4"/>
      <c r="HKJ240" s="4"/>
      <c r="HKK240" s="4"/>
      <c r="HKL240" s="4"/>
      <c r="HKM240" s="4"/>
      <c r="HKN240" s="4"/>
      <c r="HKO240" s="4"/>
      <c r="HKP240" s="4"/>
      <c r="HKQ240" s="4"/>
      <c r="HKR240" s="4"/>
      <c r="HKS240" s="4"/>
      <c r="HKT240" s="4"/>
      <c r="HKU240" s="4"/>
      <c r="HKV240" s="4"/>
      <c r="HKW240" s="4"/>
      <c r="HKX240" s="4"/>
      <c r="HKY240" s="4"/>
      <c r="HKZ240" s="4"/>
      <c r="HLA240" s="4"/>
      <c r="HLB240" s="4"/>
      <c r="HLC240" s="4"/>
      <c r="HLD240" s="4"/>
      <c r="HLE240" s="4"/>
      <c r="HLF240" s="4"/>
      <c r="HLG240" s="4"/>
      <c r="HLH240" s="4"/>
      <c r="HLI240" s="4"/>
      <c r="HLJ240" s="4"/>
      <c r="HLK240" s="4"/>
      <c r="HLL240" s="4"/>
      <c r="HLM240" s="4"/>
      <c r="HLN240" s="4"/>
      <c r="HLO240" s="4"/>
      <c r="HLP240" s="4"/>
      <c r="HLQ240" s="4"/>
      <c r="HLR240" s="4"/>
      <c r="HLS240" s="4"/>
      <c r="HLT240" s="4"/>
      <c r="HLU240" s="4"/>
      <c r="HLV240" s="4"/>
      <c r="HLW240" s="4"/>
      <c r="HLX240" s="4"/>
      <c r="HLY240" s="4"/>
      <c r="HLZ240" s="4"/>
      <c r="HMA240" s="4"/>
      <c r="HMB240" s="4"/>
      <c r="HMC240" s="4"/>
      <c r="HMD240" s="4"/>
      <c r="HME240" s="4"/>
      <c r="HMF240" s="4"/>
      <c r="HMG240" s="4"/>
      <c r="HMH240" s="4"/>
      <c r="HMI240" s="4"/>
      <c r="HMJ240" s="4"/>
      <c r="HMK240" s="4"/>
      <c r="HML240" s="4"/>
      <c r="HMM240" s="4"/>
      <c r="HMN240" s="4"/>
      <c r="HMO240" s="4"/>
      <c r="HMP240" s="4"/>
      <c r="HMQ240" s="4"/>
      <c r="HMR240" s="4"/>
      <c r="HMS240" s="4"/>
      <c r="HMT240" s="4"/>
      <c r="HMU240" s="4"/>
      <c r="HMV240" s="4"/>
      <c r="HMW240" s="4"/>
      <c r="HMX240" s="4"/>
      <c r="HMY240" s="4"/>
      <c r="HMZ240" s="4"/>
      <c r="HNA240" s="4"/>
      <c r="HNB240" s="4"/>
      <c r="HNC240" s="4"/>
      <c r="HND240" s="4"/>
      <c r="HNE240" s="4"/>
      <c r="HNF240" s="4"/>
      <c r="HNG240" s="4"/>
      <c r="HNH240" s="4"/>
      <c r="HNI240" s="4"/>
      <c r="HNJ240" s="4"/>
      <c r="HNK240" s="4"/>
      <c r="HNL240" s="4"/>
      <c r="HNM240" s="4"/>
      <c r="HNN240" s="4"/>
      <c r="HNO240" s="4"/>
      <c r="HNP240" s="4"/>
      <c r="HNQ240" s="4"/>
      <c r="HNR240" s="4"/>
      <c r="HNS240" s="4"/>
      <c r="HNT240" s="4"/>
      <c r="HNU240" s="4"/>
      <c r="HNV240" s="4"/>
      <c r="HNW240" s="4"/>
      <c r="HNX240" s="4"/>
      <c r="HNY240" s="4"/>
      <c r="HNZ240" s="4"/>
      <c r="HOA240" s="4"/>
      <c r="HOB240" s="4"/>
      <c r="HOC240" s="4"/>
      <c r="HOD240" s="4"/>
      <c r="HOE240" s="4"/>
      <c r="HOF240" s="4"/>
      <c r="HOG240" s="4"/>
      <c r="HOH240" s="4"/>
      <c r="HOI240" s="4"/>
      <c r="HOJ240" s="4"/>
      <c r="HOK240" s="4"/>
      <c r="HOL240" s="4"/>
      <c r="HOM240" s="4"/>
      <c r="HON240" s="4"/>
      <c r="HOO240" s="4"/>
      <c r="HOP240" s="4"/>
      <c r="HOQ240" s="4"/>
      <c r="HOR240" s="4"/>
      <c r="HOS240" s="4"/>
      <c r="HOT240" s="4"/>
      <c r="HOU240" s="4"/>
      <c r="HOV240" s="4"/>
      <c r="HOW240" s="4"/>
      <c r="HOX240" s="4"/>
      <c r="HOY240" s="4"/>
      <c r="HOZ240" s="4"/>
      <c r="HPA240" s="4"/>
      <c r="HPB240" s="4"/>
      <c r="HPC240" s="4"/>
      <c r="HPD240" s="4"/>
      <c r="HPE240" s="4"/>
      <c r="HPF240" s="4"/>
      <c r="HPG240" s="4"/>
      <c r="HPH240" s="4"/>
      <c r="HPI240" s="4"/>
      <c r="HPJ240" s="4"/>
      <c r="HPK240" s="4"/>
      <c r="HPL240" s="4"/>
      <c r="HPM240" s="4"/>
      <c r="HPN240" s="4"/>
      <c r="HPO240" s="4"/>
      <c r="HPP240" s="4"/>
      <c r="HPQ240" s="4"/>
      <c r="HPR240" s="4"/>
      <c r="HPS240" s="4"/>
      <c r="HPT240" s="4"/>
      <c r="HPU240" s="4"/>
      <c r="HPV240" s="4"/>
      <c r="HPW240" s="4"/>
      <c r="HPX240" s="4"/>
      <c r="HPY240" s="4"/>
      <c r="HPZ240" s="4"/>
      <c r="HQA240" s="4"/>
      <c r="HQB240" s="4"/>
      <c r="HQC240" s="4"/>
      <c r="HQD240" s="4"/>
      <c r="HQE240" s="4"/>
      <c r="HQF240" s="4"/>
      <c r="HQG240" s="4"/>
      <c r="HQH240" s="4"/>
      <c r="HQI240" s="4"/>
      <c r="HQJ240" s="4"/>
      <c r="HQK240" s="4"/>
      <c r="HQL240" s="4"/>
      <c r="HQM240" s="4"/>
      <c r="HQN240" s="4"/>
      <c r="HQO240" s="4"/>
      <c r="HQP240" s="4"/>
      <c r="HQQ240" s="4"/>
      <c r="HQR240" s="4"/>
      <c r="HQS240" s="4"/>
      <c r="HQT240" s="4"/>
      <c r="HQU240" s="4"/>
      <c r="HQV240" s="4"/>
      <c r="HQW240" s="4"/>
      <c r="HQX240" s="4"/>
      <c r="HQY240" s="4"/>
      <c r="HQZ240" s="4"/>
      <c r="HRA240" s="4"/>
      <c r="HRB240" s="4"/>
      <c r="HRC240" s="4"/>
      <c r="HRD240" s="4"/>
      <c r="HRE240" s="4"/>
      <c r="HRF240" s="4"/>
      <c r="HRG240" s="4"/>
      <c r="HRH240" s="4"/>
      <c r="HRI240" s="4"/>
      <c r="HRJ240" s="4"/>
      <c r="HRK240" s="4"/>
      <c r="HRL240" s="4"/>
      <c r="HRM240" s="4"/>
      <c r="HRN240" s="4"/>
      <c r="HRO240" s="4"/>
      <c r="HRP240" s="4"/>
      <c r="HRQ240" s="4"/>
      <c r="HRR240" s="4"/>
      <c r="HRS240" s="4"/>
      <c r="HRT240" s="4"/>
      <c r="HRU240" s="4"/>
      <c r="HRV240" s="4"/>
      <c r="HRW240" s="4"/>
      <c r="HRX240" s="4"/>
      <c r="HRY240" s="4"/>
      <c r="HRZ240" s="4"/>
      <c r="HSA240" s="4"/>
      <c r="HSB240" s="4"/>
      <c r="HSC240" s="4"/>
      <c r="HSD240" s="4"/>
      <c r="HSE240" s="4"/>
      <c r="HSF240" s="4"/>
      <c r="HSG240" s="4"/>
      <c r="HSH240" s="4"/>
      <c r="HSI240" s="4"/>
      <c r="HSJ240" s="4"/>
      <c r="HSK240" s="4"/>
      <c r="HSL240" s="4"/>
      <c r="HSM240" s="4"/>
      <c r="HSN240" s="4"/>
      <c r="HSO240" s="4"/>
      <c r="HSP240" s="4"/>
      <c r="HSQ240" s="4"/>
      <c r="HSR240" s="4"/>
      <c r="HSS240" s="4"/>
      <c r="HST240" s="4"/>
      <c r="HSU240" s="4"/>
      <c r="HSV240" s="4"/>
      <c r="HSW240" s="4"/>
      <c r="HSX240" s="4"/>
      <c r="HSY240" s="4"/>
      <c r="HSZ240" s="4"/>
      <c r="HTA240" s="4"/>
      <c r="HTB240" s="4"/>
      <c r="HTC240" s="4"/>
      <c r="HTD240" s="4"/>
      <c r="HTE240" s="4"/>
      <c r="HTF240" s="4"/>
      <c r="HTG240" s="4"/>
      <c r="HTH240" s="4"/>
      <c r="HTI240" s="4"/>
      <c r="HTJ240" s="4"/>
      <c r="HTK240" s="4"/>
      <c r="HTL240" s="4"/>
      <c r="HTM240" s="4"/>
      <c r="HTN240" s="4"/>
      <c r="HTO240" s="4"/>
      <c r="HTP240" s="4"/>
      <c r="HTQ240" s="4"/>
      <c r="HTR240" s="4"/>
      <c r="HTS240" s="4"/>
      <c r="HTT240" s="4"/>
      <c r="HTU240" s="4"/>
      <c r="HTV240" s="4"/>
      <c r="HTW240" s="4"/>
      <c r="HTX240" s="4"/>
      <c r="HTY240" s="4"/>
      <c r="HTZ240" s="4"/>
      <c r="HUA240" s="4"/>
      <c r="HUB240" s="4"/>
      <c r="HUC240" s="4"/>
      <c r="HUD240" s="4"/>
      <c r="HUE240" s="4"/>
      <c r="HUF240" s="4"/>
      <c r="HUG240" s="4"/>
      <c r="HUH240" s="4"/>
      <c r="HUI240" s="4"/>
      <c r="HUJ240" s="4"/>
      <c r="HUK240" s="4"/>
      <c r="HUL240" s="4"/>
      <c r="HUM240" s="4"/>
      <c r="HUN240" s="4"/>
      <c r="HUO240" s="4"/>
      <c r="HUP240" s="4"/>
      <c r="HUQ240" s="4"/>
      <c r="HUR240" s="4"/>
      <c r="HUS240" s="4"/>
      <c r="HUT240" s="4"/>
      <c r="HUU240" s="4"/>
      <c r="HUV240" s="4"/>
      <c r="HUW240" s="4"/>
      <c r="HUX240" s="4"/>
      <c r="HUY240" s="4"/>
      <c r="HUZ240" s="4"/>
      <c r="HVA240" s="4"/>
      <c r="HVB240" s="4"/>
      <c r="HVC240" s="4"/>
      <c r="HVD240" s="4"/>
      <c r="HVE240" s="4"/>
      <c r="HVF240" s="4"/>
      <c r="HVG240" s="4"/>
      <c r="HVH240" s="4"/>
      <c r="HVI240" s="4"/>
      <c r="HVJ240" s="4"/>
      <c r="HVK240" s="4"/>
      <c r="HVL240" s="4"/>
      <c r="HVM240" s="4"/>
      <c r="HVN240" s="4"/>
      <c r="HVO240" s="4"/>
      <c r="HVP240" s="4"/>
      <c r="HVQ240" s="4"/>
      <c r="HVR240" s="4"/>
      <c r="HVS240" s="4"/>
      <c r="HVT240" s="4"/>
      <c r="HVU240" s="4"/>
      <c r="HVV240" s="4"/>
      <c r="HVW240" s="4"/>
      <c r="HVX240" s="4"/>
      <c r="HVY240" s="4"/>
      <c r="HVZ240" s="4"/>
      <c r="HWA240" s="4"/>
      <c r="HWB240" s="4"/>
      <c r="HWC240" s="4"/>
      <c r="HWD240" s="4"/>
      <c r="HWE240" s="4"/>
      <c r="HWF240" s="4"/>
      <c r="HWG240" s="4"/>
      <c r="HWH240" s="4"/>
      <c r="HWI240" s="4"/>
      <c r="HWJ240" s="4"/>
      <c r="HWK240" s="4"/>
      <c r="HWL240" s="4"/>
      <c r="HWM240" s="4"/>
      <c r="HWN240" s="4"/>
      <c r="HWO240" s="4"/>
      <c r="HWP240" s="4"/>
      <c r="HWQ240" s="4"/>
      <c r="HWR240" s="4"/>
      <c r="HWS240" s="4"/>
      <c r="HWT240" s="4"/>
      <c r="HWU240" s="4"/>
      <c r="HWV240" s="4"/>
      <c r="HWW240" s="4"/>
      <c r="HWX240" s="4"/>
      <c r="HWY240" s="4"/>
      <c r="HWZ240" s="4"/>
      <c r="HXA240" s="4"/>
      <c r="HXB240" s="4"/>
      <c r="HXC240" s="4"/>
      <c r="HXD240" s="4"/>
      <c r="HXE240" s="4"/>
      <c r="HXF240" s="4"/>
      <c r="HXG240" s="4"/>
      <c r="HXH240" s="4"/>
      <c r="HXI240" s="4"/>
      <c r="HXJ240" s="4"/>
      <c r="HXK240" s="4"/>
      <c r="HXL240" s="4"/>
      <c r="HXM240" s="4"/>
      <c r="HXN240" s="4"/>
      <c r="HXO240" s="4"/>
      <c r="HXP240" s="4"/>
      <c r="HXQ240" s="4"/>
      <c r="HXR240" s="4"/>
      <c r="HXS240" s="4"/>
      <c r="HXT240" s="4"/>
      <c r="HXU240" s="4"/>
      <c r="HXV240" s="4"/>
      <c r="HXW240" s="4"/>
      <c r="HXX240" s="4"/>
      <c r="HXY240" s="4"/>
      <c r="HXZ240" s="4"/>
      <c r="HYA240" s="4"/>
      <c r="HYB240" s="4"/>
      <c r="HYC240" s="4"/>
      <c r="HYD240" s="4"/>
      <c r="HYE240" s="4"/>
      <c r="HYF240" s="4"/>
      <c r="HYG240" s="4"/>
      <c r="HYH240" s="4"/>
      <c r="HYI240" s="4"/>
      <c r="HYJ240" s="4"/>
      <c r="HYK240" s="4"/>
      <c r="HYL240" s="4"/>
      <c r="HYM240" s="4"/>
      <c r="HYN240" s="4"/>
      <c r="HYO240" s="4"/>
      <c r="HYP240" s="4"/>
      <c r="HYQ240" s="4"/>
      <c r="HYR240" s="4"/>
      <c r="HYS240" s="4"/>
      <c r="HYT240" s="4"/>
      <c r="HYU240" s="4"/>
      <c r="HYV240" s="4"/>
      <c r="HYW240" s="4"/>
      <c r="HYX240" s="4"/>
      <c r="HYY240" s="4"/>
      <c r="HYZ240" s="4"/>
      <c r="HZA240" s="4"/>
      <c r="HZB240" s="4"/>
      <c r="HZC240" s="4"/>
      <c r="HZD240" s="4"/>
      <c r="HZE240" s="4"/>
      <c r="HZF240" s="4"/>
      <c r="HZG240" s="4"/>
      <c r="HZH240" s="4"/>
      <c r="HZI240" s="4"/>
      <c r="HZJ240" s="4"/>
      <c r="HZK240" s="4"/>
      <c r="HZL240" s="4"/>
      <c r="HZM240" s="4"/>
      <c r="HZN240" s="4"/>
      <c r="HZO240" s="4"/>
      <c r="HZP240" s="4"/>
      <c r="HZQ240" s="4"/>
      <c r="HZR240" s="4"/>
      <c r="HZS240" s="4"/>
      <c r="HZT240" s="4"/>
      <c r="HZU240" s="4"/>
      <c r="HZV240" s="4"/>
      <c r="HZW240" s="4"/>
      <c r="HZX240" s="4"/>
      <c r="HZY240" s="4"/>
      <c r="HZZ240" s="4"/>
      <c r="IAA240" s="4"/>
      <c r="IAB240" s="4"/>
      <c r="IAC240" s="4"/>
      <c r="IAD240" s="4"/>
      <c r="IAE240" s="4"/>
      <c r="IAF240" s="4"/>
      <c r="IAG240" s="4"/>
      <c r="IAH240" s="4"/>
      <c r="IAI240" s="4"/>
      <c r="IAJ240" s="4"/>
      <c r="IAK240" s="4"/>
      <c r="IAL240" s="4"/>
      <c r="IAM240" s="4"/>
      <c r="IAN240" s="4"/>
      <c r="IAO240" s="4"/>
      <c r="IAP240" s="4"/>
      <c r="IAQ240" s="4"/>
      <c r="IAR240" s="4"/>
      <c r="IAS240" s="4"/>
      <c r="IAT240" s="4"/>
      <c r="IAU240" s="4"/>
      <c r="IAV240" s="4"/>
      <c r="IAW240" s="4"/>
      <c r="IAX240" s="4"/>
      <c r="IAY240" s="4"/>
      <c r="IAZ240" s="4"/>
      <c r="IBA240" s="4"/>
      <c r="IBB240" s="4"/>
      <c r="IBC240" s="4"/>
      <c r="IBD240" s="4"/>
      <c r="IBE240" s="4"/>
      <c r="IBF240" s="4"/>
      <c r="IBG240" s="4"/>
      <c r="IBH240" s="4"/>
      <c r="IBI240" s="4"/>
      <c r="IBJ240" s="4"/>
      <c r="IBK240" s="4"/>
      <c r="IBL240" s="4"/>
      <c r="IBM240" s="4"/>
      <c r="IBN240" s="4"/>
      <c r="IBO240" s="4"/>
      <c r="IBP240" s="4"/>
      <c r="IBQ240" s="4"/>
      <c r="IBR240" s="4"/>
      <c r="IBS240" s="4"/>
      <c r="IBT240" s="4"/>
      <c r="IBU240" s="4"/>
      <c r="IBV240" s="4"/>
      <c r="IBW240" s="4"/>
      <c r="IBX240" s="4"/>
      <c r="IBY240" s="4"/>
      <c r="IBZ240" s="4"/>
      <c r="ICA240" s="4"/>
      <c r="ICB240" s="4"/>
      <c r="ICC240" s="4"/>
      <c r="ICD240" s="4"/>
      <c r="ICE240" s="4"/>
      <c r="ICF240" s="4"/>
      <c r="ICG240" s="4"/>
      <c r="ICH240" s="4"/>
      <c r="ICI240" s="4"/>
      <c r="ICJ240" s="4"/>
      <c r="ICK240" s="4"/>
      <c r="ICL240" s="4"/>
      <c r="ICM240" s="4"/>
      <c r="ICN240" s="4"/>
      <c r="ICO240" s="4"/>
      <c r="ICP240" s="4"/>
      <c r="ICQ240" s="4"/>
      <c r="ICR240" s="4"/>
      <c r="ICS240" s="4"/>
      <c r="ICT240" s="4"/>
      <c r="ICU240" s="4"/>
      <c r="ICV240" s="4"/>
      <c r="ICW240" s="4"/>
      <c r="ICX240" s="4"/>
      <c r="ICY240" s="4"/>
      <c r="ICZ240" s="4"/>
      <c r="IDA240" s="4"/>
      <c r="IDB240" s="4"/>
      <c r="IDC240" s="4"/>
      <c r="IDD240" s="4"/>
      <c r="IDE240" s="4"/>
      <c r="IDF240" s="4"/>
      <c r="IDG240" s="4"/>
      <c r="IDH240" s="4"/>
      <c r="IDI240" s="4"/>
      <c r="IDJ240" s="4"/>
      <c r="IDK240" s="4"/>
      <c r="IDL240" s="4"/>
      <c r="IDM240" s="4"/>
      <c r="IDN240" s="4"/>
      <c r="IDO240" s="4"/>
      <c r="IDP240" s="4"/>
      <c r="IDQ240" s="4"/>
      <c r="IDR240" s="4"/>
      <c r="IDS240" s="4"/>
      <c r="IDT240" s="4"/>
      <c r="IDU240" s="4"/>
      <c r="IDV240" s="4"/>
      <c r="IDW240" s="4"/>
      <c r="IDX240" s="4"/>
      <c r="IDY240" s="4"/>
      <c r="IDZ240" s="4"/>
      <c r="IEA240" s="4"/>
      <c r="IEB240" s="4"/>
      <c r="IEC240" s="4"/>
      <c r="IED240" s="4"/>
      <c r="IEE240" s="4"/>
      <c r="IEF240" s="4"/>
      <c r="IEG240" s="4"/>
      <c r="IEH240" s="4"/>
      <c r="IEI240" s="4"/>
      <c r="IEJ240" s="4"/>
      <c r="IEK240" s="4"/>
      <c r="IEL240" s="4"/>
      <c r="IEM240" s="4"/>
      <c r="IEN240" s="4"/>
      <c r="IEO240" s="4"/>
      <c r="IEP240" s="4"/>
      <c r="IEQ240" s="4"/>
      <c r="IER240" s="4"/>
      <c r="IES240" s="4"/>
      <c r="IET240" s="4"/>
      <c r="IEU240" s="4"/>
      <c r="IEV240" s="4"/>
      <c r="IEW240" s="4"/>
      <c r="IEX240" s="4"/>
      <c r="IEY240" s="4"/>
      <c r="IEZ240" s="4"/>
      <c r="IFA240" s="4"/>
      <c r="IFB240" s="4"/>
      <c r="IFC240" s="4"/>
      <c r="IFD240" s="4"/>
      <c r="IFE240" s="4"/>
      <c r="IFF240" s="4"/>
      <c r="IFG240" s="4"/>
      <c r="IFH240" s="4"/>
      <c r="IFI240" s="4"/>
      <c r="IFJ240" s="4"/>
      <c r="IFK240" s="4"/>
      <c r="IFL240" s="4"/>
      <c r="IFM240" s="4"/>
      <c r="IFN240" s="4"/>
      <c r="IFO240" s="4"/>
      <c r="IFP240" s="4"/>
      <c r="IFQ240" s="4"/>
      <c r="IFR240" s="4"/>
      <c r="IFS240" s="4"/>
      <c r="IFT240" s="4"/>
      <c r="IFU240" s="4"/>
      <c r="IFV240" s="4"/>
      <c r="IFW240" s="4"/>
      <c r="IFX240" s="4"/>
      <c r="IFY240" s="4"/>
      <c r="IFZ240" s="4"/>
      <c r="IGA240" s="4"/>
      <c r="IGB240" s="4"/>
      <c r="IGC240" s="4"/>
      <c r="IGD240" s="4"/>
      <c r="IGE240" s="4"/>
      <c r="IGF240" s="4"/>
      <c r="IGG240" s="4"/>
      <c r="IGH240" s="4"/>
      <c r="IGI240" s="4"/>
      <c r="IGJ240" s="4"/>
      <c r="IGK240" s="4"/>
      <c r="IGL240" s="4"/>
      <c r="IGM240" s="4"/>
      <c r="IGN240" s="4"/>
      <c r="IGO240" s="4"/>
      <c r="IGP240" s="4"/>
      <c r="IGQ240" s="4"/>
      <c r="IGR240" s="4"/>
      <c r="IGS240" s="4"/>
      <c r="IGT240" s="4"/>
      <c r="IGU240" s="4"/>
      <c r="IGV240" s="4"/>
      <c r="IGW240" s="4"/>
      <c r="IGX240" s="4"/>
      <c r="IGY240" s="4"/>
      <c r="IGZ240" s="4"/>
      <c r="IHA240" s="4"/>
      <c r="IHB240" s="4"/>
      <c r="IHC240" s="4"/>
      <c r="IHD240" s="4"/>
      <c r="IHE240" s="4"/>
      <c r="IHF240" s="4"/>
      <c r="IHG240" s="4"/>
      <c r="IHH240" s="4"/>
      <c r="IHI240" s="4"/>
      <c r="IHJ240" s="4"/>
      <c r="IHK240" s="4"/>
      <c r="IHL240" s="4"/>
      <c r="IHM240" s="4"/>
      <c r="IHN240" s="4"/>
      <c r="IHO240" s="4"/>
      <c r="IHP240" s="4"/>
      <c r="IHQ240" s="4"/>
      <c r="IHR240" s="4"/>
      <c r="IHS240" s="4"/>
      <c r="IHT240" s="4"/>
      <c r="IHU240" s="4"/>
      <c r="IHV240" s="4"/>
      <c r="IHW240" s="4"/>
      <c r="IHX240" s="4"/>
      <c r="IHY240" s="4"/>
      <c r="IHZ240" s="4"/>
      <c r="IIA240" s="4"/>
      <c r="IIB240" s="4"/>
      <c r="IIC240" s="4"/>
      <c r="IID240" s="4"/>
      <c r="IIE240" s="4"/>
      <c r="IIF240" s="4"/>
      <c r="IIG240" s="4"/>
      <c r="IIH240" s="4"/>
      <c r="III240" s="4"/>
      <c r="IIJ240" s="4"/>
      <c r="IIK240" s="4"/>
      <c r="IIL240" s="4"/>
      <c r="IIM240" s="4"/>
      <c r="IIN240" s="4"/>
      <c r="IIO240" s="4"/>
      <c r="IIP240" s="4"/>
      <c r="IIQ240" s="4"/>
      <c r="IIR240" s="4"/>
      <c r="IIS240" s="4"/>
      <c r="IIT240" s="4"/>
      <c r="IIU240" s="4"/>
      <c r="IIV240" s="4"/>
      <c r="IIW240" s="4"/>
      <c r="IIX240" s="4"/>
      <c r="IIY240" s="4"/>
      <c r="IIZ240" s="4"/>
      <c r="IJA240" s="4"/>
      <c r="IJB240" s="4"/>
      <c r="IJC240" s="4"/>
      <c r="IJD240" s="4"/>
      <c r="IJE240" s="4"/>
      <c r="IJF240" s="4"/>
      <c r="IJG240" s="4"/>
      <c r="IJH240" s="4"/>
      <c r="IJI240" s="4"/>
      <c r="IJJ240" s="4"/>
      <c r="IJK240" s="4"/>
      <c r="IJL240" s="4"/>
      <c r="IJM240" s="4"/>
      <c r="IJN240" s="4"/>
      <c r="IJO240" s="4"/>
      <c r="IJP240" s="4"/>
      <c r="IJQ240" s="4"/>
      <c r="IJR240" s="4"/>
      <c r="IJS240" s="4"/>
      <c r="IJT240" s="4"/>
      <c r="IJU240" s="4"/>
      <c r="IJV240" s="4"/>
      <c r="IJW240" s="4"/>
      <c r="IJX240" s="4"/>
      <c r="IJY240" s="4"/>
      <c r="IJZ240" s="4"/>
      <c r="IKA240" s="4"/>
      <c r="IKB240" s="4"/>
      <c r="IKC240" s="4"/>
      <c r="IKD240" s="4"/>
      <c r="IKE240" s="4"/>
      <c r="IKF240" s="4"/>
      <c r="IKG240" s="4"/>
      <c r="IKH240" s="4"/>
      <c r="IKI240" s="4"/>
      <c r="IKJ240" s="4"/>
      <c r="IKK240" s="4"/>
      <c r="IKL240" s="4"/>
      <c r="IKM240" s="4"/>
      <c r="IKN240" s="4"/>
      <c r="IKO240" s="4"/>
      <c r="IKP240" s="4"/>
      <c r="IKQ240" s="4"/>
      <c r="IKR240" s="4"/>
      <c r="IKS240" s="4"/>
      <c r="IKT240" s="4"/>
      <c r="IKU240" s="4"/>
      <c r="IKV240" s="4"/>
      <c r="IKW240" s="4"/>
      <c r="IKX240" s="4"/>
      <c r="IKY240" s="4"/>
      <c r="IKZ240" s="4"/>
      <c r="ILA240" s="4"/>
      <c r="ILB240" s="4"/>
      <c r="ILC240" s="4"/>
      <c r="ILD240" s="4"/>
      <c r="ILE240" s="4"/>
      <c r="ILF240" s="4"/>
      <c r="ILG240" s="4"/>
      <c r="ILH240" s="4"/>
      <c r="ILI240" s="4"/>
      <c r="ILJ240" s="4"/>
      <c r="ILK240" s="4"/>
      <c r="ILL240" s="4"/>
      <c r="ILM240" s="4"/>
      <c r="ILN240" s="4"/>
      <c r="ILO240" s="4"/>
      <c r="ILP240" s="4"/>
      <c r="ILQ240" s="4"/>
      <c r="ILR240" s="4"/>
      <c r="ILS240" s="4"/>
      <c r="ILT240" s="4"/>
      <c r="ILU240" s="4"/>
      <c r="ILV240" s="4"/>
      <c r="ILW240" s="4"/>
      <c r="ILX240" s="4"/>
      <c r="ILY240" s="4"/>
      <c r="ILZ240" s="4"/>
      <c r="IMA240" s="4"/>
      <c r="IMB240" s="4"/>
      <c r="IMC240" s="4"/>
      <c r="IMD240" s="4"/>
      <c r="IME240" s="4"/>
      <c r="IMF240" s="4"/>
      <c r="IMG240" s="4"/>
      <c r="IMH240" s="4"/>
      <c r="IMI240" s="4"/>
      <c r="IMJ240" s="4"/>
      <c r="IMK240" s="4"/>
      <c r="IML240" s="4"/>
      <c r="IMM240" s="4"/>
      <c r="IMN240" s="4"/>
      <c r="IMO240" s="4"/>
      <c r="IMP240" s="4"/>
      <c r="IMQ240" s="4"/>
      <c r="IMR240" s="4"/>
      <c r="IMS240" s="4"/>
      <c r="IMT240" s="4"/>
      <c r="IMU240" s="4"/>
      <c r="IMV240" s="4"/>
      <c r="IMW240" s="4"/>
      <c r="IMX240" s="4"/>
      <c r="IMY240" s="4"/>
      <c r="IMZ240" s="4"/>
      <c r="INA240" s="4"/>
      <c r="INB240" s="4"/>
      <c r="INC240" s="4"/>
      <c r="IND240" s="4"/>
      <c r="INE240" s="4"/>
      <c r="INF240" s="4"/>
      <c r="ING240" s="4"/>
      <c r="INH240" s="4"/>
      <c r="INI240" s="4"/>
      <c r="INJ240" s="4"/>
      <c r="INK240" s="4"/>
      <c r="INL240" s="4"/>
      <c r="INM240" s="4"/>
      <c r="INN240" s="4"/>
      <c r="INO240" s="4"/>
      <c r="INP240" s="4"/>
      <c r="INQ240" s="4"/>
      <c r="INR240" s="4"/>
      <c r="INS240" s="4"/>
      <c r="INT240" s="4"/>
      <c r="INU240" s="4"/>
      <c r="INV240" s="4"/>
      <c r="INW240" s="4"/>
      <c r="INX240" s="4"/>
      <c r="INY240" s="4"/>
      <c r="INZ240" s="4"/>
      <c r="IOA240" s="4"/>
      <c r="IOB240" s="4"/>
      <c r="IOC240" s="4"/>
      <c r="IOD240" s="4"/>
      <c r="IOE240" s="4"/>
      <c r="IOF240" s="4"/>
      <c r="IOG240" s="4"/>
      <c r="IOH240" s="4"/>
      <c r="IOI240" s="4"/>
      <c r="IOJ240" s="4"/>
      <c r="IOK240" s="4"/>
      <c r="IOL240" s="4"/>
      <c r="IOM240" s="4"/>
      <c r="ION240" s="4"/>
      <c r="IOO240" s="4"/>
      <c r="IOP240" s="4"/>
      <c r="IOQ240" s="4"/>
      <c r="IOR240" s="4"/>
      <c r="IOS240" s="4"/>
      <c r="IOT240" s="4"/>
      <c r="IOU240" s="4"/>
      <c r="IOV240" s="4"/>
      <c r="IOW240" s="4"/>
      <c r="IOX240" s="4"/>
      <c r="IOY240" s="4"/>
      <c r="IOZ240" s="4"/>
      <c r="IPA240" s="4"/>
      <c r="IPB240" s="4"/>
      <c r="IPC240" s="4"/>
      <c r="IPD240" s="4"/>
      <c r="IPE240" s="4"/>
      <c r="IPF240" s="4"/>
      <c r="IPG240" s="4"/>
      <c r="IPH240" s="4"/>
      <c r="IPI240" s="4"/>
      <c r="IPJ240" s="4"/>
      <c r="IPK240" s="4"/>
      <c r="IPL240" s="4"/>
      <c r="IPM240" s="4"/>
      <c r="IPN240" s="4"/>
      <c r="IPO240" s="4"/>
      <c r="IPP240" s="4"/>
      <c r="IPQ240" s="4"/>
      <c r="IPR240" s="4"/>
      <c r="IPS240" s="4"/>
      <c r="IPT240" s="4"/>
      <c r="IPU240" s="4"/>
      <c r="IPV240" s="4"/>
      <c r="IPW240" s="4"/>
      <c r="IPX240" s="4"/>
      <c r="IPY240" s="4"/>
      <c r="IPZ240" s="4"/>
      <c r="IQA240" s="4"/>
      <c r="IQB240" s="4"/>
      <c r="IQC240" s="4"/>
      <c r="IQD240" s="4"/>
      <c r="IQE240" s="4"/>
      <c r="IQF240" s="4"/>
      <c r="IQG240" s="4"/>
      <c r="IQH240" s="4"/>
      <c r="IQI240" s="4"/>
      <c r="IQJ240" s="4"/>
      <c r="IQK240" s="4"/>
      <c r="IQL240" s="4"/>
      <c r="IQM240" s="4"/>
      <c r="IQN240" s="4"/>
      <c r="IQO240" s="4"/>
      <c r="IQP240" s="4"/>
      <c r="IQQ240" s="4"/>
      <c r="IQR240" s="4"/>
      <c r="IQS240" s="4"/>
      <c r="IQT240" s="4"/>
      <c r="IQU240" s="4"/>
      <c r="IQV240" s="4"/>
      <c r="IQW240" s="4"/>
      <c r="IQX240" s="4"/>
      <c r="IQY240" s="4"/>
      <c r="IQZ240" s="4"/>
      <c r="IRA240" s="4"/>
      <c r="IRB240" s="4"/>
      <c r="IRC240" s="4"/>
      <c r="IRD240" s="4"/>
      <c r="IRE240" s="4"/>
      <c r="IRF240" s="4"/>
      <c r="IRG240" s="4"/>
      <c r="IRH240" s="4"/>
      <c r="IRI240" s="4"/>
      <c r="IRJ240" s="4"/>
      <c r="IRK240" s="4"/>
      <c r="IRL240" s="4"/>
      <c r="IRM240" s="4"/>
      <c r="IRN240" s="4"/>
      <c r="IRO240" s="4"/>
      <c r="IRP240" s="4"/>
      <c r="IRQ240" s="4"/>
      <c r="IRR240" s="4"/>
      <c r="IRS240" s="4"/>
      <c r="IRT240" s="4"/>
      <c r="IRU240" s="4"/>
      <c r="IRV240" s="4"/>
      <c r="IRW240" s="4"/>
      <c r="IRX240" s="4"/>
      <c r="IRY240" s="4"/>
      <c r="IRZ240" s="4"/>
      <c r="ISA240" s="4"/>
      <c r="ISB240" s="4"/>
      <c r="ISC240" s="4"/>
      <c r="ISD240" s="4"/>
      <c r="ISE240" s="4"/>
      <c r="ISF240" s="4"/>
      <c r="ISG240" s="4"/>
      <c r="ISH240" s="4"/>
      <c r="ISI240" s="4"/>
      <c r="ISJ240" s="4"/>
      <c r="ISK240" s="4"/>
      <c r="ISL240" s="4"/>
      <c r="ISM240" s="4"/>
      <c r="ISN240" s="4"/>
      <c r="ISO240" s="4"/>
      <c r="ISP240" s="4"/>
      <c r="ISQ240" s="4"/>
      <c r="ISR240" s="4"/>
      <c r="ISS240" s="4"/>
      <c r="IST240" s="4"/>
      <c r="ISU240" s="4"/>
      <c r="ISV240" s="4"/>
      <c r="ISW240" s="4"/>
      <c r="ISX240" s="4"/>
      <c r="ISY240" s="4"/>
      <c r="ISZ240" s="4"/>
      <c r="ITA240" s="4"/>
      <c r="ITB240" s="4"/>
      <c r="ITC240" s="4"/>
      <c r="ITD240" s="4"/>
      <c r="ITE240" s="4"/>
      <c r="ITF240" s="4"/>
      <c r="ITG240" s="4"/>
      <c r="ITH240" s="4"/>
      <c r="ITI240" s="4"/>
      <c r="ITJ240" s="4"/>
      <c r="ITK240" s="4"/>
      <c r="ITL240" s="4"/>
      <c r="ITM240" s="4"/>
      <c r="ITN240" s="4"/>
      <c r="ITO240" s="4"/>
      <c r="ITP240" s="4"/>
      <c r="ITQ240" s="4"/>
      <c r="ITR240" s="4"/>
      <c r="ITS240" s="4"/>
      <c r="ITT240" s="4"/>
      <c r="ITU240" s="4"/>
      <c r="ITV240" s="4"/>
      <c r="ITW240" s="4"/>
      <c r="ITX240" s="4"/>
      <c r="ITY240" s="4"/>
      <c r="ITZ240" s="4"/>
      <c r="IUA240" s="4"/>
      <c r="IUB240" s="4"/>
      <c r="IUC240" s="4"/>
      <c r="IUD240" s="4"/>
      <c r="IUE240" s="4"/>
      <c r="IUF240" s="4"/>
      <c r="IUG240" s="4"/>
      <c r="IUH240" s="4"/>
      <c r="IUI240" s="4"/>
      <c r="IUJ240" s="4"/>
      <c r="IUK240" s="4"/>
      <c r="IUL240" s="4"/>
      <c r="IUM240" s="4"/>
      <c r="IUN240" s="4"/>
      <c r="IUO240" s="4"/>
      <c r="IUP240" s="4"/>
      <c r="IUQ240" s="4"/>
      <c r="IUR240" s="4"/>
      <c r="IUS240" s="4"/>
      <c r="IUT240" s="4"/>
      <c r="IUU240" s="4"/>
      <c r="IUV240" s="4"/>
      <c r="IUW240" s="4"/>
      <c r="IUX240" s="4"/>
      <c r="IUY240" s="4"/>
      <c r="IUZ240" s="4"/>
      <c r="IVA240" s="4"/>
      <c r="IVB240" s="4"/>
      <c r="IVC240" s="4"/>
      <c r="IVD240" s="4"/>
      <c r="IVE240" s="4"/>
      <c r="IVF240" s="4"/>
      <c r="IVG240" s="4"/>
      <c r="IVH240" s="4"/>
      <c r="IVI240" s="4"/>
      <c r="IVJ240" s="4"/>
      <c r="IVK240" s="4"/>
      <c r="IVL240" s="4"/>
      <c r="IVM240" s="4"/>
      <c r="IVN240" s="4"/>
      <c r="IVO240" s="4"/>
      <c r="IVP240" s="4"/>
      <c r="IVQ240" s="4"/>
      <c r="IVR240" s="4"/>
      <c r="IVS240" s="4"/>
      <c r="IVT240" s="4"/>
      <c r="IVU240" s="4"/>
      <c r="IVV240" s="4"/>
      <c r="IVW240" s="4"/>
      <c r="IVX240" s="4"/>
      <c r="IVY240" s="4"/>
      <c r="IVZ240" s="4"/>
      <c r="IWA240" s="4"/>
      <c r="IWB240" s="4"/>
      <c r="IWC240" s="4"/>
      <c r="IWD240" s="4"/>
      <c r="IWE240" s="4"/>
      <c r="IWF240" s="4"/>
      <c r="IWG240" s="4"/>
      <c r="IWH240" s="4"/>
      <c r="IWI240" s="4"/>
      <c r="IWJ240" s="4"/>
      <c r="IWK240" s="4"/>
      <c r="IWL240" s="4"/>
      <c r="IWM240" s="4"/>
      <c r="IWN240" s="4"/>
      <c r="IWO240" s="4"/>
      <c r="IWP240" s="4"/>
      <c r="IWQ240" s="4"/>
      <c r="IWR240" s="4"/>
      <c r="IWS240" s="4"/>
      <c r="IWT240" s="4"/>
      <c r="IWU240" s="4"/>
      <c r="IWV240" s="4"/>
      <c r="IWW240" s="4"/>
      <c r="IWX240" s="4"/>
      <c r="IWY240" s="4"/>
      <c r="IWZ240" s="4"/>
      <c r="IXA240" s="4"/>
      <c r="IXB240" s="4"/>
      <c r="IXC240" s="4"/>
      <c r="IXD240" s="4"/>
      <c r="IXE240" s="4"/>
      <c r="IXF240" s="4"/>
      <c r="IXG240" s="4"/>
      <c r="IXH240" s="4"/>
      <c r="IXI240" s="4"/>
      <c r="IXJ240" s="4"/>
      <c r="IXK240" s="4"/>
      <c r="IXL240" s="4"/>
      <c r="IXM240" s="4"/>
      <c r="IXN240" s="4"/>
      <c r="IXO240" s="4"/>
      <c r="IXP240" s="4"/>
      <c r="IXQ240" s="4"/>
      <c r="IXR240" s="4"/>
      <c r="IXS240" s="4"/>
      <c r="IXT240" s="4"/>
      <c r="IXU240" s="4"/>
      <c r="IXV240" s="4"/>
      <c r="IXW240" s="4"/>
      <c r="IXX240" s="4"/>
      <c r="IXY240" s="4"/>
      <c r="IXZ240" s="4"/>
      <c r="IYA240" s="4"/>
      <c r="IYB240" s="4"/>
      <c r="IYC240" s="4"/>
      <c r="IYD240" s="4"/>
      <c r="IYE240" s="4"/>
      <c r="IYF240" s="4"/>
      <c r="IYG240" s="4"/>
      <c r="IYH240" s="4"/>
      <c r="IYI240" s="4"/>
      <c r="IYJ240" s="4"/>
      <c r="IYK240" s="4"/>
      <c r="IYL240" s="4"/>
      <c r="IYM240" s="4"/>
      <c r="IYN240" s="4"/>
      <c r="IYO240" s="4"/>
      <c r="IYP240" s="4"/>
      <c r="IYQ240" s="4"/>
      <c r="IYR240" s="4"/>
      <c r="IYS240" s="4"/>
      <c r="IYT240" s="4"/>
      <c r="IYU240" s="4"/>
      <c r="IYV240" s="4"/>
      <c r="IYW240" s="4"/>
      <c r="IYX240" s="4"/>
      <c r="IYY240" s="4"/>
      <c r="IYZ240" s="4"/>
      <c r="IZA240" s="4"/>
      <c r="IZB240" s="4"/>
      <c r="IZC240" s="4"/>
      <c r="IZD240" s="4"/>
      <c r="IZE240" s="4"/>
      <c r="IZF240" s="4"/>
      <c r="IZG240" s="4"/>
      <c r="IZH240" s="4"/>
      <c r="IZI240" s="4"/>
      <c r="IZJ240" s="4"/>
      <c r="IZK240" s="4"/>
      <c r="IZL240" s="4"/>
      <c r="IZM240" s="4"/>
      <c r="IZN240" s="4"/>
      <c r="IZO240" s="4"/>
      <c r="IZP240" s="4"/>
      <c r="IZQ240" s="4"/>
      <c r="IZR240" s="4"/>
      <c r="IZS240" s="4"/>
      <c r="IZT240" s="4"/>
      <c r="IZU240" s="4"/>
      <c r="IZV240" s="4"/>
      <c r="IZW240" s="4"/>
      <c r="IZX240" s="4"/>
      <c r="IZY240" s="4"/>
      <c r="IZZ240" s="4"/>
      <c r="JAA240" s="4"/>
      <c r="JAB240" s="4"/>
      <c r="JAC240" s="4"/>
      <c r="JAD240" s="4"/>
      <c r="JAE240" s="4"/>
      <c r="JAF240" s="4"/>
      <c r="JAG240" s="4"/>
      <c r="JAH240" s="4"/>
      <c r="JAI240" s="4"/>
      <c r="JAJ240" s="4"/>
      <c r="JAK240" s="4"/>
      <c r="JAL240" s="4"/>
      <c r="JAM240" s="4"/>
      <c r="JAN240" s="4"/>
      <c r="JAO240" s="4"/>
      <c r="JAP240" s="4"/>
      <c r="JAQ240" s="4"/>
      <c r="JAR240" s="4"/>
      <c r="JAS240" s="4"/>
      <c r="JAT240" s="4"/>
      <c r="JAU240" s="4"/>
      <c r="JAV240" s="4"/>
      <c r="JAW240" s="4"/>
      <c r="JAX240" s="4"/>
      <c r="JAY240" s="4"/>
      <c r="JAZ240" s="4"/>
      <c r="JBA240" s="4"/>
      <c r="JBB240" s="4"/>
      <c r="JBC240" s="4"/>
      <c r="JBD240" s="4"/>
      <c r="JBE240" s="4"/>
      <c r="JBF240" s="4"/>
      <c r="JBG240" s="4"/>
      <c r="JBH240" s="4"/>
      <c r="JBI240" s="4"/>
      <c r="JBJ240" s="4"/>
      <c r="JBK240" s="4"/>
      <c r="JBL240" s="4"/>
      <c r="JBM240" s="4"/>
      <c r="JBN240" s="4"/>
      <c r="JBO240" s="4"/>
      <c r="JBP240" s="4"/>
      <c r="JBQ240" s="4"/>
      <c r="JBR240" s="4"/>
      <c r="JBS240" s="4"/>
      <c r="JBT240" s="4"/>
      <c r="JBU240" s="4"/>
      <c r="JBV240" s="4"/>
      <c r="JBW240" s="4"/>
      <c r="JBX240" s="4"/>
      <c r="JBY240" s="4"/>
      <c r="JBZ240" s="4"/>
      <c r="JCA240" s="4"/>
      <c r="JCB240" s="4"/>
      <c r="JCC240" s="4"/>
      <c r="JCD240" s="4"/>
      <c r="JCE240" s="4"/>
      <c r="JCF240" s="4"/>
      <c r="JCG240" s="4"/>
      <c r="JCH240" s="4"/>
      <c r="JCI240" s="4"/>
      <c r="JCJ240" s="4"/>
      <c r="JCK240" s="4"/>
      <c r="JCL240" s="4"/>
      <c r="JCM240" s="4"/>
      <c r="JCN240" s="4"/>
      <c r="JCO240" s="4"/>
      <c r="JCP240" s="4"/>
      <c r="JCQ240" s="4"/>
      <c r="JCR240" s="4"/>
      <c r="JCS240" s="4"/>
      <c r="JCT240" s="4"/>
      <c r="JCU240" s="4"/>
      <c r="JCV240" s="4"/>
      <c r="JCW240" s="4"/>
      <c r="JCX240" s="4"/>
      <c r="JCY240" s="4"/>
      <c r="JCZ240" s="4"/>
      <c r="JDA240" s="4"/>
      <c r="JDB240" s="4"/>
      <c r="JDC240" s="4"/>
      <c r="JDD240" s="4"/>
      <c r="JDE240" s="4"/>
      <c r="JDF240" s="4"/>
      <c r="JDG240" s="4"/>
      <c r="JDH240" s="4"/>
      <c r="JDI240" s="4"/>
      <c r="JDJ240" s="4"/>
      <c r="JDK240" s="4"/>
      <c r="JDL240" s="4"/>
      <c r="JDM240" s="4"/>
      <c r="JDN240" s="4"/>
      <c r="JDO240" s="4"/>
      <c r="JDP240" s="4"/>
      <c r="JDQ240" s="4"/>
      <c r="JDR240" s="4"/>
      <c r="JDS240" s="4"/>
      <c r="JDT240" s="4"/>
      <c r="JDU240" s="4"/>
      <c r="JDV240" s="4"/>
      <c r="JDW240" s="4"/>
      <c r="JDX240" s="4"/>
      <c r="JDY240" s="4"/>
      <c r="JDZ240" s="4"/>
      <c r="JEA240" s="4"/>
      <c r="JEB240" s="4"/>
      <c r="JEC240" s="4"/>
      <c r="JED240" s="4"/>
      <c r="JEE240" s="4"/>
      <c r="JEF240" s="4"/>
      <c r="JEG240" s="4"/>
      <c r="JEH240" s="4"/>
      <c r="JEI240" s="4"/>
      <c r="JEJ240" s="4"/>
      <c r="JEK240" s="4"/>
      <c r="JEL240" s="4"/>
      <c r="JEM240" s="4"/>
      <c r="JEN240" s="4"/>
      <c r="JEO240" s="4"/>
      <c r="JEP240" s="4"/>
      <c r="JEQ240" s="4"/>
      <c r="JER240" s="4"/>
      <c r="JES240" s="4"/>
      <c r="JET240" s="4"/>
      <c r="JEU240" s="4"/>
      <c r="JEV240" s="4"/>
      <c r="JEW240" s="4"/>
      <c r="JEX240" s="4"/>
      <c r="JEY240" s="4"/>
      <c r="JEZ240" s="4"/>
      <c r="JFA240" s="4"/>
      <c r="JFB240" s="4"/>
      <c r="JFC240" s="4"/>
      <c r="JFD240" s="4"/>
      <c r="JFE240" s="4"/>
      <c r="JFF240" s="4"/>
      <c r="JFG240" s="4"/>
      <c r="JFH240" s="4"/>
      <c r="JFI240" s="4"/>
      <c r="JFJ240" s="4"/>
      <c r="JFK240" s="4"/>
      <c r="JFL240" s="4"/>
      <c r="JFM240" s="4"/>
      <c r="JFN240" s="4"/>
      <c r="JFO240" s="4"/>
      <c r="JFP240" s="4"/>
      <c r="JFQ240" s="4"/>
      <c r="JFR240" s="4"/>
      <c r="JFS240" s="4"/>
      <c r="JFT240" s="4"/>
      <c r="JFU240" s="4"/>
      <c r="JFV240" s="4"/>
      <c r="JFW240" s="4"/>
      <c r="JFX240" s="4"/>
      <c r="JFY240" s="4"/>
      <c r="JFZ240" s="4"/>
      <c r="JGA240" s="4"/>
      <c r="JGB240" s="4"/>
      <c r="JGC240" s="4"/>
      <c r="JGD240" s="4"/>
      <c r="JGE240" s="4"/>
      <c r="JGF240" s="4"/>
      <c r="JGG240" s="4"/>
      <c r="JGH240" s="4"/>
      <c r="JGI240" s="4"/>
      <c r="JGJ240" s="4"/>
      <c r="JGK240" s="4"/>
      <c r="JGL240" s="4"/>
      <c r="JGM240" s="4"/>
      <c r="JGN240" s="4"/>
      <c r="JGO240" s="4"/>
      <c r="JGP240" s="4"/>
      <c r="JGQ240" s="4"/>
      <c r="JGR240" s="4"/>
      <c r="JGS240" s="4"/>
      <c r="JGT240" s="4"/>
      <c r="JGU240" s="4"/>
      <c r="JGV240" s="4"/>
      <c r="JGW240" s="4"/>
      <c r="JGX240" s="4"/>
      <c r="JGY240" s="4"/>
      <c r="JGZ240" s="4"/>
      <c r="JHA240" s="4"/>
      <c r="JHB240" s="4"/>
      <c r="JHC240" s="4"/>
      <c r="JHD240" s="4"/>
      <c r="JHE240" s="4"/>
      <c r="JHF240" s="4"/>
      <c r="JHG240" s="4"/>
      <c r="JHH240" s="4"/>
      <c r="JHI240" s="4"/>
      <c r="JHJ240" s="4"/>
      <c r="JHK240" s="4"/>
      <c r="JHL240" s="4"/>
      <c r="JHM240" s="4"/>
      <c r="JHN240" s="4"/>
      <c r="JHO240" s="4"/>
      <c r="JHP240" s="4"/>
      <c r="JHQ240" s="4"/>
      <c r="JHR240" s="4"/>
      <c r="JHS240" s="4"/>
      <c r="JHT240" s="4"/>
      <c r="JHU240" s="4"/>
      <c r="JHV240" s="4"/>
      <c r="JHW240" s="4"/>
      <c r="JHX240" s="4"/>
      <c r="JHY240" s="4"/>
      <c r="JHZ240" s="4"/>
      <c r="JIA240" s="4"/>
      <c r="JIB240" s="4"/>
      <c r="JIC240" s="4"/>
      <c r="JID240" s="4"/>
      <c r="JIE240" s="4"/>
      <c r="JIF240" s="4"/>
      <c r="JIG240" s="4"/>
      <c r="JIH240" s="4"/>
      <c r="JII240" s="4"/>
      <c r="JIJ240" s="4"/>
      <c r="JIK240" s="4"/>
      <c r="JIL240" s="4"/>
      <c r="JIM240" s="4"/>
      <c r="JIN240" s="4"/>
      <c r="JIO240" s="4"/>
      <c r="JIP240" s="4"/>
      <c r="JIQ240" s="4"/>
      <c r="JIR240" s="4"/>
      <c r="JIS240" s="4"/>
      <c r="JIT240" s="4"/>
      <c r="JIU240" s="4"/>
      <c r="JIV240" s="4"/>
      <c r="JIW240" s="4"/>
      <c r="JIX240" s="4"/>
      <c r="JIY240" s="4"/>
      <c r="JIZ240" s="4"/>
      <c r="JJA240" s="4"/>
      <c r="JJB240" s="4"/>
      <c r="JJC240" s="4"/>
      <c r="JJD240" s="4"/>
      <c r="JJE240" s="4"/>
      <c r="JJF240" s="4"/>
      <c r="JJG240" s="4"/>
      <c r="JJH240" s="4"/>
      <c r="JJI240" s="4"/>
      <c r="JJJ240" s="4"/>
      <c r="JJK240" s="4"/>
      <c r="JJL240" s="4"/>
      <c r="JJM240" s="4"/>
      <c r="JJN240" s="4"/>
      <c r="JJO240" s="4"/>
      <c r="JJP240" s="4"/>
      <c r="JJQ240" s="4"/>
      <c r="JJR240" s="4"/>
      <c r="JJS240" s="4"/>
      <c r="JJT240" s="4"/>
      <c r="JJU240" s="4"/>
      <c r="JJV240" s="4"/>
      <c r="JJW240" s="4"/>
      <c r="JJX240" s="4"/>
      <c r="JJY240" s="4"/>
      <c r="JJZ240" s="4"/>
      <c r="JKA240" s="4"/>
      <c r="JKB240" s="4"/>
      <c r="JKC240" s="4"/>
      <c r="JKD240" s="4"/>
      <c r="JKE240" s="4"/>
      <c r="JKF240" s="4"/>
      <c r="JKG240" s="4"/>
      <c r="JKH240" s="4"/>
      <c r="JKI240" s="4"/>
      <c r="JKJ240" s="4"/>
      <c r="JKK240" s="4"/>
      <c r="JKL240" s="4"/>
      <c r="JKM240" s="4"/>
      <c r="JKN240" s="4"/>
      <c r="JKO240" s="4"/>
      <c r="JKP240" s="4"/>
      <c r="JKQ240" s="4"/>
      <c r="JKR240" s="4"/>
      <c r="JKS240" s="4"/>
      <c r="JKT240" s="4"/>
      <c r="JKU240" s="4"/>
      <c r="JKV240" s="4"/>
      <c r="JKW240" s="4"/>
      <c r="JKX240" s="4"/>
      <c r="JKY240" s="4"/>
      <c r="JKZ240" s="4"/>
      <c r="JLA240" s="4"/>
      <c r="JLB240" s="4"/>
      <c r="JLC240" s="4"/>
      <c r="JLD240" s="4"/>
      <c r="JLE240" s="4"/>
      <c r="JLF240" s="4"/>
      <c r="JLG240" s="4"/>
      <c r="JLH240" s="4"/>
      <c r="JLI240" s="4"/>
      <c r="JLJ240" s="4"/>
      <c r="JLK240" s="4"/>
      <c r="JLL240" s="4"/>
      <c r="JLM240" s="4"/>
      <c r="JLN240" s="4"/>
      <c r="JLO240" s="4"/>
      <c r="JLP240" s="4"/>
      <c r="JLQ240" s="4"/>
      <c r="JLR240" s="4"/>
      <c r="JLS240" s="4"/>
      <c r="JLT240" s="4"/>
      <c r="JLU240" s="4"/>
      <c r="JLV240" s="4"/>
      <c r="JLW240" s="4"/>
      <c r="JLX240" s="4"/>
      <c r="JLY240" s="4"/>
      <c r="JLZ240" s="4"/>
      <c r="JMA240" s="4"/>
      <c r="JMB240" s="4"/>
      <c r="JMC240" s="4"/>
      <c r="JMD240" s="4"/>
      <c r="JME240" s="4"/>
      <c r="JMF240" s="4"/>
      <c r="JMG240" s="4"/>
      <c r="JMH240" s="4"/>
      <c r="JMI240" s="4"/>
      <c r="JMJ240" s="4"/>
      <c r="JMK240" s="4"/>
      <c r="JML240" s="4"/>
      <c r="JMM240" s="4"/>
      <c r="JMN240" s="4"/>
      <c r="JMO240" s="4"/>
      <c r="JMP240" s="4"/>
      <c r="JMQ240" s="4"/>
      <c r="JMR240" s="4"/>
      <c r="JMS240" s="4"/>
      <c r="JMT240" s="4"/>
      <c r="JMU240" s="4"/>
      <c r="JMV240" s="4"/>
      <c r="JMW240" s="4"/>
      <c r="JMX240" s="4"/>
      <c r="JMY240" s="4"/>
      <c r="JMZ240" s="4"/>
      <c r="JNA240" s="4"/>
      <c r="JNB240" s="4"/>
      <c r="JNC240" s="4"/>
      <c r="JND240" s="4"/>
      <c r="JNE240" s="4"/>
      <c r="JNF240" s="4"/>
      <c r="JNG240" s="4"/>
      <c r="JNH240" s="4"/>
      <c r="JNI240" s="4"/>
      <c r="JNJ240" s="4"/>
      <c r="JNK240" s="4"/>
      <c r="JNL240" s="4"/>
      <c r="JNM240" s="4"/>
      <c r="JNN240" s="4"/>
      <c r="JNO240" s="4"/>
      <c r="JNP240" s="4"/>
      <c r="JNQ240" s="4"/>
      <c r="JNR240" s="4"/>
      <c r="JNS240" s="4"/>
      <c r="JNT240" s="4"/>
      <c r="JNU240" s="4"/>
      <c r="JNV240" s="4"/>
      <c r="JNW240" s="4"/>
      <c r="JNX240" s="4"/>
      <c r="JNY240" s="4"/>
      <c r="JNZ240" s="4"/>
      <c r="JOA240" s="4"/>
      <c r="JOB240" s="4"/>
      <c r="JOC240" s="4"/>
      <c r="JOD240" s="4"/>
      <c r="JOE240" s="4"/>
      <c r="JOF240" s="4"/>
      <c r="JOG240" s="4"/>
      <c r="JOH240" s="4"/>
      <c r="JOI240" s="4"/>
      <c r="JOJ240" s="4"/>
      <c r="JOK240" s="4"/>
      <c r="JOL240" s="4"/>
      <c r="JOM240" s="4"/>
      <c r="JON240" s="4"/>
      <c r="JOO240" s="4"/>
      <c r="JOP240" s="4"/>
      <c r="JOQ240" s="4"/>
      <c r="JOR240" s="4"/>
      <c r="JOS240" s="4"/>
      <c r="JOT240" s="4"/>
      <c r="JOU240" s="4"/>
      <c r="JOV240" s="4"/>
      <c r="JOW240" s="4"/>
      <c r="JOX240" s="4"/>
      <c r="JOY240" s="4"/>
      <c r="JOZ240" s="4"/>
      <c r="JPA240" s="4"/>
      <c r="JPB240" s="4"/>
      <c r="JPC240" s="4"/>
      <c r="JPD240" s="4"/>
      <c r="JPE240" s="4"/>
      <c r="JPF240" s="4"/>
      <c r="JPG240" s="4"/>
      <c r="JPH240" s="4"/>
      <c r="JPI240" s="4"/>
      <c r="JPJ240" s="4"/>
      <c r="JPK240" s="4"/>
      <c r="JPL240" s="4"/>
      <c r="JPM240" s="4"/>
      <c r="JPN240" s="4"/>
      <c r="JPO240" s="4"/>
      <c r="JPP240" s="4"/>
      <c r="JPQ240" s="4"/>
      <c r="JPR240" s="4"/>
      <c r="JPS240" s="4"/>
      <c r="JPT240" s="4"/>
      <c r="JPU240" s="4"/>
      <c r="JPV240" s="4"/>
      <c r="JPW240" s="4"/>
      <c r="JPX240" s="4"/>
      <c r="JPY240" s="4"/>
      <c r="JPZ240" s="4"/>
      <c r="JQA240" s="4"/>
      <c r="JQB240" s="4"/>
      <c r="JQC240" s="4"/>
      <c r="JQD240" s="4"/>
      <c r="JQE240" s="4"/>
      <c r="JQF240" s="4"/>
      <c r="JQG240" s="4"/>
      <c r="JQH240" s="4"/>
      <c r="JQI240" s="4"/>
      <c r="JQJ240" s="4"/>
      <c r="JQK240" s="4"/>
      <c r="JQL240" s="4"/>
      <c r="JQM240" s="4"/>
      <c r="JQN240" s="4"/>
      <c r="JQO240" s="4"/>
      <c r="JQP240" s="4"/>
      <c r="JQQ240" s="4"/>
      <c r="JQR240" s="4"/>
      <c r="JQS240" s="4"/>
      <c r="JQT240" s="4"/>
      <c r="JQU240" s="4"/>
      <c r="JQV240" s="4"/>
      <c r="JQW240" s="4"/>
      <c r="JQX240" s="4"/>
      <c r="JQY240" s="4"/>
      <c r="JQZ240" s="4"/>
      <c r="JRA240" s="4"/>
      <c r="JRB240" s="4"/>
      <c r="JRC240" s="4"/>
      <c r="JRD240" s="4"/>
      <c r="JRE240" s="4"/>
      <c r="JRF240" s="4"/>
      <c r="JRG240" s="4"/>
      <c r="JRH240" s="4"/>
      <c r="JRI240" s="4"/>
      <c r="JRJ240" s="4"/>
      <c r="JRK240" s="4"/>
      <c r="JRL240" s="4"/>
      <c r="JRM240" s="4"/>
      <c r="JRN240" s="4"/>
      <c r="JRO240" s="4"/>
      <c r="JRP240" s="4"/>
      <c r="JRQ240" s="4"/>
      <c r="JRR240" s="4"/>
      <c r="JRS240" s="4"/>
      <c r="JRT240" s="4"/>
      <c r="JRU240" s="4"/>
      <c r="JRV240" s="4"/>
      <c r="JRW240" s="4"/>
      <c r="JRX240" s="4"/>
      <c r="JRY240" s="4"/>
      <c r="JRZ240" s="4"/>
      <c r="JSA240" s="4"/>
      <c r="JSB240" s="4"/>
      <c r="JSC240" s="4"/>
      <c r="JSD240" s="4"/>
      <c r="JSE240" s="4"/>
      <c r="JSF240" s="4"/>
      <c r="JSG240" s="4"/>
      <c r="JSH240" s="4"/>
      <c r="JSI240" s="4"/>
      <c r="JSJ240" s="4"/>
      <c r="JSK240" s="4"/>
      <c r="JSL240" s="4"/>
      <c r="JSM240" s="4"/>
      <c r="JSN240" s="4"/>
      <c r="JSO240" s="4"/>
      <c r="JSP240" s="4"/>
      <c r="JSQ240" s="4"/>
      <c r="JSR240" s="4"/>
      <c r="JSS240" s="4"/>
      <c r="JST240" s="4"/>
      <c r="JSU240" s="4"/>
      <c r="JSV240" s="4"/>
      <c r="JSW240" s="4"/>
      <c r="JSX240" s="4"/>
      <c r="JSY240" s="4"/>
      <c r="JSZ240" s="4"/>
      <c r="JTA240" s="4"/>
      <c r="JTB240" s="4"/>
      <c r="JTC240" s="4"/>
      <c r="JTD240" s="4"/>
      <c r="JTE240" s="4"/>
      <c r="JTF240" s="4"/>
      <c r="JTG240" s="4"/>
      <c r="JTH240" s="4"/>
      <c r="JTI240" s="4"/>
      <c r="JTJ240" s="4"/>
      <c r="JTK240" s="4"/>
      <c r="JTL240" s="4"/>
      <c r="JTM240" s="4"/>
      <c r="JTN240" s="4"/>
      <c r="JTO240" s="4"/>
      <c r="JTP240" s="4"/>
      <c r="JTQ240" s="4"/>
      <c r="JTR240" s="4"/>
      <c r="JTS240" s="4"/>
      <c r="JTT240" s="4"/>
      <c r="JTU240" s="4"/>
      <c r="JTV240" s="4"/>
      <c r="JTW240" s="4"/>
      <c r="JTX240" s="4"/>
      <c r="JTY240" s="4"/>
      <c r="JTZ240" s="4"/>
      <c r="JUA240" s="4"/>
      <c r="JUB240" s="4"/>
      <c r="JUC240" s="4"/>
      <c r="JUD240" s="4"/>
      <c r="JUE240" s="4"/>
      <c r="JUF240" s="4"/>
      <c r="JUG240" s="4"/>
      <c r="JUH240" s="4"/>
      <c r="JUI240" s="4"/>
      <c r="JUJ240" s="4"/>
      <c r="JUK240" s="4"/>
      <c r="JUL240" s="4"/>
      <c r="JUM240" s="4"/>
      <c r="JUN240" s="4"/>
      <c r="JUO240" s="4"/>
      <c r="JUP240" s="4"/>
      <c r="JUQ240" s="4"/>
      <c r="JUR240" s="4"/>
      <c r="JUS240" s="4"/>
      <c r="JUT240" s="4"/>
      <c r="JUU240" s="4"/>
      <c r="JUV240" s="4"/>
      <c r="JUW240" s="4"/>
      <c r="JUX240" s="4"/>
      <c r="JUY240" s="4"/>
      <c r="JUZ240" s="4"/>
      <c r="JVA240" s="4"/>
      <c r="JVB240" s="4"/>
      <c r="JVC240" s="4"/>
      <c r="JVD240" s="4"/>
      <c r="JVE240" s="4"/>
      <c r="JVF240" s="4"/>
      <c r="JVG240" s="4"/>
      <c r="JVH240" s="4"/>
      <c r="JVI240" s="4"/>
      <c r="JVJ240" s="4"/>
      <c r="JVK240" s="4"/>
      <c r="JVL240" s="4"/>
      <c r="JVM240" s="4"/>
      <c r="JVN240" s="4"/>
      <c r="JVO240" s="4"/>
      <c r="JVP240" s="4"/>
      <c r="JVQ240" s="4"/>
      <c r="JVR240" s="4"/>
      <c r="JVS240" s="4"/>
      <c r="JVT240" s="4"/>
      <c r="JVU240" s="4"/>
      <c r="JVV240" s="4"/>
      <c r="JVW240" s="4"/>
      <c r="JVX240" s="4"/>
      <c r="JVY240" s="4"/>
      <c r="JVZ240" s="4"/>
      <c r="JWA240" s="4"/>
      <c r="JWB240" s="4"/>
      <c r="JWC240" s="4"/>
      <c r="JWD240" s="4"/>
      <c r="JWE240" s="4"/>
      <c r="JWF240" s="4"/>
      <c r="JWG240" s="4"/>
      <c r="JWH240" s="4"/>
      <c r="JWI240" s="4"/>
      <c r="JWJ240" s="4"/>
      <c r="JWK240" s="4"/>
      <c r="JWL240" s="4"/>
      <c r="JWM240" s="4"/>
      <c r="JWN240" s="4"/>
      <c r="JWO240" s="4"/>
      <c r="JWP240" s="4"/>
      <c r="JWQ240" s="4"/>
      <c r="JWR240" s="4"/>
      <c r="JWS240" s="4"/>
      <c r="JWT240" s="4"/>
      <c r="JWU240" s="4"/>
      <c r="JWV240" s="4"/>
      <c r="JWW240" s="4"/>
      <c r="JWX240" s="4"/>
      <c r="JWY240" s="4"/>
      <c r="JWZ240" s="4"/>
      <c r="JXA240" s="4"/>
      <c r="JXB240" s="4"/>
      <c r="JXC240" s="4"/>
      <c r="JXD240" s="4"/>
      <c r="JXE240" s="4"/>
      <c r="JXF240" s="4"/>
      <c r="JXG240" s="4"/>
      <c r="JXH240" s="4"/>
      <c r="JXI240" s="4"/>
      <c r="JXJ240" s="4"/>
      <c r="JXK240" s="4"/>
      <c r="JXL240" s="4"/>
      <c r="JXM240" s="4"/>
      <c r="JXN240" s="4"/>
      <c r="JXO240" s="4"/>
      <c r="JXP240" s="4"/>
      <c r="JXQ240" s="4"/>
      <c r="JXR240" s="4"/>
      <c r="JXS240" s="4"/>
      <c r="JXT240" s="4"/>
      <c r="JXU240" s="4"/>
      <c r="JXV240" s="4"/>
      <c r="JXW240" s="4"/>
      <c r="JXX240" s="4"/>
      <c r="JXY240" s="4"/>
      <c r="JXZ240" s="4"/>
      <c r="JYA240" s="4"/>
      <c r="JYB240" s="4"/>
      <c r="JYC240" s="4"/>
      <c r="JYD240" s="4"/>
      <c r="JYE240" s="4"/>
      <c r="JYF240" s="4"/>
      <c r="JYG240" s="4"/>
      <c r="JYH240" s="4"/>
      <c r="JYI240" s="4"/>
      <c r="JYJ240" s="4"/>
      <c r="JYK240" s="4"/>
      <c r="JYL240" s="4"/>
      <c r="JYM240" s="4"/>
      <c r="JYN240" s="4"/>
      <c r="JYO240" s="4"/>
      <c r="JYP240" s="4"/>
      <c r="JYQ240" s="4"/>
      <c r="JYR240" s="4"/>
      <c r="JYS240" s="4"/>
      <c r="JYT240" s="4"/>
      <c r="JYU240" s="4"/>
      <c r="JYV240" s="4"/>
      <c r="JYW240" s="4"/>
      <c r="JYX240" s="4"/>
      <c r="JYY240" s="4"/>
      <c r="JYZ240" s="4"/>
      <c r="JZA240" s="4"/>
      <c r="JZB240" s="4"/>
      <c r="JZC240" s="4"/>
      <c r="JZD240" s="4"/>
      <c r="JZE240" s="4"/>
      <c r="JZF240" s="4"/>
      <c r="JZG240" s="4"/>
      <c r="JZH240" s="4"/>
      <c r="JZI240" s="4"/>
      <c r="JZJ240" s="4"/>
      <c r="JZK240" s="4"/>
      <c r="JZL240" s="4"/>
      <c r="JZM240" s="4"/>
      <c r="JZN240" s="4"/>
      <c r="JZO240" s="4"/>
      <c r="JZP240" s="4"/>
      <c r="JZQ240" s="4"/>
      <c r="JZR240" s="4"/>
      <c r="JZS240" s="4"/>
      <c r="JZT240" s="4"/>
      <c r="JZU240" s="4"/>
      <c r="JZV240" s="4"/>
      <c r="JZW240" s="4"/>
      <c r="JZX240" s="4"/>
      <c r="JZY240" s="4"/>
      <c r="JZZ240" s="4"/>
      <c r="KAA240" s="4"/>
      <c r="KAB240" s="4"/>
      <c r="KAC240" s="4"/>
      <c r="KAD240" s="4"/>
      <c r="KAE240" s="4"/>
      <c r="KAF240" s="4"/>
      <c r="KAG240" s="4"/>
      <c r="KAH240" s="4"/>
      <c r="KAI240" s="4"/>
      <c r="KAJ240" s="4"/>
      <c r="KAK240" s="4"/>
      <c r="KAL240" s="4"/>
      <c r="KAM240" s="4"/>
      <c r="KAN240" s="4"/>
      <c r="KAO240" s="4"/>
      <c r="KAP240" s="4"/>
      <c r="KAQ240" s="4"/>
      <c r="KAR240" s="4"/>
      <c r="KAS240" s="4"/>
      <c r="KAT240" s="4"/>
      <c r="KAU240" s="4"/>
      <c r="KAV240" s="4"/>
      <c r="KAW240" s="4"/>
      <c r="KAX240" s="4"/>
      <c r="KAY240" s="4"/>
      <c r="KAZ240" s="4"/>
      <c r="KBA240" s="4"/>
      <c r="KBB240" s="4"/>
      <c r="KBC240" s="4"/>
      <c r="KBD240" s="4"/>
      <c r="KBE240" s="4"/>
      <c r="KBF240" s="4"/>
      <c r="KBG240" s="4"/>
      <c r="KBH240" s="4"/>
      <c r="KBI240" s="4"/>
      <c r="KBJ240" s="4"/>
      <c r="KBK240" s="4"/>
      <c r="KBL240" s="4"/>
      <c r="KBM240" s="4"/>
      <c r="KBN240" s="4"/>
      <c r="KBO240" s="4"/>
      <c r="KBP240" s="4"/>
      <c r="KBQ240" s="4"/>
      <c r="KBR240" s="4"/>
      <c r="KBS240" s="4"/>
      <c r="KBT240" s="4"/>
      <c r="KBU240" s="4"/>
      <c r="KBV240" s="4"/>
      <c r="KBW240" s="4"/>
      <c r="KBX240" s="4"/>
      <c r="KBY240" s="4"/>
      <c r="KBZ240" s="4"/>
      <c r="KCA240" s="4"/>
      <c r="KCB240" s="4"/>
      <c r="KCC240" s="4"/>
      <c r="KCD240" s="4"/>
      <c r="KCE240" s="4"/>
      <c r="KCF240" s="4"/>
      <c r="KCG240" s="4"/>
      <c r="KCH240" s="4"/>
      <c r="KCI240" s="4"/>
      <c r="KCJ240" s="4"/>
      <c r="KCK240" s="4"/>
      <c r="KCL240" s="4"/>
      <c r="KCM240" s="4"/>
      <c r="KCN240" s="4"/>
      <c r="KCO240" s="4"/>
      <c r="KCP240" s="4"/>
      <c r="KCQ240" s="4"/>
      <c r="KCR240" s="4"/>
      <c r="KCS240" s="4"/>
      <c r="KCT240" s="4"/>
      <c r="KCU240" s="4"/>
      <c r="KCV240" s="4"/>
      <c r="KCW240" s="4"/>
      <c r="KCX240" s="4"/>
      <c r="KCY240" s="4"/>
      <c r="KCZ240" s="4"/>
      <c r="KDA240" s="4"/>
      <c r="KDB240" s="4"/>
      <c r="KDC240" s="4"/>
      <c r="KDD240" s="4"/>
      <c r="KDE240" s="4"/>
      <c r="KDF240" s="4"/>
      <c r="KDG240" s="4"/>
      <c r="KDH240" s="4"/>
      <c r="KDI240" s="4"/>
      <c r="KDJ240" s="4"/>
      <c r="KDK240" s="4"/>
      <c r="KDL240" s="4"/>
      <c r="KDM240" s="4"/>
      <c r="KDN240" s="4"/>
      <c r="KDO240" s="4"/>
      <c r="KDP240" s="4"/>
      <c r="KDQ240" s="4"/>
      <c r="KDR240" s="4"/>
      <c r="KDS240" s="4"/>
      <c r="KDT240" s="4"/>
      <c r="KDU240" s="4"/>
      <c r="KDV240" s="4"/>
      <c r="KDW240" s="4"/>
      <c r="KDX240" s="4"/>
      <c r="KDY240" s="4"/>
      <c r="KDZ240" s="4"/>
      <c r="KEA240" s="4"/>
      <c r="KEB240" s="4"/>
      <c r="KEC240" s="4"/>
      <c r="KED240" s="4"/>
      <c r="KEE240" s="4"/>
      <c r="KEF240" s="4"/>
      <c r="KEG240" s="4"/>
      <c r="KEH240" s="4"/>
      <c r="KEI240" s="4"/>
      <c r="KEJ240" s="4"/>
      <c r="KEK240" s="4"/>
      <c r="KEL240" s="4"/>
      <c r="KEM240" s="4"/>
      <c r="KEN240" s="4"/>
      <c r="KEO240" s="4"/>
      <c r="KEP240" s="4"/>
      <c r="KEQ240" s="4"/>
      <c r="KER240" s="4"/>
      <c r="KES240" s="4"/>
      <c r="KET240" s="4"/>
      <c r="KEU240" s="4"/>
      <c r="KEV240" s="4"/>
      <c r="KEW240" s="4"/>
      <c r="KEX240" s="4"/>
      <c r="KEY240" s="4"/>
      <c r="KEZ240" s="4"/>
      <c r="KFA240" s="4"/>
      <c r="KFB240" s="4"/>
      <c r="KFC240" s="4"/>
      <c r="KFD240" s="4"/>
      <c r="KFE240" s="4"/>
      <c r="KFF240" s="4"/>
      <c r="KFG240" s="4"/>
      <c r="KFH240" s="4"/>
      <c r="KFI240" s="4"/>
      <c r="KFJ240" s="4"/>
      <c r="KFK240" s="4"/>
      <c r="KFL240" s="4"/>
      <c r="KFM240" s="4"/>
      <c r="KFN240" s="4"/>
      <c r="KFO240" s="4"/>
      <c r="KFP240" s="4"/>
      <c r="KFQ240" s="4"/>
      <c r="KFR240" s="4"/>
      <c r="KFS240" s="4"/>
      <c r="KFT240" s="4"/>
      <c r="KFU240" s="4"/>
      <c r="KFV240" s="4"/>
      <c r="KFW240" s="4"/>
      <c r="KFX240" s="4"/>
      <c r="KFY240" s="4"/>
      <c r="KFZ240" s="4"/>
      <c r="KGA240" s="4"/>
      <c r="KGB240" s="4"/>
      <c r="KGC240" s="4"/>
      <c r="KGD240" s="4"/>
      <c r="KGE240" s="4"/>
      <c r="KGF240" s="4"/>
      <c r="KGG240" s="4"/>
      <c r="KGH240" s="4"/>
      <c r="KGI240" s="4"/>
      <c r="KGJ240" s="4"/>
      <c r="KGK240" s="4"/>
      <c r="KGL240" s="4"/>
      <c r="KGM240" s="4"/>
      <c r="KGN240" s="4"/>
      <c r="KGO240" s="4"/>
      <c r="KGP240" s="4"/>
      <c r="KGQ240" s="4"/>
      <c r="KGR240" s="4"/>
      <c r="KGS240" s="4"/>
      <c r="KGT240" s="4"/>
      <c r="KGU240" s="4"/>
      <c r="KGV240" s="4"/>
      <c r="KGW240" s="4"/>
      <c r="KGX240" s="4"/>
      <c r="KGY240" s="4"/>
      <c r="KGZ240" s="4"/>
      <c r="KHA240" s="4"/>
      <c r="KHB240" s="4"/>
      <c r="KHC240" s="4"/>
      <c r="KHD240" s="4"/>
      <c r="KHE240" s="4"/>
      <c r="KHF240" s="4"/>
      <c r="KHG240" s="4"/>
      <c r="KHH240" s="4"/>
      <c r="KHI240" s="4"/>
      <c r="KHJ240" s="4"/>
      <c r="KHK240" s="4"/>
      <c r="KHL240" s="4"/>
      <c r="KHM240" s="4"/>
      <c r="KHN240" s="4"/>
      <c r="KHO240" s="4"/>
      <c r="KHP240" s="4"/>
      <c r="KHQ240" s="4"/>
      <c r="KHR240" s="4"/>
      <c r="KHS240" s="4"/>
      <c r="KHT240" s="4"/>
      <c r="KHU240" s="4"/>
      <c r="KHV240" s="4"/>
      <c r="KHW240" s="4"/>
      <c r="KHX240" s="4"/>
      <c r="KHY240" s="4"/>
      <c r="KHZ240" s="4"/>
      <c r="KIA240" s="4"/>
      <c r="KIB240" s="4"/>
      <c r="KIC240" s="4"/>
      <c r="KID240" s="4"/>
      <c r="KIE240" s="4"/>
      <c r="KIF240" s="4"/>
      <c r="KIG240" s="4"/>
      <c r="KIH240" s="4"/>
      <c r="KII240" s="4"/>
      <c r="KIJ240" s="4"/>
      <c r="KIK240" s="4"/>
      <c r="KIL240" s="4"/>
      <c r="KIM240" s="4"/>
      <c r="KIN240" s="4"/>
      <c r="KIO240" s="4"/>
      <c r="KIP240" s="4"/>
      <c r="KIQ240" s="4"/>
      <c r="KIR240" s="4"/>
      <c r="KIS240" s="4"/>
      <c r="KIT240" s="4"/>
      <c r="KIU240" s="4"/>
      <c r="KIV240" s="4"/>
      <c r="KIW240" s="4"/>
      <c r="KIX240" s="4"/>
      <c r="KIY240" s="4"/>
      <c r="KIZ240" s="4"/>
      <c r="KJA240" s="4"/>
      <c r="KJB240" s="4"/>
      <c r="KJC240" s="4"/>
      <c r="KJD240" s="4"/>
      <c r="KJE240" s="4"/>
      <c r="KJF240" s="4"/>
      <c r="KJG240" s="4"/>
      <c r="KJH240" s="4"/>
      <c r="KJI240" s="4"/>
      <c r="KJJ240" s="4"/>
      <c r="KJK240" s="4"/>
      <c r="KJL240" s="4"/>
      <c r="KJM240" s="4"/>
      <c r="KJN240" s="4"/>
      <c r="KJO240" s="4"/>
      <c r="KJP240" s="4"/>
      <c r="KJQ240" s="4"/>
      <c r="KJR240" s="4"/>
      <c r="KJS240" s="4"/>
      <c r="KJT240" s="4"/>
      <c r="KJU240" s="4"/>
      <c r="KJV240" s="4"/>
      <c r="KJW240" s="4"/>
      <c r="KJX240" s="4"/>
      <c r="KJY240" s="4"/>
      <c r="KJZ240" s="4"/>
      <c r="KKA240" s="4"/>
      <c r="KKB240" s="4"/>
      <c r="KKC240" s="4"/>
      <c r="KKD240" s="4"/>
      <c r="KKE240" s="4"/>
      <c r="KKF240" s="4"/>
      <c r="KKG240" s="4"/>
      <c r="KKH240" s="4"/>
      <c r="KKI240" s="4"/>
      <c r="KKJ240" s="4"/>
      <c r="KKK240" s="4"/>
      <c r="KKL240" s="4"/>
      <c r="KKM240" s="4"/>
      <c r="KKN240" s="4"/>
      <c r="KKO240" s="4"/>
      <c r="KKP240" s="4"/>
      <c r="KKQ240" s="4"/>
      <c r="KKR240" s="4"/>
      <c r="KKS240" s="4"/>
      <c r="KKT240" s="4"/>
      <c r="KKU240" s="4"/>
      <c r="KKV240" s="4"/>
      <c r="KKW240" s="4"/>
      <c r="KKX240" s="4"/>
      <c r="KKY240" s="4"/>
      <c r="KKZ240" s="4"/>
      <c r="KLA240" s="4"/>
      <c r="KLB240" s="4"/>
      <c r="KLC240" s="4"/>
      <c r="KLD240" s="4"/>
      <c r="KLE240" s="4"/>
      <c r="KLF240" s="4"/>
      <c r="KLG240" s="4"/>
      <c r="KLH240" s="4"/>
      <c r="KLI240" s="4"/>
      <c r="KLJ240" s="4"/>
      <c r="KLK240" s="4"/>
      <c r="KLL240" s="4"/>
      <c r="KLM240" s="4"/>
      <c r="KLN240" s="4"/>
      <c r="KLO240" s="4"/>
      <c r="KLP240" s="4"/>
      <c r="KLQ240" s="4"/>
      <c r="KLR240" s="4"/>
      <c r="KLS240" s="4"/>
      <c r="KLT240" s="4"/>
      <c r="KLU240" s="4"/>
      <c r="KLV240" s="4"/>
      <c r="KLW240" s="4"/>
      <c r="KLX240" s="4"/>
      <c r="KLY240" s="4"/>
      <c r="KLZ240" s="4"/>
      <c r="KMA240" s="4"/>
      <c r="KMB240" s="4"/>
      <c r="KMC240" s="4"/>
      <c r="KMD240" s="4"/>
      <c r="KME240" s="4"/>
      <c r="KMF240" s="4"/>
      <c r="KMG240" s="4"/>
      <c r="KMH240" s="4"/>
      <c r="KMI240" s="4"/>
      <c r="KMJ240" s="4"/>
      <c r="KMK240" s="4"/>
      <c r="KML240" s="4"/>
      <c r="KMM240" s="4"/>
      <c r="KMN240" s="4"/>
      <c r="KMO240" s="4"/>
      <c r="KMP240" s="4"/>
      <c r="KMQ240" s="4"/>
      <c r="KMR240" s="4"/>
      <c r="KMS240" s="4"/>
      <c r="KMT240" s="4"/>
      <c r="KMU240" s="4"/>
      <c r="KMV240" s="4"/>
      <c r="KMW240" s="4"/>
      <c r="KMX240" s="4"/>
      <c r="KMY240" s="4"/>
      <c r="KMZ240" s="4"/>
      <c r="KNA240" s="4"/>
      <c r="KNB240" s="4"/>
      <c r="KNC240" s="4"/>
      <c r="KND240" s="4"/>
      <c r="KNE240" s="4"/>
      <c r="KNF240" s="4"/>
      <c r="KNG240" s="4"/>
      <c r="KNH240" s="4"/>
      <c r="KNI240" s="4"/>
      <c r="KNJ240" s="4"/>
      <c r="KNK240" s="4"/>
      <c r="KNL240" s="4"/>
      <c r="KNM240" s="4"/>
      <c r="KNN240" s="4"/>
      <c r="KNO240" s="4"/>
      <c r="KNP240" s="4"/>
      <c r="KNQ240" s="4"/>
      <c r="KNR240" s="4"/>
      <c r="KNS240" s="4"/>
      <c r="KNT240" s="4"/>
      <c r="KNU240" s="4"/>
      <c r="KNV240" s="4"/>
      <c r="KNW240" s="4"/>
      <c r="KNX240" s="4"/>
      <c r="KNY240" s="4"/>
      <c r="KNZ240" s="4"/>
      <c r="KOA240" s="4"/>
      <c r="KOB240" s="4"/>
      <c r="KOC240" s="4"/>
      <c r="KOD240" s="4"/>
      <c r="KOE240" s="4"/>
      <c r="KOF240" s="4"/>
      <c r="KOG240" s="4"/>
      <c r="KOH240" s="4"/>
      <c r="KOI240" s="4"/>
      <c r="KOJ240" s="4"/>
      <c r="KOK240" s="4"/>
      <c r="KOL240" s="4"/>
      <c r="KOM240" s="4"/>
      <c r="KON240" s="4"/>
      <c r="KOO240" s="4"/>
      <c r="KOP240" s="4"/>
      <c r="KOQ240" s="4"/>
      <c r="KOR240" s="4"/>
      <c r="KOS240" s="4"/>
      <c r="KOT240" s="4"/>
      <c r="KOU240" s="4"/>
      <c r="KOV240" s="4"/>
      <c r="KOW240" s="4"/>
      <c r="KOX240" s="4"/>
      <c r="KOY240" s="4"/>
      <c r="KOZ240" s="4"/>
      <c r="KPA240" s="4"/>
      <c r="KPB240" s="4"/>
      <c r="KPC240" s="4"/>
      <c r="KPD240" s="4"/>
      <c r="KPE240" s="4"/>
      <c r="KPF240" s="4"/>
      <c r="KPG240" s="4"/>
      <c r="KPH240" s="4"/>
      <c r="KPI240" s="4"/>
      <c r="KPJ240" s="4"/>
      <c r="KPK240" s="4"/>
      <c r="KPL240" s="4"/>
      <c r="KPM240" s="4"/>
      <c r="KPN240" s="4"/>
      <c r="KPO240" s="4"/>
      <c r="KPP240" s="4"/>
      <c r="KPQ240" s="4"/>
      <c r="KPR240" s="4"/>
      <c r="KPS240" s="4"/>
      <c r="KPT240" s="4"/>
      <c r="KPU240" s="4"/>
      <c r="KPV240" s="4"/>
      <c r="KPW240" s="4"/>
      <c r="KPX240" s="4"/>
      <c r="KPY240" s="4"/>
      <c r="KPZ240" s="4"/>
      <c r="KQA240" s="4"/>
      <c r="KQB240" s="4"/>
      <c r="KQC240" s="4"/>
      <c r="KQD240" s="4"/>
      <c r="KQE240" s="4"/>
      <c r="KQF240" s="4"/>
      <c r="KQG240" s="4"/>
      <c r="KQH240" s="4"/>
      <c r="KQI240" s="4"/>
      <c r="KQJ240" s="4"/>
      <c r="KQK240" s="4"/>
      <c r="KQL240" s="4"/>
      <c r="KQM240" s="4"/>
      <c r="KQN240" s="4"/>
      <c r="KQO240" s="4"/>
      <c r="KQP240" s="4"/>
      <c r="KQQ240" s="4"/>
      <c r="KQR240" s="4"/>
      <c r="KQS240" s="4"/>
      <c r="KQT240" s="4"/>
      <c r="KQU240" s="4"/>
      <c r="KQV240" s="4"/>
      <c r="KQW240" s="4"/>
      <c r="KQX240" s="4"/>
      <c r="KQY240" s="4"/>
      <c r="KQZ240" s="4"/>
      <c r="KRA240" s="4"/>
      <c r="KRB240" s="4"/>
      <c r="KRC240" s="4"/>
      <c r="KRD240" s="4"/>
      <c r="KRE240" s="4"/>
      <c r="KRF240" s="4"/>
      <c r="KRG240" s="4"/>
      <c r="KRH240" s="4"/>
      <c r="KRI240" s="4"/>
      <c r="KRJ240" s="4"/>
      <c r="KRK240" s="4"/>
      <c r="KRL240" s="4"/>
      <c r="KRM240" s="4"/>
      <c r="KRN240" s="4"/>
      <c r="KRO240" s="4"/>
      <c r="KRP240" s="4"/>
      <c r="KRQ240" s="4"/>
      <c r="KRR240" s="4"/>
      <c r="KRS240" s="4"/>
      <c r="KRT240" s="4"/>
      <c r="KRU240" s="4"/>
      <c r="KRV240" s="4"/>
      <c r="KRW240" s="4"/>
      <c r="KRX240" s="4"/>
      <c r="KRY240" s="4"/>
      <c r="KRZ240" s="4"/>
      <c r="KSA240" s="4"/>
      <c r="KSB240" s="4"/>
      <c r="KSC240" s="4"/>
      <c r="KSD240" s="4"/>
      <c r="KSE240" s="4"/>
      <c r="KSF240" s="4"/>
      <c r="KSG240" s="4"/>
      <c r="KSH240" s="4"/>
      <c r="KSI240" s="4"/>
      <c r="KSJ240" s="4"/>
      <c r="KSK240" s="4"/>
      <c r="KSL240" s="4"/>
      <c r="KSM240" s="4"/>
      <c r="KSN240" s="4"/>
      <c r="KSO240" s="4"/>
      <c r="KSP240" s="4"/>
      <c r="KSQ240" s="4"/>
      <c r="KSR240" s="4"/>
      <c r="KSS240" s="4"/>
      <c r="KST240" s="4"/>
      <c r="KSU240" s="4"/>
      <c r="KSV240" s="4"/>
      <c r="KSW240" s="4"/>
      <c r="KSX240" s="4"/>
      <c r="KSY240" s="4"/>
      <c r="KSZ240" s="4"/>
      <c r="KTA240" s="4"/>
      <c r="KTB240" s="4"/>
      <c r="KTC240" s="4"/>
      <c r="KTD240" s="4"/>
      <c r="KTE240" s="4"/>
      <c r="KTF240" s="4"/>
      <c r="KTG240" s="4"/>
      <c r="KTH240" s="4"/>
      <c r="KTI240" s="4"/>
      <c r="KTJ240" s="4"/>
      <c r="KTK240" s="4"/>
      <c r="KTL240" s="4"/>
      <c r="KTM240" s="4"/>
      <c r="KTN240" s="4"/>
      <c r="KTO240" s="4"/>
      <c r="KTP240" s="4"/>
      <c r="KTQ240" s="4"/>
      <c r="KTR240" s="4"/>
      <c r="KTS240" s="4"/>
      <c r="KTT240" s="4"/>
      <c r="KTU240" s="4"/>
      <c r="KTV240" s="4"/>
      <c r="KTW240" s="4"/>
      <c r="KTX240" s="4"/>
      <c r="KTY240" s="4"/>
      <c r="KTZ240" s="4"/>
      <c r="KUA240" s="4"/>
      <c r="KUB240" s="4"/>
      <c r="KUC240" s="4"/>
      <c r="KUD240" s="4"/>
      <c r="KUE240" s="4"/>
      <c r="KUF240" s="4"/>
      <c r="KUG240" s="4"/>
      <c r="KUH240" s="4"/>
      <c r="KUI240" s="4"/>
      <c r="KUJ240" s="4"/>
      <c r="KUK240" s="4"/>
      <c r="KUL240" s="4"/>
      <c r="KUM240" s="4"/>
      <c r="KUN240" s="4"/>
      <c r="KUO240" s="4"/>
      <c r="KUP240" s="4"/>
      <c r="KUQ240" s="4"/>
      <c r="KUR240" s="4"/>
      <c r="KUS240" s="4"/>
      <c r="KUT240" s="4"/>
      <c r="KUU240" s="4"/>
      <c r="KUV240" s="4"/>
      <c r="KUW240" s="4"/>
      <c r="KUX240" s="4"/>
      <c r="KUY240" s="4"/>
      <c r="KUZ240" s="4"/>
      <c r="KVA240" s="4"/>
      <c r="KVB240" s="4"/>
      <c r="KVC240" s="4"/>
      <c r="KVD240" s="4"/>
      <c r="KVE240" s="4"/>
      <c r="KVF240" s="4"/>
      <c r="KVG240" s="4"/>
      <c r="KVH240" s="4"/>
      <c r="KVI240" s="4"/>
      <c r="KVJ240" s="4"/>
      <c r="KVK240" s="4"/>
      <c r="KVL240" s="4"/>
      <c r="KVM240" s="4"/>
      <c r="KVN240" s="4"/>
      <c r="KVO240" s="4"/>
      <c r="KVP240" s="4"/>
      <c r="KVQ240" s="4"/>
      <c r="KVR240" s="4"/>
      <c r="KVS240" s="4"/>
      <c r="KVT240" s="4"/>
      <c r="KVU240" s="4"/>
      <c r="KVV240" s="4"/>
      <c r="KVW240" s="4"/>
      <c r="KVX240" s="4"/>
      <c r="KVY240" s="4"/>
      <c r="KVZ240" s="4"/>
      <c r="KWA240" s="4"/>
      <c r="KWB240" s="4"/>
      <c r="KWC240" s="4"/>
      <c r="KWD240" s="4"/>
      <c r="KWE240" s="4"/>
      <c r="KWF240" s="4"/>
      <c r="KWG240" s="4"/>
      <c r="KWH240" s="4"/>
      <c r="KWI240" s="4"/>
      <c r="KWJ240" s="4"/>
      <c r="KWK240" s="4"/>
      <c r="KWL240" s="4"/>
      <c r="KWM240" s="4"/>
      <c r="KWN240" s="4"/>
      <c r="KWO240" s="4"/>
      <c r="KWP240" s="4"/>
      <c r="KWQ240" s="4"/>
      <c r="KWR240" s="4"/>
      <c r="KWS240" s="4"/>
      <c r="KWT240" s="4"/>
      <c r="KWU240" s="4"/>
      <c r="KWV240" s="4"/>
      <c r="KWW240" s="4"/>
      <c r="KWX240" s="4"/>
      <c r="KWY240" s="4"/>
      <c r="KWZ240" s="4"/>
      <c r="KXA240" s="4"/>
      <c r="KXB240" s="4"/>
      <c r="KXC240" s="4"/>
      <c r="KXD240" s="4"/>
      <c r="KXE240" s="4"/>
      <c r="KXF240" s="4"/>
      <c r="KXG240" s="4"/>
      <c r="KXH240" s="4"/>
      <c r="KXI240" s="4"/>
      <c r="KXJ240" s="4"/>
      <c r="KXK240" s="4"/>
      <c r="KXL240" s="4"/>
      <c r="KXM240" s="4"/>
      <c r="KXN240" s="4"/>
      <c r="KXO240" s="4"/>
      <c r="KXP240" s="4"/>
      <c r="KXQ240" s="4"/>
      <c r="KXR240" s="4"/>
      <c r="KXS240" s="4"/>
      <c r="KXT240" s="4"/>
      <c r="KXU240" s="4"/>
      <c r="KXV240" s="4"/>
      <c r="KXW240" s="4"/>
      <c r="KXX240" s="4"/>
      <c r="KXY240" s="4"/>
      <c r="KXZ240" s="4"/>
      <c r="KYA240" s="4"/>
      <c r="KYB240" s="4"/>
      <c r="KYC240" s="4"/>
      <c r="KYD240" s="4"/>
      <c r="KYE240" s="4"/>
      <c r="KYF240" s="4"/>
      <c r="KYG240" s="4"/>
      <c r="KYH240" s="4"/>
      <c r="KYI240" s="4"/>
      <c r="KYJ240" s="4"/>
      <c r="KYK240" s="4"/>
      <c r="KYL240" s="4"/>
      <c r="KYM240" s="4"/>
      <c r="KYN240" s="4"/>
      <c r="KYO240" s="4"/>
      <c r="KYP240" s="4"/>
      <c r="KYQ240" s="4"/>
      <c r="KYR240" s="4"/>
      <c r="KYS240" s="4"/>
      <c r="KYT240" s="4"/>
      <c r="KYU240" s="4"/>
      <c r="KYV240" s="4"/>
      <c r="KYW240" s="4"/>
      <c r="KYX240" s="4"/>
      <c r="KYY240" s="4"/>
      <c r="KYZ240" s="4"/>
      <c r="KZA240" s="4"/>
      <c r="KZB240" s="4"/>
      <c r="KZC240" s="4"/>
      <c r="KZD240" s="4"/>
      <c r="KZE240" s="4"/>
      <c r="KZF240" s="4"/>
      <c r="KZG240" s="4"/>
      <c r="KZH240" s="4"/>
      <c r="KZI240" s="4"/>
      <c r="KZJ240" s="4"/>
      <c r="KZK240" s="4"/>
      <c r="KZL240" s="4"/>
      <c r="KZM240" s="4"/>
      <c r="KZN240" s="4"/>
      <c r="KZO240" s="4"/>
      <c r="KZP240" s="4"/>
      <c r="KZQ240" s="4"/>
      <c r="KZR240" s="4"/>
      <c r="KZS240" s="4"/>
      <c r="KZT240" s="4"/>
      <c r="KZU240" s="4"/>
      <c r="KZV240" s="4"/>
      <c r="KZW240" s="4"/>
      <c r="KZX240" s="4"/>
      <c r="KZY240" s="4"/>
      <c r="KZZ240" s="4"/>
      <c r="LAA240" s="4"/>
      <c r="LAB240" s="4"/>
      <c r="LAC240" s="4"/>
      <c r="LAD240" s="4"/>
      <c r="LAE240" s="4"/>
      <c r="LAF240" s="4"/>
      <c r="LAG240" s="4"/>
      <c r="LAH240" s="4"/>
      <c r="LAI240" s="4"/>
      <c r="LAJ240" s="4"/>
      <c r="LAK240" s="4"/>
      <c r="LAL240" s="4"/>
      <c r="LAM240" s="4"/>
      <c r="LAN240" s="4"/>
      <c r="LAO240" s="4"/>
      <c r="LAP240" s="4"/>
      <c r="LAQ240" s="4"/>
      <c r="LAR240" s="4"/>
      <c r="LAS240" s="4"/>
      <c r="LAT240" s="4"/>
      <c r="LAU240" s="4"/>
      <c r="LAV240" s="4"/>
      <c r="LAW240" s="4"/>
      <c r="LAX240" s="4"/>
      <c r="LAY240" s="4"/>
      <c r="LAZ240" s="4"/>
      <c r="LBA240" s="4"/>
      <c r="LBB240" s="4"/>
      <c r="LBC240" s="4"/>
      <c r="LBD240" s="4"/>
      <c r="LBE240" s="4"/>
      <c r="LBF240" s="4"/>
      <c r="LBG240" s="4"/>
      <c r="LBH240" s="4"/>
      <c r="LBI240" s="4"/>
      <c r="LBJ240" s="4"/>
      <c r="LBK240" s="4"/>
      <c r="LBL240" s="4"/>
      <c r="LBM240" s="4"/>
      <c r="LBN240" s="4"/>
      <c r="LBO240" s="4"/>
      <c r="LBP240" s="4"/>
      <c r="LBQ240" s="4"/>
      <c r="LBR240" s="4"/>
      <c r="LBS240" s="4"/>
      <c r="LBT240" s="4"/>
      <c r="LBU240" s="4"/>
      <c r="LBV240" s="4"/>
      <c r="LBW240" s="4"/>
      <c r="LBX240" s="4"/>
      <c r="LBY240" s="4"/>
      <c r="LBZ240" s="4"/>
      <c r="LCA240" s="4"/>
      <c r="LCB240" s="4"/>
      <c r="LCC240" s="4"/>
      <c r="LCD240" s="4"/>
      <c r="LCE240" s="4"/>
      <c r="LCF240" s="4"/>
      <c r="LCG240" s="4"/>
      <c r="LCH240" s="4"/>
      <c r="LCI240" s="4"/>
      <c r="LCJ240" s="4"/>
      <c r="LCK240" s="4"/>
      <c r="LCL240" s="4"/>
      <c r="LCM240" s="4"/>
      <c r="LCN240" s="4"/>
      <c r="LCO240" s="4"/>
      <c r="LCP240" s="4"/>
      <c r="LCQ240" s="4"/>
      <c r="LCR240" s="4"/>
      <c r="LCS240" s="4"/>
      <c r="LCT240" s="4"/>
      <c r="LCU240" s="4"/>
      <c r="LCV240" s="4"/>
      <c r="LCW240" s="4"/>
      <c r="LCX240" s="4"/>
      <c r="LCY240" s="4"/>
      <c r="LCZ240" s="4"/>
      <c r="LDA240" s="4"/>
      <c r="LDB240" s="4"/>
      <c r="LDC240" s="4"/>
      <c r="LDD240" s="4"/>
      <c r="LDE240" s="4"/>
      <c r="LDF240" s="4"/>
      <c r="LDG240" s="4"/>
      <c r="LDH240" s="4"/>
      <c r="LDI240" s="4"/>
      <c r="LDJ240" s="4"/>
      <c r="LDK240" s="4"/>
      <c r="LDL240" s="4"/>
      <c r="LDM240" s="4"/>
      <c r="LDN240" s="4"/>
      <c r="LDO240" s="4"/>
      <c r="LDP240" s="4"/>
      <c r="LDQ240" s="4"/>
      <c r="LDR240" s="4"/>
      <c r="LDS240" s="4"/>
      <c r="LDT240" s="4"/>
      <c r="LDU240" s="4"/>
      <c r="LDV240" s="4"/>
      <c r="LDW240" s="4"/>
      <c r="LDX240" s="4"/>
      <c r="LDY240" s="4"/>
      <c r="LDZ240" s="4"/>
      <c r="LEA240" s="4"/>
      <c r="LEB240" s="4"/>
      <c r="LEC240" s="4"/>
      <c r="LED240" s="4"/>
      <c r="LEE240" s="4"/>
      <c r="LEF240" s="4"/>
      <c r="LEG240" s="4"/>
      <c r="LEH240" s="4"/>
      <c r="LEI240" s="4"/>
      <c r="LEJ240" s="4"/>
      <c r="LEK240" s="4"/>
      <c r="LEL240" s="4"/>
      <c r="LEM240" s="4"/>
      <c r="LEN240" s="4"/>
      <c r="LEO240" s="4"/>
      <c r="LEP240" s="4"/>
      <c r="LEQ240" s="4"/>
      <c r="LER240" s="4"/>
      <c r="LES240" s="4"/>
      <c r="LET240" s="4"/>
      <c r="LEU240" s="4"/>
      <c r="LEV240" s="4"/>
      <c r="LEW240" s="4"/>
      <c r="LEX240" s="4"/>
      <c r="LEY240" s="4"/>
      <c r="LEZ240" s="4"/>
      <c r="LFA240" s="4"/>
      <c r="LFB240" s="4"/>
      <c r="LFC240" s="4"/>
      <c r="LFD240" s="4"/>
      <c r="LFE240" s="4"/>
      <c r="LFF240" s="4"/>
      <c r="LFG240" s="4"/>
      <c r="LFH240" s="4"/>
      <c r="LFI240" s="4"/>
      <c r="LFJ240" s="4"/>
      <c r="LFK240" s="4"/>
      <c r="LFL240" s="4"/>
      <c r="LFM240" s="4"/>
      <c r="LFN240" s="4"/>
      <c r="LFO240" s="4"/>
      <c r="LFP240" s="4"/>
      <c r="LFQ240" s="4"/>
      <c r="LFR240" s="4"/>
      <c r="LFS240" s="4"/>
      <c r="LFT240" s="4"/>
      <c r="LFU240" s="4"/>
      <c r="LFV240" s="4"/>
      <c r="LFW240" s="4"/>
      <c r="LFX240" s="4"/>
      <c r="LFY240" s="4"/>
      <c r="LFZ240" s="4"/>
      <c r="LGA240" s="4"/>
      <c r="LGB240" s="4"/>
      <c r="LGC240" s="4"/>
      <c r="LGD240" s="4"/>
      <c r="LGE240" s="4"/>
      <c r="LGF240" s="4"/>
      <c r="LGG240" s="4"/>
      <c r="LGH240" s="4"/>
      <c r="LGI240" s="4"/>
      <c r="LGJ240" s="4"/>
      <c r="LGK240" s="4"/>
      <c r="LGL240" s="4"/>
      <c r="LGM240" s="4"/>
      <c r="LGN240" s="4"/>
      <c r="LGO240" s="4"/>
      <c r="LGP240" s="4"/>
      <c r="LGQ240" s="4"/>
      <c r="LGR240" s="4"/>
      <c r="LGS240" s="4"/>
      <c r="LGT240" s="4"/>
      <c r="LGU240" s="4"/>
      <c r="LGV240" s="4"/>
      <c r="LGW240" s="4"/>
      <c r="LGX240" s="4"/>
      <c r="LGY240" s="4"/>
      <c r="LGZ240" s="4"/>
      <c r="LHA240" s="4"/>
      <c r="LHB240" s="4"/>
      <c r="LHC240" s="4"/>
      <c r="LHD240" s="4"/>
      <c r="LHE240" s="4"/>
      <c r="LHF240" s="4"/>
      <c r="LHG240" s="4"/>
      <c r="LHH240" s="4"/>
      <c r="LHI240" s="4"/>
      <c r="LHJ240" s="4"/>
      <c r="LHK240" s="4"/>
      <c r="LHL240" s="4"/>
      <c r="LHM240" s="4"/>
      <c r="LHN240" s="4"/>
      <c r="LHO240" s="4"/>
      <c r="LHP240" s="4"/>
      <c r="LHQ240" s="4"/>
      <c r="LHR240" s="4"/>
      <c r="LHS240" s="4"/>
      <c r="LHT240" s="4"/>
      <c r="LHU240" s="4"/>
      <c r="LHV240" s="4"/>
      <c r="LHW240" s="4"/>
      <c r="LHX240" s="4"/>
      <c r="LHY240" s="4"/>
      <c r="LHZ240" s="4"/>
      <c r="LIA240" s="4"/>
      <c r="LIB240" s="4"/>
      <c r="LIC240" s="4"/>
      <c r="LID240" s="4"/>
      <c r="LIE240" s="4"/>
      <c r="LIF240" s="4"/>
      <c r="LIG240" s="4"/>
      <c r="LIH240" s="4"/>
      <c r="LII240" s="4"/>
      <c r="LIJ240" s="4"/>
      <c r="LIK240" s="4"/>
      <c r="LIL240" s="4"/>
      <c r="LIM240" s="4"/>
      <c r="LIN240" s="4"/>
      <c r="LIO240" s="4"/>
      <c r="LIP240" s="4"/>
      <c r="LIQ240" s="4"/>
      <c r="LIR240" s="4"/>
      <c r="LIS240" s="4"/>
      <c r="LIT240" s="4"/>
      <c r="LIU240" s="4"/>
      <c r="LIV240" s="4"/>
      <c r="LIW240" s="4"/>
      <c r="LIX240" s="4"/>
      <c r="LIY240" s="4"/>
      <c r="LIZ240" s="4"/>
      <c r="LJA240" s="4"/>
      <c r="LJB240" s="4"/>
      <c r="LJC240" s="4"/>
      <c r="LJD240" s="4"/>
      <c r="LJE240" s="4"/>
      <c r="LJF240" s="4"/>
      <c r="LJG240" s="4"/>
      <c r="LJH240" s="4"/>
      <c r="LJI240" s="4"/>
      <c r="LJJ240" s="4"/>
      <c r="LJK240" s="4"/>
      <c r="LJL240" s="4"/>
      <c r="LJM240" s="4"/>
      <c r="LJN240" s="4"/>
      <c r="LJO240" s="4"/>
      <c r="LJP240" s="4"/>
      <c r="LJQ240" s="4"/>
      <c r="LJR240" s="4"/>
      <c r="LJS240" s="4"/>
      <c r="LJT240" s="4"/>
      <c r="LJU240" s="4"/>
      <c r="LJV240" s="4"/>
      <c r="LJW240" s="4"/>
      <c r="LJX240" s="4"/>
      <c r="LJY240" s="4"/>
      <c r="LJZ240" s="4"/>
      <c r="LKA240" s="4"/>
      <c r="LKB240" s="4"/>
      <c r="LKC240" s="4"/>
      <c r="LKD240" s="4"/>
      <c r="LKE240" s="4"/>
      <c r="LKF240" s="4"/>
      <c r="LKG240" s="4"/>
      <c r="LKH240" s="4"/>
      <c r="LKI240" s="4"/>
      <c r="LKJ240" s="4"/>
      <c r="LKK240" s="4"/>
      <c r="LKL240" s="4"/>
      <c r="LKM240" s="4"/>
      <c r="LKN240" s="4"/>
      <c r="LKO240" s="4"/>
      <c r="LKP240" s="4"/>
      <c r="LKQ240" s="4"/>
      <c r="LKR240" s="4"/>
      <c r="LKS240" s="4"/>
      <c r="LKT240" s="4"/>
      <c r="LKU240" s="4"/>
      <c r="LKV240" s="4"/>
      <c r="LKW240" s="4"/>
      <c r="LKX240" s="4"/>
      <c r="LKY240" s="4"/>
      <c r="LKZ240" s="4"/>
      <c r="LLA240" s="4"/>
      <c r="LLB240" s="4"/>
      <c r="LLC240" s="4"/>
      <c r="LLD240" s="4"/>
      <c r="LLE240" s="4"/>
      <c r="LLF240" s="4"/>
      <c r="LLG240" s="4"/>
      <c r="LLH240" s="4"/>
      <c r="LLI240" s="4"/>
      <c r="LLJ240" s="4"/>
      <c r="LLK240" s="4"/>
      <c r="LLL240" s="4"/>
      <c r="LLM240" s="4"/>
      <c r="LLN240" s="4"/>
      <c r="LLO240" s="4"/>
      <c r="LLP240" s="4"/>
      <c r="LLQ240" s="4"/>
      <c r="LLR240" s="4"/>
      <c r="LLS240" s="4"/>
      <c r="LLT240" s="4"/>
      <c r="LLU240" s="4"/>
      <c r="LLV240" s="4"/>
      <c r="LLW240" s="4"/>
      <c r="LLX240" s="4"/>
      <c r="LLY240" s="4"/>
      <c r="LLZ240" s="4"/>
      <c r="LMA240" s="4"/>
      <c r="LMB240" s="4"/>
      <c r="LMC240" s="4"/>
      <c r="LMD240" s="4"/>
      <c r="LME240" s="4"/>
      <c r="LMF240" s="4"/>
      <c r="LMG240" s="4"/>
      <c r="LMH240" s="4"/>
      <c r="LMI240" s="4"/>
      <c r="LMJ240" s="4"/>
      <c r="LMK240" s="4"/>
      <c r="LML240" s="4"/>
      <c r="LMM240" s="4"/>
      <c r="LMN240" s="4"/>
      <c r="LMO240" s="4"/>
      <c r="LMP240" s="4"/>
      <c r="LMQ240" s="4"/>
      <c r="LMR240" s="4"/>
      <c r="LMS240" s="4"/>
      <c r="LMT240" s="4"/>
      <c r="LMU240" s="4"/>
      <c r="LMV240" s="4"/>
      <c r="LMW240" s="4"/>
      <c r="LMX240" s="4"/>
      <c r="LMY240" s="4"/>
      <c r="LMZ240" s="4"/>
      <c r="LNA240" s="4"/>
      <c r="LNB240" s="4"/>
      <c r="LNC240" s="4"/>
      <c r="LND240" s="4"/>
      <c r="LNE240" s="4"/>
      <c r="LNF240" s="4"/>
      <c r="LNG240" s="4"/>
      <c r="LNH240" s="4"/>
      <c r="LNI240" s="4"/>
      <c r="LNJ240" s="4"/>
      <c r="LNK240" s="4"/>
      <c r="LNL240" s="4"/>
      <c r="LNM240" s="4"/>
      <c r="LNN240" s="4"/>
      <c r="LNO240" s="4"/>
      <c r="LNP240" s="4"/>
      <c r="LNQ240" s="4"/>
      <c r="LNR240" s="4"/>
      <c r="LNS240" s="4"/>
      <c r="LNT240" s="4"/>
      <c r="LNU240" s="4"/>
      <c r="LNV240" s="4"/>
      <c r="LNW240" s="4"/>
      <c r="LNX240" s="4"/>
      <c r="LNY240" s="4"/>
      <c r="LNZ240" s="4"/>
      <c r="LOA240" s="4"/>
      <c r="LOB240" s="4"/>
      <c r="LOC240" s="4"/>
      <c r="LOD240" s="4"/>
      <c r="LOE240" s="4"/>
      <c r="LOF240" s="4"/>
      <c r="LOG240" s="4"/>
      <c r="LOH240" s="4"/>
      <c r="LOI240" s="4"/>
      <c r="LOJ240" s="4"/>
      <c r="LOK240" s="4"/>
      <c r="LOL240" s="4"/>
      <c r="LOM240" s="4"/>
      <c r="LON240" s="4"/>
      <c r="LOO240" s="4"/>
      <c r="LOP240" s="4"/>
      <c r="LOQ240" s="4"/>
      <c r="LOR240" s="4"/>
      <c r="LOS240" s="4"/>
      <c r="LOT240" s="4"/>
      <c r="LOU240" s="4"/>
      <c r="LOV240" s="4"/>
      <c r="LOW240" s="4"/>
      <c r="LOX240" s="4"/>
      <c r="LOY240" s="4"/>
      <c r="LOZ240" s="4"/>
      <c r="LPA240" s="4"/>
      <c r="LPB240" s="4"/>
      <c r="LPC240" s="4"/>
      <c r="LPD240" s="4"/>
      <c r="LPE240" s="4"/>
      <c r="LPF240" s="4"/>
      <c r="LPG240" s="4"/>
      <c r="LPH240" s="4"/>
      <c r="LPI240" s="4"/>
      <c r="LPJ240" s="4"/>
      <c r="LPK240" s="4"/>
      <c r="LPL240" s="4"/>
      <c r="LPM240" s="4"/>
      <c r="LPN240" s="4"/>
      <c r="LPO240" s="4"/>
      <c r="LPP240" s="4"/>
      <c r="LPQ240" s="4"/>
      <c r="LPR240" s="4"/>
      <c r="LPS240" s="4"/>
      <c r="LPT240" s="4"/>
      <c r="LPU240" s="4"/>
      <c r="LPV240" s="4"/>
      <c r="LPW240" s="4"/>
      <c r="LPX240" s="4"/>
      <c r="LPY240" s="4"/>
      <c r="LPZ240" s="4"/>
      <c r="LQA240" s="4"/>
      <c r="LQB240" s="4"/>
      <c r="LQC240" s="4"/>
      <c r="LQD240" s="4"/>
      <c r="LQE240" s="4"/>
      <c r="LQF240" s="4"/>
      <c r="LQG240" s="4"/>
      <c r="LQH240" s="4"/>
      <c r="LQI240" s="4"/>
      <c r="LQJ240" s="4"/>
      <c r="LQK240" s="4"/>
      <c r="LQL240" s="4"/>
      <c r="LQM240" s="4"/>
      <c r="LQN240" s="4"/>
      <c r="LQO240" s="4"/>
      <c r="LQP240" s="4"/>
      <c r="LQQ240" s="4"/>
      <c r="LQR240" s="4"/>
      <c r="LQS240" s="4"/>
      <c r="LQT240" s="4"/>
      <c r="LQU240" s="4"/>
      <c r="LQV240" s="4"/>
      <c r="LQW240" s="4"/>
      <c r="LQX240" s="4"/>
      <c r="LQY240" s="4"/>
      <c r="LQZ240" s="4"/>
      <c r="LRA240" s="4"/>
      <c r="LRB240" s="4"/>
      <c r="LRC240" s="4"/>
      <c r="LRD240" s="4"/>
      <c r="LRE240" s="4"/>
      <c r="LRF240" s="4"/>
      <c r="LRG240" s="4"/>
      <c r="LRH240" s="4"/>
      <c r="LRI240" s="4"/>
      <c r="LRJ240" s="4"/>
      <c r="LRK240" s="4"/>
      <c r="LRL240" s="4"/>
      <c r="LRM240" s="4"/>
      <c r="LRN240" s="4"/>
      <c r="LRO240" s="4"/>
      <c r="LRP240" s="4"/>
      <c r="LRQ240" s="4"/>
      <c r="LRR240" s="4"/>
      <c r="LRS240" s="4"/>
      <c r="LRT240" s="4"/>
      <c r="LRU240" s="4"/>
      <c r="LRV240" s="4"/>
      <c r="LRW240" s="4"/>
      <c r="LRX240" s="4"/>
      <c r="LRY240" s="4"/>
      <c r="LRZ240" s="4"/>
      <c r="LSA240" s="4"/>
      <c r="LSB240" s="4"/>
      <c r="LSC240" s="4"/>
      <c r="LSD240" s="4"/>
      <c r="LSE240" s="4"/>
      <c r="LSF240" s="4"/>
      <c r="LSG240" s="4"/>
      <c r="LSH240" s="4"/>
      <c r="LSI240" s="4"/>
      <c r="LSJ240" s="4"/>
      <c r="LSK240" s="4"/>
      <c r="LSL240" s="4"/>
      <c r="LSM240" s="4"/>
      <c r="LSN240" s="4"/>
      <c r="LSO240" s="4"/>
      <c r="LSP240" s="4"/>
      <c r="LSQ240" s="4"/>
      <c r="LSR240" s="4"/>
      <c r="LSS240" s="4"/>
      <c r="LST240" s="4"/>
      <c r="LSU240" s="4"/>
      <c r="LSV240" s="4"/>
      <c r="LSW240" s="4"/>
      <c r="LSX240" s="4"/>
      <c r="LSY240" s="4"/>
      <c r="LSZ240" s="4"/>
      <c r="LTA240" s="4"/>
      <c r="LTB240" s="4"/>
      <c r="LTC240" s="4"/>
      <c r="LTD240" s="4"/>
      <c r="LTE240" s="4"/>
      <c r="LTF240" s="4"/>
      <c r="LTG240" s="4"/>
      <c r="LTH240" s="4"/>
      <c r="LTI240" s="4"/>
      <c r="LTJ240" s="4"/>
      <c r="LTK240" s="4"/>
      <c r="LTL240" s="4"/>
      <c r="LTM240" s="4"/>
      <c r="LTN240" s="4"/>
      <c r="LTO240" s="4"/>
      <c r="LTP240" s="4"/>
      <c r="LTQ240" s="4"/>
      <c r="LTR240" s="4"/>
      <c r="LTS240" s="4"/>
      <c r="LTT240" s="4"/>
      <c r="LTU240" s="4"/>
      <c r="LTV240" s="4"/>
      <c r="LTW240" s="4"/>
      <c r="LTX240" s="4"/>
      <c r="LTY240" s="4"/>
      <c r="LTZ240" s="4"/>
      <c r="LUA240" s="4"/>
      <c r="LUB240" s="4"/>
      <c r="LUC240" s="4"/>
      <c r="LUD240" s="4"/>
      <c r="LUE240" s="4"/>
      <c r="LUF240" s="4"/>
      <c r="LUG240" s="4"/>
      <c r="LUH240" s="4"/>
      <c r="LUI240" s="4"/>
      <c r="LUJ240" s="4"/>
      <c r="LUK240" s="4"/>
      <c r="LUL240" s="4"/>
      <c r="LUM240" s="4"/>
      <c r="LUN240" s="4"/>
      <c r="LUO240" s="4"/>
      <c r="LUP240" s="4"/>
      <c r="LUQ240" s="4"/>
      <c r="LUR240" s="4"/>
      <c r="LUS240" s="4"/>
      <c r="LUT240" s="4"/>
      <c r="LUU240" s="4"/>
      <c r="LUV240" s="4"/>
      <c r="LUW240" s="4"/>
      <c r="LUX240" s="4"/>
      <c r="LUY240" s="4"/>
      <c r="LUZ240" s="4"/>
      <c r="LVA240" s="4"/>
      <c r="LVB240" s="4"/>
      <c r="LVC240" s="4"/>
      <c r="LVD240" s="4"/>
      <c r="LVE240" s="4"/>
      <c r="LVF240" s="4"/>
      <c r="LVG240" s="4"/>
      <c r="LVH240" s="4"/>
      <c r="LVI240" s="4"/>
      <c r="LVJ240" s="4"/>
      <c r="LVK240" s="4"/>
      <c r="LVL240" s="4"/>
      <c r="LVM240" s="4"/>
      <c r="LVN240" s="4"/>
      <c r="LVO240" s="4"/>
      <c r="LVP240" s="4"/>
      <c r="LVQ240" s="4"/>
      <c r="LVR240" s="4"/>
      <c r="LVS240" s="4"/>
      <c r="LVT240" s="4"/>
      <c r="LVU240" s="4"/>
      <c r="LVV240" s="4"/>
      <c r="LVW240" s="4"/>
      <c r="LVX240" s="4"/>
      <c r="LVY240" s="4"/>
      <c r="LVZ240" s="4"/>
      <c r="LWA240" s="4"/>
      <c r="LWB240" s="4"/>
      <c r="LWC240" s="4"/>
      <c r="LWD240" s="4"/>
      <c r="LWE240" s="4"/>
      <c r="LWF240" s="4"/>
      <c r="LWG240" s="4"/>
      <c r="LWH240" s="4"/>
      <c r="LWI240" s="4"/>
      <c r="LWJ240" s="4"/>
      <c r="LWK240" s="4"/>
      <c r="LWL240" s="4"/>
      <c r="LWM240" s="4"/>
      <c r="LWN240" s="4"/>
      <c r="LWO240" s="4"/>
      <c r="LWP240" s="4"/>
      <c r="LWQ240" s="4"/>
      <c r="LWR240" s="4"/>
      <c r="LWS240" s="4"/>
      <c r="LWT240" s="4"/>
      <c r="LWU240" s="4"/>
      <c r="LWV240" s="4"/>
      <c r="LWW240" s="4"/>
      <c r="LWX240" s="4"/>
      <c r="LWY240" s="4"/>
      <c r="LWZ240" s="4"/>
      <c r="LXA240" s="4"/>
      <c r="LXB240" s="4"/>
      <c r="LXC240" s="4"/>
      <c r="LXD240" s="4"/>
      <c r="LXE240" s="4"/>
      <c r="LXF240" s="4"/>
      <c r="LXG240" s="4"/>
      <c r="LXH240" s="4"/>
      <c r="LXI240" s="4"/>
      <c r="LXJ240" s="4"/>
      <c r="LXK240" s="4"/>
      <c r="LXL240" s="4"/>
      <c r="LXM240" s="4"/>
      <c r="LXN240" s="4"/>
      <c r="LXO240" s="4"/>
      <c r="LXP240" s="4"/>
      <c r="LXQ240" s="4"/>
      <c r="LXR240" s="4"/>
      <c r="LXS240" s="4"/>
      <c r="LXT240" s="4"/>
      <c r="LXU240" s="4"/>
      <c r="LXV240" s="4"/>
      <c r="LXW240" s="4"/>
      <c r="LXX240" s="4"/>
      <c r="LXY240" s="4"/>
      <c r="LXZ240" s="4"/>
      <c r="LYA240" s="4"/>
      <c r="LYB240" s="4"/>
      <c r="LYC240" s="4"/>
      <c r="LYD240" s="4"/>
      <c r="LYE240" s="4"/>
      <c r="LYF240" s="4"/>
      <c r="LYG240" s="4"/>
      <c r="LYH240" s="4"/>
      <c r="LYI240" s="4"/>
      <c r="LYJ240" s="4"/>
      <c r="LYK240" s="4"/>
      <c r="LYL240" s="4"/>
      <c r="LYM240" s="4"/>
      <c r="LYN240" s="4"/>
      <c r="LYO240" s="4"/>
      <c r="LYP240" s="4"/>
      <c r="LYQ240" s="4"/>
      <c r="LYR240" s="4"/>
      <c r="LYS240" s="4"/>
      <c r="LYT240" s="4"/>
      <c r="LYU240" s="4"/>
      <c r="LYV240" s="4"/>
      <c r="LYW240" s="4"/>
      <c r="LYX240" s="4"/>
      <c r="LYY240" s="4"/>
      <c r="LYZ240" s="4"/>
      <c r="LZA240" s="4"/>
      <c r="LZB240" s="4"/>
      <c r="LZC240" s="4"/>
      <c r="LZD240" s="4"/>
      <c r="LZE240" s="4"/>
      <c r="LZF240" s="4"/>
      <c r="LZG240" s="4"/>
      <c r="LZH240" s="4"/>
      <c r="LZI240" s="4"/>
      <c r="LZJ240" s="4"/>
      <c r="LZK240" s="4"/>
      <c r="LZL240" s="4"/>
      <c r="LZM240" s="4"/>
      <c r="LZN240" s="4"/>
      <c r="LZO240" s="4"/>
      <c r="LZP240" s="4"/>
      <c r="LZQ240" s="4"/>
      <c r="LZR240" s="4"/>
      <c r="LZS240" s="4"/>
      <c r="LZT240" s="4"/>
      <c r="LZU240" s="4"/>
      <c r="LZV240" s="4"/>
      <c r="LZW240" s="4"/>
      <c r="LZX240" s="4"/>
      <c r="LZY240" s="4"/>
      <c r="LZZ240" s="4"/>
      <c r="MAA240" s="4"/>
      <c r="MAB240" s="4"/>
      <c r="MAC240" s="4"/>
      <c r="MAD240" s="4"/>
      <c r="MAE240" s="4"/>
      <c r="MAF240" s="4"/>
      <c r="MAG240" s="4"/>
      <c r="MAH240" s="4"/>
      <c r="MAI240" s="4"/>
      <c r="MAJ240" s="4"/>
      <c r="MAK240" s="4"/>
      <c r="MAL240" s="4"/>
      <c r="MAM240" s="4"/>
      <c r="MAN240" s="4"/>
      <c r="MAO240" s="4"/>
      <c r="MAP240" s="4"/>
      <c r="MAQ240" s="4"/>
      <c r="MAR240" s="4"/>
      <c r="MAS240" s="4"/>
      <c r="MAT240" s="4"/>
      <c r="MAU240" s="4"/>
      <c r="MAV240" s="4"/>
      <c r="MAW240" s="4"/>
      <c r="MAX240" s="4"/>
      <c r="MAY240" s="4"/>
      <c r="MAZ240" s="4"/>
      <c r="MBA240" s="4"/>
      <c r="MBB240" s="4"/>
      <c r="MBC240" s="4"/>
      <c r="MBD240" s="4"/>
      <c r="MBE240" s="4"/>
      <c r="MBF240" s="4"/>
      <c r="MBG240" s="4"/>
      <c r="MBH240" s="4"/>
      <c r="MBI240" s="4"/>
      <c r="MBJ240" s="4"/>
      <c r="MBK240" s="4"/>
      <c r="MBL240" s="4"/>
      <c r="MBM240" s="4"/>
      <c r="MBN240" s="4"/>
      <c r="MBO240" s="4"/>
      <c r="MBP240" s="4"/>
      <c r="MBQ240" s="4"/>
      <c r="MBR240" s="4"/>
      <c r="MBS240" s="4"/>
      <c r="MBT240" s="4"/>
      <c r="MBU240" s="4"/>
      <c r="MBV240" s="4"/>
      <c r="MBW240" s="4"/>
      <c r="MBX240" s="4"/>
      <c r="MBY240" s="4"/>
      <c r="MBZ240" s="4"/>
      <c r="MCA240" s="4"/>
      <c r="MCB240" s="4"/>
      <c r="MCC240" s="4"/>
      <c r="MCD240" s="4"/>
      <c r="MCE240" s="4"/>
      <c r="MCF240" s="4"/>
      <c r="MCG240" s="4"/>
      <c r="MCH240" s="4"/>
      <c r="MCI240" s="4"/>
      <c r="MCJ240" s="4"/>
      <c r="MCK240" s="4"/>
      <c r="MCL240" s="4"/>
      <c r="MCM240" s="4"/>
      <c r="MCN240" s="4"/>
      <c r="MCO240" s="4"/>
      <c r="MCP240" s="4"/>
      <c r="MCQ240" s="4"/>
      <c r="MCR240" s="4"/>
      <c r="MCS240" s="4"/>
      <c r="MCT240" s="4"/>
      <c r="MCU240" s="4"/>
      <c r="MCV240" s="4"/>
      <c r="MCW240" s="4"/>
      <c r="MCX240" s="4"/>
      <c r="MCY240" s="4"/>
      <c r="MCZ240" s="4"/>
      <c r="MDA240" s="4"/>
      <c r="MDB240" s="4"/>
      <c r="MDC240" s="4"/>
      <c r="MDD240" s="4"/>
      <c r="MDE240" s="4"/>
      <c r="MDF240" s="4"/>
      <c r="MDG240" s="4"/>
      <c r="MDH240" s="4"/>
      <c r="MDI240" s="4"/>
      <c r="MDJ240" s="4"/>
      <c r="MDK240" s="4"/>
      <c r="MDL240" s="4"/>
      <c r="MDM240" s="4"/>
      <c r="MDN240" s="4"/>
      <c r="MDO240" s="4"/>
      <c r="MDP240" s="4"/>
      <c r="MDQ240" s="4"/>
      <c r="MDR240" s="4"/>
      <c r="MDS240" s="4"/>
      <c r="MDT240" s="4"/>
      <c r="MDU240" s="4"/>
      <c r="MDV240" s="4"/>
      <c r="MDW240" s="4"/>
      <c r="MDX240" s="4"/>
      <c r="MDY240" s="4"/>
      <c r="MDZ240" s="4"/>
      <c r="MEA240" s="4"/>
      <c r="MEB240" s="4"/>
      <c r="MEC240" s="4"/>
      <c r="MED240" s="4"/>
      <c r="MEE240" s="4"/>
      <c r="MEF240" s="4"/>
      <c r="MEG240" s="4"/>
      <c r="MEH240" s="4"/>
      <c r="MEI240" s="4"/>
      <c r="MEJ240" s="4"/>
      <c r="MEK240" s="4"/>
      <c r="MEL240" s="4"/>
      <c r="MEM240" s="4"/>
      <c r="MEN240" s="4"/>
      <c r="MEO240" s="4"/>
      <c r="MEP240" s="4"/>
      <c r="MEQ240" s="4"/>
      <c r="MER240" s="4"/>
      <c r="MES240" s="4"/>
      <c r="MET240" s="4"/>
      <c r="MEU240" s="4"/>
      <c r="MEV240" s="4"/>
      <c r="MEW240" s="4"/>
      <c r="MEX240" s="4"/>
      <c r="MEY240" s="4"/>
      <c r="MEZ240" s="4"/>
      <c r="MFA240" s="4"/>
      <c r="MFB240" s="4"/>
      <c r="MFC240" s="4"/>
      <c r="MFD240" s="4"/>
      <c r="MFE240" s="4"/>
      <c r="MFF240" s="4"/>
      <c r="MFG240" s="4"/>
      <c r="MFH240" s="4"/>
      <c r="MFI240" s="4"/>
      <c r="MFJ240" s="4"/>
      <c r="MFK240" s="4"/>
      <c r="MFL240" s="4"/>
      <c r="MFM240" s="4"/>
      <c r="MFN240" s="4"/>
      <c r="MFO240" s="4"/>
      <c r="MFP240" s="4"/>
      <c r="MFQ240" s="4"/>
      <c r="MFR240" s="4"/>
      <c r="MFS240" s="4"/>
      <c r="MFT240" s="4"/>
      <c r="MFU240" s="4"/>
      <c r="MFV240" s="4"/>
      <c r="MFW240" s="4"/>
      <c r="MFX240" s="4"/>
      <c r="MFY240" s="4"/>
      <c r="MFZ240" s="4"/>
      <c r="MGA240" s="4"/>
      <c r="MGB240" s="4"/>
      <c r="MGC240" s="4"/>
      <c r="MGD240" s="4"/>
      <c r="MGE240" s="4"/>
      <c r="MGF240" s="4"/>
      <c r="MGG240" s="4"/>
      <c r="MGH240" s="4"/>
      <c r="MGI240" s="4"/>
      <c r="MGJ240" s="4"/>
      <c r="MGK240" s="4"/>
      <c r="MGL240" s="4"/>
      <c r="MGM240" s="4"/>
      <c r="MGN240" s="4"/>
      <c r="MGO240" s="4"/>
      <c r="MGP240" s="4"/>
      <c r="MGQ240" s="4"/>
      <c r="MGR240" s="4"/>
      <c r="MGS240" s="4"/>
      <c r="MGT240" s="4"/>
      <c r="MGU240" s="4"/>
      <c r="MGV240" s="4"/>
      <c r="MGW240" s="4"/>
      <c r="MGX240" s="4"/>
      <c r="MGY240" s="4"/>
      <c r="MGZ240" s="4"/>
      <c r="MHA240" s="4"/>
      <c r="MHB240" s="4"/>
      <c r="MHC240" s="4"/>
      <c r="MHD240" s="4"/>
      <c r="MHE240" s="4"/>
      <c r="MHF240" s="4"/>
      <c r="MHG240" s="4"/>
      <c r="MHH240" s="4"/>
      <c r="MHI240" s="4"/>
      <c r="MHJ240" s="4"/>
      <c r="MHK240" s="4"/>
      <c r="MHL240" s="4"/>
      <c r="MHM240" s="4"/>
      <c r="MHN240" s="4"/>
      <c r="MHO240" s="4"/>
      <c r="MHP240" s="4"/>
      <c r="MHQ240" s="4"/>
      <c r="MHR240" s="4"/>
      <c r="MHS240" s="4"/>
      <c r="MHT240" s="4"/>
      <c r="MHU240" s="4"/>
      <c r="MHV240" s="4"/>
      <c r="MHW240" s="4"/>
      <c r="MHX240" s="4"/>
      <c r="MHY240" s="4"/>
      <c r="MHZ240" s="4"/>
      <c r="MIA240" s="4"/>
      <c r="MIB240" s="4"/>
      <c r="MIC240" s="4"/>
      <c r="MID240" s="4"/>
      <c r="MIE240" s="4"/>
      <c r="MIF240" s="4"/>
      <c r="MIG240" s="4"/>
      <c r="MIH240" s="4"/>
      <c r="MII240" s="4"/>
      <c r="MIJ240" s="4"/>
      <c r="MIK240" s="4"/>
      <c r="MIL240" s="4"/>
      <c r="MIM240" s="4"/>
      <c r="MIN240" s="4"/>
      <c r="MIO240" s="4"/>
      <c r="MIP240" s="4"/>
      <c r="MIQ240" s="4"/>
      <c r="MIR240" s="4"/>
      <c r="MIS240" s="4"/>
      <c r="MIT240" s="4"/>
      <c r="MIU240" s="4"/>
      <c r="MIV240" s="4"/>
      <c r="MIW240" s="4"/>
      <c r="MIX240" s="4"/>
      <c r="MIY240" s="4"/>
      <c r="MIZ240" s="4"/>
      <c r="MJA240" s="4"/>
      <c r="MJB240" s="4"/>
      <c r="MJC240" s="4"/>
      <c r="MJD240" s="4"/>
      <c r="MJE240" s="4"/>
      <c r="MJF240" s="4"/>
      <c r="MJG240" s="4"/>
      <c r="MJH240" s="4"/>
      <c r="MJI240" s="4"/>
      <c r="MJJ240" s="4"/>
      <c r="MJK240" s="4"/>
      <c r="MJL240" s="4"/>
      <c r="MJM240" s="4"/>
      <c r="MJN240" s="4"/>
      <c r="MJO240" s="4"/>
      <c r="MJP240" s="4"/>
      <c r="MJQ240" s="4"/>
      <c r="MJR240" s="4"/>
      <c r="MJS240" s="4"/>
      <c r="MJT240" s="4"/>
      <c r="MJU240" s="4"/>
      <c r="MJV240" s="4"/>
      <c r="MJW240" s="4"/>
      <c r="MJX240" s="4"/>
      <c r="MJY240" s="4"/>
      <c r="MJZ240" s="4"/>
      <c r="MKA240" s="4"/>
      <c r="MKB240" s="4"/>
      <c r="MKC240" s="4"/>
      <c r="MKD240" s="4"/>
      <c r="MKE240" s="4"/>
      <c r="MKF240" s="4"/>
      <c r="MKG240" s="4"/>
      <c r="MKH240" s="4"/>
      <c r="MKI240" s="4"/>
      <c r="MKJ240" s="4"/>
      <c r="MKK240" s="4"/>
      <c r="MKL240" s="4"/>
      <c r="MKM240" s="4"/>
      <c r="MKN240" s="4"/>
      <c r="MKO240" s="4"/>
      <c r="MKP240" s="4"/>
      <c r="MKQ240" s="4"/>
      <c r="MKR240" s="4"/>
      <c r="MKS240" s="4"/>
      <c r="MKT240" s="4"/>
      <c r="MKU240" s="4"/>
      <c r="MKV240" s="4"/>
      <c r="MKW240" s="4"/>
      <c r="MKX240" s="4"/>
      <c r="MKY240" s="4"/>
      <c r="MKZ240" s="4"/>
      <c r="MLA240" s="4"/>
      <c r="MLB240" s="4"/>
      <c r="MLC240" s="4"/>
      <c r="MLD240" s="4"/>
      <c r="MLE240" s="4"/>
      <c r="MLF240" s="4"/>
      <c r="MLG240" s="4"/>
      <c r="MLH240" s="4"/>
      <c r="MLI240" s="4"/>
      <c r="MLJ240" s="4"/>
      <c r="MLK240" s="4"/>
      <c r="MLL240" s="4"/>
      <c r="MLM240" s="4"/>
      <c r="MLN240" s="4"/>
      <c r="MLO240" s="4"/>
      <c r="MLP240" s="4"/>
      <c r="MLQ240" s="4"/>
      <c r="MLR240" s="4"/>
      <c r="MLS240" s="4"/>
      <c r="MLT240" s="4"/>
      <c r="MLU240" s="4"/>
      <c r="MLV240" s="4"/>
      <c r="MLW240" s="4"/>
      <c r="MLX240" s="4"/>
      <c r="MLY240" s="4"/>
      <c r="MLZ240" s="4"/>
      <c r="MMA240" s="4"/>
      <c r="MMB240" s="4"/>
      <c r="MMC240" s="4"/>
      <c r="MMD240" s="4"/>
      <c r="MME240" s="4"/>
      <c r="MMF240" s="4"/>
      <c r="MMG240" s="4"/>
      <c r="MMH240" s="4"/>
      <c r="MMI240" s="4"/>
      <c r="MMJ240" s="4"/>
      <c r="MMK240" s="4"/>
      <c r="MML240" s="4"/>
      <c r="MMM240" s="4"/>
      <c r="MMN240" s="4"/>
      <c r="MMO240" s="4"/>
      <c r="MMP240" s="4"/>
      <c r="MMQ240" s="4"/>
      <c r="MMR240" s="4"/>
      <c r="MMS240" s="4"/>
      <c r="MMT240" s="4"/>
      <c r="MMU240" s="4"/>
      <c r="MMV240" s="4"/>
      <c r="MMW240" s="4"/>
      <c r="MMX240" s="4"/>
      <c r="MMY240" s="4"/>
      <c r="MMZ240" s="4"/>
      <c r="MNA240" s="4"/>
      <c r="MNB240" s="4"/>
      <c r="MNC240" s="4"/>
      <c r="MND240" s="4"/>
      <c r="MNE240" s="4"/>
      <c r="MNF240" s="4"/>
      <c r="MNG240" s="4"/>
      <c r="MNH240" s="4"/>
      <c r="MNI240" s="4"/>
      <c r="MNJ240" s="4"/>
      <c r="MNK240" s="4"/>
      <c r="MNL240" s="4"/>
      <c r="MNM240" s="4"/>
      <c r="MNN240" s="4"/>
      <c r="MNO240" s="4"/>
      <c r="MNP240" s="4"/>
      <c r="MNQ240" s="4"/>
      <c r="MNR240" s="4"/>
      <c r="MNS240" s="4"/>
      <c r="MNT240" s="4"/>
      <c r="MNU240" s="4"/>
      <c r="MNV240" s="4"/>
      <c r="MNW240" s="4"/>
      <c r="MNX240" s="4"/>
      <c r="MNY240" s="4"/>
      <c r="MNZ240" s="4"/>
      <c r="MOA240" s="4"/>
      <c r="MOB240" s="4"/>
      <c r="MOC240" s="4"/>
      <c r="MOD240" s="4"/>
      <c r="MOE240" s="4"/>
      <c r="MOF240" s="4"/>
      <c r="MOG240" s="4"/>
      <c r="MOH240" s="4"/>
      <c r="MOI240" s="4"/>
      <c r="MOJ240" s="4"/>
      <c r="MOK240" s="4"/>
      <c r="MOL240" s="4"/>
      <c r="MOM240" s="4"/>
      <c r="MON240" s="4"/>
      <c r="MOO240" s="4"/>
      <c r="MOP240" s="4"/>
      <c r="MOQ240" s="4"/>
      <c r="MOR240" s="4"/>
      <c r="MOS240" s="4"/>
      <c r="MOT240" s="4"/>
      <c r="MOU240" s="4"/>
      <c r="MOV240" s="4"/>
      <c r="MOW240" s="4"/>
      <c r="MOX240" s="4"/>
      <c r="MOY240" s="4"/>
      <c r="MOZ240" s="4"/>
      <c r="MPA240" s="4"/>
      <c r="MPB240" s="4"/>
      <c r="MPC240" s="4"/>
      <c r="MPD240" s="4"/>
      <c r="MPE240" s="4"/>
      <c r="MPF240" s="4"/>
      <c r="MPG240" s="4"/>
      <c r="MPH240" s="4"/>
      <c r="MPI240" s="4"/>
      <c r="MPJ240" s="4"/>
      <c r="MPK240" s="4"/>
      <c r="MPL240" s="4"/>
      <c r="MPM240" s="4"/>
      <c r="MPN240" s="4"/>
      <c r="MPO240" s="4"/>
      <c r="MPP240" s="4"/>
      <c r="MPQ240" s="4"/>
      <c r="MPR240" s="4"/>
      <c r="MPS240" s="4"/>
      <c r="MPT240" s="4"/>
      <c r="MPU240" s="4"/>
      <c r="MPV240" s="4"/>
      <c r="MPW240" s="4"/>
      <c r="MPX240" s="4"/>
      <c r="MPY240" s="4"/>
      <c r="MPZ240" s="4"/>
      <c r="MQA240" s="4"/>
      <c r="MQB240" s="4"/>
      <c r="MQC240" s="4"/>
      <c r="MQD240" s="4"/>
      <c r="MQE240" s="4"/>
      <c r="MQF240" s="4"/>
      <c r="MQG240" s="4"/>
      <c r="MQH240" s="4"/>
      <c r="MQI240" s="4"/>
      <c r="MQJ240" s="4"/>
      <c r="MQK240" s="4"/>
      <c r="MQL240" s="4"/>
      <c r="MQM240" s="4"/>
      <c r="MQN240" s="4"/>
      <c r="MQO240" s="4"/>
      <c r="MQP240" s="4"/>
      <c r="MQQ240" s="4"/>
      <c r="MQR240" s="4"/>
      <c r="MQS240" s="4"/>
      <c r="MQT240" s="4"/>
      <c r="MQU240" s="4"/>
      <c r="MQV240" s="4"/>
      <c r="MQW240" s="4"/>
      <c r="MQX240" s="4"/>
      <c r="MQY240" s="4"/>
      <c r="MQZ240" s="4"/>
      <c r="MRA240" s="4"/>
      <c r="MRB240" s="4"/>
      <c r="MRC240" s="4"/>
      <c r="MRD240" s="4"/>
      <c r="MRE240" s="4"/>
      <c r="MRF240" s="4"/>
      <c r="MRG240" s="4"/>
      <c r="MRH240" s="4"/>
      <c r="MRI240" s="4"/>
      <c r="MRJ240" s="4"/>
      <c r="MRK240" s="4"/>
      <c r="MRL240" s="4"/>
      <c r="MRM240" s="4"/>
      <c r="MRN240" s="4"/>
      <c r="MRO240" s="4"/>
      <c r="MRP240" s="4"/>
      <c r="MRQ240" s="4"/>
      <c r="MRR240" s="4"/>
      <c r="MRS240" s="4"/>
      <c r="MRT240" s="4"/>
      <c r="MRU240" s="4"/>
      <c r="MRV240" s="4"/>
      <c r="MRW240" s="4"/>
      <c r="MRX240" s="4"/>
      <c r="MRY240" s="4"/>
      <c r="MRZ240" s="4"/>
      <c r="MSA240" s="4"/>
      <c r="MSB240" s="4"/>
      <c r="MSC240" s="4"/>
      <c r="MSD240" s="4"/>
      <c r="MSE240" s="4"/>
      <c r="MSF240" s="4"/>
      <c r="MSG240" s="4"/>
      <c r="MSH240" s="4"/>
      <c r="MSI240" s="4"/>
      <c r="MSJ240" s="4"/>
      <c r="MSK240" s="4"/>
      <c r="MSL240" s="4"/>
      <c r="MSM240" s="4"/>
      <c r="MSN240" s="4"/>
      <c r="MSO240" s="4"/>
      <c r="MSP240" s="4"/>
      <c r="MSQ240" s="4"/>
      <c r="MSR240" s="4"/>
      <c r="MSS240" s="4"/>
      <c r="MST240" s="4"/>
      <c r="MSU240" s="4"/>
      <c r="MSV240" s="4"/>
      <c r="MSW240" s="4"/>
      <c r="MSX240" s="4"/>
      <c r="MSY240" s="4"/>
      <c r="MSZ240" s="4"/>
      <c r="MTA240" s="4"/>
      <c r="MTB240" s="4"/>
      <c r="MTC240" s="4"/>
      <c r="MTD240" s="4"/>
      <c r="MTE240" s="4"/>
      <c r="MTF240" s="4"/>
      <c r="MTG240" s="4"/>
      <c r="MTH240" s="4"/>
      <c r="MTI240" s="4"/>
      <c r="MTJ240" s="4"/>
      <c r="MTK240" s="4"/>
      <c r="MTL240" s="4"/>
      <c r="MTM240" s="4"/>
      <c r="MTN240" s="4"/>
      <c r="MTO240" s="4"/>
      <c r="MTP240" s="4"/>
      <c r="MTQ240" s="4"/>
      <c r="MTR240" s="4"/>
      <c r="MTS240" s="4"/>
      <c r="MTT240" s="4"/>
      <c r="MTU240" s="4"/>
      <c r="MTV240" s="4"/>
      <c r="MTW240" s="4"/>
      <c r="MTX240" s="4"/>
      <c r="MTY240" s="4"/>
      <c r="MTZ240" s="4"/>
      <c r="MUA240" s="4"/>
      <c r="MUB240" s="4"/>
      <c r="MUC240" s="4"/>
      <c r="MUD240" s="4"/>
      <c r="MUE240" s="4"/>
      <c r="MUF240" s="4"/>
      <c r="MUG240" s="4"/>
      <c r="MUH240" s="4"/>
      <c r="MUI240" s="4"/>
      <c r="MUJ240" s="4"/>
      <c r="MUK240" s="4"/>
      <c r="MUL240" s="4"/>
      <c r="MUM240" s="4"/>
      <c r="MUN240" s="4"/>
      <c r="MUO240" s="4"/>
      <c r="MUP240" s="4"/>
      <c r="MUQ240" s="4"/>
      <c r="MUR240" s="4"/>
      <c r="MUS240" s="4"/>
      <c r="MUT240" s="4"/>
      <c r="MUU240" s="4"/>
      <c r="MUV240" s="4"/>
      <c r="MUW240" s="4"/>
      <c r="MUX240" s="4"/>
      <c r="MUY240" s="4"/>
      <c r="MUZ240" s="4"/>
      <c r="MVA240" s="4"/>
      <c r="MVB240" s="4"/>
      <c r="MVC240" s="4"/>
      <c r="MVD240" s="4"/>
      <c r="MVE240" s="4"/>
      <c r="MVF240" s="4"/>
      <c r="MVG240" s="4"/>
      <c r="MVH240" s="4"/>
      <c r="MVI240" s="4"/>
      <c r="MVJ240" s="4"/>
      <c r="MVK240" s="4"/>
      <c r="MVL240" s="4"/>
      <c r="MVM240" s="4"/>
      <c r="MVN240" s="4"/>
      <c r="MVO240" s="4"/>
      <c r="MVP240" s="4"/>
      <c r="MVQ240" s="4"/>
      <c r="MVR240" s="4"/>
      <c r="MVS240" s="4"/>
      <c r="MVT240" s="4"/>
      <c r="MVU240" s="4"/>
      <c r="MVV240" s="4"/>
      <c r="MVW240" s="4"/>
      <c r="MVX240" s="4"/>
      <c r="MVY240" s="4"/>
      <c r="MVZ240" s="4"/>
      <c r="MWA240" s="4"/>
      <c r="MWB240" s="4"/>
      <c r="MWC240" s="4"/>
      <c r="MWD240" s="4"/>
      <c r="MWE240" s="4"/>
      <c r="MWF240" s="4"/>
      <c r="MWG240" s="4"/>
      <c r="MWH240" s="4"/>
      <c r="MWI240" s="4"/>
      <c r="MWJ240" s="4"/>
      <c r="MWK240" s="4"/>
      <c r="MWL240" s="4"/>
      <c r="MWM240" s="4"/>
      <c r="MWN240" s="4"/>
      <c r="MWO240" s="4"/>
      <c r="MWP240" s="4"/>
      <c r="MWQ240" s="4"/>
      <c r="MWR240" s="4"/>
      <c r="MWS240" s="4"/>
      <c r="MWT240" s="4"/>
      <c r="MWU240" s="4"/>
      <c r="MWV240" s="4"/>
      <c r="MWW240" s="4"/>
      <c r="MWX240" s="4"/>
      <c r="MWY240" s="4"/>
      <c r="MWZ240" s="4"/>
      <c r="MXA240" s="4"/>
      <c r="MXB240" s="4"/>
      <c r="MXC240" s="4"/>
      <c r="MXD240" s="4"/>
      <c r="MXE240" s="4"/>
      <c r="MXF240" s="4"/>
      <c r="MXG240" s="4"/>
      <c r="MXH240" s="4"/>
      <c r="MXI240" s="4"/>
      <c r="MXJ240" s="4"/>
      <c r="MXK240" s="4"/>
      <c r="MXL240" s="4"/>
      <c r="MXM240" s="4"/>
      <c r="MXN240" s="4"/>
      <c r="MXO240" s="4"/>
      <c r="MXP240" s="4"/>
      <c r="MXQ240" s="4"/>
      <c r="MXR240" s="4"/>
      <c r="MXS240" s="4"/>
      <c r="MXT240" s="4"/>
      <c r="MXU240" s="4"/>
      <c r="MXV240" s="4"/>
      <c r="MXW240" s="4"/>
      <c r="MXX240" s="4"/>
      <c r="MXY240" s="4"/>
      <c r="MXZ240" s="4"/>
      <c r="MYA240" s="4"/>
      <c r="MYB240" s="4"/>
      <c r="MYC240" s="4"/>
      <c r="MYD240" s="4"/>
      <c r="MYE240" s="4"/>
      <c r="MYF240" s="4"/>
      <c r="MYG240" s="4"/>
      <c r="MYH240" s="4"/>
      <c r="MYI240" s="4"/>
      <c r="MYJ240" s="4"/>
      <c r="MYK240" s="4"/>
      <c r="MYL240" s="4"/>
      <c r="MYM240" s="4"/>
      <c r="MYN240" s="4"/>
      <c r="MYO240" s="4"/>
      <c r="MYP240" s="4"/>
      <c r="MYQ240" s="4"/>
      <c r="MYR240" s="4"/>
      <c r="MYS240" s="4"/>
      <c r="MYT240" s="4"/>
      <c r="MYU240" s="4"/>
      <c r="MYV240" s="4"/>
      <c r="MYW240" s="4"/>
      <c r="MYX240" s="4"/>
      <c r="MYY240" s="4"/>
      <c r="MYZ240" s="4"/>
      <c r="MZA240" s="4"/>
      <c r="MZB240" s="4"/>
      <c r="MZC240" s="4"/>
      <c r="MZD240" s="4"/>
      <c r="MZE240" s="4"/>
      <c r="MZF240" s="4"/>
      <c r="MZG240" s="4"/>
      <c r="MZH240" s="4"/>
      <c r="MZI240" s="4"/>
      <c r="MZJ240" s="4"/>
      <c r="MZK240" s="4"/>
      <c r="MZL240" s="4"/>
      <c r="MZM240" s="4"/>
      <c r="MZN240" s="4"/>
      <c r="MZO240" s="4"/>
      <c r="MZP240" s="4"/>
      <c r="MZQ240" s="4"/>
      <c r="MZR240" s="4"/>
      <c r="MZS240" s="4"/>
      <c r="MZT240" s="4"/>
      <c r="MZU240" s="4"/>
      <c r="MZV240" s="4"/>
      <c r="MZW240" s="4"/>
      <c r="MZX240" s="4"/>
      <c r="MZY240" s="4"/>
      <c r="MZZ240" s="4"/>
      <c r="NAA240" s="4"/>
      <c r="NAB240" s="4"/>
      <c r="NAC240" s="4"/>
      <c r="NAD240" s="4"/>
      <c r="NAE240" s="4"/>
      <c r="NAF240" s="4"/>
      <c r="NAG240" s="4"/>
      <c r="NAH240" s="4"/>
      <c r="NAI240" s="4"/>
      <c r="NAJ240" s="4"/>
      <c r="NAK240" s="4"/>
      <c r="NAL240" s="4"/>
      <c r="NAM240" s="4"/>
      <c r="NAN240" s="4"/>
      <c r="NAO240" s="4"/>
      <c r="NAP240" s="4"/>
      <c r="NAQ240" s="4"/>
      <c r="NAR240" s="4"/>
      <c r="NAS240" s="4"/>
      <c r="NAT240" s="4"/>
      <c r="NAU240" s="4"/>
      <c r="NAV240" s="4"/>
      <c r="NAW240" s="4"/>
      <c r="NAX240" s="4"/>
      <c r="NAY240" s="4"/>
      <c r="NAZ240" s="4"/>
      <c r="NBA240" s="4"/>
      <c r="NBB240" s="4"/>
      <c r="NBC240" s="4"/>
      <c r="NBD240" s="4"/>
      <c r="NBE240" s="4"/>
      <c r="NBF240" s="4"/>
      <c r="NBG240" s="4"/>
      <c r="NBH240" s="4"/>
      <c r="NBI240" s="4"/>
      <c r="NBJ240" s="4"/>
      <c r="NBK240" s="4"/>
      <c r="NBL240" s="4"/>
      <c r="NBM240" s="4"/>
      <c r="NBN240" s="4"/>
      <c r="NBO240" s="4"/>
      <c r="NBP240" s="4"/>
      <c r="NBQ240" s="4"/>
      <c r="NBR240" s="4"/>
      <c r="NBS240" s="4"/>
      <c r="NBT240" s="4"/>
      <c r="NBU240" s="4"/>
      <c r="NBV240" s="4"/>
      <c r="NBW240" s="4"/>
      <c r="NBX240" s="4"/>
      <c r="NBY240" s="4"/>
      <c r="NBZ240" s="4"/>
      <c r="NCA240" s="4"/>
      <c r="NCB240" s="4"/>
      <c r="NCC240" s="4"/>
      <c r="NCD240" s="4"/>
      <c r="NCE240" s="4"/>
      <c r="NCF240" s="4"/>
      <c r="NCG240" s="4"/>
      <c r="NCH240" s="4"/>
      <c r="NCI240" s="4"/>
      <c r="NCJ240" s="4"/>
      <c r="NCK240" s="4"/>
      <c r="NCL240" s="4"/>
      <c r="NCM240" s="4"/>
      <c r="NCN240" s="4"/>
      <c r="NCO240" s="4"/>
      <c r="NCP240" s="4"/>
      <c r="NCQ240" s="4"/>
      <c r="NCR240" s="4"/>
      <c r="NCS240" s="4"/>
      <c r="NCT240" s="4"/>
      <c r="NCU240" s="4"/>
      <c r="NCV240" s="4"/>
      <c r="NCW240" s="4"/>
      <c r="NCX240" s="4"/>
      <c r="NCY240" s="4"/>
      <c r="NCZ240" s="4"/>
      <c r="NDA240" s="4"/>
      <c r="NDB240" s="4"/>
      <c r="NDC240" s="4"/>
      <c r="NDD240" s="4"/>
      <c r="NDE240" s="4"/>
      <c r="NDF240" s="4"/>
      <c r="NDG240" s="4"/>
      <c r="NDH240" s="4"/>
      <c r="NDI240" s="4"/>
      <c r="NDJ240" s="4"/>
      <c r="NDK240" s="4"/>
      <c r="NDL240" s="4"/>
      <c r="NDM240" s="4"/>
      <c r="NDN240" s="4"/>
      <c r="NDO240" s="4"/>
      <c r="NDP240" s="4"/>
      <c r="NDQ240" s="4"/>
      <c r="NDR240" s="4"/>
      <c r="NDS240" s="4"/>
      <c r="NDT240" s="4"/>
      <c r="NDU240" s="4"/>
      <c r="NDV240" s="4"/>
      <c r="NDW240" s="4"/>
      <c r="NDX240" s="4"/>
      <c r="NDY240" s="4"/>
      <c r="NDZ240" s="4"/>
      <c r="NEA240" s="4"/>
      <c r="NEB240" s="4"/>
      <c r="NEC240" s="4"/>
      <c r="NED240" s="4"/>
      <c r="NEE240" s="4"/>
      <c r="NEF240" s="4"/>
      <c r="NEG240" s="4"/>
      <c r="NEH240" s="4"/>
      <c r="NEI240" s="4"/>
      <c r="NEJ240" s="4"/>
      <c r="NEK240" s="4"/>
      <c r="NEL240" s="4"/>
      <c r="NEM240" s="4"/>
      <c r="NEN240" s="4"/>
      <c r="NEO240" s="4"/>
      <c r="NEP240" s="4"/>
      <c r="NEQ240" s="4"/>
      <c r="NER240" s="4"/>
      <c r="NES240" s="4"/>
      <c r="NET240" s="4"/>
      <c r="NEU240" s="4"/>
      <c r="NEV240" s="4"/>
      <c r="NEW240" s="4"/>
      <c r="NEX240" s="4"/>
      <c r="NEY240" s="4"/>
      <c r="NEZ240" s="4"/>
      <c r="NFA240" s="4"/>
      <c r="NFB240" s="4"/>
      <c r="NFC240" s="4"/>
      <c r="NFD240" s="4"/>
      <c r="NFE240" s="4"/>
      <c r="NFF240" s="4"/>
      <c r="NFG240" s="4"/>
      <c r="NFH240" s="4"/>
      <c r="NFI240" s="4"/>
      <c r="NFJ240" s="4"/>
      <c r="NFK240" s="4"/>
      <c r="NFL240" s="4"/>
      <c r="NFM240" s="4"/>
      <c r="NFN240" s="4"/>
      <c r="NFO240" s="4"/>
      <c r="NFP240" s="4"/>
      <c r="NFQ240" s="4"/>
      <c r="NFR240" s="4"/>
      <c r="NFS240" s="4"/>
      <c r="NFT240" s="4"/>
      <c r="NFU240" s="4"/>
      <c r="NFV240" s="4"/>
      <c r="NFW240" s="4"/>
      <c r="NFX240" s="4"/>
      <c r="NFY240" s="4"/>
      <c r="NFZ240" s="4"/>
      <c r="NGA240" s="4"/>
      <c r="NGB240" s="4"/>
      <c r="NGC240" s="4"/>
      <c r="NGD240" s="4"/>
      <c r="NGE240" s="4"/>
      <c r="NGF240" s="4"/>
      <c r="NGG240" s="4"/>
      <c r="NGH240" s="4"/>
      <c r="NGI240" s="4"/>
      <c r="NGJ240" s="4"/>
      <c r="NGK240" s="4"/>
      <c r="NGL240" s="4"/>
      <c r="NGM240" s="4"/>
      <c r="NGN240" s="4"/>
      <c r="NGO240" s="4"/>
      <c r="NGP240" s="4"/>
      <c r="NGQ240" s="4"/>
      <c r="NGR240" s="4"/>
      <c r="NGS240" s="4"/>
      <c r="NGT240" s="4"/>
      <c r="NGU240" s="4"/>
      <c r="NGV240" s="4"/>
      <c r="NGW240" s="4"/>
      <c r="NGX240" s="4"/>
      <c r="NGY240" s="4"/>
      <c r="NGZ240" s="4"/>
      <c r="NHA240" s="4"/>
      <c r="NHB240" s="4"/>
      <c r="NHC240" s="4"/>
      <c r="NHD240" s="4"/>
      <c r="NHE240" s="4"/>
      <c r="NHF240" s="4"/>
      <c r="NHG240" s="4"/>
      <c r="NHH240" s="4"/>
      <c r="NHI240" s="4"/>
      <c r="NHJ240" s="4"/>
      <c r="NHK240" s="4"/>
      <c r="NHL240" s="4"/>
      <c r="NHM240" s="4"/>
      <c r="NHN240" s="4"/>
      <c r="NHO240" s="4"/>
      <c r="NHP240" s="4"/>
      <c r="NHQ240" s="4"/>
      <c r="NHR240" s="4"/>
      <c r="NHS240" s="4"/>
      <c r="NHT240" s="4"/>
      <c r="NHU240" s="4"/>
      <c r="NHV240" s="4"/>
      <c r="NHW240" s="4"/>
      <c r="NHX240" s="4"/>
      <c r="NHY240" s="4"/>
      <c r="NHZ240" s="4"/>
      <c r="NIA240" s="4"/>
      <c r="NIB240" s="4"/>
      <c r="NIC240" s="4"/>
      <c r="NID240" s="4"/>
      <c r="NIE240" s="4"/>
      <c r="NIF240" s="4"/>
      <c r="NIG240" s="4"/>
      <c r="NIH240" s="4"/>
      <c r="NII240" s="4"/>
      <c r="NIJ240" s="4"/>
      <c r="NIK240" s="4"/>
      <c r="NIL240" s="4"/>
      <c r="NIM240" s="4"/>
      <c r="NIN240" s="4"/>
      <c r="NIO240" s="4"/>
      <c r="NIP240" s="4"/>
      <c r="NIQ240" s="4"/>
      <c r="NIR240" s="4"/>
      <c r="NIS240" s="4"/>
      <c r="NIT240" s="4"/>
      <c r="NIU240" s="4"/>
      <c r="NIV240" s="4"/>
      <c r="NIW240" s="4"/>
      <c r="NIX240" s="4"/>
      <c r="NIY240" s="4"/>
      <c r="NIZ240" s="4"/>
      <c r="NJA240" s="4"/>
      <c r="NJB240" s="4"/>
      <c r="NJC240" s="4"/>
      <c r="NJD240" s="4"/>
      <c r="NJE240" s="4"/>
      <c r="NJF240" s="4"/>
      <c r="NJG240" s="4"/>
      <c r="NJH240" s="4"/>
      <c r="NJI240" s="4"/>
      <c r="NJJ240" s="4"/>
      <c r="NJK240" s="4"/>
      <c r="NJL240" s="4"/>
      <c r="NJM240" s="4"/>
      <c r="NJN240" s="4"/>
      <c r="NJO240" s="4"/>
      <c r="NJP240" s="4"/>
      <c r="NJQ240" s="4"/>
      <c r="NJR240" s="4"/>
      <c r="NJS240" s="4"/>
      <c r="NJT240" s="4"/>
      <c r="NJU240" s="4"/>
      <c r="NJV240" s="4"/>
      <c r="NJW240" s="4"/>
      <c r="NJX240" s="4"/>
      <c r="NJY240" s="4"/>
      <c r="NJZ240" s="4"/>
      <c r="NKA240" s="4"/>
      <c r="NKB240" s="4"/>
      <c r="NKC240" s="4"/>
      <c r="NKD240" s="4"/>
      <c r="NKE240" s="4"/>
      <c r="NKF240" s="4"/>
      <c r="NKG240" s="4"/>
      <c r="NKH240" s="4"/>
      <c r="NKI240" s="4"/>
      <c r="NKJ240" s="4"/>
      <c r="NKK240" s="4"/>
      <c r="NKL240" s="4"/>
      <c r="NKM240" s="4"/>
      <c r="NKN240" s="4"/>
      <c r="NKO240" s="4"/>
      <c r="NKP240" s="4"/>
      <c r="NKQ240" s="4"/>
      <c r="NKR240" s="4"/>
      <c r="NKS240" s="4"/>
      <c r="NKT240" s="4"/>
      <c r="NKU240" s="4"/>
      <c r="NKV240" s="4"/>
      <c r="NKW240" s="4"/>
      <c r="NKX240" s="4"/>
      <c r="NKY240" s="4"/>
      <c r="NKZ240" s="4"/>
      <c r="NLA240" s="4"/>
      <c r="NLB240" s="4"/>
      <c r="NLC240" s="4"/>
      <c r="NLD240" s="4"/>
      <c r="NLE240" s="4"/>
      <c r="NLF240" s="4"/>
      <c r="NLG240" s="4"/>
      <c r="NLH240" s="4"/>
      <c r="NLI240" s="4"/>
      <c r="NLJ240" s="4"/>
      <c r="NLK240" s="4"/>
      <c r="NLL240" s="4"/>
      <c r="NLM240" s="4"/>
      <c r="NLN240" s="4"/>
      <c r="NLO240" s="4"/>
      <c r="NLP240" s="4"/>
      <c r="NLQ240" s="4"/>
      <c r="NLR240" s="4"/>
      <c r="NLS240" s="4"/>
      <c r="NLT240" s="4"/>
      <c r="NLU240" s="4"/>
      <c r="NLV240" s="4"/>
      <c r="NLW240" s="4"/>
      <c r="NLX240" s="4"/>
      <c r="NLY240" s="4"/>
      <c r="NLZ240" s="4"/>
      <c r="NMA240" s="4"/>
      <c r="NMB240" s="4"/>
      <c r="NMC240" s="4"/>
      <c r="NMD240" s="4"/>
      <c r="NME240" s="4"/>
      <c r="NMF240" s="4"/>
      <c r="NMG240" s="4"/>
      <c r="NMH240" s="4"/>
      <c r="NMI240" s="4"/>
      <c r="NMJ240" s="4"/>
      <c r="NMK240" s="4"/>
      <c r="NML240" s="4"/>
      <c r="NMM240" s="4"/>
      <c r="NMN240" s="4"/>
      <c r="NMO240" s="4"/>
      <c r="NMP240" s="4"/>
      <c r="NMQ240" s="4"/>
      <c r="NMR240" s="4"/>
      <c r="NMS240" s="4"/>
      <c r="NMT240" s="4"/>
      <c r="NMU240" s="4"/>
      <c r="NMV240" s="4"/>
      <c r="NMW240" s="4"/>
      <c r="NMX240" s="4"/>
      <c r="NMY240" s="4"/>
      <c r="NMZ240" s="4"/>
      <c r="NNA240" s="4"/>
      <c r="NNB240" s="4"/>
      <c r="NNC240" s="4"/>
      <c r="NND240" s="4"/>
      <c r="NNE240" s="4"/>
      <c r="NNF240" s="4"/>
      <c r="NNG240" s="4"/>
      <c r="NNH240" s="4"/>
      <c r="NNI240" s="4"/>
      <c r="NNJ240" s="4"/>
      <c r="NNK240" s="4"/>
      <c r="NNL240" s="4"/>
      <c r="NNM240" s="4"/>
      <c r="NNN240" s="4"/>
      <c r="NNO240" s="4"/>
      <c r="NNP240" s="4"/>
      <c r="NNQ240" s="4"/>
      <c r="NNR240" s="4"/>
      <c r="NNS240" s="4"/>
      <c r="NNT240" s="4"/>
      <c r="NNU240" s="4"/>
      <c r="NNV240" s="4"/>
      <c r="NNW240" s="4"/>
      <c r="NNX240" s="4"/>
      <c r="NNY240" s="4"/>
      <c r="NNZ240" s="4"/>
      <c r="NOA240" s="4"/>
      <c r="NOB240" s="4"/>
      <c r="NOC240" s="4"/>
      <c r="NOD240" s="4"/>
      <c r="NOE240" s="4"/>
      <c r="NOF240" s="4"/>
      <c r="NOG240" s="4"/>
      <c r="NOH240" s="4"/>
      <c r="NOI240" s="4"/>
      <c r="NOJ240" s="4"/>
      <c r="NOK240" s="4"/>
      <c r="NOL240" s="4"/>
      <c r="NOM240" s="4"/>
      <c r="NON240" s="4"/>
      <c r="NOO240" s="4"/>
      <c r="NOP240" s="4"/>
      <c r="NOQ240" s="4"/>
      <c r="NOR240" s="4"/>
      <c r="NOS240" s="4"/>
      <c r="NOT240" s="4"/>
      <c r="NOU240" s="4"/>
      <c r="NOV240" s="4"/>
      <c r="NOW240" s="4"/>
      <c r="NOX240" s="4"/>
      <c r="NOY240" s="4"/>
      <c r="NOZ240" s="4"/>
      <c r="NPA240" s="4"/>
      <c r="NPB240" s="4"/>
      <c r="NPC240" s="4"/>
      <c r="NPD240" s="4"/>
      <c r="NPE240" s="4"/>
      <c r="NPF240" s="4"/>
      <c r="NPG240" s="4"/>
      <c r="NPH240" s="4"/>
      <c r="NPI240" s="4"/>
      <c r="NPJ240" s="4"/>
      <c r="NPK240" s="4"/>
      <c r="NPL240" s="4"/>
      <c r="NPM240" s="4"/>
      <c r="NPN240" s="4"/>
      <c r="NPO240" s="4"/>
      <c r="NPP240" s="4"/>
      <c r="NPQ240" s="4"/>
      <c r="NPR240" s="4"/>
      <c r="NPS240" s="4"/>
      <c r="NPT240" s="4"/>
      <c r="NPU240" s="4"/>
      <c r="NPV240" s="4"/>
      <c r="NPW240" s="4"/>
      <c r="NPX240" s="4"/>
      <c r="NPY240" s="4"/>
      <c r="NPZ240" s="4"/>
      <c r="NQA240" s="4"/>
      <c r="NQB240" s="4"/>
      <c r="NQC240" s="4"/>
      <c r="NQD240" s="4"/>
      <c r="NQE240" s="4"/>
      <c r="NQF240" s="4"/>
      <c r="NQG240" s="4"/>
      <c r="NQH240" s="4"/>
      <c r="NQI240" s="4"/>
      <c r="NQJ240" s="4"/>
      <c r="NQK240" s="4"/>
      <c r="NQL240" s="4"/>
      <c r="NQM240" s="4"/>
      <c r="NQN240" s="4"/>
      <c r="NQO240" s="4"/>
      <c r="NQP240" s="4"/>
      <c r="NQQ240" s="4"/>
      <c r="NQR240" s="4"/>
      <c r="NQS240" s="4"/>
      <c r="NQT240" s="4"/>
      <c r="NQU240" s="4"/>
      <c r="NQV240" s="4"/>
      <c r="NQW240" s="4"/>
      <c r="NQX240" s="4"/>
      <c r="NQY240" s="4"/>
      <c r="NQZ240" s="4"/>
      <c r="NRA240" s="4"/>
      <c r="NRB240" s="4"/>
      <c r="NRC240" s="4"/>
      <c r="NRD240" s="4"/>
      <c r="NRE240" s="4"/>
      <c r="NRF240" s="4"/>
      <c r="NRG240" s="4"/>
      <c r="NRH240" s="4"/>
      <c r="NRI240" s="4"/>
      <c r="NRJ240" s="4"/>
      <c r="NRK240" s="4"/>
      <c r="NRL240" s="4"/>
      <c r="NRM240" s="4"/>
      <c r="NRN240" s="4"/>
      <c r="NRO240" s="4"/>
      <c r="NRP240" s="4"/>
      <c r="NRQ240" s="4"/>
      <c r="NRR240" s="4"/>
      <c r="NRS240" s="4"/>
      <c r="NRT240" s="4"/>
      <c r="NRU240" s="4"/>
      <c r="NRV240" s="4"/>
      <c r="NRW240" s="4"/>
      <c r="NRX240" s="4"/>
      <c r="NRY240" s="4"/>
      <c r="NRZ240" s="4"/>
      <c r="NSA240" s="4"/>
      <c r="NSB240" s="4"/>
      <c r="NSC240" s="4"/>
      <c r="NSD240" s="4"/>
      <c r="NSE240" s="4"/>
      <c r="NSF240" s="4"/>
      <c r="NSG240" s="4"/>
      <c r="NSH240" s="4"/>
      <c r="NSI240" s="4"/>
      <c r="NSJ240" s="4"/>
      <c r="NSK240" s="4"/>
      <c r="NSL240" s="4"/>
      <c r="NSM240" s="4"/>
      <c r="NSN240" s="4"/>
      <c r="NSO240" s="4"/>
      <c r="NSP240" s="4"/>
      <c r="NSQ240" s="4"/>
      <c r="NSR240" s="4"/>
      <c r="NSS240" s="4"/>
      <c r="NST240" s="4"/>
      <c r="NSU240" s="4"/>
      <c r="NSV240" s="4"/>
      <c r="NSW240" s="4"/>
      <c r="NSX240" s="4"/>
      <c r="NSY240" s="4"/>
      <c r="NSZ240" s="4"/>
      <c r="NTA240" s="4"/>
      <c r="NTB240" s="4"/>
      <c r="NTC240" s="4"/>
      <c r="NTD240" s="4"/>
      <c r="NTE240" s="4"/>
      <c r="NTF240" s="4"/>
      <c r="NTG240" s="4"/>
      <c r="NTH240" s="4"/>
      <c r="NTI240" s="4"/>
      <c r="NTJ240" s="4"/>
      <c r="NTK240" s="4"/>
      <c r="NTL240" s="4"/>
      <c r="NTM240" s="4"/>
      <c r="NTN240" s="4"/>
      <c r="NTO240" s="4"/>
      <c r="NTP240" s="4"/>
      <c r="NTQ240" s="4"/>
      <c r="NTR240" s="4"/>
      <c r="NTS240" s="4"/>
      <c r="NTT240" s="4"/>
      <c r="NTU240" s="4"/>
      <c r="NTV240" s="4"/>
      <c r="NTW240" s="4"/>
      <c r="NTX240" s="4"/>
      <c r="NTY240" s="4"/>
      <c r="NTZ240" s="4"/>
      <c r="NUA240" s="4"/>
      <c r="NUB240" s="4"/>
      <c r="NUC240" s="4"/>
      <c r="NUD240" s="4"/>
      <c r="NUE240" s="4"/>
      <c r="NUF240" s="4"/>
      <c r="NUG240" s="4"/>
      <c r="NUH240" s="4"/>
      <c r="NUI240" s="4"/>
      <c r="NUJ240" s="4"/>
      <c r="NUK240" s="4"/>
      <c r="NUL240" s="4"/>
      <c r="NUM240" s="4"/>
      <c r="NUN240" s="4"/>
      <c r="NUO240" s="4"/>
      <c r="NUP240" s="4"/>
      <c r="NUQ240" s="4"/>
      <c r="NUR240" s="4"/>
      <c r="NUS240" s="4"/>
      <c r="NUT240" s="4"/>
      <c r="NUU240" s="4"/>
      <c r="NUV240" s="4"/>
      <c r="NUW240" s="4"/>
      <c r="NUX240" s="4"/>
      <c r="NUY240" s="4"/>
      <c r="NUZ240" s="4"/>
      <c r="NVA240" s="4"/>
      <c r="NVB240" s="4"/>
      <c r="NVC240" s="4"/>
      <c r="NVD240" s="4"/>
      <c r="NVE240" s="4"/>
      <c r="NVF240" s="4"/>
      <c r="NVG240" s="4"/>
      <c r="NVH240" s="4"/>
      <c r="NVI240" s="4"/>
      <c r="NVJ240" s="4"/>
      <c r="NVK240" s="4"/>
      <c r="NVL240" s="4"/>
      <c r="NVM240" s="4"/>
      <c r="NVN240" s="4"/>
      <c r="NVO240" s="4"/>
      <c r="NVP240" s="4"/>
      <c r="NVQ240" s="4"/>
      <c r="NVR240" s="4"/>
      <c r="NVS240" s="4"/>
      <c r="NVT240" s="4"/>
      <c r="NVU240" s="4"/>
      <c r="NVV240" s="4"/>
      <c r="NVW240" s="4"/>
      <c r="NVX240" s="4"/>
      <c r="NVY240" s="4"/>
      <c r="NVZ240" s="4"/>
      <c r="NWA240" s="4"/>
      <c r="NWB240" s="4"/>
      <c r="NWC240" s="4"/>
      <c r="NWD240" s="4"/>
      <c r="NWE240" s="4"/>
      <c r="NWF240" s="4"/>
      <c r="NWG240" s="4"/>
      <c r="NWH240" s="4"/>
      <c r="NWI240" s="4"/>
      <c r="NWJ240" s="4"/>
      <c r="NWK240" s="4"/>
      <c r="NWL240" s="4"/>
      <c r="NWM240" s="4"/>
      <c r="NWN240" s="4"/>
      <c r="NWO240" s="4"/>
      <c r="NWP240" s="4"/>
      <c r="NWQ240" s="4"/>
      <c r="NWR240" s="4"/>
      <c r="NWS240" s="4"/>
      <c r="NWT240" s="4"/>
      <c r="NWU240" s="4"/>
      <c r="NWV240" s="4"/>
      <c r="NWW240" s="4"/>
      <c r="NWX240" s="4"/>
      <c r="NWY240" s="4"/>
      <c r="NWZ240" s="4"/>
      <c r="NXA240" s="4"/>
      <c r="NXB240" s="4"/>
      <c r="NXC240" s="4"/>
      <c r="NXD240" s="4"/>
      <c r="NXE240" s="4"/>
      <c r="NXF240" s="4"/>
      <c r="NXG240" s="4"/>
      <c r="NXH240" s="4"/>
      <c r="NXI240" s="4"/>
      <c r="NXJ240" s="4"/>
      <c r="NXK240" s="4"/>
      <c r="NXL240" s="4"/>
      <c r="NXM240" s="4"/>
      <c r="NXN240" s="4"/>
      <c r="NXO240" s="4"/>
      <c r="NXP240" s="4"/>
      <c r="NXQ240" s="4"/>
      <c r="NXR240" s="4"/>
      <c r="NXS240" s="4"/>
      <c r="NXT240" s="4"/>
      <c r="NXU240" s="4"/>
      <c r="NXV240" s="4"/>
      <c r="NXW240" s="4"/>
      <c r="NXX240" s="4"/>
      <c r="NXY240" s="4"/>
      <c r="NXZ240" s="4"/>
      <c r="NYA240" s="4"/>
      <c r="NYB240" s="4"/>
      <c r="NYC240" s="4"/>
      <c r="NYD240" s="4"/>
      <c r="NYE240" s="4"/>
      <c r="NYF240" s="4"/>
      <c r="NYG240" s="4"/>
      <c r="NYH240" s="4"/>
      <c r="NYI240" s="4"/>
      <c r="NYJ240" s="4"/>
      <c r="NYK240" s="4"/>
      <c r="NYL240" s="4"/>
      <c r="NYM240" s="4"/>
      <c r="NYN240" s="4"/>
      <c r="NYO240" s="4"/>
      <c r="NYP240" s="4"/>
      <c r="NYQ240" s="4"/>
      <c r="NYR240" s="4"/>
      <c r="NYS240" s="4"/>
      <c r="NYT240" s="4"/>
      <c r="NYU240" s="4"/>
      <c r="NYV240" s="4"/>
      <c r="NYW240" s="4"/>
      <c r="NYX240" s="4"/>
      <c r="NYY240" s="4"/>
      <c r="NYZ240" s="4"/>
      <c r="NZA240" s="4"/>
      <c r="NZB240" s="4"/>
      <c r="NZC240" s="4"/>
      <c r="NZD240" s="4"/>
      <c r="NZE240" s="4"/>
      <c r="NZF240" s="4"/>
      <c r="NZG240" s="4"/>
      <c r="NZH240" s="4"/>
      <c r="NZI240" s="4"/>
      <c r="NZJ240" s="4"/>
      <c r="NZK240" s="4"/>
      <c r="NZL240" s="4"/>
      <c r="NZM240" s="4"/>
      <c r="NZN240" s="4"/>
      <c r="NZO240" s="4"/>
      <c r="NZP240" s="4"/>
      <c r="NZQ240" s="4"/>
      <c r="NZR240" s="4"/>
      <c r="NZS240" s="4"/>
      <c r="NZT240" s="4"/>
      <c r="NZU240" s="4"/>
      <c r="NZV240" s="4"/>
      <c r="NZW240" s="4"/>
      <c r="NZX240" s="4"/>
      <c r="NZY240" s="4"/>
      <c r="NZZ240" s="4"/>
      <c r="OAA240" s="4"/>
      <c r="OAB240" s="4"/>
      <c r="OAC240" s="4"/>
      <c r="OAD240" s="4"/>
      <c r="OAE240" s="4"/>
      <c r="OAF240" s="4"/>
      <c r="OAG240" s="4"/>
      <c r="OAH240" s="4"/>
      <c r="OAI240" s="4"/>
      <c r="OAJ240" s="4"/>
      <c r="OAK240" s="4"/>
      <c r="OAL240" s="4"/>
      <c r="OAM240" s="4"/>
      <c r="OAN240" s="4"/>
      <c r="OAO240" s="4"/>
      <c r="OAP240" s="4"/>
      <c r="OAQ240" s="4"/>
      <c r="OAR240" s="4"/>
      <c r="OAS240" s="4"/>
      <c r="OAT240" s="4"/>
      <c r="OAU240" s="4"/>
      <c r="OAV240" s="4"/>
      <c r="OAW240" s="4"/>
      <c r="OAX240" s="4"/>
      <c r="OAY240" s="4"/>
      <c r="OAZ240" s="4"/>
      <c r="OBA240" s="4"/>
      <c r="OBB240" s="4"/>
      <c r="OBC240" s="4"/>
      <c r="OBD240" s="4"/>
      <c r="OBE240" s="4"/>
      <c r="OBF240" s="4"/>
      <c r="OBG240" s="4"/>
      <c r="OBH240" s="4"/>
      <c r="OBI240" s="4"/>
      <c r="OBJ240" s="4"/>
      <c r="OBK240" s="4"/>
      <c r="OBL240" s="4"/>
      <c r="OBM240" s="4"/>
      <c r="OBN240" s="4"/>
      <c r="OBO240" s="4"/>
      <c r="OBP240" s="4"/>
      <c r="OBQ240" s="4"/>
      <c r="OBR240" s="4"/>
      <c r="OBS240" s="4"/>
      <c r="OBT240" s="4"/>
      <c r="OBU240" s="4"/>
      <c r="OBV240" s="4"/>
      <c r="OBW240" s="4"/>
      <c r="OBX240" s="4"/>
      <c r="OBY240" s="4"/>
      <c r="OBZ240" s="4"/>
      <c r="OCA240" s="4"/>
      <c r="OCB240" s="4"/>
      <c r="OCC240" s="4"/>
      <c r="OCD240" s="4"/>
      <c r="OCE240" s="4"/>
      <c r="OCF240" s="4"/>
      <c r="OCG240" s="4"/>
      <c r="OCH240" s="4"/>
      <c r="OCI240" s="4"/>
      <c r="OCJ240" s="4"/>
      <c r="OCK240" s="4"/>
      <c r="OCL240" s="4"/>
      <c r="OCM240" s="4"/>
      <c r="OCN240" s="4"/>
      <c r="OCO240" s="4"/>
      <c r="OCP240" s="4"/>
      <c r="OCQ240" s="4"/>
      <c r="OCR240" s="4"/>
      <c r="OCS240" s="4"/>
      <c r="OCT240" s="4"/>
      <c r="OCU240" s="4"/>
      <c r="OCV240" s="4"/>
      <c r="OCW240" s="4"/>
      <c r="OCX240" s="4"/>
      <c r="OCY240" s="4"/>
      <c r="OCZ240" s="4"/>
      <c r="ODA240" s="4"/>
      <c r="ODB240" s="4"/>
      <c r="ODC240" s="4"/>
      <c r="ODD240" s="4"/>
      <c r="ODE240" s="4"/>
      <c r="ODF240" s="4"/>
      <c r="ODG240" s="4"/>
      <c r="ODH240" s="4"/>
      <c r="ODI240" s="4"/>
      <c r="ODJ240" s="4"/>
      <c r="ODK240" s="4"/>
      <c r="ODL240" s="4"/>
      <c r="ODM240" s="4"/>
      <c r="ODN240" s="4"/>
      <c r="ODO240" s="4"/>
      <c r="ODP240" s="4"/>
      <c r="ODQ240" s="4"/>
      <c r="ODR240" s="4"/>
      <c r="ODS240" s="4"/>
      <c r="ODT240" s="4"/>
      <c r="ODU240" s="4"/>
      <c r="ODV240" s="4"/>
      <c r="ODW240" s="4"/>
      <c r="ODX240" s="4"/>
      <c r="ODY240" s="4"/>
      <c r="ODZ240" s="4"/>
      <c r="OEA240" s="4"/>
      <c r="OEB240" s="4"/>
      <c r="OEC240" s="4"/>
      <c r="OED240" s="4"/>
      <c r="OEE240" s="4"/>
      <c r="OEF240" s="4"/>
      <c r="OEG240" s="4"/>
      <c r="OEH240" s="4"/>
      <c r="OEI240" s="4"/>
      <c r="OEJ240" s="4"/>
      <c r="OEK240" s="4"/>
      <c r="OEL240" s="4"/>
      <c r="OEM240" s="4"/>
      <c r="OEN240" s="4"/>
      <c r="OEO240" s="4"/>
      <c r="OEP240" s="4"/>
      <c r="OEQ240" s="4"/>
      <c r="OER240" s="4"/>
      <c r="OES240" s="4"/>
      <c r="OET240" s="4"/>
      <c r="OEU240" s="4"/>
      <c r="OEV240" s="4"/>
      <c r="OEW240" s="4"/>
      <c r="OEX240" s="4"/>
      <c r="OEY240" s="4"/>
      <c r="OEZ240" s="4"/>
      <c r="OFA240" s="4"/>
      <c r="OFB240" s="4"/>
      <c r="OFC240" s="4"/>
      <c r="OFD240" s="4"/>
      <c r="OFE240" s="4"/>
      <c r="OFF240" s="4"/>
      <c r="OFG240" s="4"/>
      <c r="OFH240" s="4"/>
      <c r="OFI240" s="4"/>
      <c r="OFJ240" s="4"/>
      <c r="OFK240" s="4"/>
      <c r="OFL240" s="4"/>
      <c r="OFM240" s="4"/>
      <c r="OFN240" s="4"/>
      <c r="OFO240" s="4"/>
      <c r="OFP240" s="4"/>
      <c r="OFQ240" s="4"/>
      <c r="OFR240" s="4"/>
      <c r="OFS240" s="4"/>
      <c r="OFT240" s="4"/>
      <c r="OFU240" s="4"/>
      <c r="OFV240" s="4"/>
      <c r="OFW240" s="4"/>
      <c r="OFX240" s="4"/>
      <c r="OFY240" s="4"/>
      <c r="OFZ240" s="4"/>
      <c r="OGA240" s="4"/>
      <c r="OGB240" s="4"/>
      <c r="OGC240" s="4"/>
      <c r="OGD240" s="4"/>
      <c r="OGE240" s="4"/>
      <c r="OGF240" s="4"/>
      <c r="OGG240" s="4"/>
      <c r="OGH240" s="4"/>
      <c r="OGI240" s="4"/>
      <c r="OGJ240" s="4"/>
      <c r="OGK240" s="4"/>
      <c r="OGL240" s="4"/>
      <c r="OGM240" s="4"/>
      <c r="OGN240" s="4"/>
      <c r="OGO240" s="4"/>
      <c r="OGP240" s="4"/>
      <c r="OGQ240" s="4"/>
      <c r="OGR240" s="4"/>
      <c r="OGS240" s="4"/>
      <c r="OGT240" s="4"/>
      <c r="OGU240" s="4"/>
      <c r="OGV240" s="4"/>
      <c r="OGW240" s="4"/>
      <c r="OGX240" s="4"/>
      <c r="OGY240" s="4"/>
      <c r="OGZ240" s="4"/>
      <c r="OHA240" s="4"/>
      <c r="OHB240" s="4"/>
      <c r="OHC240" s="4"/>
      <c r="OHD240" s="4"/>
      <c r="OHE240" s="4"/>
      <c r="OHF240" s="4"/>
      <c r="OHG240" s="4"/>
      <c r="OHH240" s="4"/>
      <c r="OHI240" s="4"/>
      <c r="OHJ240" s="4"/>
      <c r="OHK240" s="4"/>
      <c r="OHL240" s="4"/>
      <c r="OHM240" s="4"/>
      <c r="OHN240" s="4"/>
      <c r="OHO240" s="4"/>
      <c r="OHP240" s="4"/>
      <c r="OHQ240" s="4"/>
      <c r="OHR240" s="4"/>
      <c r="OHS240" s="4"/>
      <c r="OHT240" s="4"/>
      <c r="OHU240" s="4"/>
      <c r="OHV240" s="4"/>
      <c r="OHW240" s="4"/>
      <c r="OHX240" s="4"/>
      <c r="OHY240" s="4"/>
      <c r="OHZ240" s="4"/>
      <c r="OIA240" s="4"/>
      <c r="OIB240" s="4"/>
      <c r="OIC240" s="4"/>
      <c r="OID240" s="4"/>
      <c r="OIE240" s="4"/>
      <c r="OIF240" s="4"/>
      <c r="OIG240" s="4"/>
      <c r="OIH240" s="4"/>
      <c r="OII240" s="4"/>
      <c r="OIJ240" s="4"/>
      <c r="OIK240" s="4"/>
      <c r="OIL240" s="4"/>
      <c r="OIM240" s="4"/>
      <c r="OIN240" s="4"/>
      <c r="OIO240" s="4"/>
      <c r="OIP240" s="4"/>
      <c r="OIQ240" s="4"/>
      <c r="OIR240" s="4"/>
      <c r="OIS240" s="4"/>
      <c r="OIT240" s="4"/>
      <c r="OIU240" s="4"/>
      <c r="OIV240" s="4"/>
      <c r="OIW240" s="4"/>
      <c r="OIX240" s="4"/>
      <c r="OIY240" s="4"/>
      <c r="OIZ240" s="4"/>
      <c r="OJA240" s="4"/>
      <c r="OJB240" s="4"/>
      <c r="OJC240" s="4"/>
      <c r="OJD240" s="4"/>
      <c r="OJE240" s="4"/>
      <c r="OJF240" s="4"/>
      <c r="OJG240" s="4"/>
      <c r="OJH240" s="4"/>
      <c r="OJI240" s="4"/>
      <c r="OJJ240" s="4"/>
      <c r="OJK240" s="4"/>
      <c r="OJL240" s="4"/>
      <c r="OJM240" s="4"/>
      <c r="OJN240" s="4"/>
      <c r="OJO240" s="4"/>
      <c r="OJP240" s="4"/>
      <c r="OJQ240" s="4"/>
      <c r="OJR240" s="4"/>
      <c r="OJS240" s="4"/>
      <c r="OJT240" s="4"/>
      <c r="OJU240" s="4"/>
      <c r="OJV240" s="4"/>
      <c r="OJW240" s="4"/>
      <c r="OJX240" s="4"/>
      <c r="OJY240" s="4"/>
      <c r="OJZ240" s="4"/>
      <c r="OKA240" s="4"/>
      <c r="OKB240" s="4"/>
      <c r="OKC240" s="4"/>
      <c r="OKD240" s="4"/>
      <c r="OKE240" s="4"/>
      <c r="OKF240" s="4"/>
      <c r="OKG240" s="4"/>
      <c r="OKH240" s="4"/>
      <c r="OKI240" s="4"/>
      <c r="OKJ240" s="4"/>
      <c r="OKK240" s="4"/>
      <c r="OKL240" s="4"/>
      <c r="OKM240" s="4"/>
      <c r="OKN240" s="4"/>
      <c r="OKO240" s="4"/>
      <c r="OKP240" s="4"/>
      <c r="OKQ240" s="4"/>
      <c r="OKR240" s="4"/>
      <c r="OKS240" s="4"/>
      <c r="OKT240" s="4"/>
      <c r="OKU240" s="4"/>
      <c r="OKV240" s="4"/>
      <c r="OKW240" s="4"/>
      <c r="OKX240" s="4"/>
      <c r="OKY240" s="4"/>
      <c r="OKZ240" s="4"/>
      <c r="OLA240" s="4"/>
      <c r="OLB240" s="4"/>
      <c r="OLC240" s="4"/>
      <c r="OLD240" s="4"/>
      <c r="OLE240" s="4"/>
      <c r="OLF240" s="4"/>
      <c r="OLG240" s="4"/>
      <c r="OLH240" s="4"/>
      <c r="OLI240" s="4"/>
      <c r="OLJ240" s="4"/>
      <c r="OLK240" s="4"/>
      <c r="OLL240" s="4"/>
      <c r="OLM240" s="4"/>
      <c r="OLN240" s="4"/>
      <c r="OLO240" s="4"/>
      <c r="OLP240" s="4"/>
      <c r="OLQ240" s="4"/>
      <c r="OLR240" s="4"/>
      <c r="OLS240" s="4"/>
      <c r="OLT240" s="4"/>
      <c r="OLU240" s="4"/>
      <c r="OLV240" s="4"/>
      <c r="OLW240" s="4"/>
      <c r="OLX240" s="4"/>
      <c r="OLY240" s="4"/>
      <c r="OLZ240" s="4"/>
      <c r="OMA240" s="4"/>
      <c r="OMB240" s="4"/>
      <c r="OMC240" s="4"/>
      <c r="OMD240" s="4"/>
      <c r="OME240" s="4"/>
      <c r="OMF240" s="4"/>
      <c r="OMG240" s="4"/>
      <c r="OMH240" s="4"/>
      <c r="OMI240" s="4"/>
      <c r="OMJ240" s="4"/>
      <c r="OMK240" s="4"/>
      <c r="OML240" s="4"/>
      <c r="OMM240" s="4"/>
      <c r="OMN240" s="4"/>
      <c r="OMO240" s="4"/>
      <c r="OMP240" s="4"/>
      <c r="OMQ240" s="4"/>
      <c r="OMR240" s="4"/>
      <c r="OMS240" s="4"/>
      <c r="OMT240" s="4"/>
      <c r="OMU240" s="4"/>
      <c r="OMV240" s="4"/>
      <c r="OMW240" s="4"/>
      <c r="OMX240" s="4"/>
      <c r="OMY240" s="4"/>
      <c r="OMZ240" s="4"/>
      <c r="ONA240" s="4"/>
      <c r="ONB240" s="4"/>
      <c r="ONC240" s="4"/>
      <c r="OND240" s="4"/>
      <c r="ONE240" s="4"/>
      <c r="ONF240" s="4"/>
      <c r="ONG240" s="4"/>
      <c r="ONH240" s="4"/>
      <c r="ONI240" s="4"/>
      <c r="ONJ240" s="4"/>
      <c r="ONK240" s="4"/>
      <c r="ONL240" s="4"/>
      <c r="ONM240" s="4"/>
      <c r="ONN240" s="4"/>
      <c r="ONO240" s="4"/>
      <c r="ONP240" s="4"/>
      <c r="ONQ240" s="4"/>
      <c r="ONR240" s="4"/>
      <c r="ONS240" s="4"/>
      <c r="ONT240" s="4"/>
      <c r="ONU240" s="4"/>
      <c r="ONV240" s="4"/>
      <c r="ONW240" s="4"/>
      <c r="ONX240" s="4"/>
      <c r="ONY240" s="4"/>
      <c r="ONZ240" s="4"/>
      <c r="OOA240" s="4"/>
      <c r="OOB240" s="4"/>
      <c r="OOC240" s="4"/>
      <c r="OOD240" s="4"/>
      <c r="OOE240" s="4"/>
      <c r="OOF240" s="4"/>
      <c r="OOG240" s="4"/>
      <c r="OOH240" s="4"/>
      <c r="OOI240" s="4"/>
      <c r="OOJ240" s="4"/>
      <c r="OOK240" s="4"/>
      <c r="OOL240" s="4"/>
      <c r="OOM240" s="4"/>
      <c r="OON240" s="4"/>
      <c r="OOO240" s="4"/>
      <c r="OOP240" s="4"/>
      <c r="OOQ240" s="4"/>
      <c r="OOR240" s="4"/>
      <c r="OOS240" s="4"/>
      <c r="OOT240" s="4"/>
      <c r="OOU240" s="4"/>
      <c r="OOV240" s="4"/>
      <c r="OOW240" s="4"/>
      <c r="OOX240" s="4"/>
      <c r="OOY240" s="4"/>
      <c r="OOZ240" s="4"/>
      <c r="OPA240" s="4"/>
      <c r="OPB240" s="4"/>
      <c r="OPC240" s="4"/>
      <c r="OPD240" s="4"/>
      <c r="OPE240" s="4"/>
      <c r="OPF240" s="4"/>
      <c r="OPG240" s="4"/>
      <c r="OPH240" s="4"/>
      <c r="OPI240" s="4"/>
      <c r="OPJ240" s="4"/>
      <c r="OPK240" s="4"/>
      <c r="OPL240" s="4"/>
      <c r="OPM240" s="4"/>
      <c r="OPN240" s="4"/>
      <c r="OPO240" s="4"/>
      <c r="OPP240" s="4"/>
      <c r="OPQ240" s="4"/>
      <c r="OPR240" s="4"/>
      <c r="OPS240" s="4"/>
      <c r="OPT240" s="4"/>
      <c r="OPU240" s="4"/>
      <c r="OPV240" s="4"/>
      <c r="OPW240" s="4"/>
      <c r="OPX240" s="4"/>
      <c r="OPY240" s="4"/>
      <c r="OPZ240" s="4"/>
      <c r="OQA240" s="4"/>
      <c r="OQB240" s="4"/>
      <c r="OQC240" s="4"/>
      <c r="OQD240" s="4"/>
      <c r="OQE240" s="4"/>
      <c r="OQF240" s="4"/>
      <c r="OQG240" s="4"/>
      <c r="OQH240" s="4"/>
      <c r="OQI240" s="4"/>
      <c r="OQJ240" s="4"/>
      <c r="OQK240" s="4"/>
      <c r="OQL240" s="4"/>
      <c r="OQM240" s="4"/>
      <c r="OQN240" s="4"/>
      <c r="OQO240" s="4"/>
      <c r="OQP240" s="4"/>
      <c r="OQQ240" s="4"/>
      <c r="OQR240" s="4"/>
      <c r="OQS240" s="4"/>
      <c r="OQT240" s="4"/>
      <c r="OQU240" s="4"/>
      <c r="OQV240" s="4"/>
      <c r="OQW240" s="4"/>
      <c r="OQX240" s="4"/>
      <c r="OQY240" s="4"/>
      <c r="OQZ240" s="4"/>
      <c r="ORA240" s="4"/>
      <c r="ORB240" s="4"/>
      <c r="ORC240" s="4"/>
      <c r="ORD240" s="4"/>
      <c r="ORE240" s="4"/>
      <c r="ORF240" s="4"/>
      <c r="ORG240" s="4"/>
      <c r="ORH240" s="4"/>
      <c r="ORI240" s="4"/>
      <c r="ORJ240" s="4"/>
      <c r="ORK240" s="4"/>
      <c r="ORL240" s="4"/>
      <c r="ORM240" s="4"/>
      <c r="ORN240" s="4"/>
      <c r="ORO240" s="4"/>
      <c r="ORP240" s="4"/>
      <c r="ORQ240" s="4"/>
      <c r="ORR240" s="4"/>
      <c r="ORS240" s="4"/>
      <c r="ORT240" s="4"/>
      <c r="ORU240" s="4"/>
      <c r="ORV240" s="4"/>
      <c r="ORW240" s="4"/>
      <c r="ORX240" s="4"/>
      <c r="ORY240" s="4"/>
      <c r="ORZ240" s="4"/>
      <c r="OSA240" s="4"/>
      <c r="OSB240" s="4"/>
      <c r="OSC240" s="4"/>
      <c r="OSD240" s="4"/>
      <c r="OSE240" s="4"/>
      <c r="OSF240" s="4"/>
      <c r="OSG240" s="4"/>
      <c r="OSH240" s="4"/>
      <c r="OSI240" s="4"/>
      <c r="OSJ240" s="4"/>
      <c r="OSK240" s="4"/>
      <c r="OSL240" s="4"/>
      <c r="OSM240" s="4"/>
      <c r="OSN240" s="4"/>
      <c r="OSO240" s="4"/>
      <c r="OSP240" s="4"/>
      <c r="OSQ240" s="4"/>
      <c r="OSR240" s="4"/>
      <c r="OSS240" s="4"/>
      <c r="OST240" s="4"/>
      <c r="OSU240" s="4"/>
      <c r="OSV240" s="4"/>
      <c r="OSW240" s="4"/>
      <c r="OSX240" s="4"/>
      <c r="OSY240" s="4"/>
      <c r="OSZ240" s="4"/>
      <c r="OTA240" s="4"/>
      <c r="OTB240" s="4"/>
      <c r="OTC240" s="4"/>
      <c r="OTD240" s="4"/>
      <c r="OTE240" s="4"/>
      <c r="OTF240" s="4"/>
      <c r="OTG240" s="4"/>
      <c r="OTH240" s="4"/>
      <c r="OTI240" s="4"/>
      <c r="OTJ240" s="4"/>
      <c r="OTK240" s="4"/>
      <c r="OTL240" s="4"/>
      <c r="OTM240" s="4"/>
      <c r="OTN240" s="4"/>
      <c r="OTO240" s="4"/>
      <c r="OTP240" s="4"/>
      <c r="OTQ240" s="4"/>
      <c r="OTR240" s="4"/>
      <c r="OTS240" s="4"/>
      <c r="OTT240" s="4"/>
      <c r="OTU240" s="4"/>
      <c r="OTV240" s="4"/>
      <c r="OTW240" s="4"/>
      <c r="OTX240" s="4"/>
      <c r="OTY240" s="4"/>
      <c r="OTZ240" s="4"/>
      <c r="OUA240" s="4"/>
      <c r="OUB240" s="4"/>
      <c r="OUC240" s="4"/>
      <c r="OUD240" s="4"/>
      <c r="OUE240" s="4"/>
      <c r="OUF240" s="4"/>
      <c r="OUG240" s="4"/>
      <c r="OUH240" s="4"/>
      <c r="OUI240" s="4"/>
      <c r="OUJ240" s="4"/>
      <c r="OUK240" s="4"/>
      <c r="OUL240" s="4"/>
      <c r="OUM240" s="4"/>
      <c r="OUN240" s="4"/>
      <c r="OUO240" s="4"/>
      <c r="OUP240" s="4"/>
      <c r="OUQ240" s="4"/>
      <c r="OUR240" s="4"/>
      <c r="OUS240" s="4"/>
      <c r="OUT240" s="4"/>
      <c r="OUU240" s="4"/>
      <c r="OUV240" s="4"/>
      <c r="OUW240" s="4"/>
      <c r="OUX240" s="4"/>
      <c r="OUY240" s="4"/>
      <c r="OUZ240" s="4"/>
      <c r="OVA240" s="4"/>
      <c r="OVB240" s="4"/>
      <c r="OVC240" s="4"/>
      <c r="OVD240" s="4"/>
      <c r="OVE240" s="4"/>
      <c r="OVF240" s="4"/>
      <c r="OVG240" s="4"/>
      <c r="OVH240" s="4"/>
      <c r="OVI240" s="4"/>
      <c r="OVJ240" s="4"/>
      <c r="OVK240" s="4"/>
      <c r="OVL240" s="4"/>
      <c r="OVM240" s="4"/>
      <c r="OVN240" s="4"/>
      <c r="OVO240" s="4"/>
      <c r="OVP240" s="4"/>
      <c r="OVQ240" s="4"/>
      <c r="OVR240" s="4"/>
      <c r="OVS240" s="4"/>
      <c r="OVT240" s="4"/>
      <c r="OVU240" s="4"/>
      <c r="OVV240" s="4"/>
      <c r="OVW240" s="4"/>
      <c r="OVX240" s="4"/>
      <c r="OVY240" s="4"/>
      <c r="OVZ240" s="4"/>
      <c r="OWA240" s="4"/>
      <c r="OWB240" s="4"/>
      <c r="OWC240" s="4"/>
      <c r="OWD240" s="4"/>
      <c r="OWE240" s="4"/>
      <c r="OWF240" s="4"/>
      <c r="OWG240" s="4"/>
      <c r="OWH240" s="4"/>
      <c r="OWI240" s="4"/>
      <c r="OWJ240" s="4"/>
      <c r="OWK240" s="4"/>
      <c r="OWL240" s="4"/>
      <c r="OWM240" s="4"/>
      <c r="OWN240" s="4"/>
      <c r="OWO240" s="4"/>
      <c r="OWP240" s="4"/>
      <c r="OWQ240" s="4"/>
      <c r="OWR240" s="4"/>
      <c r="OWS240" s="4"/>
      <c r="OWT240" s="4"/>
      <c r="OWU240" s="4"/>
      <c r="OWV240" s="4"/>
      <c r="OWW240" s="4"/>
      <c r="OWX240" s="4"/>
      <c r="OWY240" s="4"/>
      <c r="OWZ240" s="4"/>
      <c r="OXA240" s="4"/>
      <c r="OXB240" s="4"/>
      <c r="OXC240" s="4"/>
      <c r="OXD240" s="4"/>
      <c r="OXE240" s="4"/>
      <c r="OXF240" s="4"/>
      <c r="OXG240" s="4"/>
      <c r="OXH240" s="4"/>
      <c r="OXI240" s="4"/>
      <c r="OXJ240" s="4"/>
      <c r="OXK240" s="4"/>
      <c r="OXL240" s="4"/>
      <c r="OXM240" s="4"/>
      <c r="OXN240" s="4"/>
      <c r="OXO240" s="4"/>
      <c r="OXP240" s="4"/>
      <c r="OXQ240" s="4"/>
      <c r="OXR240" s="4"/>
      <c r="OXS240" s="4"/>
      <c r="OXT240" s="4"/>
      <c r="OXU240" s="4"/>
      <c r="OXV240" s="4"/>
      <c r="OXW240" s="4"/>
      <c r="OXX240" s="4"/>
      <c r="OXY240" s="4"/>
      <c r="OXZ240" s="4"/>
      <c r="OYA240" s="4"/>
      <c r="OYB240" s="4"/>
      <c r="OYC240" s="4"/>
      <c r="OYD240" s="4"/>
      <c r="OYE240" s="4"/>
      <c r="OYF240" s="4"/>
      <c r="OYG240" s="4"/>
      <c r="OYH240" s="4"/>
      <c r="OYI240" s="4"/>
      <c r="OYJ240" s="4"/>
      <c r="OYK240" s="4"/>
      <c r="OYL240" s="4"/>
      <c r="OYM240" s="4"/>
      <c r="OYN240" s="4"/>
      <c r="OYO240" s="4"/>
      <c r="OYP240" s="4"/>
      <c r="OYQ240" s="4"/>
      <c r="OYR240" s="4"/>
      <c r="OYS240" s="4"/>
      <c r="OYT240" s="4"/>
      <c r="OYU240" s="4"/>
      <c r="OYV240" s="4"/>
      <c r="OYW240" s="4"/>
      <c r="OYX240" s="4"/>
      <c r="OYY240" s="4"/>
      <c r="OYZ240" s="4"/>
      <c r="OZA240" s="4"/>
      <c r="OZB240" s="4"/>
      <c r="OZC240" s="4"/>
      <c r="OZD240" s="4"/>
      <c r="OZE240" s="4"/>
      <c r="OZF240" s="4"/>
      <c r="OZG240" s="4"/>
      <c r="OZH240" s="4"/>
      <c r="OZI240" s="4"/>
      <c r="OZJ240" s="4"/>
      <c r="OZK240" s="4"/>
      <c r="OZL240" s="4"/>
      <c r="OZM240" s="4"/>
      <c r="OZN240" s="4"/>
      <c r="OZO240" s="4"/>
      <c r="OZP240" s="4"/>
      <c r="OZQ240" s="4"/>
      <c r="OZR240" s="4"/>
      <c r="OZS240" s="4"/>
      <c r="OZT240" s="4"/>
      <c r="OZU240" s="4"/>
      <c r="OZV240" s="4"/>
      <c r="OZW240" s="4"/>
      <c r="OZX240" s="4"/>
      <c r="OZY240" s="4"/>
      <c r="OZZ240" s="4"/>
      <c r="PAA240" s="4"/>
      <c r="PAB240" s="4"/>
      <c r="PAC240" s="4"/>
      <c r="PAD240" s="4"/>
      <c r="PAE240" s="4"/>
      <c r="PAF240" s="4"/>
      <c r="PAG240" s="4"/>
      <c r="PAH240" s="4"/>
      <c r="PAI240" s="4"/>
      <c r="PAJ240" s="4"/>
      <c r="PAK240" s="4"/>
      <c r="PAL240" s="4"/>
      <c r="PAM240" s="4"/>
      <c r="PAN240" s="4"/>
      <c r="PAO240" s="4"/>
      <c r="PAP240" s="4"/>
      <c r="PAQ240" s="4"/>
      <c r="PAR240" s="4"/>
      <c r="PAS240" s="4"/>
      <c r="PAT240" s="4"/>
      <c r="PAU240" s="4"/>
      <c r="PAV240" s="4"/>
      <c r="PAW240" s="4"/>
      <c r="PAX240" s="4"/>
      <c r="PAY240" s="4"/>
      <c r="PAZ240" s="4"/>
      <c r="PBA240" s="4"/>
      <c r="PBB240" s="4"/>
      <c r="PBC240" s="4"/>
      <c r="PBD240" s="4"/>
      <c r="PBE240" s="4"/>
      <c r="PBF240" s="4"/>
      <c r="PBG240" s="4"/>
      <c r="PBH240" s="4"/>
      <c r="PBI240" s="4"/>
      <c r="PBJ240" s="4"/>
      <c r="PBK240" s="4"/>
      <c r="PBL240" s="4"/>
      <c r="PBM240" s="4"/>
      <c r="PBN240" s="4"/>
      <c r="PBO240" s="4"/>
      <c r="PBP240" s="4"/>
      <c r="PBQ240" s="4"/>
      <c r="PBR240" s="4"/>
      <c r="PBS240" s="4"/>
      <c r="PBT240" s="4"/>
      <c r="PBU240" s="4"/>
      <c r="PBV240" s="4"/>
      <c r="PBW240" s="4"/>
      <c r="PBX240" s="4"/>
      <c r="PBY240" s="4"/>
      <c r="PBZ240" s="4"/>
      <c r="PCA240" s="4"/>
      <c r="PCB240" s="4"/>
      <c r="PCC240" s="4"/>
      <c r="PCD240" s="4"/>
      <c r="PCE240" s="4"/>
      <c r="PCF240" s="4"/>
      <c r="PCG240" s="4"/>
      <c r="PCH240" s="4"/>
      <c r="PCI240" s="4"/>
      <c r="PCJ240" s="4"/>
      <c r="PCK240" s="4"/>
      <c r="PCL240" s="4"/>
      <c r="PCM240" s="4"/>
      <c r="PCN240" s="4"/>
      <c r="PCO240" s="4"/>
      <c r="PCP240" s="4"/>
      <c r="PCQ240" s="4"/>
      <c r="PCR240" s="4"/>
      <c r="PCS240" s="4"/>
      <c r="PCT240" s="4"/>
      <c r="PCU240" s="4"/>
      <c r="PCV240" s="4"/>
      <c r="PCW240" s="4"/>
      <c r="PCX240" s="4"/>
      <c r="PCY240" s="4"/>
      <c r="PCZ240" s="4"/>
      <c r="PDA240" s="4"/>
      <c r="PDB240" s="4"/>
      <c r="PDC240" s="4"/>
      <c r="PDD240" s="4"/>
      <c r="PDE240" s="4"/>
      <c r="PDF240" s="4"/>
      <c r="PDG240" s="4"/>
      <c r="PDH240" s="4"/>
      <c r="PDI240" s="4"/>
      <c r="PDJ240" s="4"/>
      <c r="PDK240" s="4"/>
      <c r="PDL240" s="4"/>
      <c r="PDM240" s="4"/>
      <c r="PDN240" s="4"/>
      <c r="PDO240" s="4"/>
      <c r="PDP240" s="4"/>
      <c r="PDQ240" s="4"/>
      <c r="PDR240" s="4"/>
      <c r="PDS240" s="4"/>
      <c r="PDT240" s="4"/>
      <c r="PDU240" s="4"/>
      <c r="PDV240" s="4"/>
      <c r="PDW240" s="4"/>
      <c r="PDX240" s="4"/>
      <c r="PDY240" s="4"/>
      <c r="PDZ240" s="4"/>
      <c r="PEA240" s="4"/>
      <c r="PEB240" s="4"/>
      <c r="PEC240" s="4"/>
      <c r="PED240" s="4"/>
      <c r="PEE240" s="4"/>
      <c r="PEF240" s="4"/>
      <c r="PEG240" s="4"/>
      <c r="PEH240" s="4"/>
      <c r="PEI240" s="4"/>
      <c r="PEJ240" s="4"/>
      <c r="PEK240" s="4"/>
      <c r="PEL240" s="4"/>
      <c r="PEM240" s="4"/>
      <c r="PEN240" s="4"/>
      <c r="PEO240" s="4"/>
      <c r="PEP240" s="4"/>
      <c r="PEQ240" s="4"/>
      <c r="PER240" s="4"/>
      <c r="PES240" s="4"/>
      <c r="PET240" s="4"/>
      <c r="PEU240" s="4"/>
      <c r="PEV240" s="4"/>
      <c r="PEW240" s="4"/>
      <c r="PEX240" s="4"/>
      <c r="PEY240" s="4"/>
      <c r="PEZ240" s="4"/>
      <c r="PFA240" s="4"/>
      <c r="PFB240" s="4"/>
      <c r="PFC240" s="4"/>
      <c r="PFD240" s="4"/>
      <c r="PFE240" s="4"/>
      <c r="PFF240" s="4"/>
      <c r="PFG240" s="4"/>
      <c r="PFH240" s="4"/>
      <c r="PFI240" s="4"/>
      <c r="PFJ240" s="4"/>
      <c r="PFK240" s="4"/>
      <c r="PFL240" s="4"/>
      <c r="PFM240" s="4"/>
      <c r="PFN240" s="4"/>
      <c r="PFO240" s="4"/>
      <c r="PFP240" s="4"/>
      <c r="PFQ240" s="4"/>
      <c r="PFR240" s="4"/>
      <c r="PFS240" s="4"/>
      <c r="PFT240" s="4"/>
      <c r="PFU240" s="4"/>
      <c r="PFV240" s="4"/>
      <c r="PFW240" s="4"/>
      <c r="PFX240" s="4"/>
      <c r="PFY240" s="4"/>
      <c r="PFZ240" s="4"/>
      <c r="PGA240" s="4"/>
      <c r="PGB240" s="4"/>
      <c r="PGC240" s="4"/>
      <c r="PGD240" s="4"/>
      <c r="PGE240" s="4"/>
      <c r="PGF240" s="4"/>
      <c r="PGG240" s="4"/>
      <c r="PGH240" s="4"/>
      <c r="PGI240" s="4"/>
      <c r="PGJ240" s="4"/>
      <c r="PGK240" s="4"/>
      <c r="PGL240" s="4"/>
      <c r="PGM240" s="4"/>
      <c r="PGN240" s="4"/>
      <c r="PGO240" s="4"/>
      <c r="PGP240" s="4"/>
      <c r="PGQ240" s="4"/>
      <c r="PGR240" s="4"/>
      <c r="PGS240" s="4"/>
      <c r="PGT240" s="4"/>
      <c r="PGU240" s="4"/>
      <c r="PGV240" s="4"/>
      <c r="PGW240" s="4"/>
      <c r="PGX240" s="4"/>
      <c r="PGY240" s="4"/>
      <c r="PGZ240" s="4"/>
      <c r="PHA240" s="4"/>
      <c r="PHB240" s="4"/>
      <c r="PHC240" s="4"/>
      <c r="PHD240" s="4"/>
      <c r="PHE240" s="4"/>
      <c r="PHF240" s="4"/>
      <c r="PHG240" s="4"/>
      <c r="PHH240" s="4"/>
      <c r="PHI240" s="4"/>
      <c r="PHJ240" s="4"/>
      <c r="PHK240" s="4"/>
      <c r="PHL240" s="4"/>
      <c r="PHM240" s="4"/>
      <c r="PHN240" s="4"/>
      <c r="PHO240" s="4"/>
      <c r="PHP240" s="4"/>
      <c r="PHQ240" s="4"/>
      <c r="PHR240" s="4"/>
      <c r="PHS240" s="4"/>
      <c r="PHT240" s="4"/>
      <c r="PHU240" s="4"/>
      <c r="PHV240" s="4"/>
      <c r="PHW240" s="4"/>
      <c r="PHX240" s="4"/>
      <c r="PHY240" s="4"/>
      <c r="PHZ240" s="4"/>
      <c r="PIA240" s="4"/>
      <c r="PIB240" s="4"/>
      <c r="PIC240" s="4"/>
      <c r="PID240" s="4"/>
      <c r="PIE240" s="4"/>
      <c r="PIF240" s="4"/>
      <c r="PIG240" s="4"/>
      <c r="PIH240" s="4"/>
      <c r="PII240" s="4"/>
      <c r="PIJ240" s="4"/>
      <c r="PIK240" s="4"/>
      <c r="PIL240" s="4"/>
      <c r="PIM240" s="4"/>
      <c r="PIN240" s="4"/>
      <c r="PIO240" s="4"/>
      <c r="PIP240" s="4"/>
      <c r="PIQ240" s="4"/>
      <c r="PIR240" s="4"/>
      <c r="PIS240" s="4"/>
      <c r="PIT240" s="4"/>
      <c r="PIU240" s="4"/>
      <c r="PIV240" s="4"/>
      <c r="PIW240" s="4"/>
      <c r="PIX240" s="4"/>
      <c r="PIY240" s="4"/>
      <c r="PIZ240" s="4"/>
      <c r="PJA240" s="4"/>
      <c r="PJB240" s="4"/>
      <c r="PJC240" s="4"/>
      <c r="PJD240" s="4"/>
      <c r="PJE240" s="4"/>
      <c r="PJF240" s="4"/>
      <c r="PJG240" s="4"/>
      <c r="PJH240" s="4"/>
      <c r="PJI240" s="4"/>
      <c r="PJJ240" s="4"/>
      <c r="PJK240" s="4"/>
      <c r="PJL240" s="4"/>
      <c r="PJM240" s="4"/>
      <c r="PJN240" s="4"/>
      <c r="PJO240" s="4"/>
      <c r="PJP240" s="4"/>
      <c r="PJQ240" s="4"/>
      <c r="PJR240" s="4"/>
      <c r="PJS240" s="4"/>
      <c r="PJT240" s="4"/>
      <c r="PJU240" s="4"/>
      <c r="PJV240" s="4"/>
      <c r="PJW240" s="4"/>
      <c r="PJX240" s="4"/>
      <c r="PJY240" s="4"/>
      <c r="PJZ240" s="4"/>
      <c r="PKA240" s="4"/>
      <c r="PKB240" s="4"/>
      <c r="PKC240" s="4"/>
      <c r="PKD240" s="4"/>
      <c r="PKE240" s="4"/>
      <c r="PKF240" s="4"/>
      <c r="PKG240" s="4"/>
      <c r="PKH240" s="4"/>
      <c r="PKI240" s="4"/>
      <c r="PKJ240" s="4"/>
      <c r="PKK240" s="4"/>
      <c r="PKL240" s="4"/>
      <c r="PKM240" s="4"/>
      <c r="PKN240" s="4"/>
      <c r="PKO240" s="4"/>
      <c r="PKP240" s="4"/>
      <c r="PKQ240" s="4"/>
      <c r="PKR240" s="4"/>
      <c r="PKS240" s="4"/>
      <c r="PKT240" s="4"/>
      <c r="PKU240" s="4"/>
      <c r="PKV240" s="4"/>
      <c r="PKW240" s="4"/>
      <c r="PKX240" s="4"/>
      <c r="PKY240" s="4"/>
      <c r="PKZ240" s="4"/>
      <c r="PLA240" s="4"/>
      <c r="PLB240" s="4"/>
      <c r="PLC240" s="4"/>
      <c r="PLD240" s="4"/>
      <c r="PLE240" s="4"/>
      <c r="PLF240" s="4"/>
      <c r="PLG240" s="4"/>
      <c r="PLH240" s="4"/>
      <c r="PLI240" s="4"/>
      <c r="PLJ240" s="4"/>
      <c r="PLK240" s="4"/>
      <c r="PLL240" s="4"/>
      <c r="PLM240" s="4"/>
      <c r="PLN240" s="4"/>
      <c r="PLO240" s="4"/>
      <c r="PLP240" s="4"/>
      <c r="PLQ240" s="4"/>
      <c r="PLR240" s="4"/>
      <c r="PLS240" s="4"/>
      <c r="PLT240" s="4"/>
      <c r="PLU240" s="4"/>
      <c r="PLV240" s="4"/>
      <c r="PLW240" s="4"/>
      <c r="PLX240" s="4"/>
      <c r="PLY240" s="4"/>
      <c r="PLZ240" s="4"/>
      <c r="PMA240" s="4"/>
      <c r="PMB240" s="4"/>
      <c r="PMC240" s="4"/>
      <c r="PMD240" s="4"/>
      <c r="PME240" s="4"/>
      <c r="PMF240" s="4"/>
      <c r="PMG240" s="4"/>
      <c r="PMH240" s="4"/>
      <c r="PMI240" s="4"/>
      <c r="PMJ240" s="4"/>
      <c r="PMK240" s="4"/>
      <c r="PML240" s="4"/>
      <c r="PMM240" s="4"/>
      <c r="PMN240" s="4"/>
      <c r="PMO240" s="4"/>
      <c r="PMP240" s="4"/>
      <c r="PMQ240" s="4"/>
      <c r="PMR240" s="4"/>
      <c r="PMS240" s="4"/>
      <c r="PMT240" s="4"/>
      <c r="PMU240" s="4"/>
      <c r="PMV240" s="4"/>
      <c r="PMW240" s="4"/>
      <c r="PMX240" s="4"/>
      <c r="PMY240" s="4"/>
      <c r="PMZ240" s="4"/>
      <c r="PNA240" s="4"/>
      <c r="PNB240" s="4"/>
      <c r="PNC240" s="4"/>
      <c r="PND240" s="4"/>
      <c r="PNE240" s="4"/>
      <c r="PNF240" s="4"/>
      <c r="PNG240" s="4"/>
      <c r="PNH240" s="4"/>
      <c r="PNI240" s="4"/>
      <c r="PNJ240" s="4"/>
      <c r="PNK240" s="4"/>
      <c r="PNL240" s="4"/>
      <c r="PNM240" s="4"/>
      <c r="PNN240" s="4"/>
      <c r="PNO240" s="4"/>
      <c r="PNP240" s="4"/>
      <c r="PNQ240" s="4"/>
      <c r="PNR240" s="4"/>
      <c r="PNS240" s="4"/>
      <c r="PNT240" s="4"/>
      <c r="PNU240" s="4"/>
      <c r="PNV240" s="4"/>
      <c r="PNW240" s="4"/>
      <c r="PNX240" s="4"/>
      <c r="PNY240" s="4"/>
      <c r="PNZ240" s="4"/>
      <c r="POA240" s="4"/>
      <c r="POB240" s="4"/>
      <c r="POC240" s="4"/>
      <c r="POD240" s="4"/>
      <c r="POE240" s="4"/>
      <c r="POF240" s="4"/>
      <c r="POG240" s="4"/>
      <c r="POH240" s="4"/>
      <c r="POI240" s="4"/>
      <c r="POJ240" s="4"/>
      <c r="POK240" s="4"/>
      <c r="POL240" s="4"/>
      <c r="POM240" s="4"/>
      <c r="PON240" s="4"/>
      <c r="POO240" s="4"/>
      <c r="POP240" s="4"/>
      <c r="POQ240" s="4"/>
      <c r="POR240" s="4"/>
      <c r="POS240" s="4"/>
      <c r="POT240" s="4"/>
      <c r="POU240" s="4"/>
      <c r="POV240" s="4"/>
      <c r="POW240" s="4"/>
      <c r="POX240" s="4"/>
      <c r="POY240" s="4"/>
      <c r="POZ240" s="4"/>
      <c r="PPA240" s="4"/>
      <c r="PPB240" s="4"/>
      <c r="PPC240" s="4"/>
      <c r="PPD240" s="4"/>
      <c r="PPE240" s="4"/>
      <c r="PPF240" s="4"/>
      <c r="PPG240" s="4"/>
      <c r="PPH240" s="4"/>
      <c r="PPI240" s="4"/>
      <c r="PPJ240" s="4"/>
      <c r="PPK240" s="4"/>
      <c r="PPL240" s="4"/>
      <c r="PPM240" s="4"/>
      <c r="PPN240" s="4"/>
      <c r="PPO240" s="4"/>
      <c r="PPP240" s="4"/>
      <c r="PPQ240" s="4"/>
      <c r="PPR240" s="4"/>
      <c r="PPS240" s="4"/>
      <c r="PPT240" s="4"/>
      <c r="PPU240" s="4"/>
      <c r="PPV240" s="4"/>
      <c r="PPW240" s="4"/>
      <c r="PPX240" s="4"/>
      <c r="PPY240" s="4"/>
      <c r="PPZ240" s="4"/>
      <c r="PQA240" s="4"/>
      <c r="PQB240" s="4"/>
      <c r="PQC240" s="4"/>
      <c r="PQD240" s="4"/>
      <c r="PQE240" s="4"/>
      <c r="PQF240" s="4"/>
      <c r="PQG240" s="4"/>
      <c r="PQH240" s="4"/>
      <c r="PQI240" s="4"/>
      <c r="PQJ240" s="4"/>
      <c r="PQK240" s="4"/>
      <c r="PQL240" s="4"/>
      <c r="PQM240" s="4"/>
      <c r="PQN240" s="4"/>
      <c r="PQO240" s="4"/>
      <c r="PQP240" s="4"/>
      <c r="PQQ240" s="4"/>
      <c r="PQR240" s="4"/>
      <c r="PQS240" s="4"/>
      <c r="PQT240" s="4"/>
      <c r="PQU240" s="4"/>
      <c r="PQV240" s="4"/>
      <c r="PQW240" s="4"/>
      <c r="PQX240" s="4"/>
      <c r="PQY240" s="4"/>
      <c r="PQZ240" s="4"/>
      <c r="PRA240" s="4"/>
      <c r="PRB240" s="4"/>
      <c r="PRC240" s="4"/>
      <c r="PRD240" s="4"/>
      <c r="PRE240" s="4"/>
      <c r="PRF240" s="4"/>
      <c r="PRG240" s="4"/>
      <c r="PRH240" s="4"/>
      <c r="PRI240" s="4"/>
      <c r="PRJ240" s="4"/>
      <c r="PRK240" s="4"/>
      <c r="PRL240" s="4"/>
      <c r="PRM240" s="4"/>
      <c r="PRN240" s="4"/>
      <c r="PRO240" s="4"/>
      <c r="PRP240" s="4"/>
      <c r="PRQ240" s="4"/>
      <c r="PRR240" s="4"/>
      <c r="PRS240" s="4"/>
      <c r="PRT240" s="4"/>
      <c r="PRU240" s="4"/>
      <c r="PRV240" s="4"/>
      <c r="PRW240" s="4"/>
      <c r="PRX240" s="4"/>
      <c r="PRY240" s="4"/>
      <c r="PRZ240" s="4"/>
      <c r="PSA240" s="4"/>
      <c r="PSB240" s="4"/>
      <c r="PSC240" s="4"/>
      <c r="PSD240" s="4"/>
      <c r="PSE240" s="4"/>
      <c r="PSF240" s="4"/>
      <c r="PSG240" s="4"/>
      <c r="PSH240" s="4"/>
      <c r="PSI240" s="4"/>
      <c r="PSJ240" s="4"/>
      <c r="PSK240" s="4"/>
      <c r="PSL240" s="4"/>
      <c r="PSM240" s="4"/>
      <c r="PSN240" s="4"/>
      <c r="PSO240" s="4"/>
      <c r="PSP240" s="4"/>
      <c r="PSQ240" s="4"/>
      <c r="PSR240" s="4"/>
      <c r="PSS240" s="4"/>
      <c r="PST240" s="4"/>
      <c r="PSU240" s="4"/>
      <c r="PSV240" s="4"/>
      <c r="PSW240" s="4"/>
      <c r="PSX240" s="4"/>
      <c r="PSY240" s="4"/>
      <c r="PSZ240" s="4"/>
      <c r="PTA240" s="4"/>
      <c r="PTB240" s="4"/>
      <c r="PTC240" s="4"/>
      <c r="PTD240" s="4"/>
      <c r="PTE240" s="4"/>
      <c r="PTF240" s="4"/>
      <c r="PTG240" s="4"/>
      <c r="PTH240" s="4"/>
      <c r="PTI240" s="4"/>
      <c r="PTJ240" s="4"/>
      <c r="PTK240" s="4"/>
      <c r="PTL240" s="4"/>
      <c r="PTM240" s="4"/>
      <c r="PTN240" s="4"/>
      <c r="PTO240" s="4"/>
      <c r="PTP240" s="4"/>
      <c r="PTQ240" s="4"/>
      <c r="PTR240" s="4"/>
      <c r="PTS240" s="4"/>
      <c r="PTT240" s="4"/>
      <c r="PTU240" s="4"/>
      <c r="PTV240" s="4"/>
      <c r="PTW240" s="4"/>
      <c r="PTX240" s="4"/>
      <c r="PTY240" s="4"/>
      <c r="PTZ240" s="4"/>
      <c r="PUA240" s="4"/>
      <c r="PUB240" s="4"/>
      <c r="PUC240" s="4"/>
      <c r="PUD240" s="4"/>
      <c r="PUE240" s="4"/>
      <c r="PUF240" s="4"/>
      <c r="PUG240" s="4"/>
      <c r="PUH240" s="4"/>
      <c r="PUI240" s="4"/>
      <c r="PUJ240" s="4"/>
      <c r="PUK240" s="4"/>
      <c r="PUL240" s="4"/>
      <c r="PUM240" s="4"/>
      <c r="PUN240" s="4"/>
      <c r="PUO240" s="4"/>
      <c r="PUP240" s="4"/>
      <c r="PUQ240" s="4"/>
      <c r="PUR240" s="4"/>
      <c r="PUS240" s="4"/>
      <c r="PUT240" s="4"/>
      <c r="PUU240" s="4"/>
      <c r="PUV240" s="4"/>
      <c r="PUW240" s="4"/>
      <c r="PUX240" s="4"/>
      <c r="PUY240" s="4"/>
      <c r="PUZ240" s="4"/>
      <c r="PVA240" s="4"/>
      <c r="PVB240" s="4"/>
      <c r="PVC240" s="4"/>
      <c r="PVD240" s="4"/>
      <c r="PVE240" s="4"/>
      <c r="PVF240" s="4"/>
      <c r="PVG240" s="4"/>
      <c r="PVH240" s="4"/>
      <c r="PVI240" s="4"/>
      <c r="PVJ240" s="4"/>
      <c r="PVK240" s="4"/>
      <c r="PVL240" s="4"/>
      <c r="PVM240" s="4"/>
      <c r="PVN240" s="4"/>
      <c r="PVO240" s="4"/>
      <c r="PVP240" s="4"/>
      <c r="PVQ240" s="4"/>
      <c r="PVR240" s="4"/>
      <c r="PVS240" s="4"/>
      <c r="PVT240" s="4"/>
      <c r="PVU240" s="4"/>
      <c r="PVV240" s="4"/>
      <c r="PVW240" s="4"/>
      <c r="PVX240" s="4"/>
      <c r="PVY240" s="4"/>
      <c r="PVZ240" s="4"/>
      <c r="PWA240" s="4"/>
      <c r="PWB240" s="4"/>
      <c r="PWC240" s="4"/>
      <c r="PWD240" s="4"/>
      <c r="PWE240" s="4"/>
      <c r="PWF240" s="4"/>
      <c r="PWG240" s="4"/>
      <c r="PWH240" s="4"/>
      <c r="PWI240" s="4"/>
      <c r="PWJ240" s="4"/>
      <c r="PWK240" s="4"/>
      <c r="PWL240" s="4"/>
      <c r="PWM240" s="4"/>
      <c r="PWN240" s="4"/>
      <c r="PWO240" s="4"/>
      <c r="PWP240" s="4"/>
      <c r="PWQ240" s="4"/>
      <c r="PWR240" s="4"/>
      <c r="PWS240" s="4"/>
      <c r="PWT240" s="4"/>
      <c r="PWU240" s="4"/>
      <c r="PWV240" s="4"/>
      <c r="PWW240" s="4"/>
      <c r="PWX240" s="4"/>
      <c r="PWY240" s="4"/>
      <c r="PWZ240" s="4"/>
      <c r="PXA240" s="4"/>
      <c r="PXB240" s="4"/>
      <c r="PXC240" s="4"/>
      <c r="PXD240" s="4"/>
      <c r="PXE240" s="4"/>
      <c r="PXF240" s="4"/>
      <c r="PXG240" s="4"/>
      <c r="PXH240" s="4"/>
      <c r="PXI240" s="4"/>
      <c r="PXJ240" s="4"/>
      <c r="PXK240" s="4"/>
      <c r="PXL240" s="4"/>
      <c r="PXM240" s="4"/>
      <c r="PXN240" s="4"/>
      <c r="PXO240" s="4"/>
      <c r="PXP240" s="4"/>
      <c r="PXQ240" s="4"/>
      <c r="PXR240" s="4"/>
      <c r="PXS240" s="4"/>
      <c r="PXT240" s="4"/>
      <c r="PXU240" s="4"/>
      <c r="PXV240" s="4"/>
      <c r="PXW240" s="4"/>
      <c r="PXX240" s="4"/>
      <c r="PXY240" s="4"/>
      <c r="PXZ240" s="4"/>
      <c r="PYA240" s="4"/>
      <c r="PYB240" s="4"/>
      <c r="PYC240" s="4"/>
      <c r="PYD240" s="4"/>
      <c r="PYE240" s="4"/>
      <c r="PYF240" s="4"/>
      <c r="PYG240" s="4"/>
      <c r="PYH240" s="4"/>
      <c r="PYI240" s="4"/>
      <c r="PYJ240" s="4"/>
      <c r="PYK240" s="4"/>
      <c r="PYL240" s="4"/>
      <c r="PYM240" s="4"/>
      <c r="PYN240" s="4"/>
      <c r="PYO240" s="4"/>
      <c r="PYP240" s="4"/>
      <c r="PYQ240" s="4"/>
      <c r="PYR240" s="4"/>
      <c r="PYS240" s="4"/>
      <c r="PYT240" s="4"/>
      <c r="PYU240" s="4"/>
      <c r="PYV240" s="4"/>
      <c r="PYW240" s="4"/>
      <c r="PYX240" s="4"/>
      <c r="PYY240" s="4"/>
      <c r="PYZ240" s="4"/>
      <c r="PZA240" s="4"/>
      <c r="PZB240" s="4"/>
      <c r="PZC240" s="4"/>
      <c r="PZD240" s="4"/>
      <c r="PZE240" s="4"/>
      <c r="PZF240" s="4"/>
      <c r="PZG240" s="4"/>
      <c r="PZH240" s="4"/>
      <c r="PZI240" s="4"/>
      <c r="PZJ240" s="4"/>
      <c r="PZK240" s="4"/>
      <c r="PZL240" s="4"/>
      <c r="PZM240" s="4"/>
      <c r="PZN240" s="4"/>
      <c r="PZO240" s="4"/>
      <c r="PZP240" s="4"/>
      <c r="PZQ240" s="4"/>
      <c r="PZR240" s="4"/>
      <c r="PZS240" s="4"/>
      <c r="PZT240" s="4"/>
      <c r="PZU240" s="4"/>
      <c r="PZV240" s="4"/>
      <c r="PZW240" s="4"/>
      <c r="PZX240" s="4"/>
      <c r="PZY240" s="4"/>
      <c r="PZZ240" s="4"/>
      <c r="QAA240" s="4"/>
      <c r="QAB240" s="4"/>
      <c r="QAC240" s="4"/>
      <c r="QAD240" s="4"/>
      <c r="QAE240" s="4"/>
      <c r="QAF240" s="4"/>
      <c r="QAG240" s="4"/>
      <c r="QAH240" s="4"/>
      <c r="QAI240" s="4"/>
      <c r="QAJ240" s="4"/>
      <c r="QAK240" s="4"/>
      <c r="QAL240" s="4"/>
      <c r="QAM240" s="4"/>
      <c r="QAN240" s="4"/>
      <c r="QAO240" s="4"/>
      <c r="QAP240" s="4"/>
      <c r="QAQ240" s="4"/>
      <c r="QAR240" s="4"/>
      <c r="QAS240" s="4"/>
      <c r="QAT240" s="4"/>
      <c r="QAU240" s="4"/>
      <c r="QAV240" s="4"/>
      <c r="QAW240" s="4"/>
      <c r="QAX240" s="4"/>
      <c r="QAY240" s="4"/>
      <c r="QAZ240" s="4"/>
      <c r="QBA240" s="4"/>
      <c r="QBB240" s="4"/>
      <c r="QBC240" s="4"/>
      <c r="QBD240" s="4"/>
      <c r="QBE240" s="4"/>
      <c r="QBF240" s="4"/>
      <c r="QBG240" s="4"/>
      <c r="QBH240" s="4"/>
      <c r="QBI240" s="4"/>
      <c r="QBJ240" s="4"/>
      <c r="QBK240" s="4"/>
      <c r="QBL240" s="4"/>
      <c r="QBM240" s="4"/>
      <c r="QBN240" s="4"/>
      <c r="QBO240" s="4"/>
      <c r="QBP240" s="4"/>
      <c r="QBQ240" s="4"/>
      <c r="QBR240" s="4"/>
      <c r="QBS240" s="4"/>
      <c r="QBT240" s="4"/>
      <c r="QBU240" s="4"/>
      <c r="QBV240" s="4"/>
      <c r="QBW240" s="4"/>
      <c r="QBX240" s="4"/>
      <c r="QBY240" s="4"/>
      <c r="QBZ240" s="4"/>
      <c r="QCA240" s="4"/>
      <c r="QCB240" s="4"/>
      <c r="QCC240" s="4"/>
      <c r="QCD240" s="4"/>
      <c r="QCE240" s="4"/>
      <c r="QCF240" s="4"/>
      <c r="QCG240" s="4"/>
      <c r="QCH240" s="4"/>
      <c r="QCI240" s="4"/>
      <c r="QCJ240" s="4"/>
      <c r="QCK240" s="4"/>
      <c r="QCL240" s="4"/>
      <c r="QCM240" s="4"/>
      <c r="QCN240" s="4"/>
      <c r="QCO240" s="4"/>
      <c r="QCP240" s="4"/>
      <c r="QCQ240" s="4"/>
      <c r="QCR240" s="4"/>
      <c r="QCS240" s="4"/>
      <c r="QCT240" s="4"/>
      <c r="QCU240" s="4"/>
      <c r="QCV240" s="4"/>
      <c r="QCW240" s="4"/>
      <c r="QCX240" s="4"/>
      <c r="QCY240" s="4"/>
      <c r="QCZ240" s="4"/>
      <c r="QDA240" s="4"/>
      <c r="QDB240" s="4"/>
      <c r="QDC240" s="4"/>
      <c r="QDD240" s="4"/>
      <c r="QDE240" s="4"/>
      <c r="QDF240" s="4"/>
      <c r="QDG240" s="4"/>
      <c r="QDH240" s="4"/>
      <c r="QDI240" s="4"/>
      <c r="QDJ240" s="4"/>
      <c r="QDK240" s="4"/>
      <c r="QDL240" s="4"/>
      <c r="QDM240" s="4"/>
      <c r="QDN240" s="4"/>
      <c r="QDO240" s="4"/>
      <c r="QDP240" s="4"/>
      <c r="QDQ240" s="4"/>
      <c r="QDR240" s="4"/>
      <c r="QDS240" s="4"/>
      <c r="QDT240" s="4"/>
      <c r="QDU240" s="4"/>
      <c r="QDV240" s="4"/>
      <c r="QDW240" s="4"/>
      <c r="QDX240" s="4"/>
      <c r="QDY240" s="4"/>
      <c r="QDZ240" s="4"/>
      <c r="QEA240" s="4"/>
      <c r="QEB240" s="4"/>
      <c r="QEC240" s="4"/>
      <c r="QED240" s="4"/>
      <c r="QEE240" s="4"/>
      <c r="QEF240" s="4"/>
      <c r="QEG240" s="4"/>
      <c r="QEH240" s="4"/>
      <c r="QEI240" s="4"/>
      <c r="QEJ240" s="4"/>
      <c r="QEK240" s="4"/>
      <c r="QEL240" s="4"/>
      <c r="QEM240" s="4"/>
      <c r="QEN240" s="4"/>
      <c r="QEO240" s="4"/>
      <c r="QEP240" s="4"/>
      <c r="QEQ240" s="4"/>
      <c r="QER240" s="4"/>
      <c r="QES240" s="4"/>
      <c r="QET240" s="4"/>
      <c r="QEU240" s="4"/>
      <c r="QEV240" s="4"/>
      <c r="QEW240" s="4"/>
      <c r="QEX240" s="4"/>
      <c r="QEY240" s="4"/>
      <c r="QEZ240" s="4"/>
      <c r="QFA240" s="4"/>
      <c r="QFB240" s="4"/>
      <c r="QFC240" s="4"/>
      <c r="QFD240" s="4"/>
      <c r="QFE240" s="4"/>
      <c r="QFF240" s="4"/>
      <c r="QFG240" s="4"/>
      <c r="QFH240" s="4"/>
      <c r="QFI240" s="4"/>
      <c r="QFJ240" s="4"/>
      <c r="QFK240" s="4"/>
      <c r="QFL240" s="4"/>
      <c r="QFM240" s="4"/>
      <c r="QFN240" s="4"/>
      <c r="QFO240" s="4"/>
      <c r="QFP240" s="4"/>
      <c r="QFQ240" s="4"/>
      <c r="QFR240" s="4"/>
      <c r="QFS240" s="4"/>
      <c r="QFT240" s="4"/>
      <c r="QFU240" s="4"/>
      <c r="QFV240" s="4"/>
      <c r="QFW240" s="4"/>
      <c r="QFX240" s="4"/>
      <c r="QFY240" s="4"/>
      <c r="QFZ240" s="4"/>
      <c r="QGA240" s="4"/>
      <c r="QGB240" s="4"/>
      <c r="QGC240" s="4"/>
      <c r="QGD240" s="4"/>
      <c r="QGE240" s="4"/>
      <c r="QGF240" s="4"/>
      <c r="QGG240" s="4"/>
      <c r="QGH240" s="4"/>
      <c r="QGI240" s="4"/>
      <c r="QGJ240" s="4"/>
      <c r="QGK240" s="4"/>
      <c r="QGL240" s="4"/>
      <c r="QGM240" s="4"/>
      <c r="QGN240" s="4"/>
      <c r="QGO240" s="4"/>
      <c r="QGP240" s="4"/>
      <c r="QGQ240" s="4"/>
      <c r="QGR240" s="4"/>
      <c r="QGS240" s="4"/>
      <c r="QGT240" s="4"/>
      <c r="QGU240" s="4"/>
      <c r="QGV240" s="4"/>
      <c r="QGW240" s="4"/>
      <c r="QGX240" s="4"/>
      <c r="QGY240" s="4"/>
      <c r="QGZ240" s="4"/>
      <c r="QHA240" s="4"/>
      <c r="QHB240" s="4"/>
      <c r="QHC240" s="4"/>
      <c r="QHD240" s="4"/>
      <c r="QHE240" s="4"/>
      <c r="QHF240" s="4"/>
      <c r="QHG240" s="4"/>
      <c r="QHH240" s="4"/>
      <c r="QHI240" s="4"/>
      <c r="QHJ240" s="4"/>
      <c r="QHK240" s="4"/>
      <c r="QHL240" s="4"/>
      <c r="QHM240" s="4"/>
      <c r="QHN240" s="4"/>
      <c r="QHO240" s="4"/>
      <c r="QHP240" s="4"/>
      <c r="QHQ240" s="4"/>
      <c r="QHR240" s="4"/>
      <c r="QHS240" s="4"/>
      <c r="QHT240" s="4"/>
      <c r="QHU240" s="4"/>
      <c r="QHV240" s="4"/>
      <c r="QHW240" s="4"/>
      <c r="QHX240" s="4"/>
      <c r="QHY240" s="4"/>
      <c r="QHZ240" s="4"/>
      <c r="QIA240" s="4"/>
      <c r="QIB240" s="4"/>
      <c r="QIC240" s="4"/>
      <c r="QID240" s="4"/>
      <c r="QIE240" s="4"/>
      <c r="QIF240" s="4"/>
      <c r="QIG240" s="4"/>
      <c r="QIH240" s="4"/>
      <c r="QII240" s="4"/>
      <c r="QIJ240" s="4"/>
      <c r="QIK240" s="4"/>
      <c r="QIL240" s="4"/>
      <c r="QIM240" s="4"/>
      <c r="QIN240" s="4"/>
      <c r="QIO240" s="4"/>
      <c r="QIP240" s="4"/>
      <c r="QIQ240" s="4"/>
      <c r="QIR240" s="4"/>
      <c r="QIS240" s="4"/>
      <c r="QIT240" s="4"/>
      <c r="QIU240" s="4"/>
      <c r="QIV240" s="4"/>
      <c r="QIW240" s="4"/>
      <c r="QIX240" s="4"/>
      <c r="QIY240" s="4"/>
      <c r="QIZ240" s="4"/>
      <c r="QJA240" s="4"/>
      <c r="QJB240" s="4"/>
      <c r="QJC240" s="4"/>
      <c r="QJD240" s="4"/>
      <c r="QJE240" s="4"/>
      <c r="QJF240" s="4"/>
      <c r="QJG240" s="4"/>
      <c r="QJH240" s="4"/>
      <c r="QJI240" s="4"/>
      <c r="QJJ240" s="4"/>
      <c r="QJK240" s="4"/>
      <c r="QJL240" s="4"/>
      <c r="QJM240" s="4"/>
      <c r="QJN240" s="4"/>
      <c r="QJO240" s="4"/>
      <c r="QJP240" s="4"/>
      <c r="QJQ240" s="4"/>
      <c r="QJR240" s="4"/>
      <c r="QJS240" s="4"/>
      <c r="QJT240" s="4"/>
      <c r="QJU240" s="4"/>
      <c r="QJV240" s="4"/>
      <c r="QJW240" s="4"/>
      <c r="QJX240" s="4"/>
      <c r="QJY240" s="4"/>
      <c r="QJZ240" s="4"/>
      <c r="QKA240" s="4"/>
      <c r="QKB240" s="4"/>
      <c r="QKC240" s="4"/>
      <c r="QKD240" s="4"/>
      <c r="QKE240" s="4"/>
      <c r="QKF240" s="4"/>
      <c r="QKG240" s="4"/>
      <c r="QKH240" s="4"/>
      <c r="QKI240" s="4"/>
      <c r="QKJ240" s="4"/>
      <c r="QKK240" s="4"/>
      <c r="QKL240" s="4"/>
      <c r="QKM240" s="4"/>
      <c r="QKN240" s="4"/>
      <c r="QKO240" s="4"/>
      <c r="QKP240" s="4"/>
      <c r="QKQ240" s="4"/>
      <c r="QKR240" s="4"/>
      <c r="QKS240" s="4"/>
      <c r="QKT240" s="4"/>
      <c r="QKU240" s="4"/>
      <c r="QKV240" s="4"/>
      <c r="QKW240" s="4"/>
      <c r="QKX240" s="4"/>
      <c r="QKY240" s="4"/>
      <c r="QKZ240" s="4"/>
      <c r="QLA240" s="4"/>
      <c r="QLB240" s="4"/>
      <c r="QLC240" s="4"/>
      <c r="QLD240" s="4"/>
      <c r="QLE240" s="4"/>
      <c r="QLF240" s="4"/>
      <c r="QLG240" s="4"/>
      <c r="QLH240" s="4"/>
      <c r="QLI240" s="4"/>
      <c r="QLJ240" s="4"/>
      <c r="QLK240" s="4"/>
      <c r="QLL240" s="4"/>
      <c r="QLM240" s="4"/>
      <c r="QLN240" s="4"/>
      <c r="QLO240" s="4"/>
      <c r="QLP240" s="4"/>
      <c r="QLQ240" s="4"/>
      <c r="QLR240" s="4"/>
      <c r="QLS240" s="4"/>
      <c r="QLT240" s="4"/>
      <c r="QLU240" s="4"/>
      <c r="QLV240" s="4"/>
      <c r="QLW240" s="4"/>
      <c r="QLX240" s="4"/>
      <c r="QLY240" s="4"/>
      <c r="QLZ240" s="4"/>
      <c r="QMA240" s="4"/>
      <c r="QMB240" s="4"/>
      <c r="QMC240" s="4"/>
      <c r="QMD240" s="4"/>
      <c r="QME240" s="4"/>
      <c r="QMF240" s="4"/>
      <c r="QMG240" s="4"/>
      <c r="QMH240" s="4"/>
      <c r="QMI240" s="4"/>
      <c r="QMJ240" s="4"/>
      <c r="QMK240" s="4"/>
      <c r="QML240" s="4"/>
      <c r="QMM240" s="4"/>
      <c r="QMN240" s="4"/>
      <c r="QMO240" s="4"/>
      <c r="QMP240" s="4"/>
      <c r="QMQ240" s="4"/>
      <c r="QMR240" s="4"/>
      <c r="QMS240" s="4"/>
      <c r="QMT240" s="4"/>
      <c r="QMU240" s="4"/>
      <c r="QMV240" s="4"/>
      <c r="QMW240" s="4"/>
      <c r="QMX240" s="4"/>
      <c r="QMY240" s="4"/>
      <c r="QMZ240" s="4"/>
      <c r="QNA240" s="4"/>
      <c r="QNB240" s="4"/>
      <c r="QNC240" s="4"/>
      <c r="QND240" s="4"/>
      <c r="QNE240" s="4"/>
      <c r="QNF240" s="4"/>
      <c r="QNG240" s="4"/>
      <c r="QNH240" s="4"/>
      <c r="QNI240" s="4"/>
      <c r="QNJ240" s="4"/>
      <c r="QNK240" s="4"/>
      <c r="QNL240" s="4"/>
      <c r="QNM240" s="4"/>
      <c r="QNN240" s="4"/>
      <c r="QNO240" s="4"/>
      <c r="QNP240" s="4"/>
      <c r="QNQ240" s="4"/>
      <c r="QNR240" s="4"/>
      <c r="QNS240" s="4"/>
      <c r="QNT240" s="4"/>
      <c r="QNU240" s="4"/>
      <c r="QNV240" s="4"/>
      <c r="QNW240" s="4"/>
      <c r="QNX240" s="4"/>
      <c r="QNY240" s="4"/>
      <c r="QNZ240" s="4"/>
      <c r="QOA240" s="4"/>
      <c r="QOB240" s="4"/>
      <c r="QOC240" s="4"/>
      <c r="QOD240" s="4"/>
      <c r="QOE240" s="4"/>
      <c r="QOF240" s="4"/>
      <c r="QOG240" s="4"/>
      <c r="QOH240" s="4"/>
      <c r="QOI240" s="4"/>
      <c r="QOJ240" s="4"/>
      <c r="QOK240" s="4"/>
      <c r="QOL240" s="4"/>
      <c r="QOM240" s="4"/>
      <c r="QON240" s="4"/>
      <c r="QOO240" s="4"/>
      <c r="QOP240" s="4"/>
      <c r="QOQ240" s="4"/>
      <c r="QOR240" s="4"/>
      <c r="QOS240" s="4"/>
      <c r="QOT240" s="4"/>
      <c r="QOU240" s="4"/>
      <c r="QOV240" s="4"/>
      <c r="QOW240" s="4"/>
      <c r="QOX240" s="4"/>
      <c r="QOY240" s="4"/>
      <c r="QOZ240" s="4"/>
      <c r="QPA240" s="4"/>
      <c r="QPB240" s="4"/>
      <c r="QPC240" s="4"/>
      <c r="QPD240" s="4"/>
      <c r="QPE240" s="4"/>
      <c r="QPF240" s="4"/>
      <c r="QPG240" s="4"/>
      <c r="QPH240" s="4"/>
      <c r="QPI240" s="4"/>
      <c r="QPJ240" s="4"/>
      <c r="QPK240" s="4"/>
      <c r="QPL240" s="4"/>
      <c r="QPM240" s="4"/>
      <c r="QPN240" s="4"/>
      <c r="QPO240" s="4"/>
      <c r="QPP240" s="4"/>
      <c r="QPQ240" s="4"/>
      <c r="QPR240" s="4"/>
      <c r="QPS240" s="4"/>
      <c r="QPT240" s="4"/>
      <c r="QPU240" s="4"/>
      <c r="QPV240" s="4"/>
      <c r="QPW240" s="4"/>
      <c r="QPX240" s="4"/>
      <c r="QPY240" s="4"/>
      <c r="QPZ240" s="4"/>
      <c r="QQA240" s="4"/>
      <c r="QQB240" s="4"/>
      <c r="QQC240" s="4"/>
      <c r="QQD240" s="4"/>
      <c r="QQE240" s="4"/>
      <c r="QQF240" s="4"/>
      <c r="QQG240" s="4"/>
      <c r="QQH240" s="4"/>
      <c r="QQI240" s="4"/>
      <c r="QQJ240" s="4"/>
      <c r="QQK240" s="4"/>
      <c r="QQL240" s="4"/>
      <c r="QQM240" s="4"/>
      <c r="QQN240" s="4"/>
      <c r="QQO240" s="4"/>
      <c r="QQP240" s="4"/>
      <c r="QQQ240" s="4"/>
      <c r="QQR240" s="4"/>
      <c r="QQS240" s="4"/>
      <c r="QQT240" s="4"/>
      <c r="QQU240" s="4"/>
      <c r="QQV240" s="4"/>
      <c r="QQW240" s="4"/>
      <c r="QQX240" s="4"/>
      <c r="QQY240" s="4"/>
      <c r="QQZ240" s="4"/>
      <c r="QRA240" s="4"/>
      <c r="QRB240" s="4"/>
      <c r="QRC240" s="4"/>
      <c r="QRD240" s="4"/>
      <c r="QRE240" s="4"/>
      <c r="QRF240" s="4"/>
      <c r="QRG240" s="4"/>
      <c r="QRH240" s="4"/>
      <c r="QRI240" s="4"/>
      <c r="QRJ240" s="4"/>
      <c r="QRK240" s="4"/>
      <c r="QRL240" s="4"/>
      <c r="QRM240" s="4"/>
      <c r="QRN240" s="4"/>
      <c r="QRO240" s="4"/>
      <c r="QRP240" s="4"/>
      <c r="QRQ240" s="4"/>
      <c r="QRR240" s="4"/>
      <c r="QRS240" s="4"/>
      <c r="QRT240" s="4"/>
      <c r="QRU240" s="4"/>
      <c r="QRV240" s="4"/>
      <c r="QRW240" s="4"/>
      <c r="QRX240" s="4"/>
      <c r="QRY240" s="4"/>
      <c r="QRZ240" s="4"/>
      <c r="QSA240" s="4"/>
      <c r="QSB240" s="4"/>
      <c r="QSC240" s="4"/>
      <c r="QSD240" s="4"/>
      <c r="QSE240" s="4"/>
      <c r="QSF240" s="4"/>
      <c r="QSG240" s="4"/>
      <c r="QSH240" s="4"/>
      <c r="QSI240" s="4"/>
      <c r="QSJ240" s="4"/>
      <c r="QSK240" s="4"/>
      <c r="QSL240" s="4"/>
      <c r="QSM240" s="4"/>
      <c r="QSN240" s="4"/>
      <c r="QSO240" s="4"/>
      <c r="QSP240" s="4"/>
      <c r="QSQ240" s="4"/>
      <c r="QSR240" s="4"/>
      <c r="QSS240" s="4"/>
      <c r="QST240" s="4"/>
      <c r="QSU240" s="4"/>
      <c r="QSV240" s="4"/>
      <c r="QSW240" s="4"/>
      <c r="QSX240" s="4"/>
      <c r="QSY240" s="4"/>
      <c r="QSZ240" s="4"/>
      <c r="QTA240" s="4"/>
      <c r="QTB240" s="4"/>
      <c r="QTC240" s="4"/>
      <c r="QTD240" s="4"/>
      <c r="QTE240" s="4"/>
      <c r="QTF240" s="4"/>
      <c r="QTG240" s="4"/>
      <c r="QTH240" s="4"/>
      <c r="QTI240" s="4"/>
      <c r="QTJ240" s="4"/>
      <c r="QTK240" s="4"/>
      <c r="QTL240" s="4"/>
      <c r="QTM240" s="4"/>
      <c r="QTN240" s="4"/>
      <c r="QTO240" s="4"/>
      <c r="QTP240" s="4"/>
      <c r="QTQ240" s="4"/>
      <c r="QTR240" s="4"/>
      <c r="QTS240" s="4"/>
      <c r="QTT240" s="4"/>
      <c r="QTU240" s="4"/>
      <c r="QTV240" s="4"/>
      <c r="QTW240" s="4"/>
      <c r="QTX240" s="4"/>
      <c r="QTY240" s="4"/>
      <c r="QTZ240" s="4"/>
      <c r="QUA240" s="4"/>
      <c r="QUB240" s="4"/>
      <c r="QUC240" s="4"/>
      <c r="QUD240" s="4"/>
      <c r="QUE240" s="4"/>
      <c r="QUF240" s="4"/>
      <c r="QUG240" s="4"/>
      <c r="QUH240" s="4"/>
      <c r="QUI240" s="4"/>
      <c r="QUJ240" s="4"/>
      <c r="QUK240" s="4"/>
      <c r="QUL240" s="4"/>
      <c r="QUM240" s="4"/>
      <c r="QUN240" s="4"/>
      <c r="QUO240" s="4"/>
      <c r="QUP240" s="4"/>
      <c r="QUQ240" s="4"/>
      <c r="QUR240" s="4"/>
      <c r="QUS240" s="4"/>
      <c r="QUT240" s="4"/>
      <c r="QUU240" s="4"/>
      <c r="QUV240" s="4"/>
      <c r="QUW240" s="4"/>
      <c r="QUX240" s="4"/>
      <c r="QUY240" s="4"/>
      <c r="QUZ240" s="4"/>
      <c r="QVA240" s="4"/>
      <c r="QVB240" s="4"/>
      <c r="QVC240" s="4"/>
      <c r="QVD240" s="4"/>
      <c r="QVE240" s="4"/>
      <c r="QVF240" s="4"/>
      <c r="QVG240" s="4"/>
      <c r="QVH240" s="4"/>
      <c r="QVI240" s="4"/>
      <c r="QVJ240" s="4"/>
      <c r="QVK240" s="4"/>
      <c r="QVL240" s="4"/>
      <c r="QVM240" s="4"/>
      <c r="QVN240" s="4"/>
      <c r="QVO240" s="4"/>
      <c r="QVP240" s="4"/>
      <c r="QVQ240" s="4"/>
      <c r="QVR240" s="4"/>
      <c r="QVS240" s="4"/>
      <c r="QVT240" s="4"/>
      <c r="QVU240" s="4"/>
      <c r="QVV240" s="4"/>
      <c r="QVW240" s="4"/>
      <c r="QVX240" s="4"/>
      <c r="QVY240" s="4"/>
      <c r="QVZ240" s="4"/>
      <c r="QWA240" s="4"/>
      <c r="QWB240" s="4"/>
      <c r="QWC240" s="4"/>
      <c r="QWD240" s="4"/>
      <c r="QWE240" s="4"/>
      <c r="QWF240" s="4"/>
      <c r="QWG240" s="4"/>
      <c r="QWH240" s="4"/>
      <c r="QWI240" s="4"/>
      <c r="QWJ240" s="4"/>
      <c r="QWK240" s="4"/>
      <c r="QWL240" s="4"/>
      <c r="QWM240" s="4"/>
      <c r="QWN240" s="4"/>
      <c r="QWO240" s="4"/>
      <c r="QWP240" s="4"/>
      <c r="QWQ240" s="4"/>
      <c r="QWR240" s="4"/>
      <c r="QWS240" s="4"/>
      <c r="QWT240" s="4"/>
      <c r="QWU240" s="4"/>
      <c r="QWV240" s="4"/>
      <c r="QWW240" s="4"/>
      <c r="QWX240" s="4"/>
      <c r="QWY240" s="4"/>
      <c r="QWZ240" s="4"/>
      <c r="QXA240" s="4"/>
      <c r="QXB240" s="4"/>
      <c r="QXC240" s="4"/>
      <c r="QXD240" s="4"/>
      <c r="QXE240" s="4"/>
      <c r="QXF240" s="4"/>
      <c r="QXG240" s="4"/>
      <c r="QXH240" s="4"/>
      <c r="QXI240" s="4"/>
      <c r="QXJ240" s="4"/>
      <c r="QXK240" s="4"/>
      <c r="QXL240" s="4"/>
      <c r="QXM240" s="4"/>
      <c r="QXN240" s="4"/>
      <c r="QXO240" s="4"/>
      <c r="QXP240" s="4"/>
      <c r="QXQ240" s="4"/>
      <c r="QXR240" s="4"/>
      <c r="QXS240" s="4"/>
      <c r="QXT240" s="4"/>
      <c r="QXU240" s="4"/>
      <c r="QXV240" s="4"/>
      <c r="QXW240" s="4"/>
      <c r="QXX240" s="4"/>
      <c r="QXY240" s="4"/>
      <c r="QXZ240" s="4"/>
      <c r="QYA240" s="4"/>
      <c r="QYB240" s="4"/>
      <c r="QYC240" s="4"/>
      <c r="QYD240" s="4"/>
      <c r="QYE240" s="4"/>
      <c r="QYF240" s="4"/>
      <c r="QYG240" s="4"/>
      <c r="QYH240" s="4"/>
      <c r="QYI240" s="4"/>
      <c r="QYJ240" s="4"/>
      <c r="QYK240" s="4"/>
      <c r="QYL240" s="4"/>
      <c r="QYM240" s="4"/>
      <c r="QYN240" s="4"/>
      <c r="QYO240" s="4"/>
      <c r="QYP240" s="4"/>
      <c r="QYQ240" s="4"/>
      <c r="QYR240" s="4"/>
      <c r="QYS240" s="4"/>
      <c r="QYT240" s="4"/>
      <c r="QYU240" s="4"/>
      <c r="QYV240" s="4"/>
      <c r="QYW240" s="4"/>
      <c r="QYX240" s="4"/>
      <c r="QYY240" s="4"/>
      <c r="QYZ240" s="4"/>
      <c r="QZA240" s="4"/>
      <c r="QZB240" s="4"/>
      <c r="QZC240" s="4"/>
      <c r="QZD240" s="4"/>
      <c r="QZE240" s="4"/>
      <c r="QZF240" s="4"/>
      <c r="QZG240" s="4"/>
      <c r="QZH240" s="4"/>
      <c r="QZI240" s="4"/>
      <c r="QZJ240" s="4"/>
      <c r="QZK240" s="4"/>
      <c r="QZL240" s="4"/>
      <c r="QZM240" s="4"/>
      <c r="QZN240" s="4"/>
      <c r="QZO240" s="4"/>
      <c r="QZP240" s="4"/>
      <c r="QZQ240" s="4"/>
      <c r="QZR240" s="4"/>
      <c r="QZS240" s="4"/>
      <c r="QZT240" s="4"/>
      <c r="QZU240" s="4"/>
      <c r="QZV240" s="4"/>
      <c r="QZW240" s="4"/>
      <c r="QZX240" s="4"/>
      <c r="QZY240" s="4"/>
      <c r="QZZ240" s="4"/>
      <c r="RAA240" s="4"/>
      <c r="RAB240" s="4"/>
      <c r="RAC240" s="4"/>
      <c r="RAD240" s="4"/>
      <c r="RAE240" s="4"/>
      <c r="RAF240" s="4"/>
      <c r="RAG240" s="4"/>
      <c r="RAH240" s="4"/>
      <c r="RAI240" s="4"/>
      <c r="RAJ240" s="4"/>
      <c r="RAK240" s="4"/>
      <c r="RAL240" s="4"/>
      <c r="RAM240" s="4"/>
      <c r="RAN240" s="4"/>
      <c r="RAO240" s="4"/>
      <c r="RAP240" s="4"/>
      <c r="RAQ240" s="4"/>
      <c r="RAR240" s="4"/>
      <c r="RAS240" s="4"/>
      <c r="RAT240" s="4"/>
      <c r="RAU240" s="4"/>
      <c r="RAV240" s="4"/>
      <c r="RAW240" s="4"/>
      <c r="RAX240" s="4"/>
      <c r="RAY240" s="4"/>
      <c r="RAZ240" s="4"/>
      <c r="RBA240" s="4"/>
      <c r="RBB240" s="4"/>
      <c r="RBC240" s="4"/>
      <c r="RBD240" s="4"/>
      <c r="RBE240" s="4"/>
      <c r="RBF240" s="4"/>
      <c r="RBG240" s="4"/>
      <c r="RBH240" s="4"/>
      <c r="RBI240" s="4"/>
      <c r="RBJ240" s="4"/>
      <c r="RBK240" s="4"/>
      <c r="RBL240" s="4"/>
      <c r="RBM240" s="4"/>
      <c r="RBN240" s="4"/>
      <c r="RBO240" s="4"/>
      <c r="RBP240" s="4"/>
      <c r="RBQ240" s="4"/>
      <c r="RBR240" s="4"/>
      <c r="RBS240" s="4"/>
      <c r="RBT240" s="4"/>
      <c r="RBU240" s="4"/>
      <c r="RBV240" s="4"/>
      <c r="RBW240" s="4"/>
      <c r="RBX240" s="4"/>
      <c r="RBY240" s="4"/>
      <c r="RBZ240" s="4"/>
      <c r="RCA240" s="4"/>
      <c r="RCB240" s="4"/>
      <c r="RCC240" s="4"/>
      <c r="RCD240" s="4"/>
      <c r="RCE240" s="4"/>
      <c r="RCF240" s="4"/>
      <c r="RCG240" s="4"/>
      <c r="RCH240" s="4"/>
      <c r="RCI240" s="4"/>
      <c r="RCJ240" s="4"/>
      <c r="RCK240" s="4"/>
      <c r="RCL240" s="4"/>
      <c r="RCM240" s="4"/>
      <c r="RCN240" s="4"/>
      <c r="RCO240" s="4"/>
      <c r="RCP240" s="4"/>
      <c r="RCQ240" s="4"/>
      <c r="RCR240" s="4"/>
      <c r="RCS240" s="4"/>
      <c r="RCT240" s="4"/>
      <c r="RCU240" s="4"/>
      <c r="RCV240" s="4"/>
      <c r="RCW240" s="4"/>
      <c r="RCX240" s="4"/>
      <c r="RCY240" s="4"/>
      <c r="RCZ240" s="4"/>
      <c r="RDA240" s="4"/>
      <c r="RDB240" s="4"/>
      <c r="RDC240" s="4"/>
      <c r="RDD240" s="4"/>
      <c r="RDE240" s="4"/>
      <c r="RDF240" s="4"/>
      <c r="RDG240" s="4"/>
      <c r="RDH240" s="4"/>
      <c r="RDI240" s="4"/>
      <c r="RDJ240" s="4"/>
      <c r="RDK240" s="4"/>
      <c r="RDL240" s="4"/>
      <c r="RDM240" s="4"/>
      <c r="RDN240" s="4"/>
      <c r="RDO240" s="4"/>
      <c r="RDP240" s="4"/>
      <c r="RDQ240" s="4"/>
      <c r="RDR240" s="4"/>
      <c r="RDS240" s="4"/>
      <c r="RDT240" s="4"/>
      <c r="RDU240" s="4"/>
      <c r="RDV240" s="4"/>
      <c r="RDW240" s="4"/>
      <c r="RDX240" s="4"/>
      <c r="RDY240" s="4"/>
      <c r="RDZ240" s="4"/>
      <c r="REA240" s="4"/>
      <c r="REB240" s="4"/>
      <c r="REC240" s="4"/>
      <c r="RED240" s="4"/>
      <c r="REE240" s="4"/>
      <c r="REF240" s="4"/>
      <c r="REG240" s="4"/>
      <c r="REH240" s="4"/>
      <c r="REI240" s="4"/>
      <c r="REJ240" s="4"/>
      <c r="REK240" s="4"/>
      <c r="REL240" s="4"/>
      <c r="REM240" s="4"/>
      <c r="REN240" s="4"/>
      <c r="REO240" s="4"/>
      <c r="REP240" s="4"/>
      <c r="REQ240" s="4"/>
      <c r="RER240" s="4"/>
      <c r="RES240" s="4"/>
      <c r="RET240" s="4"/>
      <c r="REU240" s="4"/>
      <c r="REV240" s="4"/>
      <c r="REW240" s="4"/>
      <c r="REX240" s="4"/>
      <c r="REY240" s="4"/>
      <c r="REZ240" s="4"/>
      <c r="RFA240" s="4"/>
      <c r="RFB240" s="4"/>
      <c r="RFC240" s="4"/>
      <c r="RFD240" s="4"/>
      <c r="RFE240" s="4"/>
      <c r="RFF240" s="4"/>
      <c r="RFG240" s="4"/>
      <c r="RFH240" s="4"/>
      <c r="RFI240" s="4"/>
      <c r="RFJ240" s="4"/>
      <c r="RFK240" s="4"/>
      <c r="RFL240" s="4"/>
      <c r="RFM240" s="4"/>
      <c r="RFN240" s="4"/>
      <c r="RFO240" s="4"/>
      <c r="RFP240" s="4"/>
      <c r="RFQ240" s="4"/>
      <c r="RFR240" s="4"/>
      <c r="RFS240" s="4"/>
      <c r="RFT240" s="4"/>
      <c r="RFU240" s="4"/>
      <c r="RFV240" s="4"/>
      <c r="RFW240" s="4"/>
      <c r="RFX240" s="4"/>
      <c r="RFY240" s="4"/>
      <c r="RFZ240" s="4"/>
      <c r="RGA240" s="4"/>
      <c r="RGB240" s="4"/>
      <c r="RGC240" s="4"/>
      <c r="RGD240" s="4"/>
      <c r="RGE240" s="4"/>
      <c r="RGF240" s="4"/>
      <c r="RGG240" s="4"/>
      <c r="RGH240" s="4"/>
      <c r="RGI240" s="4"/>
      <c r="RGJ240" s="4"/>
      <c r="RGK240" s="4"/>
      <c r="RGL240" s="4"/>
      <c r="RGM240" s="4"/>
      <c r="RGN240" s="4"/>
      <c r="RGO240" s="4"/>
      <c r="RGP240" s="4"/>
      <c r="RGQ240" s="4"/>
      <c r="RGR240" s="4"/>
      <c r="RGS240" s="4"/>
      <c r="RGT240" s="4"/>
      <c r="RGU240" s="4"/>
      <c r="RGV240" s="4"/>
      <c r="RGW240" s="4"/>
      <c r="RGX240" s="4"/>
      <c r="RGY240" s="4"/>
      <c r="RGZ240" s="4"/>
      <c r="RHA240" s="4"/>
      <c r="RHB240" s="4"/>
      <c r="RHC240" s="4"/>
      <c r="RHD240" s="4"/>
      <c r="RHE240" s="4"/>
      <c r="RHF240" s="4"/>
      <c r="RHG240" s="4"/>
      <c r="RHH240" s="4"/>
      <c r="RHI240" s="4"/>
      <c r="RHJ240" s="4"/>
      <c r="RHK240" s="4"/>
      <c r="RHL240" s="4"/>
      <c r="RHM240" s="4"/>
      <c r="RHN240" s="4"/>
      <c r="RHO240" s="4"/>
      <c r="RHP240" s="4"/>
      <c r="RHQ240" s="4"/>
      <c r="RHR240" s="4"/>
      <c r="RHS240" s="4"/>
      <c r="RHT240" s="4"/>
      <c r="RHU240" s="4"/>
      <c r="RHV240" s="4"/>
      <c r="RHW240" s="4"/>
      <c r="RHX240" s="4"/>
      <c r="RHY240" s="4"/>
      <c r="RHZ240" s="4"/>
      <c r="RIA240" s="4"/>
      <c r="RIB240" s="4"/>
      <c r="RIC240" s="4"/>
      <c r="RID240" s="4"/>
      <c r="RIE240" s="4"/>
      <c r="RIF240" s="4"/>
      <c r="RIG240" s="4"/>
      <c r="RIH240" s="4"/>
      <c r="RII240" s="4"/>
      <c r="RIJ240" s="4"/>
      <c r="RIK240" s="4"/>
      <c r="RIL240" s="4"/>
      <c r="RIM240" s="4"/>
      <c r="RIN240" s="4"/>
      <c r="RIO240" s="4"/>
      <c r="RIP240" s="4"/>
      <c r="RIQ240" s="4"/>
      <c r="RIR240" s="4"/>
      <c r="RIS240" s="4"/>
      <c r="RIT240" s="4"/>
      <c r="RIU240" s="4"/>
      <c r="RIV240" s="4"/>
      <c r="RIW240" s="4"/>
      <c r="RIX240" s="4"/>
      <c r="RIY240" s="4"/>
      <c r="RIZ240" s="4"/>
      <c r="RJA240" s="4"/>
      <c r="RJB240" s="4"/>
      <c r="RJC240" s="4"/>
      <c r="RJD240" s="4"/>
      <c r="RJE240" s="4"/>
      <c r="RJF240" s="4"/>
      <c r="RJG240" s="4"/>
      <c r="RJH240" s="4"/>
      <c r="RJI240" s="4"/>
      <c r="RJJ240" s="4"/>
      <c r="RJK240" s="4"/>
      <c r="RJL240" s="4"/>
      <c r="RJM240" s="4"/>
      <c r="RJN240" s="4"/>
      <c r="RJO240" s="4"/>
      <c r="RJP240" s="4"/>
      <c r="RJQ240" s="4"/>
      <c r="RJR240" s="4"/>
      <c r="RJS240" s="4"/>
      <c r="RJT240" s="4"/>
      <c r="RJU240" s="4"/>
      <c r="RJV240" s="4"/>
      <c r="RJW240" s="4"/>
      <c r="RJX240" s="4"/>
      <c r="RJY240" s="4"/>
      <c r="RJZ240" s="4"/>
      <c r="RKA240" s="4"/>
      <c r="RKB240" s="4"/>
      <c r="RKC240" s="4"/>
      <c r="RKD240" s="4"/>
      <c r="RKE240" s="4"/>
      <c r="RKF240" s="4"/>
      <c r="RKG240" s="4"/>
      <c r="RKH240" s="4"/>
      <c r="RKI240" s="4"/>
      <c r="RKJ240" s="4"/>
      <c r="RKK240" s="4"/>
      <c r="RKL240" s="4"/>
      <c r="RKM240" s="4"/>
      <c r="RKN240" s="4"/>
      <c r="RKO240" s="4"/>
      <c r="RKP240" s="4"/>
      <c r="RKQ240" s="4"/>
      <c r="RKR240" s="4"/>
      <c r="RKS240" s="4"/>
      <c r="RKT240" s="4"/>
      <c r="RKU240" s="4"/>
      <c r="RKV240" s="4"/>
      <c r="RKW240" s="4"/>
      <c r="RKX240" s="4"/>
      <c r="RKY240" s="4"/>
      <c r="RKZ240" s="4"/>
      <c r="RLA240" s="4"/>
      <c r="RLB240" s="4"/>
      <c r="RLC240" s="4"/>
      <c r="RLD240" s="4"/>
      <c r="RLE240" s="4"/>
      <c r="RLF240" s="4"/>
      <c r="RLG240" s="4"/>
      <c r="RLH240" s="4"/>
      <c r="RLI240" s="4"/>
      <c r="RLJ240" s="4"/>
      <c r="RLK240" s="4"/>
      <c r="RLL240" s="4"/>
      <c r="RLM240" s="4"/>
      <c r="RLN240" s="4"/>
      <c r="RLO240" s="4"/>
      <c r="RLP240" s="4"/>
      <c r="RLQ240" s="4"/>
      <c r="RLR240" s="4"/>
      <c r="RLS240" s="4"/>
      <c r="RLT240" s="4"/>
      <c r="RLU240" s="4"/>
      <c r="RLV240" s="4"/>
      <c r="RLW240" s="4"/>
      <c r="RLX240" s="4"/>
      <c r="RLY240" s="4"/>
      <c r="RLZ240" s="4"/>
      <c r="RMA240" s="4"/>
      <c r="RMB240" s="4"/>
      <c r="RMC240" s="4"/>
      <c r="RMD240" s="4"/>
      <c r="RME240" s="4"/>
      <c r="RMF240" s="4"/>
      <c r="RMG240" s="4"/>
      <c r="RMH240" s="4"/>
      <c r="RMI240" s="4"/>
      <c r="RMJ240" s="4"/>
      <c r="RMK240" s="4"/>
      <c r="RML240" s="4"/>
      <c r="RMM240" s="4"/>
      <c r="RMN240" s="4"/>
      <c r="RMO240" s="4"/>
      <c r="RMP240" s="4"/>
      <c r="RMQ240" s="4"/>
      <c r="RMR240" s="4"/>
      <c r="RMS240" s="4"/>
      <c r="RMT240" s="4"/>
      <c r="RMU240" s="4"/>
      <c r="RMV240" s="4"/>
      <c r="RMW240" s="4"/>
      <c r="RMX240" s="4"/>
      <c r="RMY240" s="4"/>
      <c r="RMZ240" s="4"/>
      <c r="RNA240" s="4"/>
      <c r="RNB240" s="4"/>
      <c r="RNC240" s="4"/>
      <c r="RND240" s="4"/>
      <c r="RNE240" s="4"/>
      <c r="RNF240" s="4"/>
      <c r="RNG240" s="4"/>
      <c r="RNH240" s="4"/>
      <c r="RNI240" s="4"/>
      <c r="RNJ240" s="4"/>
      <c r="RNK240" s="4"/>
      <c r="RNL240" s="4"/>
      <c r="RNM240" s="4"/>
      <c r="RNN240" s="4"/>
      <c r="RNO240" s="4"/>
      <c r="RNP240" s="4"/>
      <c r="RNQ240" s="4"/>
      <c r="RNR240" s="4"/>
      <c r="RNS240" s="4"/>
      <c r="RNT240" s="4"/>
      <c r="RNU240" s="4"/>
      <c r="RNV240" s="4"/>
      <c r="RNW240" s="4"/>
      <c r="RNX240" s="4"/>
      <c r="RNY240" s="4"/>
      <c r="RNZ240" s="4"/>
      <c r="ROA240" s="4"/>
      <c r="ROB240" s="4"/>
      <c r="ROC240" s="4"/>
      <c r="ROD240" s="4"/>
      <c r="ROE240" s="4"/>
      <c r="ROF240" s="4"/>
      <c r="ROG240" s="4"/>
      <c r="ROH240" s="4"/>
      <c r="ROI240" s="4"/>
      <c r="ROJ240" s="4"/>
      <c r="ROK240" s="4"/>
      <c r="ROL240" s="4"/>
      <c r="ROM240" s="4"/>
      <c r="RON240" s="4"/>
      <c r="ROO240" s="4"/>
      <c r="ROP240" s="4"/>
      <c r="ROQ240" s="4"/>
      <c r="ROR240" s="4"/>
      <c r="ROS240" s="4"/>
      <c r="ROT240" s="4"/>
      <c r="ROU240" s="4"/>
      <c r="ROV240" s="4"/>
      <c r="ROW240" s="4"/>
      <c r="ROX240" s="4"/>
      <c r="ROY240" s="4"/>
      <c r="ROZ240" s="4"/>
      <c r="RPA240" s="4"/>
      <c r="RPB240" s="4"/>
      <c r="RPC240" s="4"/>
      <c r="RPD240" s="4"/>
      <c r="RPE240" s="4"/>
      <c r="RPF240" s="4"/>
      <c r="RPG240" s="4"/>
      <c r="RPH240" s="4"/>
      <c r="RPI240" s="4"/>
      <c r="RPJ240" s="4"/>
      <c r="RPK240" s="4"/>
      <c r="RPL240" s="4"/>
      <c r="RPM240" s="4"/>
      <c r="RPN240" s="4"/>
      <c r="RPO240" s="4"/>
      <c r="RPP240" s="4"/>
      <c r="RPQ240" s="4"/>
      <c r="RPR240" s="4"/>
      <c r="RPS240" s="4"/>
      <c r="RPT240" s="4"/>
      <c r="RPU240" s="4"/>
      <c r="RPV240" s="4"/>
      <c r="RPW240" s="4"/>
      <c r="RPX240" s="4"/>
      <c r="RPY240" s="4"/>
      <c r="RPZ240" s="4"/>
      <c r="RQA240" s="4"/>
      <c r="RQB240" s="4"/>
      <c r="RQC240" s="4"/>
      <c r="RQD240" s="4"/>
      <c r="RQE240" s="4"/>
      <c r="RQF240" s="4"/>
      <c r="RQG240" s="4"/>
      <c r="RQH240" s="4"/>
      <c r="RQI240" s="4"/>
      <c r="RQJ240" s="4"/>
      <c r="RQK240" s="4"/>
      <c r="RQL240" s="4"/>
      <c r="RQM240" s="4"/>
      <c r="RQN240" s="4"/>
      <c r="RQO240" s="4"/>
      <c r="RQP240" s="4"/>
      <c r="RQQ240" s="4"/>
      <c r="RQR240" s="4"/>
      <c r="RQS240" s="4"/>
      <c r="RQT240" s="4"/>
      <c r="RQU240" s="4"/>
      <c r="RQV240" s="4"/>
      <c r="RQW240" s="4"/>
      <c r="RQX240" s="4"/>
      <c r="RQY240" s="4"/>
      <c r="RQZ240" s="4"/>
      <c r="RRA240" s="4"/>
      <c r="RRB240" s="4"/>
      <c r="RRC240" s="4"/>
      <c r="RRD240" s="4"/>
      <c r="RRE240" s="4"/>
      <c r="RRF240" s="4"/>
      <c r="RRG240" s="4"/>
      <c r="RRH240" s="4"/>
      <c r="RRI240" s="4"/>
      <c r="RRJ240" s="4"/>
      <c r="RRK240" s="4"/>
      <c r="RRL240" s="4"/>
      <c r="RRM240" s="4"/>
      <c r="RRN240" s="4"/>
      <c r="RRO240" s="4"/>
      <c r="RRP240" s="4"/>
      <c r="RRQ240" s="4"/>
      <c r="RRR240" s="4"/>
      <c r="RRS240" s="4"/>
      <c r="RRT240" s="4"/>
      <c r="RRU240" s="4"/>
      <c r="RRV240" s="4"/>
      <c r="RRW240" s="4"/>
      <c r="RRX240" s="4"/>
      <c r="RRY240" s="4"/>
      <c r="RRZ240" s="4"/>
      <c r="RSA240" s="4"/>
      <c r="RSB240" s="4"/>
      <c r="RSC240" s="4"/>
      <c r="RSD240" s="4"/>
      <c r="RSE240" s="4"/>
      <c r="RSF240" s="4"/>
      <c r="RSG240" s="4"/>
      <c r="RSH240" s="4"/>
      <c r="RSI240" s="4"/>
      <c r="RSJ240" s="4"/>
      <c r="RSK240" s="4"/>
      <c r="RSL240" s="4"/>
      <c r="RSM240" s="4"/>
      <c r="RSN240" s="4"/>
      <c r="RSO240" s="4"/>
      <c r="RSP240" s="4"/>
      <c r="RSQ240" s="4"/>
      <c r="RSR240" s="4"/>
      <c r="RSS240" s="4"/>
      <c r="RST240" s="4"/>
      <c r="RSU240" s="4"/>
      <c r="RSV240" s="4"/>
      <c r="RSW240" s="4"/>
      <c r="RSX240" s="4"/>
      <c r="RSY240" s="4"/>
      <c r="RSZ240" s="4"/>
      <c r="RTA240" s="4"/>
      <c r="RTB240" s="4"/>
      <c r="RTC240" s="4"/>
      <c r="RTD240" s="4"/>
      <c r="RTE240" s="4"/>
      <c r="RTF240" s="4"/>
      <c r="RTG240" s="4"/>
      <c r="RTH240" s="4"/>
      <c r="RTI240" s="4"/>
      <c r="RTJ240" s="4"/>
      <c r="RTK240" s="4"/>
      <c r="RTL240" s="4"/>
      <c r="RTM240" s="4"/>
      <c r="RTN240" s="4"/>
      <c r="RTO240" s="4"/>
      <c r="RTP240" s="4"/>
      <c r="RTQ240" s="4"/>
      <c r="RTR240" s="4"/>
      <c r="RTS240" s="4"/>
      <c r="RTT240" s="4"/>
      <c r="RTU240" s="4"/>
      <c r="RTV240" s="4"/>
      <c r="RTW240" s="4"/>
      <c r="RTX240" s="4"/>
      <c r="RTY240" s="4"/>
      <c r="RTZ240" s="4"/>
      <c r="RUA240" s="4"/>
      <c r="RUB240" s="4"/>
      <c r="RUC240" s="4"/>
      <c r="RUD240" s="4"/>
      <c r="RUE240" s="4"/>
      <c r="RUF240" s="4"/>
      <c r="RUG240" s="4"/>
      <c r="RUH240" s="4"/>
      <c r="RUI240" s="4"/>
      <c r="RUJ240" s="4"/>
      <c r="RUK240" s="4"/>
      <c r="RUL240" s="4"/>
      <c r="RUM240" s="4"/>
      <c r="RUN240" s="4"/>
      <c r="RUO240" s="4"/>
      <c r="RUP240" s="4"/>
      <c r="RUQ240" s="4"/>
      <c r="RUR240" s="4"/>
      <c r="RUS240" s="4"/>
      <c r="RUT240" s="4"/>
      <c r="RUU240" s="4"/>
      <c r="RUV240" s="4"/>
      <c r="RUW240" s="4"/>
      <c r="RUX240" s="4"/>
      <c r="RUY240" s="4"/>
      <c r="RUZ240" s="4"/>
      <c r="RVA240" s="4"/>
      <c r="RVB240" s="4"/>
      <c r="RVC240" s="4"/>
      <c r="RVD240" s="4"/>
      <c r="RVE240" s="4"/>
      <c r="RVF240" s="4"/>
      <c r="RVG240" s="4"/>
      <c r="RVH240" s="4"/>
      <c r="RVI240" s="4"/>
      <c r="RVJ240" s="4"/>
      <c r="RVK240" s="4"/>
      <c r="RVL240" s="4"/>
      <c r="RVM240" s="4"/>
      <c r="RVN240" s="4"/>
      <c r="RVO240" s="4"/>
      <c r="RVP240" s="4"/>
      <c r="RVQ240" s="4"/>
      <c r="RVR240" s="4"/>
      <c r="RVS240" s="4"/>
      <c r="RVT240" s="4"/>
      <c r="RVU240" s="4"/>
      <c r="RVV240" s="4"/>
      <c r="RVW240" s="4"/>
      <c r="RVX240" s="4"/>
      <c r="RVY240" s="4"/>
      <c r="RVZ240" s="4"/>
      <c r="RWA240" s="4"/>
      <c r="RWB240" s="4"/>
      <c r="RWC240" s="4"/>
      <c r="RWD240" s="4"/>
      <c r="RWE240" s="4"/>
      <c r="RWF240" s="4"/>
      <c r="RWG240" s="4"/>
      <c r="RWH240" s="4"/>
      <c r="RWI240" s="4"/>
      <c r="RWJ240" s="4"/>
      <c r="RWK240" s="4"/>
      <c r="RWL240" s="4"/>
      <c r="RWM240" s="4"/>
      <c r="RWN240" s="4"/>
      <c r="RWO240" s="4"/>
      <c r="RWP240" s="4"/>
      <c r="RWQ240" s="4"/>
      <c r="RWR240" s="4"/>
      <c r="RWS240" s="4"/>
      <c r="RWT240" s="4"/>
      <c r="RWU240" s="4"/>
      <c r="RWV240" s="4"/>
      <c r="RWW240" s="4"/>
      <c r="RWX240" s="4"/>
      <c r="RWY240" s="4"/>
      <c r="RWZ240" s="4"/>
      <c r="RXA240" s="4"/>
      <c r="RXB240" s="4"/>
      <c r="RXC240" s="4"/>
      <c r="RXD240" s="4"/>
      <c r="RXE240" s="4"/>
      <c r="RXF240" s="4"/>
      <c r="RXG240" s="4"/>
      <c r="RXH240" s="4"/>
      <c r="RXI240" s="4"/>
      <c r="RXJ240" s="4"/>
      <c r="RXK240" s="4"/>
      <c r="RXL240" s="4"/>
      <c r="RXM240" s="4"/>
      <c r="RXN240" s="4"/>
      <c r="RXO240" s="4"/>
      <c r="RXP240" s="4"/>
      <c r="RXQ240" s="4"/>
      <c r="RXR240" s="4"/>
      <c r="RXS240" s="4"/>
      <c r="RXT240" s="4"/>
      <c r="RXU240" s="4"/>
      <c r="RXV240" s="4"/>
      <c r="RXW240" s="4"/>
      <c r="RXX240" s="4"/>
      <c r="RXY240" s="4"/>
      <c r="RXZ240" s="4"/>
      <c r="RYA240" s="4"/>
      <c r="RYB240" s="4"/>
      <c r="RYC240" s="4"/>
      <c r="RYD240" s="4"/>
      <c r="RYE240" s="4"/>
      <c r="RYF240" s="4"/>
      <c r="RYG240" s="4"/>
      <c r="RYH240" s="4"/>
      <c r="RYI240" s="4"/>
      <c r="RYJ240" s="4"/>
      <c r="RYK240" s="4"/>
      <c r="RYL240" s="4"/>
      <c r="RYM240" s="4"/>
      <c r="RYN240" s="4"/>
      <c r="RYO240" s="4"/>
      <c r="RYP240" s="4"/>
      <c r="RYQ240" s="4"/>
      <c r="RYR240" s="4"/>
      <c r="RYS240" s="4"/>
      <c r="RYT240" s="4"/>
      <c r="RYU240" s="4"/>
      <c r="RYV240" s="4"/>
      <c r="RYW240" s="4"/>
      <c r="RYX240" s="4"/>
      <c r="RYY240" s="4"/>
      <c r="RYZ240" s="4"/>
      <c r="RZA240" s="4"/>
      <c r="RZB240" s="4"/>
      <c r="RZC240" s="4"/>
      <c r="RZD240" s="4"/>
      <c r="RZE240" s="4"/>
      <c r="RZF240" s="4"/>
      <c r="RZG240" s="4"/>
      <c r="RZH240" s="4"/>
      <c r="RZI240" s="4"/>
      <c r="RZJ240" s="4"/>
      <c r="RZK240" s="4"/>
      <c r="RZL240" s="4"/>
      <c r="RZM240" s="4"/>
      <c r="RZN240" s="4"/>
      <c r="RZO240" s="4"/>
      <c r="RZP240" s="4"/>
      <c r="RZQ240" s="4"/>
      <c r="RZR240" s="4"/>
      <c r="RZS240" s="4"/>
      <c r="RZT240" s="4"/>
      <c r="RZU240" s="4"/>
      <c r="RZV240" s="4"/>
      <c r="RZW240" s="4"/>
      <c r="RZX240" s="4"/>
      <c r="RZY240" s="4"/>
      <c r="RZZ240" s="4"/>
      <c r="SAA240" s="4"/>
      <c r="SAB240" s="4"/>
      <c r="SAC240" s="4"/>
      <c r="SAD240" s="4"/>
      <c r="SAE240" s="4"/>
      <c r="SAF240" s="4"/>
      <c r="SAG240" s="4"/>
      <c r="SAH240" s="4"/>
      <c r="SAI240" s="4"/>
      <c r="SAJ240" s="4"/>
      <c r="SAK240" s="4"/>
      <c r="SAL240" s="4"/>
      <c r="SAM240" s="4"/>
      <c r="SAN240" s="4"/>
      <c r="SAO240" s="4"/>
      <c r="SAP240" s="4"/>
      <c r="SAQ240" s="4"/>
      <c r="SAR240" s="4"/>
      <c r="SAS240" s="4"/>
      <c r="SAT240" s="4"/>
      <c r="SAU240" s="4"/>
      <c r="SAV240" s="4"/>
      <c r="SAW240" s="4"/>
      <c r="SAX240" s="4"/>
      <c r="SAY240" s="4"/>
      <c r="SAZ240" s="4"/>
      <c r="SBA240" s="4"/>
      <c r="SBB240" s="4"/>
      <c r="SBC240" s="4"/>
      <c r="SBD240" s="4"/>
      <c r="SBE240" s="4"/>
      <c r="SBF240" s="4"/>
      <c r="SBG240" s="4"/>
      <c r="SBH240" s="4"/>
      <c r="SBI240" s="4"/>
      <c r="SBJ240" s="4"/>
      <c r="SBK240" s="4"/>
      <c r="SBL240" s="4"/>
      <c r="SBM240" s="4"/>
      <c r="SBN240" s="4"/>
      <c r="SBO240" s="4"/>
      <c r="SBP240" s="4"/>
      <c r="SBQ240" s="4"/>
      <c r="SBR240" s="4"/>
      <c r="SBS240" s="4"/>
      <c r="SBT240" s="4"/>
      <c r="SBU240" s="4"/>
      <c r="SBV240" s="4"/>
      <c r="SBW240" s="4"/>
      <c r="SBX240" s="4"/>
      <c r="SBY240" s="4"/>
      <c r="SBZ240" s="4"/>
      <c r="SCA240" s="4"/>
      <c r="SCB240" s="4"/>
      <c r="SCC240" s="4"/>
      <c r="SCD240" s="4"/>
      <c r="SCE240" s="4"/>
      <c r="SCF240" s="4"/>
      <c r="SCG240" s="4"/>
      <c r="SCH240" s="4"/>
      <c r="SCI240" s="4"/>
      <c r="SCJ240" s="4"/>
      <c r="SCK240" s="4"/>
      <c r="SCL240" s="4"/>
      <c r="SCM240" s="4"/>
      <c r="SCN240" s="4"/>
      <c r="SCO240" s="4"/>
      <c r="SCP240" s="4"/>
      <c r="SCQ240" s="4"/>
      <c r="SCR240" s="4"/>
      <c r="SCS240" s="4"/>
      <c r="SCT240" s="4"/>
      <c r="SCU240" s="4"/>
      <c r="SCV240" s="4"/>
      <c r="SCW240" s="4"/>
      <c r="SCX240" s="4"/>
      <c r="SCY240" s="4"/>
      <c r="SCZ240" s="4"/>
      <c r="SDA240" s="4"/>
      <c r="SDB240" s="4"/>
      <c r="SDC240" s="4"/>
      <c r="SDD240" s="4"/>
      <c r="SDE240" s="4"/>
      <c r="SDF240" s="4"/>
      <c r="SDG240" s="4"/>
      <c r="SDH240" s="4"/>
      <c r="SDI240" s="4"/>
      <c r="SDJ240" s="4"/>
      <c r="SDK240" s="4"/>
      <c r="SDL240" s="4"/>
      <c r="SDM240" s="4"/>
      <c r="SDN240" s="4"/>
      <c r="SDO240" s="4"/>
      <c r="SDP240" s="4"/>
      <c r="SDQ240" s="4"/>
      <c r="SDR240" s="4"/>
      <c r="SDS240" s="4"/>
      <c r="SDT240" s="4"/>
      <c r="SDU240" s="4"/>
      <c r="SDV240" s="4"/>
      <c r="SDW240" s="4"/>
      <c r="SDX240" s="4"/>
      <c r="SDY240" s="4"/>
      <c r="SDZ240" s="4"/>
      <c r="SEA240" s="4"/>
      <c r="SEB240" s="4"/>
      <c r="SEC240" s="4"/>
      <c r="SED240" s="4"/>
      <c r="SEE240" s="4"/>
      <c r="SEF240" s="4"/>
      <c r="SEG240" s="4"/>
      <c r="SEH240" s="4"/>
      <c r="SEI240" s="4"/>
      <c r="SEJ240" s="4"/>
      <c r="SEK240" s="4"/>
      <c r="SEL240" s="4"/>
      <c r="SEM240" s="4"/>
      <c r="SEN240" s="4"/>
      <c r="SEO240" s="4"/>
      <c r="SEP240" s="4"/>
      <c r="SEQ240" s="4"/>
      <c r="SER240" s="4"/>
      <c r="SES240" s="4"/>
      <c r="SET240" s="4"/>
      <c r="SEU240" s="4"/>
      <c r="SEV240" s="4"/>
      <c r="SEW240" s="4"/>
      <c r="SEX240" s="4"/>
      <c r="SEY240" s="4"/>
      <c r="SEZ240" s="4"/>
      <c r="SFA240" s="4"/>
      <c r="SFB240" s="4"/>
      <c r="SFC240" s="4"/>
      <c r="SFD240" s="4"/>
      <c r="SFE240" s="4"/>
      <c r="SFF240" s="4"/>
      <c r="SFG240" s="4"/>
      <c r="SFH240" s="4"/>
      <c r="SFI240" s="4"/>
      <c r="SFJ240" s="4"/>
      <c r="SFK240" s="4"/>
      <c r="SFL240" s="4"/>
      <c r="SFM240" s="4"/>
      <c r="SFN240" s="4"/>
      <c r="SFO240" s="4"/>
      <c r="SFP240" s="4"/>
      <c r="SFQ240" s="4"/>
      <c r="SFR240" s="4"/>
      <c r="SFS240" s="4"/>
      <c r="SFT240" s="4"/>
      <c r="SFU240" s="4"/>
      <c r="SFV240" s="4"/>
      <c r="SFW240" s="4"/>
      <c r="SFX240" s="4"/>
      <c r="SFY240" s="4"/>
      <c r="SFZ240" s="4"/>
      <c r="SGA240" s="4"/>
      <c r="SGB240" s="4"/>
      <c r="SGC240" s="4"/>
      <c r="SGD240" s="4"/>
      <c r="SGE240" s="4"/>
      <c r="SGF240" s="4"/>
      <c r="SGG240" s="4"/>
      <c r="SGH240" s="4"/>
      <c r="SGI240" s="4"/>
      <c r="SGJ240" s="4"/>
      <c r="SGK240" s="4"/>
      <c r="SGL240" s="4"/>
      <c r="SGM240" s="4"/>
      <c r="SGN240" s="4"/>
      <c r="SGO240" s="4"/>
      <c r="SGP240" s="4"/>
      <c r="SGQ240" s="4"/>
      <c r="SGR240" s="4"/>
      <c r="SGS240" s="4"/>
      <c r="SGT240" s="4"/>
      <c r="SGU240" s="4"/>
      <c r="SGV240" s="4"/>
      <c r="SGW240" s="4"/>
      <c r="SGX240" s="4"/>
      <c r="SGY240" s="4"/>
      <c r="SGZ240" s="4"/>
      <c r="SHA240" s="4"/>
      <c r="SHB240" s="4"/>
      <c r="SHC240" s="4"/>
      <c r="SHD240" s="4"/>
      <c r="SHE240" s="4"/>
      <c r="SHF240" s="4"/>
      <c r="SHG240" s="4"/>
      <c r="SHH240" s="4"/>
      <c r="SHI240" s="4"/>
      <c r="SHJ240" s="4"/>
      <c r="SHK240" s="4"/>
      <c r="SHL240" s="4"/>
      <c r="SHM240" s="4"/>
      <c r="SHN240" s="4"/>
      <c r="SHO240" s="4"/>
      <c r="SHP240" s="4"/>
      <c r="SHQ240" s="4"/>
      <c r="SHR240" s="4"/>
      <c r="SHS240" s="4"/>
      <c r="SHT240" s="4"/>
      <c r="SHU240" s="4"/>
      <c r="SHV240" s="4"/>
      <c r="SHW240" s="4"/>
      <c r="SHX240" s="4"/>
      <c r="SHY240" s="4"/>
      <c r="SHZ240" s="4"/>
      <c r="SIA240" s="4"/>
      <c r="SIB240" s="4"/>
      <c r="SIC240" s="4"/>
      <c r="SID240" s="4"/>
      <c r="SIE240" s="4"/>
      <c r="SIF240" s="4"/>
      <c r="SIG240" s="4"/>
      <c r="SIH240" s="4"/>
      <c r="SII240" s="4"/>
      <c r="SIJ240" s="4"/>
      <c r="SIK240" s="4"/>
      <c r="SIL240" s="4"/>
      <c r="SIM240" s="4"/>
      <c r="SIN240" s="4"/>
      <c r="SIO240" s="4"/>
      <c r="SIP240" s="4"/>
      <c r="SIQ240" s="4"/>
      <c r="SIR240" s="4"/>
      <c r="SIS240" s="4"/>
      <c r="SIT240" s="4"/>
      <c r="SIU240" s="4"/>
      <c r="SIV240" s="4"/>
      <c r="SIW240" s="4"/>
      <c r="SIX240" s="4"/>
      <c r="SIY240" s="4"/>
      <c r="SIZ240" s="4"/>
      <c r="SJA240" s="4"/>
      <c r="SJB240" s="4"/>
      <c r="SJC240" s="4"/>
      <c r="SJD240" s="4"/>
      <c r="SJE240" s="4"/>
      <c r="SJF240" s="4"/>
      <c r="SJG240" s="4"/>
      <c r="SJH240" s="4"/>
      <c r="SJI240" s="4"/>
      <c r="SJJ240" s="4"/>
      <c r="SJK240" s="4"/>
      <c r="SJL240" s="4"/>
      <c r="SJM240" s="4"/>
      <c r="SJN240" s="4"/>
      <c r="SJO240" s="4"/>
      <c r="SJP240" s="4"/>
      <c r="SJQ240" s="4"/>
      <c r="SJR240" s="4"/>
      <c r="SJS240" s="4"/>
      <c r="SJT240" s="4"/>
      <c r="SJU240" s="4"/>
      <c r="SJV240" s="4"/>
      <c r="SJW240" s="4"/>
      <c r="SJX240" s="4"/>
      <c r="SJY240" s="4"/>
      <c r="SJZ240" s="4"/>
      <c r="SKA240" s="4"/>
      <c r="SKB240" s="4"/>
      <c r="SKC240" s="4"/>
      <c r="SKD240" s="4"/>
      <c r="SKE240" s="4"/>
      <c r="SKF240" s="4"/>
      <c r="SKG240" s="4"/>
      <c r="SKH240" s="4"/>
      <c r="SKI240" s="4"/>
      <c r="SKJ240" s="4"/>
      <c r="SKK240" s="4"/>
      <c r="SKL240" s="4"/>
      <c r="SKM240" s="4"/>
      <c r="SKN240" s="4"/>
      <c r="SKO240" s="4"/>
      <c r="SKP240" s="4"/>
      <c r="SKQ240" s="4"/>
      <c r="SKR240" s="4"/>
      <c r="SKS240" s="4"/>
      <c r="SKT240" s="4"/>
      <c r="SKU240" s="4"/>
      <c r="SKV240" s="4"/>
      <c r="SKW240" s="4"/>
      <c r="SKX240" s="4"/>
      <c r="SKY240" s="4"/>
      <c r="SKZ240" s="4"/>
      <c r="SLA240" s="4"/>
      <c r="SLB240" s="4"/>
      <c r="SLC240" s="4"/>
      <c r="SLD240" s="4"/>
      <c r="SLE240" s="4"/>
      <c r="SLF240" s="4"/>
      <c r="SLG240" s="4"/>
      <c r="SLH240" s="4"/>
      <c r="SLI240" s="4"/>
      <c r="SLJ240" s="4"/>
      <c r="SLK240" s="4"/>
      <c r="SLL240" s="4"/>
      <c r="SLM240" s="4"/>
      <c r="SLN240" s="4"/>
      <c r="SLO240" s="4"/>
      <c r="SLP240" s="4"/>
      <c r="SLQ240" s="4"/>
      <c r="SLR240" s="4"/>
      <c r="SLS240" s="4"/>
      <c r="SLT240" s="4"/>
      <c r="SLU240" s="4"/>
      <c r="SLV240" s="4"/>
      <c r="SLW240" s="4"/>
      <c r="SLX240" s="4"/>
      <c r="SLY240" s="4"/>
      <c r="SLZ240" s="4"/>
      <c r="SMA240" s="4"/>
      <c r="SMB240" s="4"/>
      <c r="SMC240" s="4"/>
      <c r="SMD240" s="4"/>
      <c r="SME240" s="4"/>
      <c r="SMF240" s="4"/>
      <c r="SMG240" s="4"/>
      <c r="SMH240" s="4"/>
      <c r="SMI240" s="4"/>
      <c r="SMJ240" s="4"/>
      <c r="SMK240" s="4"/>
      <c r="SML240" s="4"/>
      <c r="SMM240" s="4"/>
      <c r="SMN240" s="4"/>
      <c r="SMO240" s="4"/>
      <c r="SMP240" s="4"/>
      <c r="SMQ240" s="4"/>
      <c r="SMR240" s="4"/>
      <c r="SMS240" s="4"/>
      <c r="SMT240" s="4"/>
      <c r="SMU240" s="4"/>
      <c r="SMV240" s="4"/>
      <c r="SMW240" s="4"/>
      <c r="SMX240" s="4"/>
      <c r="SMY240" s="4"/>
      <c r="SMZ240" s="4"/>
      <c r="SNA240" s="4"/>
      <c r="SNB240" s="4"/>
      <c r="SNC240" s="4"/>
      <c r="SND240" s="4"/>
      <c r="SNE240" s="4"/>
      <c r="SNF240" s="4"/>
      <c r="SNG240" s="4"/>
      <c r="SNH240" s="4"/>
      <c r="SNI240" s="4"/>
      <c r="SNJ240" s="4"/>
      <c r="SNK240" s="4"/>
      <c r="SNL240" s="4"/>
      <c r="SNM240" s="4"/>
      <c r="SNN240" s="4"/>
      <c r="SNO240" s="4"/>
      <c r="SNP240" s="4"/>
      <c r="SNQ240" s="4"/>
      <c r="SNR240" s="4"/>
      <c r="SNS240" s="4"/>
      <c r="SNT240" s="4"/>
      <c r="SNU240" s="4"/>
      <c r="SNV240" s="4"/>
      <c r="SNW240" s="4"/>
      <c r="SNX240" s="4"/>
      <c r="SNY240" s="4"/>
      <c r="SNZ240" s="4"/>
      <c r="SOA240" s="4"/>
      <c r="SOB240" s="4"/>
      <c r="SOC240" s="4"/>
      <c r="SOD240" s="4"/>
      <c r="SOE240" s="4"/>
      <c r="SOF240" s="4"/>
      <c r="SOG240" s="4"/>
      <c r="SOH240" s="4"/>
      <c r="SOI240" s="4"/>
      <c r="SOJ240" s="4"/>
      <c r="SOK240" s="4"/>
      <c r="SOL240" s="4"/>
      <c r="SOM240" s="4"/>
      <c r="SON240" s="4"/>
      <c r="SOO240" s="4"/>
      <c r="SOP240" s="4"/>
      <c r="SOQ240" s="4"/>
      <c r="SOR240" s="4"/>
      <c r="SOS240" s="4"/>
      <c r="SOT240" s="4"/>
      <c r="SOU240" s="4"/>
      <c r="SOV240" s="4"/>
      <c r="SOW240" s="4"/>
      <c r="SOX240" s="4"/>
      <c r="SOY240" s="4"/>
      <c r="SOZ240" s="4"/>
      <c r="SPA240" s="4"/>
      <c r="SPB240" s="4"/>
      <c r="SPC240" s="4"/>
      <c r="SPD240" s="4"/>
      <c r="SPE240" s="4"/>
      <c r="SPF240" s="4"/>
      <c r="SPG240" s="4"/>
      <c r="SPH240" s="4"/>
      <c r="SPI240" s="4"/>
      <c r="SPJ240" s="4"/>
      <c r="SPK240" s="4"/>
      <c r="SPL240" s="4"/>
      <c r="SPM240" s="4"/>
      <c r="SPN240" s="4"/>
      <c r="SPO240" s="4"/>
      <c r="SPP240" s="4"/>
      <c r="SPQ240" s="4"/>
      <c r="SPR240" s="4"/>
      <c r="SPS240" s="4"/>
      <c r="SPT240" s="4"/>
      <c r="SPU240" s="4"/>
      <c r="SPV240" s="4"/>
      <c r="SPW240" s="4"/>
      <c r="SPX240" s="4"/>
      <c r="SPY240" s="4"/>
      <c r="SPZ240" s="4"/>
      <c r="SQA240" s="4"/>
      <c r="SQB240" s="4"/>
      <c r="SQC240" s="4"/>
      <c r="SQD240" s="4"/>
      <c r="SQE240" s="4"/>
      <c r="SQF240" s="4"/>
      <c r="SQG240" s="4"/>
      <c r="SQH240" s="4"/>
      <c r="SQI240" s="4"/>
      <c r="SQJ240" s="4"/>
      <c r="SQK240" s="4"/>
      <c r="SQL240" s="4"/>
      <c r="SQM240" s="4"/>
      <c r="SQN240" s="4"/>
      <c r="SQO240" s="4"/>
      <c r="SQP240" s="4"/>
      <c r="SQQ240" s="4"/>
      <c r="SQR240" s="4"/>
      <c r="SQS240" s="4"/>
      <c r="SQT240" s="4"/>
      <c r="SQU240" s="4"/>
      <c r="SQV240" s="4"/>
      <c r="SQW240" s="4"/>
      <c r="SQX240" s="4"/>
      <c r="SQY240" s="4"/>
      <c r="SQZ240" s="4"/>
      <c r="SRA240" s="4"/>
      <c r="SRB240" s="4"/>
      <c r="SRC240" s="4"/>
      <c r="SRD240" s="4"/>
      <c r="SRE240" s="4"/>
      <c r="SRF240" s="4"/>
      <c r="SRG240" s="4"/>
      <c r="SRH240" s="4"/>
      <c r="SRI240" s="4"/>
      <c r="SRJ240" s="4"/>
      <c r="SRK240" s="4"/>
      <c r="SRL240" s="4"/>
      <c r="SRM240" s="4"/>
      <c r="SRN240" s="4"/>
      <c r="SRO240" s="4"/>
      <c r="SRP240" s="4"/>
      <c r="SRQ240" s="4"/>
      <c r="SRR240" s="4"/>
      <c r="SRS240" s="4"/>
      <c r="SRT240" s="4"/>
      <c r="SRU240" s="4"/>
      <c r="SRV240" s="4"/>
      <c r="SRW240" s="4"/>
      <c r="SRX240" s="4"/>
      <c r="SRY240" s="4"/>
      <c r="SRZ240" s="4"/>
      <c r="SSA240" s="4"/>
      <c r="SSB240" s="4"/>
      <c r="SSC240" s="4"/>
      <c r="SSD240" s="4"/>
      <c r="SSE240" s="4"/>
      <c r="SSF240" s="4"/>
      <c r="SSG240" s="4"/>
      <c r="SSH240" s="4"/>
      <c r="SSI240" s="4"/>
      <c r="SSJ240" s="4"/>
      <c r="SSK240" s="4"/>
      <c r="SSL240" s="4"/>
      <c r="SSM240" s="4"/>
      <c r="SSN240" s="4"/>
      <c r="SSO240" s="4"/>
      <c r="SSP240" s="4"/>
      <c r="SSQ240" s="4"/>
      <c r="SSR240" s="4"/>
      <c r="SSS240" s="4"/>
      <c r="SST240" s="4"/>
      <c r="SSU240" s="4"/>
      <c r="SSV240" s="4"/>
      <c r="SSW240" s="4"/>
      <c r="SSX240" s="4"/>
      <c r="SSY240" s="4"/>
      <c r="SSZ240" s="4"/>
      <c r="STA240" s="4"/>
      <c r="STB240" s="4"/>
      <c r="STC240" s="4"/>
      <c r="STD240" s="4"/>
      <c r="STE240" s="4"/>
      <c r="STF240" s="4"/>
      <c r="STG240" s="4"/>
      <c r="STH240" s="4"/>
      <c r="STI240" s="4"/>
      <c r="STJ240" s="4"/>
      <c r="STK240" s="4"/>
      <c r="STL240" s="4"/>
      <c r="STM240" s="4"/>
      <c r="STN240" s="4"/>
      <c r="STO240" s="4"/>
      <c r="STP240" s="4"/>
      <c r="STQ240" s="4"/>
      <c r="STR240" s="4"/>
      <c r="STS240" s="4"/>
      <c r="STT240" s="4"/>
      <c r="STU240" s="4"/>
      <c r="STV240" s="4"/>
      <c r="STW240" s="4"/>
      <c r="STX240" s="4"/>
      <c r="STY240" s="4"/>
      <c r="STZ240" s="4"/>
      <c r="SUA240" s="4"/>
      <c r="SUB240" s="4"/>
      <c r="SUC240" s="4"/>
      <c r="SUD240" s="4"/>
      <c r="SUE240" s="4"/>
      <c r="SUF240" s="4"/>
      <c r="SUG240" s="4"/>
      <c r="SUH240" s="4"/>
      <c r="SUI240" s="4"/>
      <c r="SUJ240" s="4"/>
      <c r="SUK240" s="4"/>
      <c r="SUL240" s="4"/>
      <c r="SUM240" s="4"/>
      <c r="SUN240" s="4"/>
      <c r="SUO240" s="4"/>
      <c r="SUP240" s="4"/>
      <c r="SUQ240" s="4"/>
      <c r="SUR240" s="4"/>
      <c r="SUS240" s="4"/>
      <c r="SUT240" s="4"/>
      <c r="SUU240" s="4"/>
      <c r="SUV240" s="4"/>
      <c r="SUW240" s="4"/>
      <c r="SUX240" s="4"/>
      <c r="SUY240" s="4"/>
      <c r="SUZ240" s="4"/>
      <c r="SVA240" s="4"/>
      <c r="SVB240" s="4"/>
      <c r="SVC240" s="4"/>
      <c r="SVD240" s="4"/>
      <c r="SVE240" s="4"/>
      <c r="SVF240" s="4"/>
      <c r="SVG240" s="4"/>
      <c r="SVH240" s="4"/>
      <c r="SVI240" s="4"/>
      <c r="SVJ240" s="4"/>
      <c r="SVK240" s="4"/>
      <c r="SVL240" s="4"/>
      <c r="SVM240" s="4"/>
      <c r="SVN240" s="4"/>
      <c r="SVO240" s="4"/>
      <c r="SVP240" s="4"/>
      <c r="SVQ240" s="4"/>
      <c r="SVR240" s="4"/>
      <c r="SVS240" s="4"/>
      <c r="SVT240" s="4"/>
      <c r="SVU240" s="4"/>
      <c r="SVV240" s="4"/>
      <c r="SVW240" s="4"/>
      <c r="SVX240" s="4"/>
      <c r="SVY240" s="4"/>
      <c r="SVZ240" s="4"/>
      <c r="SWA240" s="4"/>
      <c r="SWB240" s="4"/>
      <c r="SWC240" s="4"/>
      <c r="SWD240" s="4"/>
      <c r="SWE240" s="4"/>
      <c r="SWF240" s="4"/>
      <c r="SWG240" s="4"/>
      <c r="SWH240" s="4"/>
      <c r="SWI240" s="4"/>
      <c r="SWJ240" s="4"/>
      <c r="SWK240" s="4"/>
      <c r="SWL240" s="4"/>
      <c r="SWM240" s="4"/>
      <c r="SWN240" s="4"/>
      <c r="SWO240" s="4"/>
      <c r="SWP240" s="4"/>
      <c r="SWQ240" s="4"/>
      <c r="SWR240" s="4"/>
      <c r="SWS240" s="4"/>
      <c r="SWT240" s="4"/>
      <c r="SWU240" s="4"/>
      <c r="SWV240" s="4"/>
      <c r="SWW240" s="4"/>
      <c r="SWX240" s="4"/>
      <c r="SWY240" s="4"/>
      <c r="SWZ240" s="4"/>
      <c r="SXA240" s="4"/>
      <c r="SXB240" s="4"/>
      <c r="SXC240" s="4"/>
      <c r="SXD240" s="4"/>
      <c r="SXE240" s="4"/>
      <c r="SXF240" s="4"/>
      <c r="SXG240" s="4"/>
      <c r="SXH240" s="4"/>
      <c r="SXI240" s="4"/>
      <c r="SXJ240" s="4"/>
      <c r="SXK240" s="4"/>
      <c r="SXL240" s="4"/>
      <c r="SXM240" s="4"/>
      <c r="SXN240" s="4"/>
      <c r="SXO240" s="4"/>
      <c r="SXP240" s="4"/>
      <c r="SXQ240" s="4"/>
      <c r="SXR240" s="4"/>
      <c r="SXS240" s="4"/>
      <c r="SXT240" s="4"/>
      <c r="SXU240" s="4"/>
      <c r="SXV240" s="4"/>
      <c r="SXW240" s="4"/>
      <c r="SXX240" s="4"/>
      <c r="SXY240" s="4"/>
      <c r="SXZ240" s="4"/>
      <c r="SYA240" s="4"/>
      <c r="SYB240" s="4"/>
      <c r="SYC240" s="4"/>
      <c r="SYD240" s="4"/>
      <c r="SYE240" s="4"/>
      <c r="SYF240" s="4"/>
      <c r="SYG240" s="4"/>
      <c r="SYH240" s="4"/>
      <c r="SYI240" s="4"/>
      <c r="SYJ240" s="4"/>
      <c r="SYK240" s="4"/>
      <c r="SYL240" s="4"/>
      <c r="SYM240" s="4"/>
      <c r="SYN240" s="4"/>
      <c r="SYO240" s="4"/>
      <c r="SYP240" s="4"/>
      <c r="SYQ240" s="4"/>
      <c r="SYR240" s="4"/>
      <c r="SYS240" s="4"/>
      <c r="SYT240" s="4"/>
      <c r="SYU240" s="4"/>
      <c r="SYV240" s="4"/>
      <c r="SYW240" s="4"/>
      <c r="SYX240" s="4"/>
      <c r="SYY240" s="4"/>
      <c r="SYZ240" s="4"/>
      <c r="SZA240" s="4"/>
      <c r="SZB240" s="4"/>
      <c r="SZC240" s="4"/>
      <c r="SZD240" s="4"/>
      <c r="SZE240" s="4"/>
      <c r="SZF240" s="4"/>
      <c r="SZG240" s="4"/>
      <c r="SZH240" s="4"/>
      <c r="SZI240" s="4"/>
      <c r="SZJ240" s="4"/>
      <c r="SZK240" s="4"/>
      <c r="SZL240" s="4"/>
      <c r="SZM240" s="4"/>
      <c r="SZN240" s="4"/>
      <c r="SZO240" s="4"/>
      <c r="SZP240" s="4"/>
      <c r="SZQ240" s="4"/>
      <c r="SZR240" s="4"/>
      <c r="SZS240" s="4"/>
      <c r="SZT240" s="4"/>
      <c r="SZU240" s="4"/>
      <c r="SZV240" s="4"/>
      <c r="SZW240" s="4"/>
      <c r="SZX240" s="4"/>
      <c r="SZY240" s="4"/>
      <c r="SZZ240" s="4"/>
      <c r="TAA240" s="4"/>
      <c r="TAB240" s="4"/>
      <c r="TAC240" s="4"/>
      <c r="TAD240" s="4"/>
      <c r="TAE240" s="4"/>
      <c r="TAF240" s="4"/>
      <c r="TAG240" s="4"/>
      <c r="TAH240" s="4"/>
      <c r="TAI240" s="4"/>
      <c r="TAJ240" s="4"/>
      <c r="TAK240" s="4"/>
      <c r="TAL240" s="4"/>
      <c r="TAM240" s="4"/>
      <c r="TAN240" s="4"/>
      <c r="TAO240" s="4"/>
      <c r="TAP240" s="4"/>
      <c r="TAQ240" s="4"/>
      <c r="TAR240" s="4"/>
      <c r="TAS240" s="4"/>
      <c r="TAT240" s="4"/>
      <c r="TAU240" s="4"/>
      <c r="TAV240" s="4"/>
      <c r="TAW240" s="4"/>
      <c r="TAX240" s="4"/>
      <c r="TAY240" s="4"/>
      <c r="TAZ240" s="4"/>
      <c r="TBA240" s="4"/>
      <c r="TBB240" s="4"/>
      <c r="TBC240" s="4"/>
      <c r="TBD240" s="4"/>
      <c r="TBE240" s="4"/>
      <c r="TBF240" s="4"/>
      <c r="TBG240" s="4"/>
      <c r="TBH240" s="4"/>
      <c r="TBI240" s="4"/>
      <c r="TBJ240" s="4"/>
      <c r="TBK240" s="4"/>
      <c r="TBL240" s="4"/>
      <c r="TBM240" s="4"/>
      <c r="TBN240" s="4"/>
      <c r="TBO240" s="4"/>
      <c r="TBP240" s="4"/>
      <c r="TBQ240" s="4"/>
      <c r="TBR240" s="4"/>
      <c r="TBS240" s="4"/>
      <c r="TBT240" s="4"/>
      <c r="TBU240" s="4"/>
      <c r="TBV240" s="4"/>
      <c r="TBW240" s="4"/>
      <c r="TBX240" s="4"/>
      <c r="TBY240" s="4"/>
      <c r="TBZ240" s="4"/>
      <c r="TCA240" s="4"/>
      <c r="TCB240" s="4"/>
      <c r="TCC240" s="4"/>
      <c r="TCD240" s="4"/>
      <c r="TCE240" s="4"/>
      <c r="TCF240" s="4"/>
      <c r="TCG240" s="4"/>
      <c r="TCH240" s="4"/>
      <c r="TCI240" s="4"/>
      <c r="TCJ240" s="4"/>
      <c r="TCK240" s="4"/>
      <c r="TCL240" s="4"/>
      <c r="TCM240" s="4"/>
      <c r="TCN240" s="4"/>
      <c r="TCO240" s="4"/>
      <c r="TCP240" s="4"/>
      <c r="TCQ240" s="4"/>
      <c r="TCR240" s="4"/>
      <c r="TCS240" s="4"/>
      <c r="TCT240" s="4"/>
      <c r="TCU240" s="4"/>
      <c r="TCV240" s="4"/>
      <c r="TCW240" s="4"/>
      <c r="TCX240" s="4"/>
      <c r="TCY240" s="4"/>
      <c r="TCZ240" s="4"/>
      <c r="TDA240" s="4"/>
      <c r="TDB240" s="4"/>
      <c r="TDC240" s="4"/>
      <c r="TDD240" s="4"/>
      <c r="TDE240" s="4"/>
      <c r="TDF240" s="4"/>
      <c r="TDG240" s="4"/>
      <c r="TDH240" s="4"/>
      <c r="TDI240" s="4"/>
      <c r="TDJ240" s="4"/>
      <c r="TDK240" s="4"/>
      <c r="TDL240" s="4"/>
      <c r="TDM240" s="4"/>
      <c r="TDN240" s="4"/>
      <c r="TDO240" s="4"/>
      <c r="TDP240" s="4"/>
      <c r="TDQ240" s="4"/>
      <c r="TDR240" s="4"/>
      <c r="TDS240" s="4"/>
      <c r="TDT240" s="4"/>
      <c r="TDU240" s="4"/>
      <c r="TDV240" s="4"/>
      <c r="TDW240" s="4"/>
      <c r="TDX240" s="4"/>
      <c r="TDY240" s="4"/>
      <c r="TDZ240" s="4"/>
      <c r="TEA240" s="4"/>
      <c r="TEB240" s="4"/>
      <c r="TEC240" s="4"/>
      <c r="TED240" s="4"/>
      <c r="TEE240" s="4"/>
      <c r="TEF240" s="4"/>
      <c r="TEG240" s="4"/>
      <c r="TEH240" s="4"/>
      <c r="TEI240" s="4"/>
      <c r="TEJ240" s="4"/>
      <c r="TEK240" s="4"/>
      <c r="TEL240" s="4"/>
      <c r="TEM240" s="4"/>
      <c r="TEN240" s="4"/>
      <c r="TEO240" s="4"/>
      <c r="TEP240" s="4"/>
      <c r="TEQ240" s="4"/>
      <c r="TER240" s="4"/>
      <c r="TES240" s="4"/>
      <c r="TET240" s="4"/>
      <c r="TEU240" s="4"/>
      <c r="TEV240" s="4"/>
      <c r="TEW240" s="4"/>
      <c r="TEX240" s="4"/>
      <c r="TEY240" s="4"/>
      <c r="TEZ240" s="4"/>
      <c r="TFA240" s="4"/>
      <c r="TFB240" s="4"/>
      <c r="TFC240" s="4"/>
      <c r="TFD240" s="4"/>
      <c r="TFE240" s="4"/>
      <c r="TFF240" s="4"/>
      <c r="TFG240" s="4"/>
      <c r="TFH240" s="4"/>
      <c r="TFI240" s="4"/>
      <c r="TFJ240" s="4"/>
      <c r="TFK240" s="4"/>
      <c r="TFL240" s="4"/>
      <c r="TFM240" s="4"/>
      <c r="TFN240" s="4"/>
      <c r="TFO240" s="4"/>
      <c r="TFP240" s="4"/>
      <c r="TFQ240" s="4"/>
      <c r="TFR240" s="4"/>
      <c r="TFS240" s="4"/>
      <c r="TFT240" s="4"/>
      <c r="TFU240" s="4"/>
      <c r="TFV240" s="4"/>
      <c r="TFW240" s="4"/>
      <c r="TFX240" s="4"/>
      <c r="TFY240" s="4"/>
      <c r="TFZ240" s="4"/>
      <c r="TGA240" s="4"/>
      <c r="TGB240" s="4"/>
      <c r="TGC240" s="4"/>
      <c r="TGD240" s="4"/>
      <c r="TGE240" s="4"/>
      <c r="TGF240" s="4"/>
      <c r="TGG240" s="4"/>
      <c r="TGH240" s="4"/>
      <c r="TGI240" s="4"/>
      <c r="TGJ240" s="4"/>
      <c r="TGK240" s="4"/>
      <c r="TGL240" s="4"/>
      <c r="TGM240" s="4"/>
      <c r="TGN240" s="4"/>
      <c r="TGO240" s="4"/>
      <c r="TGP240" s="4"/>
      <c r="TGQ240" s="4"/>
      <c r="TGR240" s="4"/>
      <c r="TGS240" s="4"/>
      <c r="TGT240" s="4"/>
      <c r="TGU240" s="4"/>
      <c r="TGV240" s="4"/>
      <c r="TGW240" s="4"/>
      <c r="TGX240" s="4"/>
      <c r="TGY240" s="4"/>
      <c r="TGZ240" s="4"/>
      <c r="THA240" s="4"/>
      <c r="THB240" s="4"/>
      <c r="THC240" s="4"/>
      <c r="THD240" s="4"/>
      <c r="THE240" s="4"/>
      <c r="THF240" s="4"/>
      <c r="THG240" s="4"/>
      <c r="THH240" s="4"/>
      <c r="THI240" s="4"/>
      <c r="THJ240" s="4"/>
      <c r="THK240" s="4"/>
      <c r="THL240" s="4"/>
      <c r="THM240" s="4"/>
      <c r="THN240" s="4"/>
      <c r="THO240" s="4"/>
      <c r="THP240" s="4"/>
      <c r="THQ240" s="4"/>
      <c r="THR240" s="4"/>
      <c r="THS240" s="4"/>
      <c r="THT240" s="4"/>
      <c r="THU240" s="4"/>
      <c r="THV240" s="4"/>
      <c r="THW240" s="4"/>
      <c r="THX240" s="4"/>
      <c r="THY240" s="4"/>
      <c r="THZ240" s="4"/>
      <c r="TIA240" s="4"/>
      <c r="TIB240" s="4"/>
      <c r="TIC240" s="4"/>
      <c r="TID240" s="4"/>
      <c r="TIE240" s="4"/>
      <c r="TIF240" s="4"/>
      <c r="TIG240" s="4"/>
      <c r="TIH240" s="4"/>
      <c r="TII240" s="4"/>
      <c r="TIJ240" s="4"/>
      <c r="TIK240" s="4"/>
      <c r="TIL240" s="4"/>
      <c r="TIM240" s="4"/>
      <c r="TIN240" s="4"/>
      <c r="TIO240" s="4"/>
      <c r="TIP240" s="4"/>
      <c r="TIQ240" s="4"/>
      <c r="TIR240" s="4"/>
      <c r="TIS240" s="4"/>
      <c r="TIT240" s="4"/>
      <c r="TIU240" s="4"/>
      <c r="TIV240" s="4"/>
      <c r="TIW240" s="4"/>
      <c r="TIX240" s="4"/>
      <c r="TIY240" s="4"/>
      <c r="TIZ240" s="4"/>
      <c r="TJA240" s="4"/>
      <c r="TJB240" s="4"/>
      <c r="TJC240" s="4"/>
      <c r="TJD240" s="4"/>
      <c r="TJE240" s="4"/>
      <c r="TJF240" s="4"/>
      <c r="TJG240" s="4"/>
      <c r="TJH240" s="4"/>
      <c r="TJI240" s="4"/>
      <c r="TJJ240" s="4"/>
      <c r="TJK240" s="4"/>
      <c r="TJL240" s="4"/>
      <c r="TJM240" s="4"/>
      <c r="TJN240" s="4"/>
      <c r="TJO240" s="4"/>
      <c r="TJP240" s="4"/>
      <c r="TJQ240" s="4"/>
      <c r="TJR240" s="4"/>
      <c r="TJS240" s="4"/>
      <c r="TJT240" s="4"/>
      <c r="TJU240" s="4"/>
      <c r="TJV240" s="4"/>
      <c r="TJW240" s="4"/>
      <c r="TJX240" s="4"/>
      <c r="TJY240" s="4"/>
      <c r="TJZ240" s="4"/>
      <c r="TKA240" s="4"/>
      <c r="TKB240" s="4"/>
      <c r="TKC240" s="4"/>
      <c r="TKD240" s="4"/>
      <c r="TKE240" s="4"/>
      <c r="TKF240" s="4"/>
      <c r="TKG240" s="4"/>
      <c r="TKH240" s="4"/>
      <c r="TKI240" s="4"/>
      <c r="TKJ240" s="4"/>
      <c r="TKK240" s="4"/>
      <c r="TKL240" s="4"/>
      <c r="TKM240" s="4"/>
      <c r="TKN240" s="4"/>
      <c r="TKO240" s="4"/>
      <c r="TKP240" s="4"/>
      <c r="TKQ240" s="4"/>
      <c r="TKR240" s="4"/>
      <c r="TKS240" s="4"/>
      <c r="TKT240" s="4"/>
      <c r="TKU240" s="4"/>
      <c r="TKV240" s="4"/>
      <c r="TKW240" s="4"/>
      <c r="TKX240" s="4"/>
      <c r="TKY240" s="4"/>
      <c r="TKZ240" s="4"/>
      <c r="TLA240" s="4"/>
      <c r="TLB240" s="4"/>
      <c r="TLC240" s="4"/>
      <c r="TLD240" s="4"/>
      <c r="TLE240" s="4"/>
      <c r="TLF240" s="4"/>
      <c r="TLG240" s="4"/>
      <c r="TLH240" s="4"/>
      <c r="TLI240" s="4"/>
      <c r="TLJ240" s="4"/>
      <c r="TLK240" s="4"/>
      <c r="TLL240" s="4"/>
      <c r="TLM240" s="4"/>
      <c r="TLN240" s="4"/>
      <c r="TLO240" s="4"/>
      <c r="TLP240" s="4"/>
      <c r="TLQ240" s="4"/>
      <c r="TLR240" s="4"/>
      <c r="TLS240" s="4"/>
      <c r="TLT240" s="4"/>
      <c r="TLU240" s="4"/>
      <c r="TLV240" s="4"/>
      <c r="TLW240" s="4"/>
      <c r="TLX240" s="4"/>
      <c r="TLY240" s="4"/>
      <c r="TLZ240" s="4"/>
      <c r="TMA240" s="4"/>
      <c r="TMB240" s="4"/>
      <c r="TMC240" s="4"/>
      <c r="TMD240" s="4"/>
      <c r="TME240" s="4"/>
      <c r="TMF240" s="4"/>
      <c r="TMG240" s="4"/>
      <c r="TMH240" s="4"/>
      <c r="TMI240" s="4"/>
      <c r="TMJ240" s="4"/>
      <c r="TMK240" s="4"/>
      <c r="TML240" s="4"/>
      <c r="TMM240" s="4"/>
      <c r="TMN240" s="4"/>
      <c r="TMO240" s="4"/>
      <c r="TMP240" s="4"/>
      <c r="TMQ240" s="4"/>
      <c r="TMR240" s="4"/>
      <c r="TMS240" s="4"/>
      <c r="TMT240" s="4"/>
      <c r="TMU240" s="4"/>
      <c r="TMV240" s="4"/>
      <c r="TMW240" s="4"/>
      <c r="TMX240" s="4"/>
      <c r="TMY240" s="4"/>
      <c r="TMZ240" s="4"/>
      <c r="TNA240" s="4"/>
      <c r="TNB240" s="4"/>
      <c r="TNC240" s="4"/>
      <c r="TND240" s="4"/>
      <c r="TNE240" s="4"/>
      <c r="TNF240" s="4"/>
      <c r="TNG240" s="4"/>
      <c r="TNH240" s="4"/>
      <c r="TNI240" s="4"/>
      <c r="TNJ240" s="4"/>
      <c r="TNK240" s="4"/>
      <c r="TNL240" s="4"/>
      <c r="TNM240" s="4"/>
      <c r="TNN240" s="4"/>
      <c r="TNO240" s="4"/>
      <c r="TNP240" s="4"/>
      <c r="TNQ240" s="4"/>
      <c r="TNR240" s="4"/>
      <c r="TNS240" s="4"/>
      <c r="TNT240" s="4"/>
      <c r="TNU240" s="4"/>
      <c r="TNV240" s="4"/>
      <c r="TNW240" s="4"/>
      <c r="TNX240" s="4"/>
      <c r="TNY240" s="4"/>
      <c r="TNZ240" s="4"/>
      <c r="TOA240" s="4"/>
      <c r="TOB240" s="4"/>
      <c r="TOC240" s="4"/>
      <c r="TOD240" s="4"/>
      <c r="TOE240" s="4"/>
      <c r="TOF240" s="4"/>
      <c r="TOG240" s="4"/>
      <c r="TOH240" s="4"/>
      <c r="TOI240" s="4"/>
      <c r="TOJ240" s="4"/>
      <c r="TOK240" s="4"/>
      <c r="TOL240" s="4"/>
      <c r="TOM240" s="4"/>
      <c r="TON240" s="4"/>
      <c r="TOO240" s="4"/>
      <c r="TOP240" s="4"/>
      <c r="TOQ240" s="4"/>
      <c r="TOR240" s="4"/>
      <c r="TOS240" s="4"/>
      <c r="TOT240" s="4"/>
      <c r="TOU240" s="4"/>
      <c r="TOV240" s="4"/>
      <c r="TOW240" s="4"/>
      <c r="TOX240" s="4"/>
      <c r="TOY240" s="4"/>
      <c r="TOZ240" s="4"/>
      <c r="TPA240" s="4"/>
      <c r="TPB240" s="4"/>
      <c r="TPC240" s="4"/>
      <c r="TPD240" s="4"/>
      <c r="TPE240" s="4"/>
      <c r="TPF240" s="4"/>
      <c r="TPG240" s="4"/>
      <c r="TPH240" s="4"/>
      <c r="TPI240" s="4"/>
      <c r="TPJ240" s="4"/>
      <c r="TPK240" s="4"/>
      <c r="TPL240" s="4"/>
      <c r="TPM240" s="4"/>
      <c r="TPN240" s="4"/>
      <c r="TPO240" s="4"/>
      <c r="TPP240" s="4"/>
      <c r="TPQ240" s="4"/>
      <c r="TPR240" s="4"/>
      <c r="TPS240" s="4"/>
      <c r="TPT240" s="4"/>
      <c r="TPU240" s="4"/>
      <c r="TPV240" s="4"/>
      <c r="TPW240" s="4"/>
      <c r="TPX240" s="4"/>
      <c r="TPY240" s="4"/>
      <c r="TPZ240" s="4"/>
      <c r="TQA240" s="4"/>
      <c r="TQB240" s="4"/>
      <c r="TQC240" s="4"/>
      <c r="TQD240" s="4"/>
      <c r="TQE240" s="4"/>
      <c r="TQF240" s="4"/>
      <c r="TQG240" s="4"/>
      <c r="TQH240" s="4"/>
      <c r="TQI240" s="4"/>
      <c r="TQJ240" s="4"/>
      <c r="TQK240" s="4"/>
      <c r="TQL240" s="4"/>
      <c r="TQM240" s="4"/>
      <c r="TQN240" s="4"/>
      <c r="TQO240" s="4"/>
      <c r="TQP240" s="4"/>
      <c r="TQQ240" s="4"/>
      <c r="TQR240" s="4"/>
      <c r="TQS240" s="4"/>
      <c r="TQT240" s="4"/>
      <c r="TQU240" s="4"/>
      <c r="TQV240" s="4"/>
      <c r="TQW240" s="4"/>
      <c r="TQX240" s="4"/>
      <c r="TQY240" s="4"/>
      <c r="TQZ240" s="4"/>
      <c r="TRA240" s="4"/>
      <c r="TRB240" s="4"/>
      <c r="TRC240" s="4"/>
      <c r="TRD240" s="4"/>
      <c r="TRE240" s="4"/>
      <c r="TRF240" s="4"/>
      <c r="TRG240" s="4"/>
      <c r="TRH240" s="4"/>
      <c r="TRI240" s="4"/>
      <c r="TRJ240" s="4"/>
      <c r="TRK240" s="4"/>
      <c r="TRL240" s="4"/>
      <c r="TRM240" s="4"/>
      <c r="TRN240" s="4"/>
      <c r="TRO240" s="4"/>
      <c r="TRP240" s="4"/>
      <c r="TRQ240" s="4"/>
      <c r="TRR240" s="4"/>
      <c r="TRS240" s="4"/>
      <c r="TRT240" s="4"/>
      <c r="TRU240" s="4"/>
      <c r="TRV240" s="4"/>
      <c r="TRW240" s="4"/>
      <c r="TRX240" s="4"/>
      <c r="TRY240" s="4"/>
      <c r="TRZ240" s="4"/>
      <c r="TSA240" s="4"/>
      <c r="TSB240" s="4"/>
      <c r="TSC240" s="4"/>
      <c r="TSD240" s="4"/>
      <c r="TSE240" s="4"/>
      <c r="TSF240" s="4"/>
      <c r="TSG240" s="4"/>
      <c r="TSH240" s="4"/>
      <c r="TSI240" s="4"/>
      <c r="TSJ240" s="4"/>
      <c r="TSK240" s="4"/>
      <c r="TSL240" s="4"/>
      <c r="TSM240" s="4"/>
      <c r="TSN240" s="4"/>
      <c r="TSO240" s="4"/>
      <c r="TSP240" s="4"/>
      <c r="TSQ240" s="4"/>
      <c r="TSR240" s="4"/>
      <c r="TSS240" s="4"/>
      <c r="TST240" s="4"/>
      <c r="TSU240" s="4"/>
      <c r="TSV240" s="4"/>
      <c r="TSW240" s="4"/>
      <c r="TSX240" s="4"/>
      <c r="TSY240" s="4"/>
      <c r="TSZ240" s="4"/>
      <c r="TTA240" s="4"/>
      <c r="TTB240" s="4"/>
      <c r="TTC240" s="4"/>
      <c r="TTD240" s="4"/>
      <c r="TTE240" s="4"/>
      <c r="TTF240" s="4"/>
      <c r="TTG240" s="4"/>
      <c r="TTH240" s="4"/>
      <c r="TTI240" s="4"/>
      <c r="TTJ240" s="4"/>
      <c r="TTK240" s="4"/>
      <c r="TTL240" s="4"/>
      <c r="TTM240" s="4"/>
      <c r="TTN240" s="4"/>
      <c r="TTO240" s="4"/>
      <c r="TTP240" s="4"/>
      <c r="TTQ240" s="4"/>
      <c r="TTR240" s="4"/>
      <c r="TTS240" s="4"/>
      <c r="TTT240" s="4"/>
      <c r="TTU240" s="4"/>
      <c r="TTV240" s="4"/>
      <c r="TTW240" s="4"/>
      <c r="TTX240" s="4"/>
      <c r="TTY240" s="4"/>
      <c r="TTZ240" s="4"/>
      <c r="TUA240" s="4"/>
      <c r="TUB240" s="4"/>
      <c r="TUC240" s="4"/>
      <c r="TUD240" s="4"/>
      <c r="TUE240" s="4"/>
      <c r="TUF240" s="4"/>
      <c r="TUG240" s="4"/>
      <c r="TUH240" s="4"/>
      <c r="TUI240" s="4"/>
      <c r="TUJ240" s="4"/>
      <c r="TUK240" s="4"/>
      <c r="TUL240" s="4"/>
      <c r="TUM240" s="4"/>
      <c r="TUN240" s="4"/>
      <c r="TUO240" s="4"/>
      <c r="TUP240" s="4"/>
      <c r="TUQ240" s="4"/>
      <c r="TUR240" s="4"/>
      <c r="TUS240" s="4"/>
      <c r="TUT240" s="4"/>
      <c r="TUU240" s="4"/>
      <c r="TUV240" s="4"/>
      <c r="TUW240" s="4"/>
      <c r="TUX240" s="4"/>
      <c r="TUY240" s="4"/>
      <c r="TUZ240" s="4"/>
      <c r="TVA240" s="4"/>
      <c r="TVB240" s="4"/>
      <c r="TVC240" s="4"/>
      <c r="TVD240" s="4"/>
      <c r="TVE240" s="4"/>
      <c r="TVF240" s="4"/>
      <c r="TVG240" s="4"/>
      <c r="TVH240" s="4"/>
      <c r="TVI240" s="4"/>
      <c r="TVJ240" s="4"/>
      <c r="TVK240" s="4"/>
      <c r="TVL240" s="4"/>
      <c r="TVM240" s="4"/>
      <c r="TVN240" s="4"/>
      <c r="TVO240" s="4"/>
      <c r="TVP240" s="4"/>
      <c r="TVQ240" s="4"/>
      <c r="TVR240" s="4"/>
      <c r="TVS240" s="4"/>
      <c r="TVT240" s="4"/>
      <c r="TVU240" s="4"/>
      <c r="TVV240" s="4"/>
      <c r="TVW240" s="4"/>
      <c r="TVX240" s="4"/>
      <c r="TVY240" s="4"/>
      <c r="TVZ240" s="4"/>
      <c r="TWA240" s="4"/>
      <c r="TWB240" s="4"/>
      <c r="TWC240" s="4"/>
      <c r="TWD240" s="4"/>
      <c r="TWE240" s="4"/>
      <c r="TWF240" s="4"/>
      <c r="TWG240" s="4"/>
      <c r="TWH240" s="4"/>
      <c r="TWI240" s="4"/>
      <c r="TWJ240" s="4"/>
      <c r="TWK240" s="4"/>
      <c r="TWL240" s="4"/>
      <c r="TWM240" s="4"/>
      <c r="TWN240" s="4"/>
      <c r="TWO240" s="4"/>
      <c r="TWP240" s="4"/>
      <c r="TWQ240" s="4"/>
      <c r="TWR240" s="4"/>
      <c r="TWS240" s="4"/>
      <c r="TWT240" s="4"/>
      <c r="TWU240" s="4"/>
      <c r="TWV240" s="4"/>
      <c r="TWW240" s="4"/>
      <c r="TWX240" s="4"/>
      <c r="TWY240" s="4"/>
      <c r="TWZ240" s="4"/>
      <c r="TXA240" s="4"/>
      <c r="TXB240" s="4"/>
      <c r="TXC240" s="4"/>
      <c r="TXD240" s="4"/>
      <c r="TXE240" s="4"/>
      <c r="TXF240" s="4"/>
      <c r="TXG240" s="4"/>
      <c r="TXH240" s="4"/>
      <c r="TXI240" s="4"/>
      <c r="TXJ240" s="4"/>
      <c r="TXK240" s="4"/>
      <c r="TXL240" s="4"/>
      <c r="TXM240" s="4"/>
      <c r="TXN240" s="4"/>
      <c r="TXO240" s="4"/>
      <c r="TXP240" s="4"/>
      <c r="TXQ240" s="4"/>
      <c r="TXR240" s="4"/>
      <c r="TXS240" s="4"/>
      <c r="TXT240" s="4"/>
      <c r="TXU240" s="4"/>
      <c r="TXV240" s="4"/>
      <c r="TXW240" s="4"/>
      <c r="TXX240" s="4"/>
      <c r="TXY240" s="4"/>
      <c r="TXZ240" s="4"/>
      <c r="TYA240" s="4"/>
      <c r="TYB240" s="4"/>
      <c r="TYC240" s="4"/>
      <c r="TYD240" s="4"/>
      <c r="TYE240" s="4"/>
      <c r="TYF240" s="4"/>
      <c r="TYG240" s="4"/>
      <c r="TYH240" s="4"/>
      <c r="TYI240" s="4"/>
      <c r="TYJ240" s="4"/>
      <c r="TYK240" s="4"/>
      <c r="TYL240" s="4"/>
      <c r="TYM240" s="4"/>
      <c r="TYN240" s="4"/>
      <c r="TYO240" s="4"/>
      <c r="TYP240" s="4"/>
      <c r="TYQ240" s="4"/>
      <c r="TYR240" s="4"/>
      <c r="TYS240" s="4"/>
      <c r="TYT240" s="4"/>
      <c r="TYU240" s="4"/>
      <c r="TYV240" s="4"/>
      <c r="TYW240" s="4"/>
      <c r="TYX240" s="4"/>
      <c r="TYY240" s="4"/>
      <c r="TYZ240" s="4"/>
      <c r="TZA240" s="4"/>
      <c r="TZB240" s="4"/>
      <c r="TZC240" s="4"/>
      <c r="TZD240" s="4"/>
      <c r="TZE240" s="4"/>
      <c r="TZF240" s="4"/>
      <c r="TZG240" s="4"/>
      <c r="TZH240" s="4"/>
      <c r="TZI240" s="4"/>
      <c r="TZJ240" s="4"/>
      <c r="TZK240" s="4"/>
      <c r="TZL240" s="4"/>
      <c r="TZM240" s="4"/>
      <c r="TZN240" s="4"/>
      <c r="TZO240" s="4"/>
      <c r="TZP240" s="4"/>
      <c r="TZQ240" s="4"/>
      <c r="TZR240" s="4"/>
      <c r="TZS240" s="4"/>
      <c r="TZT240" s="4"/>
      <c r="TZU240" s="4"/>
      <c r="TZV240" s="4"/>
      <c r="TZW240" s="4"/>
      <c r="TZX240" s="4"/>
      <c r="TZY240" s="4"/>
      <c r="TZZ240" s="4"/>
      <c r="UAA240" s="4"/>
      <c r="UAB240" s="4"/>
      <c r="UAC240" s="4"/>
      <c r="UAD240" s="4"/>
      <c r="UAE240" s="4"/>
      <c r="UAF240" s="4"/>
      <c r="UAG240" s="4"/>
      <c r="UAH240" s="4"/>
      <c r="UAI240" s="4"/>
      <c r="UAJ240" s="4"/>
      <c r="UAK240" s="4"/>
      <c r="UAL240" s="4"/>
      <c r="UAM240" s="4"/>
      <c r="UAN240" s="4"/>
      <c r="UAO240" s="4"/>
      <c r="UAP240" s="4"/>
      <c r="UAQ240" s="4"/>
      <c r="UAR240" s="4"/>
      <c r="UAS240" s="4"/>
      <c r="UAT240" s="4"/>
      <c r="UAU240" s="4"/>
      <c r="UAV240" s="4"/>
      <c r="UAW240" s="4"/>
      <c r="UAX240" s="4"/>
      <c r="UAY240" s="4"/>
      <c r="UAZ240" s="4"/>
      <c r="UBA240" s="4"/>
      <c r="UBB240" s="4"/>
      <c r="UBC240" s="4"/>
      <c r="UBD240" s="4"/>
      <c r="UBE240" s="4"/>
      <c r="UBF240" s="4"/>
      <c r="UBG240" s="4"/>
      <c r="UBH240" s="4"/>
      <c r="UBI240" s="4"/>
      <c r="UBJ240" s="4"/>
      <c r="UBK240" s="4"/>
      <c r="UBL240" s="4"/>
      <c r="UBM240" s="4"/>
      <c r="UBN240" s="4"/>
      <c r="UBO240" s="4"/>
      <c r="UBP240" s="4"/>
      <c r="UBQ240" s="4"/>
      <c r="UBR240" s="4"/>
      <c r="UBS240" s="4"/>
      <c r="UBT240" s="4"/>
      <c r="UBU240" s="4"/>
      <c r="UBV240" s="4"/>
      <c r="UBW240" s="4"/>
      <c r="UBX240" s="4"/>
      <c r="UBY240" s="4"/>
      <c r="UBZ240" s="4"/>
      <c r="UCA240" s="4"/>
      <c r="UCB240" s="4"/>
      <c r="UCC240" s="4"/>
      <c r="UCD240" s="4"/>
      <c r="UCE240" s="4"/>
      <c r="UCF240" s="4"/>
      <c r="UCG240" s="4"/>
      <c r="UCH240" s="4"/>
      <c r="UCI240" s="4"/>
      <c r="UCJ240" s="4"/>
      <c r="UCK240" s="4"/>
      <c r="UCL240" s="4"/>
      <c r="UCM240" s="4"/>
      <c r="UCN240" s="4"/>
      <c r="UCO240" s="4"/>
      <c r="UCP240" s="4"/>
      <c r="UCQ240" s="4"/>
      <c r="UCR240" s="4"/>
      <c r="UCS240" s="4"/>
      <c r="UCT240" s="4"/>
      <c r="UCU240" s="4"/>
      <c r="UCV240" s="4"/>
      <c r="UCW240" s="4"/>
      <c r="UCX240" s="4"/>
      <c r="UCY240" s="4"/>
      <c r="UCZ240" s="4"/>
      <c r="UDA240" s="4"/>
      <c r="UDB240" s="4"/>
      <c r="UDC240" s="4"/>
      <c r="UDD240" s="4"/>
      <c r="UDE240" s="4"/>
      <c r="UDF240" s="4"/>
      <c r="UDG240" s="4"/>
      <c r="UDH240" s="4"/>
      <c r="UDI240" s="4"/>
      <c r="UDJ240" s="4"/>
      <c r="UDK240" s="4"/>
      <c r="UDL240" s="4"/>
      <c r="UDM240" s="4"/>
      <c r="UDN240" s="4"/>
      <c r="UDO240" s="4"/>
      <c r="UDP240" s="4"/>
      <c r="UDQ240" s="4"/>
      <c r="UDR240" s="4"/>
      <c r="UDS240" s="4"/>
      <c r="UDT240" s="4"/>
      <c r="UDU240" s="4"/>
      <c r="UDV240" s="4"/>
      <c r="UDW240" s="4"/>
      <c r="UDX240" s="4"/>
      <c r="UDY240" s="4"/>
      <c r="UDZ240" s="4"/>
      <c r="UEA240" s="4"/>
      <c r="UEB240" s="4"/>
      <c r="UEC240" s="4"/>
      <c r="UED240" s="4"/>
      <c r="UEE240" s="4"/>
      <c r="UEF240" s="4"/>
      <c r="UEG240" s="4"/>
      <c r="UEH240" s="4"/>
      <c r="UEI240" s="4"/>
      <c r="UEJ240" s="4"/>
      <c r="UEK240" s="4"/>
      <c r="UEL240" s="4"/>
      <c r="UEM240" s="4"/>
      <c r="UEN240" s="4"/>
      <c r="UEO240" s="4"/>
      <c r="UEP240" s="4"/>
      <c r="UEQ240" s="4"/>
      <c r="UER240" s="4"/>
      <c r="UES240" s="4"/>
      <c r="UET240" s="4"/>
      <c r="UEU240" s="4"/>
      <c r="UEV240" s="4"/>
      <c r="UEW240" s="4"/>
      <c r="UEX240" s="4"/>
      <c r="UEY240" s="4"/>
      <c r="UEZ240" s="4"/>
      <c r="UFA240" s="4"/>
      <c r="UFB240" s="4"/>
      <c r="UFC240" s="4"/>
      <c r="UFD240" s="4"/>
      <c r="UFE240" s="4"/>
      <c r="UFF240" s="4"/>
      <c r="UFG240" s="4"/>
      <c r="UFH240" s="4"/>
      <c r="UFI240" s="4"/>
      <c r="UFJ240" s="4"/>
      <c r="UFK240" s="4"/>
      <c r="UFL240" s="4"/>
      <c r="UFM240" s="4"/>
      <c r="UFN240" s="4"/>
      <c r="UFO240" s="4"/>
      <c r="UFP240" s="4"/>
      <c r="UFQ240" s="4"/>
      <c r="UFR240" s="4"/>
      <c r="UFS240" s="4"/>
      <c r="UFT240" s="4"/>
      <c r="UFU240" s="4"/>
      <c r="UFV240" s="4"/>
      <c r="UFW240" s="4"/>
      <c r="UFX240" s="4"/>
      <c r="UFY240" s="4"/>
      <c r="UFZ240" s="4"/>
      <c r="UGA240" s="4"/>
      <c r="UGB240" s="4"/>
      <c r="UGC240" s="4"/>
      <c r="UGD240" s="4"/>
      <c r="UGE240" s="4"/>
      <c r="UGF240" s="4"/>
      <c r="UGG240" s="4"/>
      <c r="UGH240" s="4"/>
      <c r="UGI240" s="4"/>
      <c r="UGJ240" s="4"/>
      <c r="UGK240" s="4"/>
      <c r="UGL240" s="4"/>
      <c r="UGM240" s="4"/>
      <c r="UGN240" s="4"/>
      <c r="UGO240" s="4"/>
      <c r="UGP240" s="4"/>
      <c r="UGQ240" s="4"/>
      <c r="UGR240" s="4"/>
      <c r="UGS240" s="4"/>
      <c r="UGT240" s="4"/>
      <c r="UGU240" s="4"/>
      <c r="UGV240" s="4"/>
      <c r="UGW240" s="4"/>
      <c r="UGX240" s="4"/>
      <c r="UGY240" s="4"/>
      <c r="UGZ240" s="4"/>
      <c r="UHA240" s="4"/>
      <c r="UHB240" s="4"/>
      <c r="UHC240" s="4"/>
      <c r="UHD240" s="4"/>
      <c r="UHE240" s="4"/>
      <c r="UHF240" s="4"/>
      <c r="UHG240" s="4"/>
      <c r="UHH240" s="4"/>
      <c r="UHI240" s="4"/>
      <c r="UHJ240" s="4"/>
      <c r="UHK240" s="4"/>
      <c r="UHL240" s="4"/>
      <c r="UHM240" s="4"/>
      <c r="UHN240" s="4"/>
      <c r="UHO240" s="4"/>
      <c r="UHP240" s="4"/>
      <c r="UHQ240" s="4"/>
      <c r="UHR240" s="4"/>
      <c r="UHS240" s="4"/>
      <c r="UHT240" s="4"/>
      <c r="UHU240" s="4"/>
      <c r="UHV240" s="4"/>
      <c r="UHW240" s="4"/>
      <c r="UHX240" s="4"/>
      <c r="UHY240" s="4"/>
      <c r="UHZ240" s="4"/>
      <c r="UIA240" s="4"/>
      <c r="UIB240" s="4"/>
      <c r="UIC240" s="4"/>
      <c r="UID240" s="4"/>
      <c r="UIE240" s="4"/>
      <c r="UIF240" s="4"/>
      <c r="UIG240" s="4"/>
      <c r="UIH240" s="4"/>
      <c r="UII240" s="4"/>
      <c r="UIJ240" s="4"/>
      <c r="UIK240" s="4"/>
      <c r="UIL240" s="4"/>
      <c r="UIM240" s="4"/>
      <c r="UIN240" s="4"/>
      <c r="UIO240" s="4"/>
      <c r="UIP240" s="4"/>
      <c r="UIQ240" s="4"/>
      <c r="UIR240" s="4"/>
      <c r="UIS240" s="4"/>
      <c r="UIT240" s="4"/>
      <c r="UIU240" s="4"/>
      <c r="UIV240" s="4"/>
      <c r="UIW240" s="4"/>
      <c r="UIX240" s="4"/>
      <c r="UIY240" s="4"/>
      <c r="UIZ240" s="4"/>
      <c r="UJA240" s="4"/>
      <c r="UJB240" s="4"/>
      <c r="UJC240" s="4"/>
      <c r="UJD240" s="4"/>
      <c r="UJE240" s="4"/>
      <c r="UJF240" s="4"/>
      <c r="UJG240" s="4"/>
      <c r="UJH240" s="4"/>
      <c r="UJI240" s="4"/>
      <c r="UJJ240" s="4"/>
      <c r="UJK240" s="4"/>
      <c r="UJL240" s="4"/>
      <c r="UJM240" s="4"/>
      <c r="UJN240" s="4"/>
      <c r="UJO240" s="4"/>
      <c r="UJP240" s="4"/>
      <c r="UJQ240" s="4"/>
      <c r="UJR240" s="4"/>
      <c r="UJS240" s="4"/>
      <c r="UJT240" s="4"/>
      <c r="UJU240" s="4"/>
      <c r="UJV240" s="4"/>
      <c r="UJW240" s="4"/>
      <c r="UJX240" s="4"/>
      <c r="UJY240" s="4"/>
      <c r="UJZ240" s="4"/>
      <c r="UKA240" s="4"/>
      <c r="UKB240" s="4"/>
      <c r="UKC240" s="4"/>
      <c r="UKD240" s="4"/>
      <c r="UKE240" s="4"/>
      <c r="UKF240" s="4"/>
      <c r="UKG240" s="4"/>
      <c r="UKH240" s="4"/>
      <c r="UKI240" s="4"/>
      <c r="UKJ240" s="4"/>
      <c r="UKK240" s="4"/>
      <c r="UKL240" s="4"/>
      <c r="UKM240" s="4"/>
      <c r="UKN240" s="4"/>
      <c r="UKO240" s="4"/>
      <c r="UKP240" s="4"/>
      <c r="UKQ240" s="4"/>
      <c r="UKR240" s="4"/>
      <c r="UKS240" s="4"/>
      <c r="UKT240" s="4"/>
      <c r="UKU240" s="4"/>
      <c r="UKV240" s="4"/>
      <c r="UKW240" s="4"/>
      <c r="UKX240" s="4"/>
      <c r="UKY240" s="4"/>
      <c r="UKZ240" s="4"/>
      <c r="ULA240" s="4"/>
      <c r="ULB240" s="4"/>
      <c r="ULC240" s="4"/>
      <c r="ULD240" s="4"/>
      <c r="ULE240" s="4"/>
      <c r="ULF240" s="4"/>
      <c r="ULG240" s="4"/>
      <c r="ULH240" s="4"/>
      <c r="ULI240" s="4"/>
      <c r="ULJ240" s="4"/>
      <c r="ULK240" s="4"/>
      <c r="ULL240" s="4"/>
      <c r="ULM240" s="4"/>
      <c r="ULN240" s="4"/>
      <c r="ULO240" s="4"/>
      <c r="ULP240" s="4"/>
      <c r="ULQ240" s="4"/>
      <c r="ULR240" s="4"/>
      <c r="ULS240" s="4"/>
      <c r="ULT240" s="4"/>
      <c r="ULU240" s="4"/>
      <c r="ULV240" s="4"/>
      <c r="ULW240" s="4"/>
      <c r="ULX240" s="4"/>
      <c r="ULY240" s="4"/>
      <c r="ULZ240" s="4"/>
      <c r="UMA240" s="4"/>
      <c r="UMB240" s="4"/>
      <c r="UMC240" s="4"/>
      <c r="UMD240" s="4"/>
      <c r="UME240" s="4"/>
      <c r="UMF240" s="4"/>
      <c r="UMG240" s="4"/>
      <c r="UMH240" s="4"/>
      <c r="UMI240" s="4"/>
      <c r="UMJ240" s="4"/>
      <c r="UMK240" s="4"/>
      <c r="UML240" s="4"/>
      <c r="UMM240" s="4"/>
      <c r="UMN240" s="4"/>
      <c r="UMO240" s="4"/>
      <c r="UMP240" s="4"/>
      <c r="UMQ240" s="4"/>
      <c r="UMR240" s="4"/>
      <c r="UMS240" s="4"/>
      <c r="UMT240" s="4"/>
      <c r="UMU240" s="4"/>
      <c r="UMV240" s="4"/>
      <c r="UMW240" s="4"/>
      <c r="UMX240" s="4"/>
      <c r="UMY240" s="4"/>
      <c r="UMZ240" s="4"/>
      <c r="UNA240" s="4"/>
      <c r="UNB240" s="4"/>
      <c r="UNC240" s="4"/>
      <c r="UND240" s="4"/>
      <c r="UNE240" s="4"/>
      <c r="UNF240" s="4"/>
      <c r="UNG240" s="4"/>
      <c r="UNH240" s="4"/>
      <c r="UNI240" s="4"/>
      <c r="UNJ240" s="4"/>
      <c r="UNK240" s="4"/>
      <c r="UNL240" s="4"/>
      <c r="UNM240" s="4"/>
      <c r="UNN240" s="4"/>
      <c r="UNO240" s="4"/>
      <c r="UNP240" s="4"/>
      <c r="UNQ240" s="4"/>
      <c r="UNR240" s="4"/>
      <c r="UNS240" s="4"/>
      <c r="UNT240" s="4"/>
      <c r="UNU240" s="4"/>
      <c r="UNV240" s="4"/>
      <c r="UNW240" s="4"/>
      <c r="UNX240" s="4"/>
      <c r="UNY240" s="4"/>
      <c r="UNZ240" s="4"/>
      <c r="UOA240" s="4"/>
      <c r="UOB240" s="4"/>
      <c r="UOC240" s="4"/>
      <c r="UOD240" s="4"/>
      <c r="UOE240" s="4"/>
      <c r="UOF240" s="4"/>
      <c r="UOG240" s="4"/>
      <c r="UOH240" s="4"/>
      <c r="UOI240" s="4"/>
      <c r="UOJ240" s="4"/>
      <c r="UOK240" s="4"/>
      <c r="UOL240" s="4"/>
      <c r="UOM240" s="4"/>
      <c r="UON240" s="4"/>
      <c r="UOO240" s="4"/>
      <c r="UOP240" s="4"/>
      <c r="UOQ240" s="4"/>
      <c r="UOR240" s="4"/>
      <c r="UOS240" s="4"/>
      <c r="UOT240" s="4"/>
      <c r="UOU240" s="4"/>
      <c r="UOV240" s="4"/>
      <c r="UOW240" s="4"/>
      <c r="UOX240" s="4"/>
      <c r="UOY240" s="4"/>
      <c r="UOZ240" s="4"/>
      <c r="UPA240" s="4"/>
      <c r="UPB240" s="4"/>
      <c r="UPC240" s="4"/>
      <c r="UPD240" s="4"/>
      <c r="UPE240" s="4"/>
      <c r="UPF240" s="4"/>
      <c r="UPG240" s="4"/>
      <c r="UPH240" s="4"/>
      <c r="UPI240" s="4"/>
      <c r="UPJ240" s="4"/>
      <c r="UPK240" s="4"/>
      <c r="UPL240" s="4"/>
      <c r="UPM240" s="4"/>
      <c r="UPN240" s="4"/>
      <c r="UPO240" s="4"/>
      <c r="UPP240" s="4"/>
      <c r="UPQ240" s="4"/>
      <c r="UPR240" s="4"/>
      <c r="UPS240" s="4"/>
      <c r="UPT240" s="4"/>
      <c r="UPU240" s="4"/>
      <c r="UPV240" s="4"/>
      <c r="UPW240" s="4"/>
      <c r="UPX240" s="4"/>
      <c r="UPY240" s="4"/>
      <c r="UPZ240" s="4"/>
      <c r="UQA240" s="4"/>
      <c r="UQB240" s="4"/>
      <c r="UQC240" s="4"/>
      <c r="UQD240" s="4"/>
      <c r="UQE240" s="4"/>
      <c r="UQF240" s="4"/>
      <c r="UQG240" s="4"/>
      <c r="UQH240" s="4"/>
      <c r="UQI240" s="4"/>
      <c r="UQJ240" s="4"/>
      <c r="UQK240" s="4"/>
      <c r="UQL240" s="4"/>
      <c r="UQM240" s="4"/>
      <c r="UQN240" s="4"/>
      <c r="UQO240" s="4"/>
      <c r="UQP240" s="4"/>
      <c r="UQQ240" s="4"/>
      <c r="UQR240" s="4"/>
      <c r="UQS240" s="4"/>
      <c r="UQT240" s="4"/>
      <c r="UQU240" s="4"/>
      <c r="UQV240" s="4"/>
      <c r="UQW240" s="4"/>
      <c r="UQX240" s="4"/>
      <c r="UQY240" s="4"/>
      <c r="UQZ240" s="4"/>
      <c r="URA240" s="4"/>
      <c r="URB240" s="4"/>
      <c r="URC240" s="4"/>
      <c r="URD240" s="4"/>
      <c r="URE240" s="4"/>
      <c r="URF240" s="4"/>
      <c r="URG240" s="4"/>
      <c r="URH240" s="4"/>
      <c r="URI240" s="4"/>
      <c r="URJ240" s="4"/>
      <c r="URK240" s="4"/>
      <c r="URL240" s="4"/>
      <c r="URM240" s="4"/>
      <c r="URN240" s="4"/>
      <c r="URO240" s="4"/>
      <c r="URP240" s="4"/>
      <c r="URQ240" s="4"/>
      <c r="URR240" s="4"/>
      <c r="URS240" s="4"/>
      <c r="URT240" s="4"/>
      <c r="URU240" s="4"/>
      <c r="URV240" s="4"/>
      <c r="URW240" s="4"/>
      <c r="URX240" s="4"/>
      <c r="URY240" s="4"/>
      <c r="URZ240" s="4"/>
      <c r="USA240" s="4"/>
      <c r="USB240" s="4"/>
      <c r="USC240" s="4"/>
      <c r="USD240" s="4"/>
      <c r="USE240" s="4"/>
      <c r="USF240" s="4"/>
      <c r="USG240" s="4"/>
      <c r="USH240" s="4"/>
      <c r="USI240" s="4"/>
      <c r="USJ240" s="4"/>
      <c r="USK240" s="4"/>
      <c r="USL240" s="4"/>
      <c r="USM240" s="4"/>
      <c r="USN240" s="4"/>
      <c r="USO240" s="4"/>
      <c r="USP240" s="4"/>
      <c r="USQ240" s="4"/>
      <c r="USR240" s="4"/>
      <c r="USS240" s="4"/>
      <c r="UST240" s="4"/>
      <c r="USU240" s="4"/>
      <c r="USV240" s="4"/>
      <c r="USW240" s="4"/>
      <c r="USX240" s="4"/>
      <c r="USY240" s="4"/>
      <c r="USZ240" s="4"/>
      <c r="UTA240" s="4"/>
      <c r="UTB240" s="4"/>
      <c r="UTC240" s="4"/>
      <c r="UTD240" s="4"/>
      <c r="UTE240" s="4"/>
      <c r="UTF240" s="4"/>
      <c r="UTG240" s="4"/>
      <c r="UTH240" s="4"/>
      <c r="UTI240" s="4"/>
      <c r="UTJ240" s="4"/>
      <c r="UTK240" s="4"/>
      <c r="UTL240" s="4"/>
      <c r="UTM240" s="4"/>
      <c r="UTN240" s="4"/>
      <c r="UTO240" s="4"/>
      <c r="UTP240" s="4"/>
      <c r="UTQ240" s="4"/>
      <c r="UTR240" s="4"/>
      <c r="UTS240" s="4"/>
      <c r="UTT240" s="4"/>
      <c r="UTU240" s="4"/>
      <c r="UTV240" s="4"/>
      <c r="UTW240" s="4"/>
      <c r="UTX240" s="4"/>
      <c r="UTY240" s="4"/>
      <c r="UTZ240" s="4"/>
      <c r="UUA240" s="4"/>
      <c r="UUB240" s="4"/>
      <c r="UUC240" s="4"/>
      <c r="UUD240" s="4"/>
      <c r="UUE240" s="4"/>
      <c r="UUF240" s="4"/>
      <c r="UUG240" s="4"/>
      <c r="UUH240" s="4"/>
      <c r="UUI240" s="4"/>
      <c r="UUJ240" s="4"/>
      <c r="UUK240" s="4"/>
      <c r="UUL240" s="4"/>
      <c r="UUM240" s="4"/>
      <c r="UUN240" s="4"/>
      <c r="UUO240" s="4"/>
      <c r="UUP240" s="4"/>
      <c r="UUQ240" s="4"/>
      <c r="UUR240" s="4"/>
      <c r="UUS240" s="4"/>
      <c r="UUT240" s="4"/>
      <c r="UUU240" s="4"/>
      <c r="UUV240" s="4"/>
      <c r="UUW240" s="4"/>
      <c r="UUX240" s="4"/>
      <c r="UUY240" s="4"/>
      <c r="UUZ240" s="4"/>
      <c r="UVA240" s="4"/>
      <c r="UVB240" s="4"/>
      <c r="UVC240" s="4"/>
      <c r="UVD240" s="4"/>
      <c r="UVE240" s="4"/>
      <c r="UVF240" s="4"/>
      <c r="UVG240" s="4"/>
      <c r="UVH240" s="4"/>
      <c r="UVI240" s="4"/>
      <c r="UVJ240" s="4"/>
      <c r="UVK240" s="4"/>
      <c r="UVL240" s="4"/>
      <c r="UVM240" s="4"/>
      <c r="UVN240" s="4"/>
      <c r="UVO240" s="4"/>
      <c r="UVP240" s="4"/>
      <c r="UVQ240" s="4"/>
      <c r="UVR240" s="4"/>
      <c r="UVS240" s="4"/>
      <c r="UVT240" s="4"/>
      <c r="UVU240" s="4"/>
      <c r="UVV240" s="4"/>
      <c r="UVW240" s="4"/>
      <c r="UVX240" s="4"/>
      <c r="UVY240" s="4"/>
      <c r="UVZ240" s="4"/>
      <c r="UWA240" s="4"/>
      <c r="UWB240" s="4"/>
      <c r="UWC240" s="4"/>
      <c r="UWD240" s="4"/>
      <c r="UWE240" s="4"/>
      <c r="UWF240" s="4"/>
      <c r="UWG240" s="4"/>
      <c r="UWH240" s="4"/>
      <c r="UWI240" s="4"/>
      <c r="UWJ240" s="4"/>
      <c r="UWK240" s="4"/>
      <c r="UWL240" s="4"/>
      <c r="UWM240" s="4"/>
      <c r="UWN240" s="4"/>
      <c r="UWO240" s="4"/>
      <c r="UWP240" s="4"/>
      <c r="UWQ240" s="4"/>
      <c r="UWR240" s="4"/>
      <c r="UWS240" s="4"/>
      <c r="UWT240" s="4"/>
      <c r="UWU240" s="4"/>
      <c r="UWV240" s="4"/>
      <c r="UWW240" s="4"/>
      <c r="UWX240" s="4"/>
      <c r="UWY240" s="4"/>
      <c r="UWZ240" s="4"/>
      <c r="UXA240" s="4"/>
      <c r="UXB240" s="4"/>
      <c r="UXC240" s="4"/>
      <c r="UXD240" s="4"/>
      <c r="UXE240" s="4"/>
      <c r="UXF240" s="4"/>
      <c r="UXG240" s="4"/>
      <c r="UXH240" s="4"/>
      <c r="UXI240" s="4"/>
      <c r="UXJ240" s="4"/>
      <c r="UXK240" s="4"/>
      <c r="UXL240" s="4"/>
      <c r="UXM240" s="4"/>
      <c r="UXN240" s="4"/>
      <c r="UXO240" s="4"/>
      <c r="UXP240" s="4"/>
      <c r="UXQ240" s="4"/>
      <c r="UXR240" s="4"/>
      <c r="UXS240" s="4"/>
      <c r="UXT240" s="4"/>
      <c r="UXU240" s="4"/>
      <c r="UXV240" s="4"/>
      <c r="UXW240" s="4"/>
      <c r="UXX240" s="4"/>
      <c r="UXY240" s="4"/>
      <c r="UXZ240" s="4"/>
      <c r="UYA240" s="4"/>
      <c r="UYB240" s="4"/>
      <c r="UYC240" s="4"/>
      <c r="UYD240" s="4"/>
      <c r="UYE240" s="4"/>
      <c r="UYF240" s="4"/>
      <c r="UYG240" s="4"/>
      <c r="UYH240" s="4"/>
      <c r="UYI240" s="4"/>
      <c r="UYJ240" s="4"/>
      <c r="UYK240" s="4"/>
      <c r="UYL240" s="4"/>
      <c r="UYM240" s="4"/>
      <c r="UYN240" s="4"/>
      <c r="UYO240" s="4"/>
      <c r="UYP240" s="4"/>
      <c r="UYQ240" s="4"/>
      <c r="UYR240" s="4"/>
      <c r="UYS240" s="4"/>
      <c r="UYT240" s="4"/>
      <c r="UYU240" s="4"/>
      <c r="UYV240" s="4"/>
      <c r="UYW240" s="4"/>
      <c r="UYX240" s="4"/>
      <c r="UYY240" s="4"/>
      <c r="UYZ240" s="4"/>
      <c r="UZA240" s="4"/>
      <c r="UZB240" s="4"/>
      <c r="UZC240" s="4"/>
      <c r="UZD240" s="4"/>
      <c r="UZE240" s="4"/>
      <c r="UZF240" s="4"/>
      <c r="UZG240" s="4"/>
      <c r="UZH240" s="4"/>
      <c r="UZI240" s="4"/>
      <c r="UZJ240" s="4"/>
      <c r="UZK240" s="4"/>
      <c r="UZL240" s="4"/>
      <c r="UZM240" s="4"/>
      <c r="UZN240" s="4"/>
      <c r="UZO240" s="4"/>
      <c r="UZP240" s="4"/>
      <c r="UZQ240" s="4"/>
      <c r="UZR240" s="4"/>
      <c r="UZS240" s="4"/>
      <c r="UZT240" s="4"/>
      <c r="UZU240" s="4"/>
      <c r="UZV240" s="4"/>
      <c r="UZW240" s="4"/>
      <c r="UZX240" s="4"/>
      <c r="UZY240" s="4"/>
      <c r="UZZ240" s="4"/>
      <c r="VAA240" s="4"/>
      <c r="VAB240" s="4"/>
      <c r="VAC240" s="4"/>
      <c r="VAD240" s="4"/>
      <c r="VAE240" s="4"/>
      <c r="VAF240" s="4"/>
      <c r="VAG240" s="4"/>
      <c r="VAH240" s="4"/>
      <c r="VAI240" s="4"/>
      <c r="VAJ240" s="4"/>
      <c r="VAK240" s="4"/>
      <c r="VAL240" s="4"/>
      <c r="VAM240" s="4"/>
      <c r="VAN240" s="4"/>
      <c r="VAO240" s="4"/>
      <c r="VAP240" s="4"/>
      <c r="VAQ240" s="4"/>
      <c r="VAR240" s="4"/>
      <c r="VAS240" s="4"/>
      <c r="VAT240" s="4"/>
      <c r="VAU240" s="4"/>
      <c r="VAV240" s="4"/>
      <c r="VAW240" s="4"/>
      <c r="VAX240" s="4"/>
      <c r="VAY240" s="4"/>
      <c r="VAZ240" s="4"/>
      <c r="VBA240" s="4"/>
      <c r="VBB240" s="4"/>
      <c r="VBC240" s="4"/>
      <c r="VBD240" s="4"/>
      <c r="VBE240" s="4"/>
      <c r="VBF240" s="4"/>
      <c r="VBG240" s="4"/>
      <c r="VBH240" s="4"/>
      <c r="VBI240" s="4"/>
      <c r="VBJ240" s="4"/>
      <c r="VBK240" s="4"/>
      <c r="VBL240" s="4"/>
      <c r="VBM240" s="4"/>
      <c r="VBN240" s="4"/>
      <c r="VBO240" s="4"/>
      <c r="VBP240" s="4"/>
      <c r="VBQ240" s="4"/>
      <c r="VBR240" s="4"/>
      <c r="VBS240" s="4"/>
      <c r="VBT240" s="4"/>
      <c r="VBU240" s="4"/>
      <c r="VBV240" s="4"/>
      <c r="VBW240" s="4"/>
      <c r="VBX240" s="4"/>
      <c r="VBY240" s="4"/>
      <c r="VBZ240" s="4"/>
      <c r="VCA240" s="4"/>
      <c r="VCB240" s="4"/>
      <c r="VCC240" s="4"/>
      <c r="VCD240" s="4"/>
      <c r="VCE240" s="4"/>
      <c r="VCF240" s="4"/>
      <c r="VCG240" s="4"/>
      <c r="VCH240" s="4"/>
      <c r="VCI240" s="4"/>
      <c r="VCJ240" s="4"/>
      <c r="VCK240" s="4"/>
      <c r="VCL240" s="4"/>
      <c r="VCM240" s="4"/>
      <c r="VCN240" s="4"/>
      <c r="VCO240" s="4"/>
      <c r="VCP240" s="4"/>
      <c r="VCQ240" s="4"/>
      <c r="VCR240" s="4"/>
      <c r="VCS240" s="4"/>
      <c r="VCT240" s="4"/>
      <c r="VCU240" s="4"/>
      <c r="VCV240" s="4"/>
      <c r="VCW240" s="4"/>
      <c r="VCX240" s="4"/>
      <c r="VCY240" s="4"/>
      <c r="VCZ240" s="4"/>
      <c r="VDA240" s="4"/>
      <c r="VDB240" s="4"/>
      <c r="VDC240" s="4"/>
      <c r="VDD240" s="4"/>
      <c r="VDE240" s="4"/>
      <c r="VDF240" s="4"/>
      <c r="VDG240" s="4"/>
      <c r="VDH240" s="4"/>
      <c r="VDI240" s="4"/>
      <c r="VDJ240" s="4"/>
      <c r="VDK240" s="4"/>
      <c r="VDL240" s="4"/>
      <c r="VDM240" s="4"/>
      <c r="VDN240" s="4"/>
      <c r="VDO240" s="4"/>
      <c r="VDP240" s="4"/>
      <c r="VDQ240" s="4"/>
      <c r="VDR240" s="4"/>
      <c r="VDS240" s="4"/>
      <c r="VDT240" s="4"/>
      <c r="VDU240" s="4"/>
      <c r="VDV240" s="4"/>
      <c r="VDW240" s="4"/>
      <c r="VDX240" s="4"/>
      <c r="VDY240" s="4"/>
      <c r="VDZ240" s="4"/>
      <c r="VEA240" s="4"/>
      <c r="VEB240" s="4"/>
      <c r="VEC240" s="4"/>
      <c r="VED240" s="4"/>
      <c r="VEE240" s="4"/>
      <c r="VEF240" s="4"/>
      <c r="VEG240" s="4"/>
      <c r="VEH240" s="4"/>
      <c r="VEI240" s="4"/>
      <c r="VEJ240" s="4"/>
      <c r="VEK240" s="4"/>
      <c r="VEL240" s="4"/>
      <c r="VEM240" s="4"/>
      <c r="VEN240" s="4"/>
      <c r="VEO240" s="4"/>
      <c r="VEP240" s="4"/>
      <c r="VEQ240" s="4"/>
      <c r="VER240" s="4"/>
      <c r="VES240" s="4"/>
      <c r="VET240" s="4"/>
      <c r="VEU240" s="4"/>
      <c r="VEV240" s="4"/>
      <c r="VEW240" s="4"/>
      <c r="VEX240" s="4"/>
      <c r="VEY240" s="4"/>
      <c r="VEZ240" s="4"/>
      <c r="VFA240" s="4"/>
      <c r="VFB240" s="4"/>
      <c r="VFC240" s="4"/>
      <c r="VFD240" s="4"/>
      <c r="VFE240" s="4"/>
      <c r="VFF240" s="4"/>
      <c r="VFG240" s="4"/>
      <c r="VFH240" s="4"/>
      <c r="VFI240" s="4"/>
      <c r="VFJ240" s="4"/>
      <c r="VFK240" s="4"/>
      <c r="VFL240" s="4"/>
      <c r="VFM240" s="4"/>
      <c r="VFN240" s="4"/>
      <c r="VFO240" s="4"/>
      <c r="VFP240" s="4"/>
      <c r="VFQ240" s="4"/>
      <c r="VFR240" s="4"/>
      <c r="VFS240" s="4"/>
      <c r="VFT240" s="4"/>
      <c r="VFU240" s="4"/>
      <c r="VFV240" s="4"/>
      <c r="VFW240" s="4"/>
      <c r="VFX240" s="4"/>
      <c r="VFY240" s="4"/>
      <c r="VFZ240" s="4"/>
      <c r="VGA240" s="4"/>
      <c r="VGB240" s="4"/>
      <c r="VGC240" s="4"/>
      <c r="VGD240" s="4"/>
      <c r="VGE240" s="4"/>
      <c r="VGF240" s="4"/>
      <c r="VGG240" s="4"/>
      <c r="VGH240" s="4"/>
      <c r="VGI240" s="4"/>
      <c r="VGJ240" s="4"/>
      <c r="VGK240" s="4"/>
      <c r="VGL240" s="4"/>
      <c r="VGM240" s="4"/>
      <c r="VGN240" s="4"/>
      <c r="VGO240" s="4"/>
      <c r="VGP240" s="4"/>
      <c r="VGQ240" s="4"/>
      <c r="VGR240" s="4"/>
      <c r="VGS240" s="4"/>
      <c r="VGT240" s="4"/>
      <c r="VGU240" s="4"/>
      <c r="VGV240" s="4"/>
      <c r="VGW240" s="4"/>
      <c r="VGX240" s="4"/>
      <c r="VGY240" s="4"/>
      <c r="VGZ240" s="4"/>
      <c r="VHA240" s="4"/>
      <c r="VHB240" s="4"/>
      <c r="VHC240" s="4"/>
      <c r="VHD240" s="4"/>
      <c r="VHE240" s="4"/>
      <c r="VHF240" s="4"/>
      <c r="VHG240" s="4"/>
      <c r="VHH240" s="4"/>
      <c r="VHI240" s="4"/>
      <c r="VHJ240" s="4"/>
      <c r="VHK240" s="4"/>
      <c r="VHL240" s="4"/>
      <c r="VHM240" s="4"/>
      <c r="VHN240" s="4"/>
      <c r="VHO240" s="4"/>
      <c r="VHP240" s="4"/>
      <c r="VHQ240" s="4"/>
      <c r="VHR240" s="4"/>
      <c r="VHS240" s="4"/>
      <c r="VHT240" s="4"/>
      <c r="VHU240" s="4"/>
      <c r="VHV240" s="4"/>
      <c r="VHW240" s="4"/>
      <c r="VHX240" s="4"/>
      <c r="VHY240" s="4"/>
      <c r="VHZ240" s="4"/>
      <c r="VIA240" s="4"/>
      <c r="VIB240" s="4"/>
      <c r="VIC240" s="4"/>
      <c r="VID240" s="4"/>
      <c r="VIE240" s="4"/>
      <c r="VIF240" s="4"/>
      <c r="VIG240" s="4"/>
      <c r="VIH240" s="4"/>
      <c r="VII240" s="4"/>
      <c r="VIJ240" s="4"/>
      <c r="VIK240" s="4"/>
      <c r="VIL240" s="4"/>
      <c r="VIM240" s="4"/>
      <c r="VIN240" s="4"/>
      <c r="VIO240" s="4"/>
      <c r="VIP240" s="4"/>
      <c r="VIQ240" s="4"/>
      <c r="VIR240" s="4"/>
      <c r="VIS240" s="4"/>
      <c r="VIT240" s="4"/>
      <c r="VIU240" s="4"/>
      <c r="VIV240" s="4"/>
      <c r="VIW240" s="4"/>
      <c r="VIX240" s="4"/>
      <c r="VIY240" s="4"/>
      <c r="VIZ240" s="4"/>
      <c r="VJA240" s="4"/>
      <c r="VJB240" s="4"/>
      <c r="VJC240" s="4"/>
      <c r="VJD240" s="4"/>
      <c r="VJE240" s="4"/>
      <c r="VJF240" s="4"/>
      <c r="VJG240" s="4"/>
      <c r="VJH240" s="4"/>
      <c r="VJI240" s="4"/>
      <c r="VJJ240" s="4"/>
      <c r="VJK240" s="4"/>
      <c r="VJL240" s="4"/>
      <c r="VJM240" s="4"/>
      <c r="VJN240" s="4"/>
      <c r="VJO240" s="4"/>
      <c r="VJP240" s="4"/>
      <c r="VJQ240" s="4"/>
      <c r="VJR240" s="4"/>
      <c r="VJS240" s="4"/>
      <c r="VJT240" s="4"/>
      <c r="VJU240" s="4"/>
      <c r="VJV240" s="4"/>
      <c r="VJW240" s="4"/>
      <c r="VJX240" s="4"/>
      <c r="VJY240" s="4"/>
      <c r="VJZ240" s="4"/>
      <c r="VKA240" s="4"/>
      <c r="VKB240" s="4"/>
      <c r="VKC240" s="4"/>
      <c r="VKD240" s="4"/>
      <c r="VKE240" s="4"/>
      <c r="VKF240" s="4"/>
      <c r="VKG240" s="4"/>
      <c r="VKH240" s="4"/>
      <c r="VKI240" s="4"/>
      <c r="VKJ240" s="4"/>
      <c r="VKK240" s="4"/>
      <c r="VKL240" s="4"/>
      <c r="VKM240" s="4"/>
      <c r="VKN240" s="4"/>
      <c r="VKO240" s="4"/>
      <c r="VKP240" s="4"/>
      <c r="VKQ240" s="4"/>
      <c r="VKR240" s="4"/>
      <c r="VKS240" s="4"/>
      <c r="VKT240" s="4"/>
      <c r="VKU240" s="4"/>
      <c r="VKV240" s="4"/>
      <c r="VKW240" s="4"/>
      <c r="VKX240" s="4"/>
      <c r="VKY240" s="4"/>
      <c r="VKZ240" s="4"/>
      <c r="VLA240" s="4"/>
      <c r="VLB240" s="4"/>
      <c r="VLC240" s="4"/>
      <c r="VLD240" s="4"/>
      <c r="VLE240" s="4"/>
      <c r="VLF240" s="4"/>
      <c r="VLG240" s="4"/>
      <c r="VLH240" s="4"/>
      <c r="VLI240" s="4"/>
      <c r="VLJ240" s="4"/>
      <c r="VLK240" s="4"/>
      <c r="VLL240" s="4"/>
      <c r="VLM240" s="4"/>
      <c r="VLN240" s="4"/>
      <c r="VLO240" s="4"/>
      <c r="VLP240" s="4"/>
      <c r="VLQ240" s="4"/>
      <c r="VLR240" s="4"/>
      <c r="VLS240" s="4"/>
      <c r="VLT240" s="4"/>
      <c r="VLU240" s="4"/>
      <c r="VLV240" s="4"/>
      <c r="VLW240" s="4"/>
      <c r="VLX240" s="4"/>
      <c r="VLY240" s="4"/>
      <c r="VLZ240" s="4"/>
      <c r="VMA240" s="4"/>
      <c r="VMB240" s="4"/>
      <c r="VMC240" s="4"/>
      <c r="VMD240" s="4"/>
      <c r="VME240" s="4"/>
      <c r="VMF240" s="4"/>
      <c r="VMG240" s="4"/>
      <c r="VMH240" s="4"/>
      <c r="VMI240" s="4"/>
      <c r="VMJ240" s="4"/>
      <c r="VMK240" s="4"/>
      <c r="VML240" s="4"/>
      <c r="VMM240" s="4"/>
      <c r="VMN240" s="4"/>
      <c r="VMO240" s="4"/>
      <c r="VMP240" s="4"/>
      <c r="VMQ240" s="4"/>
      <c r="VMR240" s="4"/>
      <c r="VMS240" s="4"/>
      <c r="VMT240" s="4"/>
      <c r="VMU240" s="4"/>
      <c r="VMV240" s="4"/>
      <c r="VMW240" s="4"/>
      <c r="VMX240" s="4"/>
      <c r="VMY240" s="4"/>
      <c r="VMZ240" s="4"/>
      <c r="VNA240" s="4"/>
      <c r="VNB240" s="4"/>
      <c r="VNC240" s="4"/>
      <c r="VND240" s="4"/>
      <c r="VNE240" s="4"/>
      <c r="VNF240" s="4"/>
      <c r="VNG240" s="4"/>
      <c r="VNH240" s="4"/>
      <c r="VNI240" s="4"/>
      <c r="VNJ240" s="4"/>
      <c r="VNK240" s="4"/>
      <c r="VNL240" s="4"/>
      <c r="VNM240" s="4"/>
      <c r="VNN240" s="4"/>
      <c r="VNO240" s="4"/>
      <c r="VNP240" s="4"/>
      <c r="VNQ240" s="4"/>
      <c r="VNR240" s="4"/>
      <c r="VNS240" s="4"/>
      <c r="VNT240" s="4"/>
      <c r="VNU240" s="4"/>
      <c r="VNV240" s="4"/>
      <c r="VNW240" s="4"/>
      <c r="VNX240" s="4"/>
      <c r="VNY240" s="4"/>
      <c r="VNZ240" s="4"/>
      <c r="VOA240" s="4"/>
      <c r="VOB240" s="4"/>
      <c r="VOC240" s="4"/>
      <c r="VOD240" s="4"/>
      <c r="VOE240" s="4"/>
      <c r="VOF240" s="4"/>
      <c r="VOG240" s="4"/>
      <c r="VOH240" s="4"/>
      <c r="VOI240" s="4"/>
      <c r="VOJ240" s="4"/>
      <c r="VOK240" s="4"/>
      <c r="VOL240" s="4"/>
      <c r="VOM240" s="4"/>
      <c r="VON240" s="4"/>
      <c r="VOO240" s="4"/>
      <c r="VOP240" s="4"/>
      <c r="VOQ240" s="4"/>
      <c r="VOR240" s="4"/>
      <c r="VOS240" s="4"/>
      <c r="VOT240" s="4"/>
      <c r="VOU240" s="4"/>
      <c r="VOV240" s="4"/>
      <c r="VOW240" s="4"/>
      <c r="VOX240" s="4"/>
      <c r="VOY240" s="4"/>
      <c r="VOZ240" s="4"/>
      <c r="VPA240" s="4"/>
      <c r="VPB240" s="4"/>
      <c r="VPC240" s="4"/>
      <c r="VPD240" s="4"/>
      <c r="VPE240" s="4"/>
      <c r="VPF240" s="4"/>
      <c r="VPG240" s="4"/>
      <c r="VPH240" s="4"/>
      <c r="VPI240" s="4"/>
      <c r="VPJ240" s="4"/>
      <c r="VPK240" s="4"/>
      <c r="VPL240" s="4"/>
      <c r="VPM240" s="4"/>
      <c r="VPN240" s="4"/>
      <c r="VPO240" s="4"/>
      <c r="VPP240" s="4"/>
      <c r="VPQ240" s="4"/>
      <c r="VPR240" s="4"/>
      <c r="VPS240" s="4"/>
      <c r="VPT240" s="4"/>
      <c r="VPU240" s="4"/>
      <c r="VPV240" s="4"/>
      <c r="VPW240" s="4"/>
      <c r="VPX240" s="4"/>
      <c r="VPY240" s="4"/>
      <c r="VPZ240" s="4"/>
      <c r="VQA240" s="4"/>
      <c r="VQB240" s="4"/>
      <c r="VQC240" s="4"/>
      <c r="VQD240" s="4"/>
      <c r="VQE240" s="4"/>
      <c r="VQF240" s="4"/>
      <c r="VQG240" s="4"/>
      <c r="VQH240" s="4"/>
      <c r="VQI240" s="4"/>
      <c r="VQJ240" s="4"/>
      <c r="VQK240" s="4"/>
      <c r="VQL240" s="4"/>
      <c r="VQM240" s="4"/>
      <c r="VQN240" s="4"/>
      <c r="VQO240" s="4"/>
      <c r="VQP240" s="4"/>
      <c r="VQQ240" s="4"/>
      <c r="VQR240" s="4"/>
      <c r="VQS240" s="4"/>
      <c r="VQT240" s="4"/>
      <c r="VQU240" s="4"/>
      <c r="VQV240" s="4"/>
      <c r="VQW240" s="4"/>
      <c r="VQX240" s="4"/>
      <c r="VQY240" s="4"/>
      <c r="VQZ240" s="4"/>
      <c r="VRA240" s="4"/>
      <c r="VRB240" s="4"/>
      <c r="VRC240" s="4"/>
      <c r="VRD240" s="4"/>
      <c r="VRE240" s="4"/>
      <c r="VRF240" s="4"/>
      <c r="VRG240" s="4"/>
      <c r="VRH240" s="4"/>
      <c r="VRI240" s="4"/>
      <c r="VRJ240" s="4"/>
      <c r="VRK240" s="4"/>
      <c r="VRL240" s="4"/>
      <c r="VRM240" s="4"/>
      <c r="VRN240" s="4"/>
      <c r="VRO240" s="4"/>
      <c r="VRP240" s="4"/>
      <c r="VRQ240" s="4"/>
      <c r="VRR240" s="4"/>
      <c r="VRS240" s="4"/>
      <c r="VRT240" s="4"/>
      <c r="VRU240" s="4"/>
      <c r="VRV240" s="4"/>
      <c r="VRW240" s="4"/>
      <c r="VRX240" s="4"/>
      <c r="VRY240" s="4"/>
      <c r="VRZ240" s="4"/>
      <c r="VSA240" s="4"/>
      <c r="VSB240" s="4"/>
      <c r="VSC240" s="4"/>
      <c r="VSD240" s="4"/>
      <c r="VSE240" s="4"/>
      <c r="VSF240" s="4"/>
      <c r="VSG240" s="4"/>
      <c r="VSH240" s="4"/>
      <c r="VSI240" s="4"/>
      <c r="VSJ240" s="4"/>
      <c r="VSK240" s="4"/>
      <c r="VSL240" s="4"/>
      <c r="VSM240" s="4"/>
      <c r="VSN240" s="4"/>
      <c r="VSO240" s="4"/>
      <c r="VSP240" s="4"/>
      <c r="VSQ240" s="4"/>
      <c r="VSR240" s="4"/>
      <c r="VSS240" s="4"/>
      <c r="VST240" s="4"/>
      <c r="VSU240" s="4"/>
      <c r="VSV240" s="4"/>
      <c r="VSW240" s="4"/>
      <c r="VSX240" s="4"/>
      <c r="VSY240" s="4"/>
      <c r="VSZ240" s="4"/>
      <c r="VTA240" s="4"/>
      <c r="VTB240" s="4"/>
      <c r="VTC240" s="4"/>
      <c r="VTD240" s="4"/>
      <c r="VTE240" s="4"/>
      <c r="VTF240" s="4"/>
      <c r="VTG240" s="4"/>
      <c r="VTH240" s="4"/>
      <c r="VTI240" s="4"/>
      <c r="VTJ240" s="4"/>
      <c r="VTK240" s="4"/>
      <c r="VTL240" s="4"/>
      <c r="VTM240" s="4"/>
      <c r="VTN240" s="4"/>
      <c r="VTO240" s="4"/>
      <c r="VTP240" s="4"/>
      <c r="VTQ240" s="4"/>
      <c r="VTR240" s="4"/>
      <c r="VTS240" s="4"/>
      <c r="VTT240" s="4"/>
      <c r="VTU240" s="4"/>
      <c r="VTV240" s="4"/>
      <c r="VTW240" s="4"/>
      <c r="VTX240" s="4"/>
      <c r="VTY240" s="4"/>
      <c r="VTZ240" s="4"/>
      <c r="VUA240" s="4"/>
      <c r="VUB240" s="4"/>
      <c r="VUC240" s="4"/>
      <c r="VUD240" s="4"/>
      <c r="VUE240" s="4"/>
      <c r="VUF240" s="4"/>
      <c r="VUG240" s="4"/>
      <c r="VUH240" s="4"/>
      <c r="VUI240" s="4"/>
      <c r="VUJ240" s="4"/>
      <c r="VUK240" s="4"/>
      <c r="VUL240" s="4"/>
      <c r="VUM240" s="4"/>
      <c r="VUN240" s="4"/>
      <c r="VUO240" s="4"/>
      <c r="VUP240" s="4"/>
      <c r="VUQ240" s="4"/>
      <c r="VUR240" s="4"/>
      <c r="VUS240" s="4"/>
      <c r="VUT240" s="4"/>
      <c r="VUU240" s="4"/>
      <c r="VUV240" s="4"/>
      <c r="VUW240" s="4"/>
      <c r="VUX240" s="4"/>
      <c r="VUY240" s="4"/>
      <c r="VUZ240" s="4"/>
      <c r="VVA240" s="4"/>
      <c r="VVB240" s="4"/>
      <c r="VVC240" s="4"/>
      <c r="VVD240" s="4"/>
      <c r="VVE240" s="4"/>
      <c r="VVF240" s="4"/>
      <c r="VVG240" s="4"/>
      <c r="VVH240" s="4"/>
      <c r="VVI240" s="4"/>
      <c r="VVJ240" s="4"/>
      <c r="VVK240" s="4"/>
      <c r="VVL240" s="4"/>
      <c r="VVM240" s="4"/>
      <c r="VVN240" s="4"/>
      <c r="VVO240" s="4"/>
      <c r="VVP240" s="4"/>
      <c r="VVQ240" s="4"/>
      <c r="VVR240" s="4"/>
      <c r="VVS240" s="4"/>
      <c r="VVT240" s="4"/>
      <c r="VVU240" s="4"/>
      <c r="VVV240" s="4"/>
      <c r="VVW240" s="4"/>
      <c r="VVX240" s="4"/>
      <c r="VVY240" s="4"/>
      <c r="VVZ240" s="4"/>
      <c r="VWA240" s="4"/>
      <c r="VWB240" s="4"/>
      <c r="VWC240" s="4"/>
      <c r="VWD240" s="4"/>
      <c r="VWE240" s="4"/>
      <c r="VWF240" s="4"/>
      <c r="VWG240" s="4"/>
      <c r="VWH240" s="4"/>
      <c r="VWI240" s="4"/>
      <c r="VWJ240" s="4"/>
      <c r="VWK240" s="4"/>
      <c r="VWL240" s="4"/>
      <c r="VWM240" s="4"/>
      <c r="VWN240" s="4"/>
      <c r="VWO240" s="4"/>
      <c r="VWP240" s="4"/>
      <c r="VWQ240" s="4"/>
      <c r="VWR240" s="4"/>
      <c r="VWS240" s="4"/>
      <c r="VWT240" s="4"/>
      <c r="VWU240" s="4"/>
      <c r="VWV240" s="4"/>
      <c r="VWW240" s="4"/>
      <c r="VWX240" s="4"/>
      <c r="VWY240" s="4"/>
      <c r="VWZ240" s="4"/>
      <c r="VXA240" s="4"/>
      <c r="VXB240" s="4"/>
      <c r="VXC240" s="4"/>
      <c r="VXD240" s="4"/>
      <c r="VXE240" s="4"/>
      <c r="VXF240" s="4"/>
      <c r="VXG240" s="4"/>
      <c r="VXH240" s="4"/>
      <c r="VXI240" s="4"/>
      <c r="VXJ240" s="4"/>
      <c r="VXK240" s="4"/>
      <c r="VXL240" s="4"/>
      <c r="VXM240" s="4"/>
      <c r="VXN240" s="4"/>
      <c r="VXO240" s="4"/>
      <c r="VXP240" s="4"/>
      <c r="VXQ240" s="4"/>
      <c r="VXR240" s="4"/>
      <c r="VXS240" s="4"/>
      <c r="VXT240" s="4"/>
      <c r="VXU240" s="4"/>
      <c r="VXV240" s="4"/>
      <c r="VXW240" s="4"/>
      <c r="VXX240" s="4"/>
      <c r="VXY240" s="4"/>
      <c r="VXZ240" s="4"/>
      <c r="VYA240" s="4"/>
      <c r="VYB240" s="4"/>
      <c r="VYC240" s="4"/>
      <c r="VYD240" s="4"/>
      <c r="VYE240" s="4"/>
      <c r="VYF240" s="4"/>
      <c r="VYG240" s="4"/>
      <c r="VYH240" s="4"/>
      <c r="VYI240" s="4"/>
      <c r="VYJ240" s="4"/>
      <c r="VYK240" s="4"/>
      <c r="VYL240" s="4"/>
      <c r="VYM240" s="4"/>
      <c r="VYN240" s="4"/>
      <c r="VYO240" s="4"/>
      <c r="VYP240" s="4"/>
      <c r="VYQ240" s="4"/>
      <c r="VYR240" s="4"/>
      <c r="VYS240" s="4"/>
      <c r="VYT240" s="4"/>
      <c r="VYU240" s="4"/>
      <c r="VYV240" s="4"/>
      <c r="VYW240" s="4"/>
      <c r="VYX240" s="4"/>
      <c r="VYY240" s="4"/>
      <c r="VYZ240" s="4"/>
      <c r="VZA240" s="4"/>
      <c r="VZB240" s="4"/>
      <c r="VZC240" s="4"/>
      <c r="VZD240" s="4"/>
      <c r="VZE240" s="4"/>
      <c r="VZF240" s="4"/>
      <c r="VZG240" s="4"/>
      <c r="VZH240" s="4"/>
      <c r="VZI240" s="4"/>
      <c r="VZJ240" s="4"/>
      <c r="VZK240" s="4"/>
      <c r="VZL240" s="4"/>
      <c r="VZM240" s="4"/>
      <c r="VZN240" s="4"/>
      <c r="VZO240" s="4"/>
      <c r="VZP240" s="4"/>
      <c r="VZQ240" s="4"/>
      <c r="VZR240" s="4"/>
      <c r="VZS240" s="4"/>
      <c r="VZT240" s="4"/>
      <c r="VZU240" s="4"/>
      <c r="VZV240" s="4"/>
      <c r="VZW240" s="4"/>
      <c r="VZX240" s="4"/>
      <c r="VZY240" s="4"/>
      <c r="VZZ240" s="4"/>
      <c r="WAA240" s="4"/>
      <c r="WAB240" s="4"/>
      <c r="WAC240" s="4"/>
      <c r="WAD240" s="4"/>
      <c r="WAE240" s="4"/>
      <c r="WAF240" s="4"/>
      <c r="WAG240" s="4"/>
      <c r="WAH240" s="4"/>
      <c r="WAI240" s="4"/>
      <c r="WAJ240" s="4"/>
      <c r="WAK240" s="4"/>
      <c r="WAL240" s="4"/>
      <c r="WAM240" s="4"/>
      <c r="WAN240" s="4"/>
      <c r="WAO240" s="4"/>
      <c r="WAP240" s="4"/>
      <c r="WAQ240" s="4"/>
      <c r="WAR240" s="4"/>
      <c r="WAS240" s="4"/>
      <c r="WAT240" s="4"/>
      <c r="WAU240" s="4"/>
      <c r="WAV240" s="4"/>
      <c r="WAW240" s="4"/>
      <c r="WAX240" s="4"/>
      <c r="WAY240" s="4"/>
      <c r="WAZ240" s="4"/>
      <c r="WBA240" s="4"/>
      <c r="WBB240" s="4"/>
      <c r="WBC240" s="4"/>
      <c r="WBD240" s="4"/>
      <c r="WBE240" s="4"/>
      <c r="WBF240" s="4"/>
      <c r="WBG240" s="4"/>
      <c r="WBH240" s="4"/>
      <c r="WBI240" s="4"/>
      <c r="WBJ240" s="4"/>
      <c r="WBK240" s="4"/>
      <c r="WBL240" s="4"/>
      <c r="WBM240" s="4"/>
      <c r="WBN240" s="4"/>
      <c r="WBO240" s="4"/>
      <c r="WBP240" s="4"/>
      <c r="WBQ240" s="4"/>
      <c r="WBR240" s="4"/>
      <c r="WBS240" s="4"/>
      <c r="WBT240" s="4"/>
      <c r="WBU240" s="4"/>
      <c r="WBV240" s="4"/>
      <c r="WBW240" s="4"/>
      <c r="WBX240" s="4"/>
      <c r="WBY240" s="4"/>
      <c r="WBZ240" s="4"/>
      <c r="WCA240" s="4"/>
      <c r="WCB240" s="4"/>
      <c r="WCC240" s="4"/>
      <c r="WCD240" s="4"/>
      <c r="WCE240" s="4"/>
      <c r="WCF240" s="4"/>
      <c r="WCG240" s="4"/>
      <c r="WCH240" s="4"/>
      <c r="WCI240" s="4"/>
      <c r="WCJ240" s="4"/>
      <c r="WCK240" s="4"/>
      <c r="WCL240" s="4"/>
      <c r="WCM240" s="4"/>
      <c r="WCN240" s="4"/>
      <c r="WCO240" s="4"/>
      <c r="WCP240" s="4"/>
      <c r="WCQ240" s="4"/>
      <c r="WCR240" s="4"/>
      <c r="WCS240" s="4"/>
      <c r="WCT240" s="4"/>
      <c r="WCU240" s="4"/>
      <c r="WCV240" s="4"/>
      <c r="WCW240" s="4"/>
      <c r="WCX240" s="4"/>
      <c r="WCY240" s="4"/>
      <c r="WCZ240" s="4"/>
      <c r="WDA240" s="4"/>
      <c r="WDB240" s="4"/>
      <c r="WDC240" s="4"/>
      <c r="WDD240" s="4"/>
      <c r="WDE240" s="4"/>
      <c r="WDF240" s="4"/>
      <c r="WDG240" s="4"/>
      <c r="WDH240" s="4"/>
      <c r="WDI240" s="4"/>
      <c r="WDJ240" s="4"/>
      <c r="WDK240" s="4"/>
      <c r="WDL240" s="4"/>
      <c r="WDM240" s="4"/>
      <c r="WDN240" s="4"/>
      <c r="WDO240" s="4"/>
      <c r="WDP240" s="4"/>
      <c r="WDQ240" s="4"/>
      <c r="WDR240" s="4"/>
      <c r="WDS240" s="4"/>
      <c r="WDT240" s="4"/>
      <c r="WDU240" s="4"/>
      <c r="WDV240" s="4"/>
      <c r="WDW240" s="4"/>
      <c r="WDX240" s="4"/>
      <c r="WDY240" s="4"/>
      <c r="WDZ240" s="4"/>
      <c r="WEA240" s="4"/>
      <c r="WEB240" s="4"/>
      <c r="WEC240" s="4"/>
      <c r="WED240" s="4"/>
      <c r="WEE240" s="4"/>
      <c r="WEF240" s="4"/>
      <c r="WEG240" s="4"/>
      <c r="WEH240" s="4"/>
      <c r="WEI240" s="4"/>
      <c r="WEJ240" s="4"/>
      <c r="WEK240" s="4"/>
      <c r="WEL240" s="4"/>
      <c r="WEM240" s="4"/>
      <c r="WEN240" s="4"/>
      <c r="WEO240" s="4"/>
      <c r="WEP240" s="4"/>
      <c r="WEQ240" s="4"/>
      <c r="WER240" s="4"/>
      <c r="WES240" s="4"/>
      <c r="WET240" s="4"/>
      <c r="WEU240" s="4"/>
      <c r="WEV240" s="4"/>
      <c r="WEW240" s="4"/>
      <c r="WEX240" s="4"/>
      <c r="WEY240" s="4"/>
      <c r="WEZ240" s="4"/>
      <c r="WFA240" s="4"/>
      <c r="WFB240" s="4"/>
      <c r="WFC240" s="4"/>
      <c r="WFD240" s="4"/>
      <c r="WFE240" s="4"/>
      <c r="WFF240" s="4"/>
      <c r="WFG240" s="4"/>
      <c r="WFH240" s="4"/>
      <c r="WFI240" s="4"/>
      <c r="WFJ240" s="4"/>
      <c r="WFK240" s="4"/>
      <c r="WFL240" s="4"/>
      <c r="WFM240" s="4"/>
      <c r="WFN240" s="4"/>
      <c r="WFO240" s="4"/>
      <c r="WFP240" s="4"/>
      <c r="WFQ240" s="4"/>
      <c r="WFR240" s="4"/>
      <c r="WFS240" s="4"/>
      <c r="WFT240" s="4"/>
      <c r="WFU240" s="4"/>
      <c r="WFV240" s="4"/>
      <c r="WFW240" s="4"/>
      <c r="WFX240" s="4"/>
      <c r="WFY240" s="4"/>
      <c r="WFZ240" s="4"/>
      <c r="WGA240" s="4"/>
      <c r="WGB240" s="4"/>
      <c r="WGC240" s="4"/>
      <c r="WGD240" s="4"/>
      <c r="WGE240" s="4"/>
      <c r="WGF240" s="4"/>
      <c r="WGG240" s="4"/>
      <c r="WGH240" s="4"/>
      <c r="WGI240" s="4"/>
      <c r="WGJ240" s="4"/>
      <c r="WGK240" s="4"/>
      <c r="WGL240" s="4"/>
      <c r="WGM240" s="4"/>
      <c r="WGN240" s="4"/>
      <c r="WGO240" s="4"/>
      <c r="WGP240" s="4"/>
      <c r="WGQ240" s="4"/>
      <c r="WGR240" s="4"/>
      <c r="WGS240" s="4"/>
      <c r="WGT240" s="4"/>
      <c r="WGU240" s="4"/>
      <c r="WGV240" s="4"/>
      <c r="WGW240" s="4"/>
      <c r="WGX240" s="4"/>
      <c r="WGY240" s="4"/>
      <c r="WGZ240" s="4"/>
      <c r="WHA240" s="4"/>
      <c r="WHB240" s="4"/>
      <c r="WHC240" s="4"/>
      <c r="WHD240" s="4"/>
      <c r="WHE240" s="4"/>
      <c r="WHF240" s="4"/>
      <c r="WHG240" s="4"/>
      <c r="WHH240" s="4"/>
      <c r="WHI240" s="4"/>
      <c r="WHJ240" s="4"/>
      <c r="WHK240" s="4"/>
      <c r="WHL240" s="4"/>
      <c r="WHM240" s="4"/>
      <c r="WHN240" s="4"/>
      <c r="WHO240" s="4"/>
      <c r="WHP240" s="4"/>
      <c r="WHQ240" s="4"/>
      <c r="WHR240" s="4"/>
      <c r="WHS240" s="4"/>
      <c r="WHT240" s="4"/>
      <c r="WHU240" s="4"/>
      <c r="WHV240" s="4"/>
      <c r="WHW240" s="4"/>
      <c r="WHX240" s="4"/>
      <c r="WHY240" s="4"/>
      <c r="WHZ240" s="4"/>
      <c r="WIA240" s="4"/>
      <c r="WIB240" s="4"/>
      <c r="WIC240" s="4"/>
      <c r="WID240" s="4"/>
      <c r="WIE240" s="4"/>
      <c r="WIF240" s="4"/>
      <c r="WIG240" s="4"/>
      <c r="WIH240" s="4"/>
      <c r="WII240" s="4"/>
      <c r="WIJ240" s="4"/>
      <c r="WIK240" s="4"/>
      <c r="WIL240" s="4"/>
      <c r="WIM240" s="4"/>
      <c r="WIN240" s="4"/>
      <c r="WIO240" s="4"/>
      <c r="WIP240" s="4"/>
      <c r="WIQ240" s="4"/>
      <c r="WIR240" s="4"/>
      <c r="WIS240" s="4"/>
      <c r="WIT240" s="4"/>
      <c r="WIU240" s="4"/>
      <c r="WIV240" s="4"/>
      <c r="WIW240" s="4"/>
      <c r="WIX240" s="4"/>
      <c r="WIY240" s="4"/>
      <c r="WIZ240" s="4"/>
      <c r="WJA240" s="4"/>
      <c r="WJB240" s="4"/>
      <c r="WJC240" s="4"/>
      <c r="WJD240" s="4"/>
      <c r="WJE240" s="4"/>
      <c r="WJF240" s="4"/>
      <c r="WJG240" s="4"/>
      <c r="WJH240" s="4"/>
      <c r="WJI240" s="4"/>
      <c r="WJJ240" s="4"/>
      <c r="WJK240" s="4"/>
      <c r="WJL240" s="4"/>
      <c r="WJM240" s="4"/>
      <c r="WJN240" s="4"/>
      <c r="WJO240" s="4"/>
      <c r="WJP240" s="4"/>
      <c r="WJQ240" s="4"/>
      <c r="WJR240" s="4"/>
      <c r="WJS240" s="4"/>
      <c r="WJT240" s="4"/>
      <c r="WJU240" s="4"/>
      <c r="WJV240" s="4"/>
      <c r="WJW240" s="4"/>
      <c r="WJX240" s="4"/>
      <c r="WJY240" s="4"/>
      <c r="WJZ240" s="4"/>
      <c r="WKA240" s="4"/>
      <c r="WKB240" s="4"/>
      <c r="WKC240" s="4"/>
      <c r="WKD240" s="4"/>
      <c r="WKE240" s="4"/>
      <c r="WKF240" s="4"/>
      <c r="WKG240" s="4"/>
      <c r="WKH240" s="4"/>
      <c r="WKI240" s="4"/>
      <c r="WKJ240" s="4"/>
      <c r="WKK240" s="4"/>
      <c r="WKL240" s="4"/>
      <c r="WKM240" s="4"/>
      <c r="WKN240" s="4"/>
      <c r="WKO240" s="4"/>
      <c r="WKP240" s="4"/>
      <c r="WKQ240" s="4"/>
      <c r="WKR240" s="4"/>
      <c r="WKS240" s="4"/>
      <c r="WKT240" s="4"/>
      <c r="WKU240" s="4"/>
      <c r="WKV240" s="4"/>
      <c r="WKW240" s="4"/>
      <c r="WKX240" s="4"/>
      <c r="WKY240" s="4"/>
      <c r="WKZ240" s="4"/>
      <c r="WLA240" s="4"/>
      <c r="WLB240" s="4"/>
      <c r="WLC240" s="4"/>
      <c r="WLD240" s="4"/>
      <c r="WLE240" s="4"/>
      <c r="WLF240" s="4"/>
      <c r="WLG240" s="4"/>
      <c r="WLH240" s="4"/>
      <c r="WLI240" s="4"/>
      <c r="WLJ240" s="4"/>
      <c r="WLK240" s="4"/>
      <c r="WLL240" s="4"/>
      <c r="WLM240" s="4"/>
      <c r="WLN240" s="4"/>
      <c r="WLO240" s="4"/>
      <c r="WLP240" s="4"/>
      <c r="WLQ240" s="4"/>
      <c r="WLR240" s="4"/>
      <c r="WLS240" s="4"/>
      <c r="WLT240" s="4"/>
      <c r="WLU240" s="4"/>
      <c r="WLV240" s="4"/>
      <c r="WLW240" s="4"/>
      <c r="WLX240" s="4"/>
      <c r="WLY240" s="4"/>
      <c r="WLZ240" s="4"/>
      <c r="WMA240" s="4"/>
      <c r="WMB240" s="4"/>
      <c r="WMC240" s="4"/>
      <c r="WMD240" s="4"/>
      <c r="WME240" s="4"/>
      <c r="WMF240" s="4"/>
      <c r="WMG240" s="4"/>
      <c r="WMH240" s="4"/>
      <c r="WMI240" s="4"/>
      <c r="WMJ240" s="4"/>
      <c r="WMK240" s="4"/>
      <c r="WML240" s="4"/>
      <c r="WMM240" s="4"/>
      <c r="WMN240" s="4"/>
      <c r="WMO240" s="4"/>
      <c r="WMP240" s="4"/>
      <c r="WMQ240" s="4"/>
      <c r="WMR240" s="4"/>
      <c r="WMS240" s="4"/>
      <c r="WMT240" s="4"/>
      <c r="WMU240" s="4"/>
      <c r="WMV240" s="4"/>
      <c r="WMW240" s="4"/>
      <c r="WMX240" s="4"/>
      <c r="WMY240" s="4"/>
      <c r="WMZ240" s="4"/>
      <c r="WNA240" s="4"/>
      <c r="WNB240" s="4"/>
      <c r="WNC240" s="4"/>
      <c r="WND240" s="4"/>
      <c r="WNE240" s="4"/>
      <c r="WNF240" s="4"/>
      <c r="WNG240" s="4"/>
      <c r="WNH240" s="4"/>
      <c r="WNI240" s="4"/>
      <c r="WNJ240" s="4"/>
      <c r="WNK240" s="4"/>
      <c r="WNL240" s="4"/>
      <c r="WNM240" s="4"/>
      <c r="WNN240" s="4"/>
      <c r="WNO240" s="4"/>
      <c r="WNP240" s="4"/>
      <c r="WNQ240" s="4"/>
      <c r="WNR240" s="4"/>
      <c r="WNS240" s="4"/>
      <c r="WNT240" s="4"/>
      <c r="WNU240" s="4"/>
      <c r="WNV240" s="4"/>
      <c r="WNW240" s="4"/>
      <c r="WNX240" s="4"/>
      <c r="WNY240" s="4"/>
      <c r="WNZ240" s="4"/>
      <c r="WOA240" s="4"/>
      <c r="WOB240" s="4"/>
      <c r="WOC240" s="4"/>
      <c r="WOD240" s="4"/>
      <c r="WOE240" s="4"/>
      <c r="WOF240" s="4"/>
      <c r="WOG240" s="4"/>
      <c r="WOH240" s="4"/>
      <c r="WOI240" s="4"/>
      <c r="WOJ240" s="4"/>
      <c r="WOK240" s="4"/>
      <c r="WOL240" s="4"/>
      <c r="WOM240" s="4"/>
      <c r="WON240" s="4"/>
      <c r="WOO240" s="4"/>
      <c r="WOP240" s="4"/>
      <c r="WOQ240" s="4"/>
      <c r="WOR240" s="4"/>
      <c r="WOS240" s="4"/>
      <c r="WOT240" s="4"/>
      <c r="WOU240" s="4"/>
      <c r="WOV240" s="4"/>
      <c r="WOW240" s="4"/>
      <c r="WOX240" s="4"/>
      <c r="WOY240" s="4"/>
      <c r="WOZ240" s="4"/>
      <c r="WPA240" s="4"/>
      <c r="WPB240" s="4"/>
      <c r="WPC240" s="4"/>
      <c r="WPD240" s="4"/>
      <c r="WPE240" s="4"/>
      <c r="WPF240" s="4"/>
      <c r="WPG240" s="4"/>
      <c r="WPH240" s="4"/>
      <c r="WPI240" s="4"/>
      <c r="WPJ240" s="4"/>
      <c r="WPK240" s="4"/>
      <c r="WPL240" s="4"/>
      <c r="WPM240" s="4"/>
      <c r="WPN240" s="4"/>
      <c r="WPO240" s="4"/>
      <c r="WPP240" s="4"/>
      <c r="WPQ240" s="4"/>
      <c r="WPR240" s="4"/>
      <c r="WPS240" s="4"/>
      <c r="WPT240" s="4"/>
      <c r="WPU240" s="4"/>
      <c r="WPV240" s="4"/>
      <c r="WPW240" s="4"/>
      <c r="WPX240" s="4"/>
      <c r="WPY240" s="4"/>
      <c r="WPZ240" s="4"/>
      <c r="WQA240" s="4"/>
      <c r="WQB240" s="4"/>
      <c r="WQC240" s="4"/>
      <c r="WQD240" s="4"/>
      <c r="WQE240" s="4"/>
      <c r="WQF240" s="4"/>
      <c r="WQG240" s="4"/>
      <c r="WQH240" s="4"/>
      <c r="WQI240" s="4"/>
      <c r="WQJ240" s="4"/>
      <c r="WQK240" s="4"/>
      <c r="WQL240" s="4"/>
      <c r="WQM240" s="4"/>
      <c r="WQN240" s="4"/>
      <c r="WQO240" s="4"/>
      <c r="WQP240" s="4"/>
      <c r="WQQ240" s="4"/>
      <c r="WQR240" s="4"/>
      <c r="WQS240" s="4"/>
      <c r="WQT240" s="4"/>
      <c r="WQU240" s="4"/>
      <c r="WQV240" s="4"/>
      <c r="WQW240" s="4"/>
      <c r="WQX240" s="4"/>
      <c r="WQY240" s="4"/>
      <c r="WQZ240" s="4"/>
      <c r="WRA240" s="4"/>
      <c r="WRB240" s="4"/>
      <c r="WRC240" s="4"/>
      <c r="WRD240" s="4"/>
      <c r="WRE240" s="4"/>
      <c r="WRF240" s="4"/>
      <c r="WRG240" s="4"/>
      <c r="WRH240" s="4"/>
      <c r="WRI240" s="4"/>
      <c r="WRJ240" s="4"/>
      <c r="WRK240" s="4"/>
      <c r="WRL240" s="4"/>
      <c r="WRM240" s="4"/>
      <c r="WRN240" s="4"/>
      <c r="WRO240" s="4"/>
      <c r="WRP240" s="4"/>
      <c r="WRQ240" s="4"/>
      <c r="WRR240" s="4"/>
      <c r="WRS240" s="4"/>
      <c r="WRT240" s="4"/>
      <c r="WRU240" s="4"/>
      <c r="WRV240" s="4"/>
      <c r="WRW240" s="4"/>
      <c r="WRX240" s="4"/>
      <c r="WRY240" s="4"/>
      <c r="WRZ240" s="4"/>
      <c r="WSA240" s="4"/>
      <c r="WSB240" s="4"/>
      <c r="WSC240" s="4"/>
      <c r="WSD240" s="4"/>
      <c r="WSE240" s="4"/>
      <c r="WSF240" s="4"/>
      <c r="WSG240" s="4"/>
      <c r="WSH240" s="4"/>
      <c r="WSI240" s="4"/>
      <c r="WSJ240" s="4"/>
      <c r="WSK240" s="4"/>
      <c r="WSL240" s="4"/>
      <c r="WSM240" s="4"/>
      <c r="WSN240" s="4"/>
      <c r="WSO240" s="4"/>
      <c r="WSP240" s="4"/>
      <c r="WSQ240" s="4"/>
      <c r="WSR240" s="4"/>
      <c r="WSS240" s="4"/>
      <c r="WST240" s="4"/>
      <c r="WSU240" s="4"/>
      <c r="WSV240" s="4"/>
      <c r="WSW240" s="4"/>
      <c r="WSX240" s="4"/>
      <c r="WSY240" s="4"/>
      <c r="WSZ240" s="4"/>
      <c r="WTA240" s="4"/>
      <c r="WTB240" s="4"/>
      <c r="WTC240" s="4"/>
      <c r="WTD240" s="4"/>
      <c r="WTE240" s="4"/>
      <c r="WTF240" s="4"/>
      <c r="WTG240" s="4"/>
      <c r="WTH240" s="4"/>
      <c r="WTI240" s="4"/>
      <c r="WTJ240" s="4"/>
      <c r="WTK240" s="4"/>
      <c r="WTL240" s="4"/>
      <c r="WTM240" s="4"/>
      <c r="WTN240" s="4"/>
      <c r="WTO240" s="4"/>
      <c r="WTP240" s="4"/>
      <c r="WTQ240" s="4"/>
      <c r="WTR240" s="4"/>
      <c r="WTS240" s="4"/>
      <c r="WTT240" s="4"/>
      <c r="WTU240" s="4"/>
      <c r="WTV240" s="4"/>
      <c r="WTW240" s="4"/>
      <c r="WTX240" s="4"/>
      <c r="WTY240" s="4"/>
      <c r="WTZ240" s="4"/>
      <c r="WUA240" s="4"/>
      <c r="WUB240" s="4"/>
      <c r="WUC240" s="4"/>
      <c r="WUD240" s="4"/>
      <c r="WUE240" s="4"/>
      <c r="WUF240" s="4"/>
      <c r="WUG240" s="4"/>
      <c r="WUH240" s="4"/>
      <c r="WUI240" s="4"/>
      <c r="WUJ240" s="4"/>
      <c r="WUK240" s="4"/>
      <c r="WUL240" s="4"/>
      <c r="WUM240" s="4"/>
      <c r="WUN240" s="4"/>
      <c r="WUO240" s="4"/>
      <c r="WUP240" s="4"/>
      <c r="WUQ240" s="4"/>
      <c r="WUR240" s="4"/>
      <c r="WUS240" s="4"/>
      <c r="WUT240" s="4"/>
      <c r="WUU240" s="4"/>
      <c r="WUV240" s="4"/>
      <c r="WUW240" s="4"/>
      <c r="WUX240" s="4"/>
      <c r="WUY240" s="4"/>
      <c r="WUZ240" s="4"/>
      <c r="WVA240" s="4"/>
      <c r="WVB240" s="4"/>
      <c r="WVC240" s="4"/>
      <c r="WVD240" s="4"/>
      <c r="WVE240" s="4"/>
      <c r="WVF240" s="4"/>
      <c r="WVG240" s="4"/>
      <c r="WVH240" s="4"/>
      <c r="WVI240" s="4"/>
      <c r="WVJ240" s="4"/>
      <c r="WVK240" s="4"/>
      <c r="WVL240" s="4"/>
      <c r="WVM240" s="4"/>
      <c r="WVN240" s="4"/>
      <c r="WVO240" s="4"/>
      <c r="WVP240" s="4"/>
      <c r="WVQ240" s="4"/>
      <c r="WVR240" s="4"/>
      <c r="WVS240" s="4"/>
      <c r="WVT240" s="4"/>
      <c r="WVU240" s="4"/>
      <c r="WVV240" s="4"/>
      <c r="WVW240" s="4"/>
      <c r="WVX240" s="4"/>
      <c r="WVY240" s="4"/>
      <c r="WVZ240" s="4"/>
      <c r="WWA240" s="4"/>
      <c r="WWB240" s="4"/>
      <c r="WWC240" s="4"/>
      <c r="WWD240" s="4"/>
      <c r="WWE240" s="4"/>
      <c r="WWF240" s="4"/>
      <c r="WWG240" s="4"/>
      <c r="WWH240" s="4"/>
      <c r="WWI240" s="4"/>
      <c r="WWJ240" s="4"/>
      <c r="WWK240" s="4"/>
      <c r="WWL240" s="4"/>
      <c r="WWM240" s="4"/>
      <c r="WWN240" s="4"/>
      <c r="WWO240" s="4"/>
      <c r="WWP240" s="4"/>
      <c r="WWQ240" s="4"/>
      <c r="WWR240" s="4"/>
      <c r="WWS240" s="4"/>
      <c r="WWT240" s="4"/>
      <c r="WWU240" s="4"/>
      <c r="WWV240" s="4"/>
      <c r="WWW240" s="4"/>
      <c r="WWX240" s="4"/>
      <c r="WWY240" s="4"/>
      <c r="WWZ240" s="4"/>
      <c r="WXA240" s="4"/>
      <c r="WXB240" s="4"/>
      <c r="WXC240" s="4"/>
      <c r="WXD240" s="4"/>
      <c r="WXE240" s="4"/>
      <c r="WXF240" s="4"/>
      <c r="WXG240" s="4"/>
      <c r="WXH240" s="4"/>
      <c r="WXI240" s="4"/>
      <c r="WXJ240" s="4"/>
      <c r="WXK240" s="4"/>
      <c r="WXL240" s="4"/>
      <c r="WXM240" s="4"/>
      <c r="WXN240" s="4"/>
      <c r="WXO240" s="4"/>
      <c r="WXP240" s="4"/>
      <c r="WXQ240" s="4"/>
      <c r="WXR240" s="4"/>
      <c r="WXS240" s="4"/>
      <c r="WXT240" s="4"/>
      <c r="WXU240" s="4"/>
      <c r="WXV240" s="4"/>
      <c r="WXW240" s="4"/>
      <c r="WXX240" s="4"/>
      <c r="WXY240" s="4"/>
      <c r="WXZ240" s="4"/>
      <c r="WYA240" s="4"/>
      <c r="WYB240" s="4"/>
      <c r="WYC240" s="4"/>
      <c r="WYD240" s="4"/>
      <c r="WYE240" s="4"/>
      <c r="WYF240" s="4"/>
      <c r="WYG240" s="4"/>
      <c r="WYH240" s="4"/>
      <c r="WYI240" s="4"/>
      <c r="WYJ240" s="4"/>
      <c r="WYK240" s="4"/>
      <c r="WYL240" s="4"/>
      <c r="WYM240" s="4"/>
      <c r="WYN240" s="4"/>
      <c r="WYO240" s="4"/>
      <c r="WYP240" s="4"/>
      <c r="WYQ240" s="4"/>
      <c r="WYR240" s="4"/>
      <c r="WYS240" s="4"/>
      <c r="WYT240" s="4"/>
      <c r="WYU240" s="4"/>
      <c r="WYV240" s="4"/>
      <c r="WYW240" s="4"/>
      <c r="WYX240" s="4"/>
      <c r="WYY240" s="4"/>
      <c r="WYZ240" s="4"/>
      <c r="WZA240" s="4"/>
      <c r="WZB240" s="4"/>
      <c r="WZC240" s="4"/>
      <c r="WZD240" s="4"/>
      <c r="WZE240" s="4"/>
      <c r="WZF240" s="4"/>
      <c r="WZG240" s="4"/>
      <c r="WZH240" s="4"/>
      <c r="WZI240" s="4"/>
      <c r="WZJ240" s="4"/>
      <c r="WZK240" s="4"/>
      <c r="WZL240" s="4"/>
      <c r="WZM240" s="4"/>
      <c r="WZN240" s="4"/>
      <c r="WZO240" s="4"/>
      <c r="WZP240" s="4"/>
      <c r="WZQ240" s="4"/>
      <c r="WZR240" s="4"/>
      <c r="WZS240" s="4"/>
      <c r="WZT240" s="4"/>
      <c r="WZU240" s="4"/>
      <c r="WZV240" s="4"/>
      <c r="WZW240" s="4"/>
      <c r="WZX240" s="4"/>
      <c r="WZY240" s="4"/>
      <c r="WZZ240" s="4"/>
      <c r="XAA240" s="4"/>
      <c r="XAB240" s="4"/>
      <c r="XAC240" s="4"/>
      <c r="XAD240" s="4"/>
      <c r="XAE240" s="4"/>
      <c r="XAF240" s="4"/>
      <c r="XAG240" s="4"/>
      <c r="XAH240" s="4"/>
      <c r="XAI240" s="4"/>
      <c r="XAJ240" s="4"/>
      <c r="XAK240" s="4"/>
      <c r="XAL240" s="4"/>
      <c r="XAM240" s="4"/>
      <c r="XAN240" s="4"/>
      <c r="XAO240" s="4"/>
      <c r="XAP240" s="4"/>
      <c r="XAQ240" s="4"/>
      <c r="XAR240" s="4"/>
      <c r="XAS240" s="4"/>
      <c r="XAT240" s="4"/>
      <c r="XAU240" s="4"/>
      <c r="XAV240" s="4"/>
      <c r="XAW240" s="4"/>
      <c r="XAX240" s="4"/>
      <c r="XAY240" s="4"/>
      <c r="XAZ240" s="4"/>
      <c r="XBA240" s="4"/>
      <c r="XBB240" s="4"/>
      <c r="XBC240" s="4"/>
      <c r="XBD240" s="4"/>
      <c r="XBE240" s="4"/>
      <c r="XBF240" s="4"/>
      <c r="XBG240" s="4"/>
      <c r="XBH240" s="4"/>
      <c r="XBI240" s="4"/>
      <c r="XBJ240" s="4"/>
      <c r="XBK240" s="4"/>
      <c r="XBL240" s="4"/>
      <c r="XBM240" s="4"/>
      <c r="XBN240" s="4"/>
      <c r="XBO240" s="4"/>
      <c r="XBP240" s="4"/>
      <c r="XBQ240" s="4"/>
      <c r="XBR240" s="4"/>
      <c r="XBS240" s="4"/>
      <c r="XBT240" s="4"/>
      <c r="XBU240" s="4"/>
      <c r="XBV240" s="4"/>
      <c r="XBW240" s="4"/>
      <c r="XBX240" s="4"/>
      <c r="XBY240" s="4"/>
      <c r="XBZ240" s="4"/>
      <c r="XCA240" s="4"/>
      <c r="XCB240" s="4"/>
      <c r="XCC240" s="4"/>
      <c r="XCD240" s="4"/>
      <c r="XCE240" s="4"/>
      <c r="XCF240" s="4"/>
      <c r="XCG240" s="4"/>
      <c r="XCH240" s="4"/>
      <c r="XCI240" s="4"/>
      <c r="XCJ240" s="4"/>
      <c r="XCK240" s="4"/>
      <c r="XCL240" s="4"/>
      <c r="XCM240" s="4"/>
      <c r="XCN240" s="4"/>
      <c r="XCO240" s="4"/>
      <c r="XCP240" s="4"/>
      <c r="XCQ240" s="4"/>
      <c r="XCR240" s="4"/>
      <c r="XCS240" s="4"/>
      <c r="XCT240" s="4"/>
      <c r="XCU240" s="4"/>
      <c r="XCV240" s="4"/>
      <c r="XCW240" s="4"/>
      <c r="XCX240" s="4"/>
      <c r="XCY240" s="4"/>
      <c r="XCZ240" s="4"/>
      <c r="XDA240" s="4"/>
      <c r="XDB240" s="4"/>
      <c r="XDC240" s="4"/>
      <c r="XDD240" s="4"/>
      <c r="XDE240" s="4"/>
      <c r="XDF240" s="4"/>
      <c r="XDG240" s="4"/>
      <c r="XDH240" s="4"/>
      <c r="XDI240" s="4"/>
      <c r="XDJ240" s="4"/>
      <c r="XDK240" s="4"/>
      <c r="XDL240" s="4"/>
      <c r="XDM240" s="4"/>
      <c r="XDN240" s="4"/>
      <c r="XDO240" s="4"/>
      <c r="XDP240" s="4"/>
      <c r="XDQ240" s="4"/>
      <c r="XDR240" s="4"/>
      <c r="XDS240" s="4"/>
      <c r="XDT240" s="4"/>
      <c r="XDU240" s="4"/>
      <c r="XDV240" s="4"/>
      <c r="XDW240" s="4"/>
      <c r="XDX240" s="4"/>
      <c r="XDY240" s="4"/>
      <c r="XDZ240" s="4"/>
      <c r="XEA240" s="4"/>
      <c r="XEB240" s="4"/>
      <c r="XEC240" s="4"/>
      <c r="XED240" s="4"/>
      <c r="XEE240" s="4"/>
      <c r="XEF240" s="4"/>
      <c r="XEG240" s="4"/>
      <c r="XEH240" s="4"/>
      <c r="XEI240" s="4"/>
      <c r="XEJ240" s="4"/>
      <c r="XEK240" s="4"/>
      <c r="XEL240" s="4"/>
      <c r="XEM240" s="4"/>
      <c r="XEN240" s="4"/>
      <c r="XEO240" s="4"/>
      <c r="XEP240" s="4"/>
      <c r="XEQ240" s="4"/>
      <c r="XER240" s="4"/>
      <c r="XES240" s="4"/>
    </row>
    <row r="241" spans="1:16373" x14ac:dyDescent="0.2">
      <c r="A241" s="4">
        <v>247</v>
      </c>
      <c r="B241" s="4" t="s">
        <v>374</v>
      </c>
      <c r="C241" s="4">
        <v>311.5</v>
      </c>
      <c r="D241" s="4">
        <v>3.2</v>
      </c>
      <c r="E241" s="4">
        <v>87.5</v>
      </c>
      <c r="F241" s="4">
        <v>0.42</v>
      </c>
      <c r="G241" s="4">
        <v>40.24</v>
      </c>
      <c r="H241" s="4">
        <v>40.5</v>
      </c>
      <c r="I241" s="4">
        <v>89.4</v>
      </c>
      <c r="J241" s="4" t="s">
        <v>160</v>
      </c>
      <c r="K241" s="4">
        <v>8899.34</v>
      </c>
      <c r="L241" s="4" t="s">
        <v>15</v>
      </c>
      <c r="M241" s="4" t="s">
        <v>16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4"/>
      <c r="IF241" s="4"/>
      <c r="IG241" s="4"/>
      <c r="IH241" s="4"/>
      <c r="II241" s="4"/>
      <c r="IJ241" s="4"/>
      <c r="IK241" s="4"/>
      <c r="IL241" s="4"/>
      <c r="IM241" s="4"/>
      <c r="IN241" s="4"/>
      <c r="IO241" s="4"/>
      <c r="IP241" s="4"/>
      <c r="IQ241" s="4"/>
      <c r="IR241" s="4"/>
      <c r="IS241" s="4"/>
      <c r="IT241" s="4"/>
      <c r="IU241" s="4"/>
      <c r="IV241" s="4"/>
      <c r="IW241" s="4"/>
      <c r="IX241" s="4"/>
      <c r="IY241" s="4"/>
      <c r="IZ241" s="4"/>
      <c r="JA241" s="4"/>
      <c r="JB241" s="4"/>
      <c r="JC241" s="4"/>
      <c r="JD241" s="4"/>
      <c r="JE241" s="4"/>
      <c r="JF241" s="4"/>
      <c r="JG241" s="4"/>
      <c r="JH241" s="4"/>
      <c r="JI241" s="4"/>
      <c r="JJ241" s="4"/>
      <c r="JK241" s="4"/>
      <c r="JL241" s="4"/>
      <c r="JM241" s="4"/>
      <c r="JN241" s="4"/>
      <c r="JO241" s="4"/>
      <c r="JP241" s="4"/>
      <c r="JQ241" s="4"/>
      <c r="JR241" s="4"/>
      <c r="JS241" s="4"/>
      <c r="JT241" s="4"/>
      <c r="JU241" s="4"/>
      <c r="JV241" s="4"/>
      <c r="JW241" s="4"/>
      <c r="JX241" s="4"/>
      <c r="JY241" s="4"/>
      <c r="JZ241" s="4"/>
      <c r="KA241" s="4"/>
      <c r="KB241" s="4"/>
      <c r="KC241" s="4"/>
      <c r="KD241" s="4"/>
      <c r="KE241" s="4"/>
      <c r="KF241" s="4"/>
      <c r="KG241" s="4"/>
      <c r="KH241" s="4"/>
      <c r="KI241" s="4"/>
      <c r="KJ241" s="4"/>
      <c r="KK241" s="4"/>
      <c r="KL241" s="4"/>
      <c r="KM241" s="4"/>
      <c r="KN241" s="4"/>
      <c r="KO241" s="4"/>
      <c r="KP241" s="4"/>
      <c r="KQ241" s="4"/>
      <c r="KR241" s="4"/>
      <c r="KS241" s="4"/>
      <c r="KT241" s="4"/>
      <c r="KU241" s="4"/>
      <c r="KV241" s="4"/>
      <c r="KW241" s="4"/>
      <c r="KX241" s="4"/>
      <c r="KY241" s="4"/>
      <c r="KZ241" s="4"/>
      <c r="LA241" s="4"/>
      <c r="LB241" s="4"/>
      <c r="LC241" s="4"/>
      <c r="LD241" s="4"/>
      <c r="LE241" s="4"/>
      <c r="LF241" s="4"/>
      <c r="LG241" s="4"/>
      <c r="LH241" s="4"/>
      <c r="LI241" s="4"/>
      <c r="LJ241" s="4"/>
      <c r="LK241" s="4"/>
      <c r="LL241" s="4"/>
      <c r="LM241" s="4"/>
      <c r="LN241" s="4"/>
      <c r="LO241" s="4"/>
      <c r="LP241" s="4"/>
      <c r="LQ241" s="4"/>
      <c r="LR241" s="4"/>
      <c r="LS241" s="4"/>
      <c r="LT241" s="4"/>
      <c r="LU241" s="4"/>
      <c r="LV241" s="4"/>
      <c r="LW241" s="4"/>
      <c r="LX241" s="4"/>
      <c r="LY241" s="4"/>
      <c r="LZ241" s="4"/>
      <c r="MA241" s="4"/>
      <c r="MB241" s="4"/>
      <c r="MC241" s="4"/>
      <c r="MD241" s="4"/>
      <c r="ME241" s="4"/>
      <c r="MF241" s="4"/>
      <c r="MG241" s="4"/>
      <c r="MH241" s="4"/>
      <c r="MI241" s="4"/>
      <c r="MJ241" s="4"/>
      <c r="MK241" s="4"/>
      <c r="ML241" s="4"/>
      <c r="MM241" s="4"/>
      <c r="MN241" s="4"/>
      <c r="MO241" s="4"/>
      <c r="MP241" s="4"/>
      <c r="MQ241" s="4"/>
      <c r="MR241" s="4"/>
      <c r="MS241" s="4"/>
      <c r="MT241" s="4"/>
      <c r="MU241" s="4"/>
      <c r="MV241" s="4"/>
      <c r="MW241" s="4"/>
      <c r="MX241" s="4"/>
      <c r="MY241" s="4"/>
      <c r="MZ241" s="4"/>
      <c r="NA241" s="4"/>
      <c r="NB241" s="4"/>
      <c r="NC241" s="4"/>
      <c r="ND241" s="4"/>
      <c r="NE241" s="4"/>
      <c r="NF241" s="4"/>
      <c r="NG241" s="4"/>
      <c r="NH241" s="4"/>
      <c r="NI241" s="4"/>
      <c r="NJ241" s="4"/>
      <c r="NK241" s="4"/>
      <c r="NL241" s="4"/>
      <c r="NM241" s="4"/>
      <c r="NN241" s="4"/>
      <c r="NO241" s="4"/>
      <c r="NP241" s="4"/>
      <c r="NQ241" s="4"/>
      <c r="NR241" s="4"/>
      <c r="NS241" s="4"/>
      <c r="NT241" s="4"/>
      <c r="NU241" s="4"/>
      <c r="NV241" s="4"/>
      <c r="NW241" s="4"/>
      <c r="NX241" s="4"/>
      <c r="NY241" s="4"/>
      <c r="NZ241" s="4"/>
      <c r="OA241" s="4"/>
      <c r="OB241" s="4"/>
      <c r="OC241" s="4"/>
      <c r="OD241" s="4"/>
      <c r="OE241" s="4"/>
      <c r="OF241" s="4"/>
      <c r="OG241" s="4"/>
      <c r="OH241" s="4"/>
      <c r="OI241" s="4"/>
      <c r="OJ241" s="4"/>
      <c r="OK241" s="4"/>
      <c r="OL241" s="4"/>
      <c r="OM241" s="4"/>
      <c r="ON241" s="4"/>
      <c r="OO241" s="4"/>
      <c r="OP241" s="4"/>
      <c r="OQ241" s="4"/>
      <c r="OR241" s="4"/>
      <c r="OS241" s="4"/>
      <c r="OT241" s="4"/>
      <c r="OU241" s="4"/>
      <c r="OV241" s="4"/>
      <c r="OW241" s="4"/>
      <c r="OX241" s="4"/>
      <c r="OY241" s="4"/>
      <c r="OZ241" s="4"/>
      <c r="PA241" s="4"/>
      <c r="PB241" s="4"/>
      <c r="PC241" s="4"/>
      <c r="PD241" s="4"/>
      <c r="PE241" s="4"/>
      <c r="PF241" s="4"/>
      <c r="PG241" s="4"/>
      <c r="PH241" s="4"/>
      <c r="PI241" s="4"/>
      <c r="PJ241" s="4"/>
      <c r="PK241" s="4"/>
      <c r="PL241" s="4"/>
      <c r="PM241" s="4"/>
      <c r="PN241" s="4"/>
      <c r="PO241" s="4"/>
      <c r="PP241" s="4"/>
      <c r="PQ241" s="4"/>
      <c r="PR241" s="4"/>
      <c r="PS241" s="4"/>
      <c r="PT241" s="4"/>
      <c r="PU241" s="4"/>
      <c r="PV241" s="4"/>
      <c r="PW241" s="4"/>
      <c r="PX241" s="4"/>
      <c r="PY241" s="4"/>
      <c r="PZ241" s="4"/>
      <c r="QA241" s="4"/>
      <c r="QB241" s="4"/>
      <c r="QC241" s="4"/>
      <c r="QD241" s="4"/>
      <c r="QE241" s="4"/>
      <c r="QF241" s="4"/>
      <c r="QG241" s="4"/>
      <c r="QH241" s="4"/>
      <c r="QI241" s="4"/>
      <c r="QJ241" s="4"/>
      <c r="QK241" s="4"/>
      <c r="QL241" s="4"/>
      <c r="QM241" s="4"/>
      <c r="QN241" s="4"/>
      <c r="QO241" s="4"/>
      <c r="QP241" s="4"/>
      <c r="QQ241" s="4"/>
      <c r="QR241" s="4"/>
      <c r="QS241" s="4"/>
      <c r="QT241" s="4"/>
      <c r="QU241" s="4"/>
      <c r="QV241" s="4"/>
      <c r="QW241" s="4"/>
      <c r="QX241" s="4"/>
      <c r="QY241" s="4"/>
      <c r="QZ241" s="4"/>
      <c r="RA241" s="4"/>
      <c r="RB241" s="4"/>
      <c r="RC241" s="4"/>
      <c r="RD241" s="4"/>
      <c r="RE241" s="4"/>
      <c r="RF241" s="4"/>
      <c r="RG241" s="4"/>
      <c r="RH241" s="4"/>
      <c r="RI241" s="4"/>
      <c r="RJ241" s="4"/>
      <c r="RK241" s="4"/>
      <c r="RL241" s="4"/>
      <c r="RM241" s="4"/>
      <c r="RN241" s="4"/>
      <c r="RO241" s="4"/>
      <c r="RP241" s="4"/>
      <c r="RQ241" s="4"/>
      <c r="RR241" s="4"/>
      <c r="RS241" s="4"/>
      <c r="RT241" s="4"/>
      <c r="RU241" s="4"/>
      <c r="RV241" s="4"/>
      <c r="RW241" s="4"/>
      <c r="RX241" s="4"/>
      <c r="RY241" s="4"/>
      <c r="RZ241" s="4"/>
      <c r="SA241" s="4"/>
      <c r="SB241" s="4"/>
      <c r="SC241" s="4"/>
      <c r="SD241" s="4"/>
      <c r="SE241" s="4"/>
      <c r="SF241" s="4"/>
      <c r="SG241" s="4"/>
      <c r="SH241" s="4"/>
      <c r="SI241" s="4"/>
      <c r="SJ241" s="4"/>
      <c r="SK241" s="4"/>
      <c r="SL241" s="4"/>
      <c r="SM241" s="4"/>
      <c r="SN241" s="4"/>
      <c r="SO241" s="4"/>
      <c r="SP241" s="4"/>
      <c r="SQ241" s="4"/>
      <c r="SR241" s="4"/>
      <c r="SS241" s="4"/>
      <c r="ST241" s="4"/>
      <c r="SU241" s="4"/>
      <c r="SV241" s="4"/>
      <c r="SW241" s="4"/>
      <c r="SX241" s="4"/>
      <c r="SY241" s="4"/>
      <c r="SZ241" s="4"/>
      <c r="TA241" s="4"/>
      <c r="TB241" s="4"/>
      <c r="TC241" s="4"/>
      <c r="TD241" s="4"/>
      <c r="TE241" s="4"/>
      <c r="TF241" s="4"/>
      <c r="TG241" s="4"/>
      <c r="TH241" s="4"/>
      <c r="TI241" s="4"/>
      <c r="TJ241" s="4"/>
      <c r="TK241" s="4"/>
      <c r="TL241" s="4"/>
      <c r="TM241" s="4"/>
      <c r="TN241" s="4"/>
      <c r="TO241" s="4"/>
      <c r="TP241" s="4"/>
      <c r="TQ241" s="4"/>
      <c r="TR241" s="4"/>
      <c r="TS241" s="4"/>
      <c r="TT241" s="4"/>
      <c r="TU241" s="4"/>
      <c r="TV241" s="4"/>
      <c r="TW241" s="4"/>
      <c r="TX241" s="4"/>
      <c r="TY241" s="4"/>
      <c r="TZ241" s="4"/>
      <c r="UA241" s="4"/>
      <c r="UB241" s="4"/>
      <c r="UC241" s="4"/>
      <c r="UD241" s="4"/>
      <c r="UE241" s="4"/>
      <c r="UF241" s="4"/>
      <c r="UG241" s="4"/>
      <c r="UH241" s="4"/>
      <c r="UI241" s="4"/>
      <c r="UJ241" s="4"/>
      <c r="UK241" s="4"/>
      <c r="UL241" s="4"/>
      <c r="UM241" s="4"/>
      <c r="UN241" s="4"/>
      <c r="UO241" s="4"/>
      <c r="UP241" s="4"/>
      <c r="UQ241" s="4"/>
      <c r="UR241" s="4"/>
      <c r="US241" s="4"/>
      <c r="UT241" s="4"/>
      <c r="UU241" s="4"/>
      <c r="UV241" s="4"/>
      <c r="UW241" s="4"/>
      <c r="UX241" s="4"/>
      <c r="UY241" s="4"/>
      <c r="UZ241" s="4"/>
      <c r="VA241" s="4"/>
      <c r="VB241" s="4"/>
      <c r="VC241" s="4"/>
      <c r="VD241" s="4"/>
      <c r="VE241" s="4"/>
      <c r="VF241" s="4"/>
      <c r="VG241" s="4"/>
      <c r="VH241" s="4"/>
      <c r="VI241" s="4"/>
      <c r="VJ241" s="4"/>
      <c r="VK241" s="4"/>
      <c r="VL241" s="4"/>
      <c r="VM241" s="4"/>
      <c r="VN241" s="4"/>
      <c r="VO241" s="4"/>
      <c r="VP241" s="4"/>
      <c r="VQ241" s="4"/>
      <c r="VR241" s="4"/>
      <c r="VS241" s="4"/>
      <c r="VT241" s="4"/>
      <c r="VU241" s="4"/>
      <c r="VV241" s="4"/>
      <c r="VW241" s="4"/>
      <c r="VX241" s="4"/>
      <c r="VY241" s="4"/>
      <c r="VZ241" s="4"/>
      <c r="WA241" s="4"/>
      <c r="WB241" s="4"/>
      <c r="WC241" s="4"/>
      <c r="WD241" s="4"/>
      <c r="WE241" s="4"/>
      <c r="WF241" s="4"/>
      <c r="WG241" s="4"/>
      <c r="WH241" s="4"/>
      <c r="WI241" s="4"/>
      <c r="WJ241" s="4"/>
      <c r="WK241" s="4"/>
      <c r="WL241" s="4"/>
      <c r="WM241" s="4"/>
      <c r="WN241" s="4"/>
      <c r="WO241" s="4"/>
      <c r="WP241" s="4"/>
      <c r="WQ241" s="4"/>
      <c r="WR241" s="4"/>
      <c r="WS241" s="4"/>
      <c r="WT241" s="4"/>
      <c r="WU241" s="4"/>
      <c r="WV241" s="4"/>
      <c r="WW241" s="4"/>
      <c r="WX241" s="4"/>
      <c r="WY241" s="4"/>
      <c r="WZ241" s="4"/>
      <c r="XA241" s="4"/>
      <c r="XB241" s="4"/>
      <c r="XC241" s="4"/>
      <c r="XD241" s="4"/>
      <c r="XE241" s="4"/>
      <c r="XF241" s="4"/>
      <c r="XG241" s="4"/>
      <c r="XH241" s="4"/>
      <c r="XI241" s="4"/>
      <c r="XJ241" s="4"/>
      <c r="XK241" s="4"/>
      <c r="XL241" s="4"/>
      <c r="XM241" s="4"/>
      <c r="XN241" s="4"/>
      <c r="XO241" s="4"/>
      <c r="XP241" s="4"/>
      <c r="XQ241" s="4"/>
      <c r="XR241" s="4"/>
      <c r="XS241" s="4"/>
      <c r="XT241" s="4"/>
      <c r="XU241" s="4"/>
      <c r="XV241" s="4"/>
      <c r="XW241" s="4"/>
      <c r="XX241" s="4"/>
      <c r="XY241" s="4"/>
      <c r="XZ241" s="4"/>
      <c r="YA241" s="4"/>
      <c r="YB241" s="4"/>
      <c r="YC241" s="4"/>
      <c r="YD241" s="4"/>
      <c r="YE241" s="4"/>
      <c r="YF241" s="4"/>
      <c r="YG241" s="4"/>
      <c r="YH241" s="4"/>
      <c r="YI241" s="4"/>
      <c r="YJ241" s="4"/>
      <c r="YK241" s="4"/>
      <c r="YL241" s="4"/>
      <c r="YM241" s="4"/>
      <c r="YN241" s="4"/>
      <c r="YO241" s="4"/>
      <c r="YP241" s="4"/>
      <c r="YQ241" s="4"/>
      <c r="YR241" s="4"/>
      <c r="YS241" s="4"/>
      <c r="YT241" s="4"/>
      <c r="YU241" s="4"/>
      <c r="YV241" s="4"/>
      <c r="YW241" s="4"/>
      <c r="YX241" s="4"/>
      <c r="YY241" s="4"/>
      <c r="YZ241" s="4"/>
      <c r="ZA241" s="4"/>
      <c r="ZB241" s="4"/>
      <c r="ZC241" s="4"/>
      <c r="ZD241" s="4"/>
      <c r="ZE241" s="4"/>
      <c r="ZF241" s="4"/>
      <c r="ZG241" s="4"/>
      <c r="ZH241" s="4"/>
      <c r="ZI241" s="4"/>
      <c r="ZJ241" s="4"/>
      <c r="ZK241" s="4"/>
      <c r="ZL241" s="4"/>
      <c r="ZM241" s="4"/>
      <c r="ZN241" s="4"/>
      <c r="ZO241" s="4"/>
      <c r="ZP241" s="4"/>
      <c r="ZQ241" s="4"/>
      <c r="ZR241" s="4"/>
      <c r="ZS241" s="4"/>
      <c r="ZT241" s="4"/>
      <c r="ZU241" s="4"/>
      <c r="ZV241" s="4"/>
      <c r="ZW241" s="4"/>
      <c r="ZX241" s="4"/>
      <c r="ZY241" s="4"/>
      <c r="ZZ241" s="4"/>
      <c r="AAA241" s="4"/>
      <c r="AAB241" s="4"/>
      <c r="AAC241" s="4"/>
      <c r="AAD241" s="4"/>
      <c r="AAE241" s="4"/>
      <c r="AAF241" s="4"/>
      <c r="AAG241" s="4"/>
      <c r="AAH241" s="4"/>
      <c r="AAI241" s="4"/>
      <c r="AAJ241" s="4"/>
      <c r="AAK241" s="4"/>
      <c r="AAL241" s="4"/>
      <c r="AAM241" s="4"/>
      <c r="AAN241" s="4"/>
      <c r="AAO241" s="4"/>
      <c r="AAP241" s="4"/>
      <c r="AAQ241" s="4"/>
      <c r="AAR241" s="4"/>
      <c r="AAS241" s="4"/>
      <c r="AAT241" s="4"/>
      <c r="AAU241" s="4"/>
      <c r="AAV241" s="4"/>
      <c r="AAW241" s="4"/>
      <c r="AAX241" s="4"/>
      <c r="AAY241" s="4"/>
      <c r="AAZ241" s="4"/>
      <c r="ABA241" s="4"/>
      <c r="ABB241" s="4"/>
      <c r="ABC241" s="4"/>
      <c r="ABD241" s="4"/>
      <c r="ABE241" s="4"/>
      <c r="ABF241" s="4"/>
      <c r="ABG241" s="4"/>
      <c r="ABH241" s="4"/>
      <c r="ABI241" s="4"/>
      <c r="ABJ241" s="4"/>
      <c r="ABK241" s="4"/>
      <c r="ABL241" s="4"/>
      <c r="ABM241" s="4"/>
      <c r="ABN241" s="4"/>
      <c r="ABO241" s="4"/>
      <c r="ABP241" s="4"/>
      <c r="ABQ241" s="4"/>
      <c r="ABR241" s="4"/>
      <c r="ABS241" s="4"/>
      <c r="ABT241" s="4"/>
      <c r="ABU241" s="4"/>
      <c r="ABV241" s="4"/>
      <c r="ABW241" s="4"/>
      <c r="ABX241" s="4"/>
      <c r="ABY241" s="4"/>
      <c r="ABZ241" s="4"/>
      <c r="ACA241" s="4"/>
      <c r="ACB241" s="4"/>
      <c r="ACC241" s="4"/>
      <c r="ACD241" s="4"/>
      <c r="ACE241" s="4"/>
      <c r="ACF241" s="4"/>
      <c r="ACG241" s="4"/>
      <c r="ACH241" s="4"/>
      <c r="ACI241" s="4"/>
      <c r="ACJ241" s="4"/>
      <c r="ACK241" s="4"/>
      <c r="ACL241" s="4"/>
      <c r="ACM241" s="4"/>
      <c r="ACN241" s="4"/>
      <c r="ACO241" s="4"/>
      <c r="ACP241" s="4"/>
      <c r="ACQ241" s="4"/>
      <c r="ACR241" s="4"/>
      <c r="ACS241" s="4"/>
      <c r="ACT241" s="4"/>
      <c r="ACU241" s="4"/>
      <c r="ACV241" s="4"/>
      <c r="ACW241" s="4"/>
      <c r="ACX241" s="4"/>
      <c r="ACY241" s="4"/>
      <c r="ACZ241" s="4"/>
      <c r="ADA241" s="4"/>
      <c r="ADB241" s="4"/>
      <c r="ADC241" s="4"/>
      <c r="ADD241" s="4"/>
      <c r="ADE241" s="4"/>
      <c r="ADF241" s="4"/>
      <c r="ADG241" s="4"/>
      <c r="ADH241" s="4"/>
      <c r="ADI241" s="4"/>
      <c r="ADJ241" s="4"/>
      <c r="ADK241" s="4"/>
      <c r="ADL241" s="4"/>
      <c r="ADM241" s="4"/>
      <c r="ADN241" s="4"/>
      <c r="ADO241" s="4"/>
      <c r="ADP241" s="4"/>
      <c r="ADQ241" s="4"/>
      <c r="ADR241" s="4"/>
      <c r="ADS241" s="4"/>
      <c r="ADT241" s="4"/>
      <c r="ADU241" s="4"/>
      <c r="ADV241" s="4"/>
      <c r="ADW241" s="4"/>
      <c r="ADX241" s="4"/>
      <c r="ADY241" s="4"/>
      <c r="ADZ241" s="4"/>
      <c r="AEA241" s="4"/>
      <c r="AEB241" s="4"/>
      <c r="AEC241" s="4"/>
      <c r="AED241" s="4"/>
      <c r="AEE241" s="4"/>
      <c r="AEF241" s="4"/>
      <c r="AEG241" s="4"/>
      <c r="AEH241" s="4"/>
      <c r="AEI241" s="4"/>
      <c r="AEJ241" s="4"/>
      <c r="AEK241" s="4"/>
      <c r="AEL241" s="4"/>
      <c r="AEM241" s="4"/>
      <c r="AEN241" s="4"/>
      <c r="AEO241" s="4"/>
      <c r="AEP241" s="4"/>
      <c r="AEQ241" s="4"/>
      <c r="AER241" s="4"/>
      <c r="AES241" s="4"/>
      <c r="AET241" s="4"/>
      <c r="AEU241" s="4"/>
      <c r="AEV241" s="4"/>
      <c r="AEW241" s="4"/>
      <c r="AEX241" s="4"/>
      <c r="AEY241" s="4"/>
      <c r="AEZ241" s="4"/>
      <c r="AFA241" s="4"/>
      <c r="AFB241" s="4"/>
      <c r="AFC241" s="4"/>
      <c r="AFD241" s="4"/>
      <c r="AFE241" s="4"/>
      <c r="AFF241" s="4"/>
      <c r="AFG241" s="4"/>
      <c r="AFH241" s="4"/>
      <c r="AFI241" s="4"/>
      <c r="AFJ241" s="4"/>
      <c r="AFK241" s="4"/>
      <c r="AFL241" s="4"/>
      <c r="AFM241" s="4"/>
      <c r="AFN241" s="4"/>
      <c r="AFO241" s="4"/>
      <c r="AFP241" s="4"/>
      <c r="AFQ241" s="4"/>
      <c r="AFR241" s="4"/>
      <c r="AFS241" s="4"/>
      <c r="AFT241" s="4"/>
      <c r="AFU241" s="4"/>
      <c r="AFV241" s="4"/>
      <c r="AFW241" s="4"/>
      <c r="AFX241" s="4"/>
      <c r="AFY241" s="4"/>
      <c r="AFZ241" s="4"/>
      <c r="AGA241" s="4"/>
      <c r="AGB241" s="4"/>
      <c r="AGC241" s="4"/>
      <c r="AGD241" s="4"/>
      <c r="AGE241" s="4"/>
      <c r="AGF241" s="4"/>
      <c r="AGG241" s="4"/>
      <c r="AGH241" s="4"/>
      <c r="AGI241" s="4"/>
      <c r="AGJ241" s="4"/>
      <c r="AGK241" s="4"/>
      <c r="AGL241" s="4"/>
      <c r="AGM241" s="4"/>
      <c r="AGN241" s="4"/>
      <c r="AGO241" s="4"/>
      <c r="AGP241" s="4"/>
      <c r="AGQ241" s="4"/>
      <c r="AGR241" s="4"/>
      <c r="AGS241" s="4"/>
      <c r="AGT241" s="4"/>
      <c r="AGU241" s="4"/>
      <c r="AGV241" s="4"/>
      <c r="AGW241" s="4"/>
      <c r="AGX241" s="4"/>
      <c r="AGY241" s="4"/>
      <c r="AGZ241" s="4"/>
      <c r="AHA241" s="4"/>
      <c r="AHB241" s="4"/>
      <c r="AHC241" s="4"/>
      <c r="AHD241" s="4"/>
      <c r="AHE241" s="4"/>
      <c r="AHF241" s="4"/>
      <c r="AHG241" s="4"/>
      <c r="AHH241" s="4"/>
      <c r="AHI241" s="4"/>
      <c r="AHJ241" s="4"/>
      <c r="AHK241" s="4"/>
      <c r="AHL241" s="4"/>
      <c r="AHM241" s="4"/>
      <c r="AHN241" s="4"/>
      <c r="AHO241" s="4"/>
      <c r="AHP241" s="4"/>
      <c r="AHQ241" s="4"/>
      <c r="AHR241" s="4"/>
      <c r="AHS241" s="4"/>
      <c r="AHT241" s="4"/>
      <c r="AHU241" s="4"/>
      <c r="AHV241" s="4"/>
      <c r="AHW241" s="4"/>
      <c r="AHX241" s="4"/>
      <c r="AHY241" s="4"/>
      <c r="AHZ241" s="4"/>
      <c r="AIA241" s="4"/>
      <c r="AIB241" s="4"/>
      <c r="AIC241" s="4"/>
      <c r="AID241" s="4"/>
      <c r="AIE241" s="4"/>
      <c r="AIF241" s="4"/>
      <c r="AIG241" s="4"/>
      <c r="AIH241" s="4"/>
      <c r="AII241" s="4"/>
      <c r="AIJ241" s="4"/>
      <c r="AIK241" s="4"/>
      <c r="AIL241" s="4"/>
      <c r="AIM241" s="4"/>
      <c r="AIN241" s="4"/>
      <c r="AIO241" s="4"/>
      <c r="AIP241" s="4"/>
      <c r="AIQ241" s="4"/>
      <c r="AIR241" s="4"/>
      <c r="AIS241" s="4"/>
      <c r="AIT241" s="4"/>
      <c r="AIU241" s="4"/>
      <c r="AIV241" s="4"/>
      <c r="AIW241" s="4"/>
      <c r="AIX241" s="4"/>
      <c r="AIY241" s="4"/>
      <c r="AIZ241" s="4"/>
      <c r="AJA241" s="4"/>
      <c r="AJB241" s="4"/>
      <c r="AJC241" s="4"/>
      <c r="AJD241" s="4"/>
      <c r="AJE241" s="4"/>
      <c r="AJF241" s="4"/>
      <c r="AJG241" s="4"/>
      <c r="AJH241" s="4"/>
      <c r="AJI241" s="4"/>
      <c r="AJJ241" s="4"/>
      <c r="AJK241" s="4"/>
      <c r="AJL241" s="4"/>
      <c r="AJM241" s="4"/>
      <c r="AJN241" s="4"/>
      <c r="AJO241" s="4"/>
      <c r="AJP241" s="4"/>
      <c r="AJQ241" s="4"/>
      <c r="AJR241" s="4"/>
      <c r="AJS241" s="4"/>
      <c r="AJT241" s="4"/>
      <c r="AJU241" s="4"/>
      <c r="AJV241" s="4"/>
      <c r="AJW241" s="4"/>
      <c r="AJX241" s="4"/>
      <c r="AJY241" s="4"/>
      <c r="AJZ241" s="4"/>
      <c r="AKA241" s="4"/>
      <c r="AKB241" s="4"/>
      <c r="AKC241" s="4"/>
      <c r="AKD241" s="4"/>
      <c r="AKE241" s="4"/>
      <c r="AKF241" s="4"/>
      <c r="AKG241" s="4"/>
      <c r="AKH241" s="4"/>
      <c r="AKI241" s="4"/>
      <c r="AKJ241" s="4"/>
      <c r="AKK241" s="4"/>
      <c r="AKL241" s="4"/>
      <c r="AKM241" s="4"/>
      <c r="AKN241" s="4"/>
      <c r="AKO241" s="4"/>
      <c r="AKP241" s="4"/>
      <c r="AKQ241" s="4"/>
      <c r="AKR241" s="4"/>
      <c r="AKS241" s="4"/>
      <c r="AKT241" s="4"/>
      <c r="AKU241" s="4"/>
      <c r="AKV241" s="4"/>
      <c r="AKW241" s="4"/>
      <c r="AKX241" s="4"/>
      <c r="AKY241" s="4"/>
      <c r="AKZ241" s="4"/>
      <c r="ALA241" s="4"/>
      <c r="ALB241" s="4"/>
      <c r="ALC241" s="4"/>
      <c r="ALD241" s="4"/>
      <c r="ALE241" s="4"/>
      <c r="ALF241" s="4"/>
      <c r="ALG241" s="4"/>
      <c r="ALH241" s="4"/>
      <c r="ALI241" s="4"/>
      <c r="ALJ241" s="4"/>
      <c r="ALK241" s="4"/>
      <c r="ALL241" s="4"/>
      <c r="ALM241" s="4"/>
      <c r="ALN241" s="4"/>
      <c r="ALO241" s="4"/>
      <c r="ALP241" s="4"/>
      <c r="ALQ241" s="4"/>
      <c r="ALR241" s="4"/>
      <c r="ALS241" s="4"/>
      <c r="ALT241" s="4"/>
      <c r="ALU241" s="4"/>
      <c r="ALV241" s="4"/>
      <c r="ALW241" s="4"/>
      <c r="ALX241" s="4"/>
      <c r="ALY241" s="4"/>
      <c r="ALZ241" s="4"/>
      <c r="AMA241" s="4"/>
      <c r="AMB241" s="4"/>
      <c r="AMC241" s="4"/>
      <c r="AMD241" s="4"/>
      <c r="AME241" s="4"/>
      <c r="AMF241" s="4"/>
      <c r="AMG241" s="4"/>
      <c r="AMH241" s="4"/>
      <c r="AMI241" s="4"/>
      <c r="AMJ241" s="4"/>
      <c r="AMK241" s="4"/>
      <c r="AML241" s="4"/>
      <c r="AMM241" s="4"/>
      <c r="AMN241" s="4"/>
      <c r="AMO241" s="4"/>
      <c r="AMP241" s="4"/>
      <c r="AMQ241" s="4"/>
      <c r="AMR241" s="4"/>
      <c r="AMS241" s="4"/>
      <c r="AMT241" s="4"/>
      <c r="AMU241" s="4"/>
      <c r="AMV241" s="4"/>
      <c r="AMW241" s="4"/>
      <c r="AMX241" s="4"/>
      <c r="AMY241" s="4"/>
      <c r="AMZ241" s="4"/>
      <c r="ANA241" s="4"/>
      <c r="ANB241" s="4"/>
      <c r="ANC241" s="4"/>
      <c r="AND241" s="4"/>
      <c r="ANE241" s="4"/>
      <c r="ANF241" s="4"/>
      <c r="ANG241" s="4"/>
      <c r="ANH241" s="4"/>
      <c r="ANI241" s="4"/>
      <c r="ANJ241" s="4"/>
      <c r="ANK241" s="4"/>
      <c r="ANL241" s="4"/>
      <c r="ANM241" s="4"/>
      <c r="ANN241" s="4"/>
      <c r="ANO241" s="4"/>
      <c r="ANP241" s="4"/>
      <c r="ANQ241" s="4"/>
      <c r="ANR241" s="4"/>
      <c r="ANS241" s="4"/>
      <c r="ANT241" s="4"/>
      <c r="ANU241" s="4"/>
      <c r="ANV241" s="4"/>
      <c r="ANW241" s="4"/>
      <c r="ANX241" s="4"/>
      <c r="ANY241" s="4"/>
      <c r="ANZ241" s="4"/>
      <c r="AOA241" s="4"/>
      <c r="AOB241" s="4"/>
      <c r="AOC241" s="4"/>
      <c r="AOD241" s="4"/>
      <c r="AOE241" s="4"/>
      <c r="AOF241" s="4"/>
      <c r="AOG241" s="4"/>
      <c r="AOH241" s="4"/>
      <c r="AOI241" s="4"/>
      <c r="AOJ241" s="4"/>
      <c r="AOK241" s="4"/>
      <c r="AOL241" s="4"/>
      <c r="AOM241" s="4"/>
      <c r="AON241" s="4"/>
      <c r="AOO241" s="4"/>
      <c r="AOP241" s="4"/>
      <c r="AOQ241" s="4"/>
      <c r="AOR241" s="4"/>
      <c r="AOS241" s="4"/>
      <c r="AOT241" s="4"/>
      <c r="AOU241" s="4"/>
      <c r="AOV241" s="4"/>
      <c r="AOW241" s="4"/>
      <c r="AOX241" s="4"/>
      <c r="AOY241" s="4"/>
      <c r="AOZ241" s="4"/>
      <c r="APA241" s="4"/>
      <c r="APB241" s="4"/>
      <c r="APC241" s="4"/>
      <c r="APD241" s="4"/>
      <c r="APE241" s="4"/>
      <c r="APF241" s="4"/>
      <c r="APG241" s="4"/>
      <c r="APH241" s="4"/>
      <c r="API241" s="4"/>
      <c r="APJ241" s="4"/>
      <c r="APK241" s="4"/>
      <c r="APL241" s="4"/>
      <c r="APM241" s="4"/>
      <c r="APN241" s="4"/>
      <c r="APO241" s="4"/>
      <c r="APP241" s="4"/>
      <c r="APQ241" s="4"/>
      <c r="APR241" s="4"/>
      <c r="APS241" s="4"/>
      <c r="APT241" s="4"/>
      <c r="APU241" s="4"/>
      <c r="APV241" s="4"/>
      <c r="APW241" s="4"/>
      <c r="APX241" s="4"/>
      <c r="APY241" s="4"/>
      <c r="APZ241" s="4"/>
      <c r="AQA241" s="4"/>
      <c r="AQB241" s="4"/>
      <c r="AQC241" s="4"/>
      <c r="AQD241" s="4"/>
      <c r="AQE241" s="4"/>
      <c r="AQF241" s="4"/>
      <c r="AQG241" s="4"/>
      <c r="AQH241" s="4"/>
      <c r="AQI241" s="4"/>
      <c r="AQJ241" s="4"/>
      <c r="AQK241" s="4"/>
      <c r="AQL241" s="4"/>
      <c r="AQM241" s="4"/>
      <c r="AQN241" s="4"/>
      <c r="AQO241" s="4"/>
      <c r="AQP241" s="4"/>
      <c r="AQQ241" s="4"/>
      <c r="AQR241" s="4"/>
      <c r="AQS241" s="4"/>
      <c r="AQT241" s="4"/>
      <c r="AQU241" s="4"/>
      <c r="AQV241" s="4"/>
      <c r="AQW241" s="4"/>
      <c r="AQX241" s="4"/>
      <c r="AQY241" s="4"/>
      <c r="AQZ241" s="4"/>
      <c r="ARA241" s="4"/>
      <c r="ARB241" s="4"/>
      <c r="ARC241" s="4"/>
      <c r="ARD241" s="4"/>
      <c r="ARE241" s="4"/>
      <c r="ARF241" s="4"/>
      <c r="ARG241" s="4"/>
      <c r="ARH241" s="4"/>
      <c r="ARI241" s="4"/>
      <c r="ARJ241" s="4"/>
      <c r="ARK241" s="4"/>
      <c r="ARL241" s="4"/>
      <c r="ARM241" s="4"/>
      <c r="ARN241" s="4"/>
      <c r="ARO241" s="4"/>
      <c r="ARP241" s="4"/>
      <c r="ARQ241" s="4"/>
      <c r="ARR241" s="4"/>
      <c r="ARS241" s="4"/>
      <c r="ART241" s="4"/>
      <c r="ARU241" s="4"/>
      <c r="ARV241" s="4"/>
      <c r="ARW241" s="4"/>
      <c r="ARX241" s="4"/>
      <c r="ARY241" s="4"/>
      <c r="ARZ241" s="4"/>
      <c r="ASA241" s="4"/>
      <c r="ASB241" s="4"/>
      <c r="ASC241" s="4"/>
      <c r="ASD241" s="4"/>
      <c r="ASE241" s="4"/>
      <c r="ASF241" s="4"/>
      <c r="ASG241" s="4"/>
      <c r="ASH241" s="4"/>
      <c r="ASI241" s="4"/>
      <c r="ASJ241" s="4"/>
      <c r="ASK241" s="4"/>
      <c r="ASL241" s="4"/>
      <c r="ASM241" s="4"/>
      <c r="ASN241" s="4"/>
      <c r="ASO241" s="4"/>
      <c r="ASP241" s="4"/>
      <c r="ASQ241" s="4"/>
      <c r="ASR241" s="4"/>
      <c r="ASS241" s="4"/>
      <c r="AST241" s="4"/>
      <c r="ASU241" s="4"/>
      <c r="ASV241" s="4"/>
      <c r="ASW241" s="4"/>
      <c r="ASX241" s="4"/>
      <c r="ASY241" s="4"/>
      <c r="ASZ241" s="4"/>
      <c r="ATA241" s="4"/>
      <c r="ATB241" s="4"/>
      <c r="ATC241" s="4"/>
      <c r="ATD241" s="4"/>
      <c r="ATE241" s="4"/>
      <c r="ATF241" s="4"/>
      <c r="ATG241" s="4"/>
      <c r="ATH241" s="4"/>
      <c r="ATI241" s="4"/>
      <c r="ATJ241" s="4"/>
      <c r="ATK241" s="4"/>
      <c r="ATL241" s="4"/>
      <c r="ATM241" s="4"/>
      <c r="ATN241" s="4"/>
      <c r="ATO241" s="4"/>
      <c r="ATP241" s="4"/>
      <c r="ATQ241" s="4"/>
      <c r="ATR241" s="4"/>
      <c r="ATS241" s="4"/>
      <c r="ATT241" s="4"/>
      <c r="ATU241" s="4"/>
      <c r="ATV241" s="4"/>
      <c r="ATW241" s="4"/>
      <c r="ATX241" s="4"/>
      <c r="ATY241" s="4"/>
      <c r="ATZ241" s="4"/>
      <c r="AUA241" s="4"/>
      <c r="AUB241" s="4"/>
      <c r="AUC241" s="4"/>
      <c r="AUD241" s="4"/>
      <c r="AUE241" s="4"/>
      <c r="AUF241" s="4"/>
      <c r="AUG241" s="4"/>
      <c r="AUH241" s="4"/>
      <c r="AUI241" s="4"/>
      <c r="AUJ241" s="4"/>
      <c r="AUK241" s="4"/>
      <c r="AUL241" s="4"/>
      <c r="AUM241" s="4"/>
      <c r="AUN241" s="4"/>
      <c r="AUO241" s="4"/>
      <c r="AUP241" s="4"/>
      <c r="AUQ241" s="4"/>
      <c r="AUR241" s="4"/>
      <c r="AUS241" s="4"/>
      <c r="AUT241" s="4"/>
      <c r="AUU241" s="4"/>
      <c r="AUV241" s="4"/>
      <c r="AUW241" s="4"/>
      <c r="AUX241" s="4"/>
      <c r="AUY241" s="4"/>
      <c r="AUZ241" s="4"/>
      <c r="AVA241" s="4"/>
      <c r="AVB241" s="4"/>
      <c r="AVC241" s="4"/>
      <c r="AVD241" s="4"/>
      <c r="AVE241" s="4"/>
      <c r="AVF241" s="4"/>
      <c r="AVG241" s="4"/>
      <c r="AVH241" s="4"/>
      <c r="AVI241" s="4"/>
      <c r="AVJ241" s="4"/>
      <c r="AVK241" s="4"/>
      <c r="AVL241" s="4"/>
      <c r="AVM241" s="4"/>
      <c r="AVN241" s="4"/>
      <c r="AVO241" s="4"/>
      <c r="AVP241" s="4"/>
      <c r="AVQ241" s="4"/>
      <c r="AVR241" s="4"/>
      <c r="AVS241" s="4"/>
      <c r="AVT241" s="4"/>
      <c r="AVU241" s="4"/>
      <c r="AVV241" s="4"/>
      <c r="AVW241" s="4"/>
      <c r="AVX241" s="4"/>
      <c r="AVY241" s="4"/>
      <c r="AVZ241" s="4"/>
      <c r="AWA241" s="4"/>
      <c r="AWB241" s="4"/>
      <c r="AWC241" s="4"/>
      <c r="AWD241" s="4"/>
      <c r="AWE241" s="4"/>
      <c r="AWF241" s="4"/>
      <c r="AWG241" s="4"/>
      <c r="AWH241" s="4"/>
      <c r="AWI241" s="4"/>
      <c r="AWJ241" s="4"/>
      <c r="AWK241" s="4"/>
      <c r="AWL241" s="4"/>
      <c r="AWM241" s="4"/>
      <c r="AWN241" s="4"/>
      <c r="AWO241" s="4"/>
      <c r="AWP241" s="4"/>
      <c r="AWQ241" s="4"/>
      <c r="AWR241" s="4"/>
      <c r="AWS241" s="4"/>
      <c r="AWT241" s="4"/>
      <c r="AWU241" s="4"/>
      <c r="AWV241" s="4"/>
      <c r="AWW241" s="4"/>
      <c r="AWX241" s="4"/>
      <c r="AWY241" s="4"/>
      <c r="AWZ241" s="4"/>
      <c r="AXA241" s="4"/>
      <c r="AXB241" s="4"/>
      <c r="AXC241" s="4"/>
      <c r="AXD241" s="4"/>
      <c r="AXE241" s="4"/>
      <c r="AXF241" s="4"/>
      <c r="AXG241" s="4"/>
      <c r="AXH241" s="4"/>
      <c r="AXI241" s="4"/>
      <c r="AXJ241" s="4"/>
      <c r="AXK241" s="4"/>
      <c r="AXL241" s="4"/>
      <c r="AXM241" s="4"/>
      <c r="AXN241" s="4"/>
      <c r="AXO241" s="4"/>
      <c r="AXP241" s="4"/>
      <c r="AXQ241" s="4"/>
      <c r="AXR241" s="4"/>
      <c r="AXS241" s="4"/>
      <c r="AXT241" s="4"/>
      <c r="AXU241" s="4"/>
      <c r="AXV241" s="4"/>
      <c r="AXW241" s="4"/>
      <c r="AXX241" s="4"/>
      <c r="AXY241" s="4"/>
      <c r="AXZ241" s="4"/>
      <c r="AYA241" s="4"/>
      <c r="AYB241" s="4"/>
      <c r="AYC241" s="4"/>
      <c r="AYD241" s="4"/>
      <c r="AYE241" s="4"/>
      <c r="AYF241" s="4"/>
      <c r="AYG241" s="4"/>
      <c r="AYH241" s="4"/>
      <c r="AYI241" s="4"/>
      <c r="AYJ241" s="4"/>
      <c r="AYK241" s="4"/>
      <c r="AYL241" s="4"/>
      <c r="AYM241" s="4"/>
      <c r="AYN241" s="4"/>
      <c r="AYO241" s="4"/>
      <c r="AYP241" s="4"/>
      <c r="AYQ241" s="4"/>
      <c r="AYR241" s="4"/>
      <c r="AYS241" s="4"/>
      <c r="AYT241" s="4"/>
      <c r="AYU241" s="4"/>
      <c r="AYV241" s="4"/>
      <c r="AYW241" s="4"/>
      <c r="AYX241" s="4"/>
      <c r="AYY241" s="4"/>
      <c r="AYZ241" s="4"/>
      <c r="AZA241" s="4"/>
      <c r="AZB241" s="4"/>
      <c r="AZC241" s="4"/>
      <c r="AZD241" s="4"/>
      <c r="AZE241" s="4"/>
      <c r="AZF241" s="4"/>
      <c r="AZG241" s="4"/>
      <c r="AZH241" s="4"/>
      <c r="AZI241" s="4"/>
      <c r="AZJ241" s="4"/>
      <c r="AZK241" s="4"/>
      <c r="AZL241" s="4"/>
      <c r="AZM241" s="4"/>
      <c r="AZN241" s="4"/>
      <c r="AZO241" s="4"/>
      <c r="AZP241" s="4"/>
      <c r="AZQ241" s="4"/>
      <c r="AZR241" s="4"/>
      <c r="AZS241" s="4"/>
      <c r="AZT241" s="4"/>
      <c r="AZU241" s="4"/>
      <c r="AZV241" s="4"/>
      <c r="AZW241" s="4"/>
      <c r="AZX241" s="4"/>
      <c r="AZY241" s="4"/>
      <c r="AZZ241" s="4"/>
      <c r="BAA241" s="4"/>
      <c r="BAB241" s="4"/>
      <c r="BAC241" s="4"/>
      <c r="BAD241" s="4"/>
      <c r="BAE241" s="4"/>
      <c r="BAF241" s="4"/>
      <c r="BAG241" s="4"/>
      <c r="BAH241" s="4"/>
      <c r="BAI241" s="4"/>
      <c r="BAJ241" s="4"/>
      <c r="BAK241" s="4"/>
      <c r="BAL241" s="4"/>
      <c r="BAM241" s="4"/>
      <c r="BAN241" s="4"/>
      <c r="BAO241" s="4"/>
      <c r="BAP241" s="4"/>
      <c r="BAQ241" s="4"/>
      <c r="BAR241" s="4"/>
      <c r="BAS241" s="4"/>
      <c r="BAT241" s="4"/>
      <c r="BAU241" s="4"/>
      <c r="BAV241" s="4"/>
      <c r="BAW241" s="4"/>
      <c r="BAX241" s="4"/>
      <c r="BAY241" s="4"/>
      <c r="BAZ241" s="4"/>
      <c r="BBA241" s="4"/>
      <c r="BBB241" s="4"/>
      <c r="BBC241" s="4"/>
      <c r="BBD241" s="4"/>
      <c r="BBE241" s="4"/>
      <c r="BBF241" s="4"/>
      <c r="BBG241" s="4"/>
      <c r="BBH241" s="4"/>
      <c r="BBI241" s="4"/>
      <c r="BBJ241" s="4"/>
      <c r="BBK241" s="4"/>
      <c r="BBL241" s="4"/>
      <c r="BBM241" s="4"/>
      <c r="BBN241" s="4"/>
      <c r="BBO241" s="4"/>
      <c r="BBP241" s="4"/>
      <c r="BBQ241" s="4"/>
      <c r="BBR241" s="4"/>
      <c r="BBS241" s="4"/>
      <c r="BBT241" s="4"/>
      <c r="BBU241" s="4"/>
      <c r="BBV241" s="4"/>
      <c r="BBW241" s="4"/>
      <c r="BBX241" s="4"/>
      <c r="BBY241" s="4"/>
      <c r="BBZ241" s="4"/>
      <c r="BCA241" s="4"/>
      <c r="BCB241" s="4"/>
      <c r="BCC241" s="4"/>
      <c r="BCD241" s="4"/>
      <c r="BCE241" s="4"/>
      <c r="BCF241" s="4"/>
      <c r="BCG241" s="4"/>
      <c r="BCH241" s="4"/>
      <c r="BCI241" s="4"/>
      <c r="BCJ241" s="4"/>
      <c r="BCK241" s="4"/>
      <c r="BCL241" s="4"/>
      <c r="BCM241" s="4"/>
      <c r="BCN241" s="4"/>
      <c r="BCO241" s="4"/>
      <c r="BCP241" s="4"/>
      <c r="BCQ241" s="4"/>
      <c r="BCR241" s="4"/>
      <c r="BCS241" s="4"/>
      <c r="BCT241" s="4"/>
      <c r="BCU241" s="4"/>
      <c r="BCV241" s="4"/>
      <c r="BCW241" s="4"/>
      <c r="BCX241" s="4"/>
      <c r="BCY241" s="4"/>
      <c r="BCZ241" s="4"/>
      <c r="BDA241" s="4"/>
      <c r="BDB241" s="4"/>
      <c r="BDC241" s="4"/>
      <c r="BDD241" s="4"/>
      <c r="BDE241" s="4"/>
      <c r="BDF241" s="4"/>
      <c r="BDG241" s="4"/>
      <c r="BDH241" s="4"/>
      <c r="BDI241" s="4"/>
      <c r="BDJ241" s="4"/>
      <c r="BDK241" s="4"/>
      <c r="BDL241" s="4"/>
      <c r="BDM241" s="4"/>
      <c r="BDN241" s="4"/>
      <c r="BDO241" s="4"/>
      <c r="BDP241" s="4"/>
      <c r="BDQ241" s="4"/>
      <c r="BDR241" s="4"/>
      <c r="BDS241" s="4"/>
      <c r="BDT241" s="4"/>
      <c r="BDU241" s="4"/>
      <c r="BDV241" s="4"/>
      <c r="BDW241" s="4"/>
      <c r="BDX241" s="4"/>
      <c r="BDY241" s="4"/>
      <c r="BDZ241" s="4"/>
      <c r="BEA241" s="4"/>
      <c r="BEB241" s="4"/>
      <c r="BEC241" s="4"/>
      <c r="BED241" s="4"/>
      <c r="BEE241" s="4"/>
      <c r="BEF241" s="4"/>
      <c r="BEG241" s="4"/>
      <c r="BEH241" s="4"/>
      <c r="BEI241" s="4"/>
      <c r="BEJ241" s="4"/>
      <c r="BEK241" s="4"/>
      <c r="BEL241" s="4"/>
      <c r="BEM241" s="4"/>
      <c r="BEN241" s="4"/>
      <c r="BEO241" s="4"/>
      <c r="BEP241" s="4"/>
      <c r="BEQ241" s="4"/>
      <c r="BER241" s="4"/>
      <c r="BES241" s="4"/>
      <c r="BET241" s="4"/>
      <c r="BEU241" s="4"/>
      <c r="BEV241" s="4"/>
      <c r="BEW241" s="4"/>
      <c r="BEX241" s="4"/>
      <c r="BEY241" s="4"/>
      <c r="BEZ241" s="4"/>
      <c r="BFA241" s="4"/>
      <c r="BFB241" s="4"/>
      <c r="BFC241" s="4"/>
      <c r="BFD241" s="4"/>
      <c r="BFE241" s="4"/>
      <c r="BFF241" s="4"/>
      <c r="BFG241" s="4"/>
      <c r="BFH241" s="4"/>
      <c r="BFI241" s="4"/>
      <c r="BFJ241" s="4"/>
      <c r="BFK241" s="4"/>
      <c r="BFL241" s="4"/>
      <c r="BFM241" s="4"/>
      <c r="BFN241" s="4"/>
      <c r="BFO241" s="4"/>
      <c r="BFP241" s="4"/>
      <c r="BFQ241" s="4"/>
      <c r="BFR241" s="4"/>
      <c r="BFS241" s="4"/>
      <c r="BFT241" s="4"/>
      <c r="BFU241" s="4"/>
      <c r="BFV241" s="4"/>
      <c r="BFW241" s="4"/>
      <c r="BFX241" s="4"/>
      <c r="BFY241" s="4"/>
      <c r="BFZ241" s="4"/>
      <c r="BGA241" s="4"/>
      <c r="BGB241" s="4"/>
      <c r="BGC241" s="4"/>
      <c r="BGD241" s="4"/>
      <c r="BGE241" s="4"/>
      <c r="BGF241" s="4"/>
      <c r="BGG241" s="4"/>
      <c r="BGH241" s="4"/>
      <c r="BGI241" s="4"/>
      <c r="BGJ241" s="4"/>
      <c r="BGK241" s="4"/>
      <c r="BGL241" s="4"/>
      <c r="BGM241" s="4"/>
      <c r="BGN241" s="4"/>
      <c r="BGO241" s="4"/>
      <c r="BGP241" s="4"/>
      <c r="BGQ241" s="4"/>
      <c r="BGR241" s="4"/>
      <c r="BGS241" s="4"/>
      <c r="BGT241" s="4"/>
      <c r="BGU241" s="4"/>
      <c r="BGV241" s="4"/>
      <c r="BGW241" s="4"/>
      <c r="BGX241" s="4"/>
      <c r="BGY241" s="4"/>
      <c r="BGZ241" s="4"/>
      <c r="BHA241" s="4"/>
      <c r="BHB241" s="4"/>
      <c r="BHC241" s="4"/>
      <c r="BHD241" s="4"/>
      <c r="BHE241" s="4"/>
      <c r="BHF241" s="4"/>
      <c r="BHG241" s="4"/>
      <c r="BHH241" s="4"/>
      <c r="BHI241" s="4"/>
      <c r="BHJ241" s="4"/>
      <c r="BHK241" s="4"/>
      <c r="BHL241" s="4"/>
      <c r="BHM241" s="4"/>
      <c r="BHN241" s="4"/>
      <c r="BHO241" s="4"/>
      <c r="BHP241" s="4"/>
      <c r="BHQ241" s="4"/>
      <c r="BHR241" s="4"/>
      <c r="BHS241" s="4"/>
      <c r="BHT241" s="4"/>
      <c r="BHU241" s="4"/>
      <c r="BHV241" s="4"/>
      <c r="BHW241" s="4"/>
      <c r="BHX241" s="4"/>
      <c r="BHY241" s="4"/>
      <c r="BHZ241" s="4"/>
      <c r="BIA241" s="4"/>
      <c r="BIB241" s="4"/>
      <c r="BIC241" s="4"/>
      <c r="BID241" s="4"/>
      <c r="BIE241" s="4"/>
      <c r="BIF241" s="4"/>
      <c r="BIG241" s="4"/>
      <c r="BIH241" s="4"/>
      <c r="BII241" s="4"/>
      <c r="BIJ241" s="4"/>
      <c r="BIK241" s="4"/>
      <c r="BIL241" s="4"/>
      <c r="BIM241" s="4"/>
      <c r="BIN241" s="4"/>
      <c r="BIO241" s="4"/>
      <c r="BIP241" s="4"/>
      <c r="BIQ241" s="4"/>
      <c r="BIR241" s="4"/>
      <c r="BIS241" s="4"/>
      <c r="BIT241" s="4"/>
      <c r="BIU241" s="4"/>
      <c r="BIV241" s="4"/>
      <c r="BIW241" s="4"/>
      <c r="BIX241" s="4"/>
      <c r="BIY241" s="4"/>
      <c r="BIZ241" s="4"/>
      <c r="BJA241" s="4"/>
      <c r="BJB241" s="4"/>
      <c r="BJC241" s="4"/>
      <c r="BJD241" s="4"/>
      <c r="BJE241" s="4"/>
      <c r="BJF241" s="4"/>
      <c r="BJG241" s="4"/>
      <c r="BJH241" s="4"/>
      <c r="BJI241" s="4"/>
      <c r="BJJ241" s="4"/>
      <c r="BJK241" s="4"/>
      <c r="BJL241" s="4"/>
      <c r="BJM241" s="4"/>
      <c r="BJN241" s="4"/>
      <c r="BJO241" s="4"/>
      <c r="BJP241" s="4"/>
      <c r="BJQ241" s="4"/>
      <c r="BJR241" s="4"/>
      <c r="BJS241" s="4"/>
      <c r="BJT241" s="4"/>
      <c r="BJU241" s="4"/>
      <c r="BJV241" s="4"/>
      <c r="BJW241" s="4"/>
      <c r="BJX241" s="4"/>
      <c r="BJY241" s="4"/>
      <c r="BJZ241" s="4"/>
      <c r="BKA241" s="4"/>
      <c r="BKB241" s="4"/>
      <c r="BKC241" s="4"/>
      <c r="BKD241" s="4"/>
      <c r="BKE241" s="4"/>
      <c r="BKF241" s="4"/>
      <c r="BKG241" s="4"/>
      <c r="BKH241" s="4"/>
      <c r="BKI241" s="4"/>
      <c r="BKJ241" s="4"/>
      <c r="BKK241" s="4"/>
      <c r="BKL241" s="4"/>
      <c r="BKM241" s="4"/>
      <c r="BKN241" s="4"/>
      <c r="BKO241" s="4"/>
      <c r="BKP241" s="4"/>
      <c r="BKQ241" s="4"/>
      <c r="BKR241" s="4"/>
      <c r="BKS241" s="4"/>
      <c r="BKT241" s="4"/>
      <c r="BKU241" s="4"/>
      <c r="BKV241" s="4"/>
      <c r="BKW241" s="4"/>
      <c r="BKX241" s="4"/>
      <c r="BKY241" s="4"/>
      <c r="BKZ241" s="4"/>
      <c r="BLA241" s="4"/>
      <c r="BLB241" s="4"/>
      <c r="BLC241" s="4"/>
      <c r="BLD241" s="4"/>
      <c r="BLE241" s="4"/>
      <c r="BLF241" s="4"/>
      <c r="BLG241" s="4"/>
      <c r="BLH241" s="4"/>
      <c r="BLI241" s="4"/>
      <c r="BLJ241" s="4"/>
      <c r="BLK241" s="4"/>
      <c r="BLL241" s="4"/>
      <c r="BLM241" s="4"/>
      <c r="BLN241" s="4"/>
      <c r="BLO241" s="4"/>
      <c r="BLP241" s="4"/>
      <c r="BLQ241" s="4"/>
      <c r="BLR241" s="4"/>
      <c r="BLS241" s="4"/>
      <c r="BLT241" s="4"/>
      <c r="BLU241" s="4"/>
      <c r="BLV241" s="4"/>
      <c r="BLW241" s="4"/>
      <c r="BLX241" s="4"/>
      <c r="BLY241" s="4"/>
      <c r="BLZ241" s="4"/>
      <c r="BMA241" s="4"/>
      <c r="BMB241" s="4"/>
      <c r="BMC241" s="4"/>
      <c r="BMD241" s="4"/>
      <c r="BME241" s="4"/>
      <c r="BMF241" s="4"/>
      <c r="BMG241" s="4"/>
      <c r="BMH241" s="4"/>
      <c r="BMI241" s="4"/>
      <c r="BMJ241" s="4"/>
      <c r="BMK241" s="4"/>
      <c r="BML241" s="4"/>
      <c r="BMM241" s="4"/>
      <c r="BMN241" s="4"/>
      <c r="BMO241" s="4"/>
      <c r="BMP241" s="4"/>
      <c r="BMQ241" s="4"/>
      <c r="BMR241" s="4"/>
      <c r="BMS241" s="4"/>
      <c r="BMT241" s="4"/>
      <c r="BMU241" s="4"/>
      <c r="BMV241" s="4"/>
      <c r="BMW241" s="4"/>
      <c r="BMX241" s="4"/>
      <c r="BMY241" s="4"/>
      <c r="BMZ241" s="4"/>
      <c r="BNA241" s="4"/>
      <c r="BNB241" s="4"/>
      <c r="BNC241" s="4"/>
      <c r="BND241" s="4"/>
      <c r="BNE241" s="4"/>
      <c r="BNF241" s="4"/>
      <c r="BNG241" s="4"/>
      <c r="BNH241" s="4"/>
      <c r="BNI241" s="4"/>
      <c r="BNJ241" s="4"/>
      <c r="BNK241" s="4"/>
      <c r="BNL241" s="4"/>
      <c r="BNM241" s="4"/>
      <c r="BNN241" s="4"/>
      <c r="BNO241" s="4"/>
      <c r="BNP241" s="4"/>
      <c r="BNQ241" s="4"/>
      <c r="BNR241" s="4"/>
      <c r="BNS241" s="4"/>
      <c r="BNT241" s="4"/>
      <c r="BNU241" s="4"/>
      <c r="BNV241" s="4"/>
      <c r="BNW241" s="4"/>
      <c r="BNX241" s="4"/>
      <c r="BNY241" s="4"/>
      <c r="BNZ241" s="4"/>
      <c r="BOA241" s="4"/>
      <c r="BOB241" s="4"/>
      <c r="BOC241" s="4"/>
      <c r="BOD241" s="4"/>
      <c r="BOE241" s="4"/>
      <c r="BOF241" s="4"/>
      <c r="BOG241" s="4"/>
      <c r="BOH241" s="4"/>
      <c r="BOI241" s="4"/>
      <c r="BOJ241" s="4"/>
      <c r="BOK241" s="4"/>
      <c r="BOL241" s="4"/>
      <c r="BOM241" s="4"/>
      <c r="BON241" s="4"/>
      <c r="BOO241" s="4"/>
      <c r="BOP241" s="4"/>
      <c r="BOQ241" s="4"/>
      <c r="BOR241" s="4"/>
      <c r="BOS241" s="4"/>
      <c r="BOT241" s="4"/>
      <c r="BOU241" s="4"/>
      <c r="BOV241" s="4"/>
      <c r="BOW241" s="4"/>
      <c r="BOX241" s="4"/>
      <c r="BOY241" s="4"/>
      <c r="BOZ241" s="4"/>
      <c r="BPA241" s="4"/>
      <c r="BPB241" s="4"/>
      <c r="BPC241" s="4"/>
      <c r="BPD241" s="4"/>
      <c r="BPE241" s="4"/>
      <c r="BPF241" s="4"/>
      <c r="BPG241" s="4"/>
      <c r="BPH241" s="4"/>
      <c r="BPI241" s="4"/>
      <c r="BPJ241" s="4"/>
      <c r="BPK241" s="4"/>
      <c r="BPL241" s="4"/>
      <c r="BPM241" s="4"/>
      <c r="BPN241" s="4"/>
      <c r="BPO241" s="4"/>
      <c r="BPP241" s="4"/>
      <c r="BPQ241" s="4"/>
      <c r="BPR241" s="4"/>
      <c r="BPS241" s="4"/>
      <c r="BPT241" s="4"/>
      <c r="BPU241" s="4"/>
      <c r="BPV241" s="4"/>
      <c r="BPW241" s="4"/>
      <c r="BPX241" s="4"/>
      <c r="BPY241" s="4"/>
      <c r="BPZ241" s="4"/>
      <c r="BQA241" s="4"/>
      <c r="BQB241" s="4"/>
      <c r="BQC241" s="4"/>
      <c r="BQD241" s="4"/>
      <c r="BQE241" s="4"/>
      <c r="BQF241" s="4"/>
      <c r="BQG241" s="4"/>
      <c r="BQH241" s="4"/>
      <c r="BQI241" s="4"/>
      <c r="BQJ241" s="4"/>
      <c r="BQK241" s="4"/>
      <c r="BQL241" s="4"/>
      <c r="BQM241" s="4"/>
      <c r="BQN241" s="4"/>
      <c r="BQO241" s="4"/>
      <c r="BQP241" s="4"/>
      <c r="BQQ241" s="4"/>
      <c r="BQR241" s="4"/>
      <c r="BQS241" s="4"/>
      <c r="BQT241" s="4"/>
      <c r="BQU241" s="4"/>
      <c r="BQV241" s="4"/>
      <c r="BQW241" s="4"/>
      <c r="BQX241" s="4"/>
      <c r="BQY241" s="4"/>
      <c r="BQZ241" s="4"/>
      <c r="BRA241" s="4"/>
      <c r="BRB241" s="4"/>
      <c r="BRC241" s="4"/>
      <c r="BRD241" s="4"/>
      <c r="BRE241" s="4"/>
      <c r="BRF241" s="4"/>
      <c r="BRG241" s="4"/>
      <c r="BRH241" s="4"/>
      <c r="BRI241" s="4"/>
      <c r="BRJ241" s="4"/>
      <c r="BRK241" s="4"/>
      <c r="BRL241" s="4"/>
      <c r="BRM241" s="4"/>
      <c r="BRN241" s="4"/>
      <c r="BRO241" s="4"/>
      <c r="BRP241" s="4"/>
      <c r="BRQ241" s="4"/>
      <c r="BRR241" s="4"/>
      <c r="BRS241" s="4"/>
      <c r="BRT241" s="4"/>
      <c r="BRU241" s="4"/>
      <c r="BRV241" s="4"/>
      <c r="BRW241" s="4"/>
      <c r="BRX241" s="4"/>
      <c r="BRY241" s="4"/>
      <c r="BRZ241" s="4"/>
      <c r="BSA241" s="4"/>
      <c r="BSB241" s="4"/>
      <c r="BSC241" s="4"/>
      <c r="BSD241" s="4"/>
      <c r="BSE241" s="4"/>
      <c r="BSF241" s="4"/>
      <c r="BSG241" s="4"/>
      <c r="BSH241" s="4"/>
      <c r="BSI241" s="4"/>
      <c r="BSJ241" s="4"/>
      <c r="BSK241" s="4"/>
      <c r="BSL241" s="4"/>
      <c r="BSM241" s="4"/>
      <c r="BSN241" s="4"/>
      <c r="BSO241" s="4"/>
      <c r="BSP241" s="4"/>
      <c r="BSQ241" s="4"/>
      <c r="BSR241" s="4"/>
      <c r="BSS241" s="4"/>
      <c r="BST241" s="4"/>
      <c r="BSU241" s="4"/>
      <c r="BSV241" s="4"/>
      <c r="BSW241" s="4"/>
      <c r="BSX241" s="4"/>
      <c r="BSY241" s="4"/>
      <c r="BSZ241" s="4"/>
      <c r="BTA241" s="4"/>
      <c r="BTB241" s="4"/>
      <c r="BTC241" s="4"/>
      <c r="BTD241" s="4"/>
      <c r="BTE241" s="4"/>
      <c r="BTF241" s="4"/>
      <c r="BTG241" s="4"/>
      <c r="BTH241" s="4"/>
      <c r="BTI241" s="4"/>
      <c r="BTJ241" s="4"/>
      <c r="BTK241" s="4"/>
      <c r="BTL241" s="4"/>
      <c r="BTM241" s="4"/>
      <c r="BTN241" s="4"/>
      <c r="BTO241" s="4"/>
      <c r="BTP241" s="4"/>
      <c r="BTQ241" s="4"/>
      <c r="BTR241" s="4"/>
      <c r="BTS241" s="4"/>
      <c r="BTT241" s="4"/>
      <c r="BTU241" s="4"/>
      <c r="BTV241" s="4"/>
      <c r="BTW241" s="4"/>
      <c r="BTX241" s="4"/>
      <c r="BTY241" s="4"/>
      <c r="BTZ241" s="4"/>
      <c r="BUA241" s="4"/>
      <c r="BUB241" s="4"/>
      <c r="BUC241" s="4"/>
      <c r="BUD241" s="4"/>
      <c r="BUE241" s="4"/>
      <c r="BUF241" s="4"/>
      <c r="BUG241" s="4"/>
      <c r="BUH241" s="4"/>
      <c r="BUI241" s="4"/>
      <c r="BUJ241" s="4"/>
      <c r="BUK241" s="4"/>
      <c r="BUL241" s="4"/>
      <c r="BUM241" s="4"/>
      <c r="BUN241" s="4"/>
      <c r="BUO241" s="4"/>
      <c r="BUP241" s="4"/>
      <c r="BUQ241" s="4"/>
      <c r="BUR241" s="4"/>
      <c r="BUS241" s="4"/>
      <c r="BUT241" s="4"/>
      <c r="BUU241" s="4"/>
      <c r="BUV241" s="4"/>
      <c r="BUW241" s="4"/>
      <c r="BUX241" s="4"/>
      <c r="BUY241" s="4"/>
      <c r="BUZ241" s="4"/>
      <c r="BVA241" s="4"/>
      <c r="BVB241" s="4"/>
      <c r="BVC241" s="4"/>
      <c r="BVD241" s="4"/>
      <c r="BVE241" s="4"/>
      <c r="BVF241" s="4"/>
      <c r="BVG241" s="4"/>
      <c r="BVH241" s="4"/>
      <c r="BVI241" s="4"/>
      <c r="BVJ241" s="4"/>
      <c r="BVK241" s="4"/>
      <c r="BVL241" s="4"/>
      <c r="BVM241" s="4"/>
      <c r="BVN241" s="4"/>
      <c r="BVO241" s="4"/>
      <c r="BVP241" s="4"/>
      <c r="BVQ241" s="4"/>
      <c r="BVR241" s="4"/>
      <c r="BVS241" s="4"/>
      <c r="BVT241" s="4"/>
      <c r="BVU241" s="4"/>
      <c r="BVV241" s="4"/>
      <c r="BVW241" s="4"/>
      <c r="BVX241" s="4"/>
      <c r="BVY241" s="4"/>
      <c r="BVZ241" s="4"/>
      <c r="BWA241" s="4"/>
      <c r="BWB241" s="4"/>
      <c r="BWC241" s="4"/>
      <c r="BWD241" s="4"/>
      <c r="BWE241" s="4"/>
      <c r="BWF241" s="4"/>
      <c r="BWG241" s="4"/>
      <c r="BWH241" s="4"/>
      <c r="BWI241" s="4"/>
      <c r="BWJ241" s="4"/>
      <c r="BWK241" s="4"/>
      <c r="BWL241" s="4"/>
      <c r="BWM241" s="4"/>
      <c r="BWN241" s="4"/>
      <c r="BWO241" s="4"/>
      <c r="BWP241" s="4"/>
      <c r="BWQ241" s="4"/>
      <c r="BWR241" s="4"/>
      <c r="BWS241" s="4"/>
      <c r="BWT241" s="4"/>
      <c r="BWU241" s="4"/>
      <c r="BWV241" s="4"/>
      <c r="BWW241" s="4"/>
      <c r="BWX241" s="4"/>
      <c r="BWY241" s="4"/>
      <c r="BWZ241" s="4"/>
      <c r="BXA241" s="4"/>
      <c r="BXB241" s="4"/>
      <c r="BXC241" s="4"/>
      <c r="BXD241" s="4"/>
      <c r="BXE241" s="4"/>
      <c r="BXF241" s="4"/>
      <c r="BXG241" s="4"/>
      <c r="BXH241" s="4"/>
      <c r="BXI241" s="4"/>
      <c r="BXJ241" s="4"/>
      <c r="BXK241" s="4"/>
      <c r="BXL241" s="4"/>
      <c r="BXM241" s="4"/>
      <c r="BXN241" s="4"/>
      <c r="BXO241" s="4"/>
      <c r="BXP241" s="4"/>
      <c r="BXQ241" s="4"/>
      <c r="BXR241" s="4"/>
      <c r="BXS241" s="4"/>
      <c r="BXT241" s="4"/>
      <c r="BXU241" s="4"/>
      <c r="BXV241" s="4"/>
      <c r="BXW241" s="4"/>
      <c r="BXX241" s="4"/>
      <c r="BXY241" s="4"/>
      <c r="BXZ241" s="4"/>
      <c r="BYA241" s="4"/>
      <c r="BYB241" s="4"/>
      <c r="BYC241" s="4"/>
      <c r="BYD241" s="4"/>
      <c r="BYE241" s="4"/>
      <c r="BYF241" s="4"/>
      <c r="BYG241" s="4"/>
      <c r="BYH241" s="4"/>
      <c r="BYI241" s="4"/>
      <c r="BYJ241" s="4"/>
      <c r="BYK241" s="4"/>
      <c r="BYL241" s="4"/>
      <c r="BYM241" s="4"/>
      <c r="BYN241" s="4"/>
      <c r="BYO241" s="4"/>
      <c r="BYP241" s="4"/>
      <c r="BYQ241" s="4"/>
      <c r="BYR241" s="4"/>
      <c r="BYS241" s="4"/>
      <c r="BYT241" s="4"/>
      <c r="BYU241" s="4"/>
      <c r="BYV241" s="4"/>
      <c r="BYW241" s="4"/>
      <c r="BYX241" s="4"/>
      <c r="BYY241" s="4"/>
      <c r="BYZ241" s="4"/>
      <c r="BZA241" s="4"/>
      <c r="BZB241" s="4"/>
      <c r="BZC241" s="4"/>
      <c r="BZD241" s="4"/>
      <c r="BZE241" s="4"/>
      <c r="BZF241" s="4"/>
      <c r="BZG241" s="4"/>
      <c r="BZH241" s="4"/>
      <c r="BZI241" s="4"/>
      <c r="BZJ241" s="4"/>
      <c r="BZK241" s="4"/>
      <c r="BZL241" s="4"/>
      <c r="BZM241" s="4"/>
      <c r="BZN241" s="4"/>
      <c r="BZO241" s="4"/>
      <c r="BZP241" s="4"/>
      <c r="BZQ241" s="4"/>
      <c r="BZR241" s="4"/>
      <c r="BZS241" s="4"/>
      <c r="BZT241" s="4"/>
      <c r="BZU241" s="4"/>
      <c r="BZV241" s="4"/>
      <c r="BZW241" s="4"/>
      <c r="BZX241" s="4"/>
      <c r="BZY241" s="4"/>
      <c r="BZZ241" s="4"/>
      <c r="CAA241" s="4"/>
      <c r="CAB241" s="4"/>
      <c r="CAC241" s="4"/>
      <c r="CAD241" s="4"/>
      <c r="CAE241" s="4"/>
      <c r="CAF241" s="4"/>
      <c r="CAG241" s="4"/>
      <c r="CAH241" s="4"/>
      <c r="CAI241" s="4"/>
      <c r="CAJ241" s="4"/>
      <c r="CAK241" s="4"/>
      <c r="CAL241" s="4"/>
      <c r="CAM241" s="4"/>
      <c r="CAN241" s="4"/>
      <c r="CAO241" s="4"/>
      <c r="CAP241" s="4"/>
      <c r="CAQ241" s="4"/>
      <c r="CAR241" s="4"/>
      <c r="CAS241" s="4"/>
      <c r="CAT241" s="4"/>
      <c r="CAU241" s="4"/>
      <c r="CAV241" s="4"/>
      <c r="CAW241" s="4"/>
      <c r="CAX241" s="4"/>
      <c r="CAY241" s="4"/>
      <c r="CAZ241" s="4"/>
      <c r="CBA241" s="4"/>
      <c r="CBB241" s="4"/>
      <c r="CBC241" s="4"/>
      <c r="CBD241" s="4"/>
      <c r="CBE241" s="4"/>
      <c r="CBF241" s="4"/>
      <c r="CBG241" s="4"/>
      <c r="CBH241" s="4"/>
      <c r="CBI241" s="4"/>
      <c r="CBJ241" s="4"/>
      <c r="CBK241" s="4"/>
      <c r="CBL241" s="4"/>
      <c r="CBM241" s="4"/>
      <c r="CBN241" s="4"/>
      <c r="CBO241" s="4"/>
      <c r="CBP241" s="4"/>
      <c r="CBQ241" s="4"/>
      <c r="CBR241" s="4"/>
      <c r="CBS241" s="4"/>
      <c r="CBT241" s="4"/>
      <c r="CBU241" s="4"/>
      <c r="CBV241" s="4"/>
      <c r="CBW241" s="4"/>
      <c r="CBX241" s="4"/>
      <c r="CBY241" s="4"/>
      <c r="CBZ241" s="4"/>
      <c r="CCA241" s="4"/>
      <c r="CCB241" s="4"/>
      <c r="CCC241" s="4"/>
      <c r="CCD241" s="4"/>
      <c r="CCE241" s="4"/>
      <c r="CCF241" s="4"/>
      <c r="CCG241" s="4"/>
      <c r="CCH241" s="4"/>
      <c r="CCI241" s="4"/>
      <c r="CCJ241" s="4"/>
      <c r="CCK241" s="4"/>
      <c r="CCL241" s="4"/>
      <c r="CCM241" s="4"/>
      <c r="CCN241" s="4"/>
      <c r="CCO241" s="4"/>
      <c r="CCP241" s="4"/>
      <c r="CCQ241" s="4"/>
      <c r="CCR241" s="4"/>
      <c r="CCS241" s="4"/>
      <c r="CCT241" s="4"/>
      <c r="CCU241" s="4"/>
      <c r="CCV241" s="4"/>
      <c r="CCW241" s="4"/>
      <c r="CCX241" s="4"/>
      <c r="CCY241" s="4"/>
      <c r="CCZ241" s="4"/>
      <c r="CDA241" s="4"/>
      <c r="CDB241" s="4"/>
      <c r="CDC241" s="4"/>
      <c r="CDD241" s="4"/>
      <c r="CDE241" s="4"/>
      <c r="CDF241" s="4"/>
      <c r="CDG241" s="4"/>
      <c r="CDH241" s="4"/>
      <c r="CDI241" s="4"/>
      <c r="CDJ241" s="4"/>
      <c r="CDK241" s="4"/>
      <c r="CDL241" s="4"/>
      <c r="CDM241" s="4"/>
      <c r="CDN241" s="4"/>
      <c r="CDO241" s="4"/>
      <c r="CDP241" s="4"/>
      <c r="CDQ241" s="4"/>
      <c r="CDR241" s="4"/>
      <c r="CDS241" s="4"/>
      <c r="CDT241" s="4"/>
      <c r="CDU241" s="4"/>
      <c r="CDV241" s="4"/>
      <c r="CDW241" s="4"/>
      <c r="CDX241" s="4"/>
      <c r="CDY241" s="4"/>
      <c r="CDZ241" s="4"/>
      <c r="CEA241" s="4"/>
      <c r="CEB241" s="4"/>
      <c r="CEC241" s="4"/>
      <c r="CED241" s="4"/>
      <c r="CEE241" s="4"/>
      <c r="CEF241" s="4"/>
      <c r="CEG241" s="4"/>
      <c r="CEH241" s="4"/>
      <c r="CEI241" s="4"/>
      <c r="CEJ241" s="4"/>
      <c r="CEK241" s="4"/>
      <c r="CEL241" s="4"/>
      <c r="CEM241" s="4"/>
      <c r="CEN241" s="4"/>
      <c r="CEO241" s="4"/>
      <c r="CEP241" s="4"/>
      <c r="CEQ241" s="4"/>
      <c r="CER241" s="4"/>
      <c r="CES241" s="4"/>
      <c r="CET241" s="4"/>
      <c r="CEU241" s="4"/>
      <c r="CEV241" s="4"/>
      <c r="CEW241" s="4"/>
      <c r="CEX241" s="4"/>
      <c r="CEY241" s="4"/>
      <c r="CEZ241" s="4"/>
      <c r="CFA241" s="4"/>
      <c r="CFB241" s="4"/>
      <c r="CFC241" s="4"/>
      <c r="CFD241" s="4"/>
      <c r="CFE241" s="4"/>
      <c r="CFF241" s="4"/>
      <c r="CFG241" s="4"/>
      <c r="CFH241" s="4"/>
      <c r="CFI241" s="4"/>
      <c r="CFJ241" s="4"/>
      <c r="CFK241" s="4"/>
      <c r="CFL241" s="4"/>
      <c r="CFM241" s="4"/>
      <c r="CFN241" s="4"/>
      <c r="CFO241" s="4"/>
      <c r="CFP241" s="4"/>
      <c r="CFQ241" s="4"/>
      <c r="CFR241" s="4"/>
      <c r="CFS241" s="4"/>
      <c r="CFT241" s="4"/>
      <c r="CFU241" s="4"/>
      <c r="CFV241" s="4"/>
      <c r="CFW241" s="4"/>
      <c r="CFX241" s="4"/>
      <c r="CFY241" s="4"/>
      <c r="CFZ241" s="4"/>
      <c r="CGA241" s="4"/>
      <c r="CGB241" s="4"/>
      <c r="CGC241" s="4"/>
      <c r="CGD241" s="4"/>
      <c r="CGE241" s="4"/>
      <c r="CGF241" s="4"/>
      <c r="CGG241" s="4"/>
      <c r="CGH241" s="4"/>
      <c r="CGI241" s="4"/>
      <c r="CGJ241" s="4"/>
      <c r="CGK241" s="4"/>
      <c r="CGL241" s="4"/>
      <c r="CGM241" s="4"/>
      <c r="CGN241" s="4"/>
      <c r="CGO241" s="4"/>
      <c r="CGP241" s="4"/>
      <c r="CGQ241" s="4"/>
      <c r="CGR241" s="4"/>
      <c r="CGS241" s="4"/>
      <c r="CGT241" s="4"/>
      <c r="CGU241" s="4"/>
      <c r="CGV241" s="4"/>
      <c r="CGW241" s="4"/>
      <c r="CGX241" s="4"/>
      <c r="CGY241" s="4"/>
      <c r="CGZ241" s="4"/>
      <c r="CHA241" s="4"/>
      <c r="CHB241" s="4"/>
      <c r="CHC241" s="4"/>
      <c r="CHD241" s="4"/>
      <c r="CHE241" s="4"/>
      <c r="CHF241" s="4"/>
      <c r="CHG241" s="4"/>
      <c r="CHH241" s="4"/>
      <c r="CHI241" s="4"/>
      <c r="CHJ241" s="4"/>
      <c r="CHK241" s="4"/>
      <c r="CHL241" s="4"/>
      <c r="CHM241" s="4"/>
      <c r="CHN241" s="4"/>
      <c r="CHO241" s="4"/>
      <c r="CHP241" s="4"/>
      <c r="CHQ241" s="4"/>
      <c r="CHR241" s="4"/>
      <c r="CHS241" s="4"/>
      <c r="CHT241" s="4"/>
      <c r="CHU241" s="4"/>
      <c r="CHV241" s="4"/>
      <c r="CHW241" s="4"/>
      <c r="CHX241" s="4"/>
      <c r="CHY241" s="4"/>
      <c r="CHZ241" s="4"/>
      <c r="CIA241" s="4"/>
      <c r="CIB241" s="4"/>
      <c r="CIC241" s="4"/>
      <c r="CID241" s="4"/>
      <c r="CIE241" s="4"/>
      <c r="CIF241" s="4"/>
      <c r="CIG241" s="4"/>
      <c r="CIH241" s="4"/>
      <c r="CII241" s="4"/>
      <c r="CIJ241" s="4"/>
      <c r="CIK241" s="4"/>
      <c r="CIL241" s="4"/>
      <c r="CIM241" s="4"/>
      <c r="CIN241" s="4"/>
      <c r="CIO241" s="4"/>
      <c r="CIP241" s="4"/>
      <c r="CIQ241" s="4"/>
      <c r="CIR241" s="4"/>
      <c r="CIS241" s="4"/>
      <c r="CIT241" s="4"/>
      <c r="CIU241" s="4"/>
      <c r="CIV241" s="4"/>
      <c r="CIW241" s="4"/>
      <c r="CIX241" s="4"/>
      <c r="CIY241" s="4"/>
      <c r="CIZ241" s="4"/>
      <c r="CJA241" s="4"/>
      <c r="CJB241" s="4"/>
      <c r="CJC241" s="4"/>
      <c r="CJD241" s="4"/>
      <c r="CJE241" s="4"/>
      <c r="CJF241" s="4"/>
      <c r="CJG241" s="4"/>
      <c r="CJH241" s="4"/>
      <c r="CJI241" s="4"/>
      <c r="CJJ241" s="4"/>
      <c r="CJK241" s="4"/>
      <c r="CJL241" s="4"/>
      <c r="CJM241" s="4"/>
      <c r="CJN241" s="4"/>
      <c r="CJO241" s="4"/>
      <c r="CJP241" s="4"/>
      <c r="CJQ241" s="4"/>
      <c r="CJR241" s="4"/>
      <c r="CJS241" s="4"/>
      <c r="CJT241" s="4"/>
      <c r="CJU241" s="4"/>
      <c r="CJV241" s="4"/>
      <c r="CJW241" s="4"/>
      <c r="CJX241" s="4"/>
      <c r="CJY241" s="4"/>
      <c r="CJZ241" s="4"/>
      <c r="CKA241" s="4"/>
      <c r="CKB241" s="4"/>
      <c r="CKC241" s="4"/>
      <c r="CKD241" s="4"/>
      <c r="CKE241" s="4"/>
      <c r="CKF241" s="4"/>
      <c r="CKG241" s="4"/>
      <c r="CKH241" s="4"/>
      <c r="CKI241" s="4"/>
      <c r="CKJ241" s="4"/>
      <c r="CKK241" s="4"/>
      <c r="CKL241" s="4"/>
      <c r="CKM241" s="4"/>
      <c r="CKN241" s="4"/>
      <c r="CKO241" s="4"/>
      <c r="CKP241" s="4"/>
      <c r="CKQ241" s="4"/>
      <c r="CKR241" s="4"/>
      <c r="CKS241" s="4"/>
      <c r="CKT241" s="4"/>
      <c r="CKU241" s="4"/>
      <c r="CKV241" s="4"/>
      <c r="CKW241" s="4"/>
      <c r="CKX241" s="4"/>
      <c r="CKY241" s="4"/>
      <c r="CKZ241" s="4"/>
      <c r="CLA241" s="4"/>
      <c r="CLB241" s="4"/>
      <c r="CLC241" s="4"/>
      <c r="CLD241" s="4"/>
      <c r="CLE241" s="4"/>
      <c r="CLF241" s="4"/>
      <c r="CLG241" s="4"/>
      <c r="CLH241" s="4"/>
      <c r="CLI241" s="4"/>
      <c r="CLJ241" s="4"/>
      <c r="CLK241" s="4"/>
      <c r="CLL241" s="4"/>
      <c r="CLM241" s="4"/>
      <c r="CLN241" s="4"/>
      <c r="CLO241" s="4"/>
      <c r="CLP241" s="4"/>
      <c r="CLQ241" s="4"/>
      <c r="CLR241" s="4"/>
      <c r="CLS241" s="4"/>
      <c r="CLT241" s="4"/>
      <c r="CLU241" s="4"/>
      <c r="CLV241" s="4"/>
      <c r="CLW241" s="4"/>
      <c r="CLX241" s="4"/>
      <c r="CLY241" s="4"/>
      <c r="CLZ241" s="4"/>
      <c r="CMA241" s="4"/>
      <c r="CMB241" s="4"/>
      <c r="CMC241" s="4"/>
      <c r="CMD241" s="4"/>
      <c r="CME241" s="4"/>
      <c r="CMF241" s="4"/>
      <c r="CMG241" s="4"/>
      <c r="CMH241" s="4"/>
      <c r="CMI241" s="4"/>
      <c r="CMJ241" s="4"/>
      <c r="CMK241" s="4"/>
      <c r="CML241" s="4"/>
      <c r="CMM241" s="4"/>
      <c r="CMN241" s="4"/>
      <c r="CMO241" s="4"/>
      <c r="CMP241" s="4"/>
      <c r="CMQ241" s="4"/>
      <c r="CMR241" s="4"/>
      <c r="CMS241" s="4"/>
      <c r="CMT241" s="4"/>
      <c r="CMU241" s="4"/>
      <c r="CMV241" s="4"/>
      <c r="CMW241" s="4"/>
      <c r="CMX241" s="4"/>
      <c r="CMY241" s="4"/>
      <c r="CMZ241" s="4"/>
      <c r="CNA241" s="4"/>
      <c r="CNB241" s="4"/>
      <c r="CNC241" s="4"/>
      <c r="CND241" s="4"/>
      <c r="CNE241" s="4"/>
      <c r="CNF241" s="4"/>
      <c r="CNG241" s="4"/>
      <c r="CNH241" s="4"/>
      <c r="CNI241" s="4"/>
      <c r="CNJ241" s="4"/>
      <c r="CNK241" s="4"/>
      <c r="CNL241" s="4"/>
      <c r="CNM241" s="4"/>
      <c r="CNN241" s="4"/>
      <c r="CNO241" s="4"/>
      <c r="CNP241" s="4"/>
      <c r="CNQ241" s="4"/>
      <c r="CNR241" s="4"/>
      <c r="CNS241" s="4"/>
      <c r="CNT241" s="4"/>
      <c r="CNU241" s="4"/>
      <c r="CNV241" s="4"/>
      <c r="CNW241" s="4"/>
      <c r="CNX241" s="4"/>
      <c r="CNY241" s="4"/>
      <c r="CNZ241" s="4"/>
      <c r="COA241" s="4"/>
      <c r="COB241" s="4"/>
      <c r="COC241" s="4"/>
      <c r="COD241" s="4"/>
      <c r="COE241" s="4"/>
      <c r="COF241" s="4"/>
      <c r="COG241" s="4"/>
      <c r="COH241" s="4"/>
      <c r="COI241" s="4"/>
      <c r="COJ241" s="4"/>
      <c r="COK241" s="4"/>
      <c r="COL241" s="4"/>
      <c r="COM241" s="4"/>
      <c r="CON241" s="4"/>
      <c r="COO241" s="4"/>
      <c r="COP241" s="4"/>
      <c r="COQ241" s="4"/>
      <c r="COR241" s="4"/>
      <c r="COS241" s="4"/>
      <c r="COT241" s="4"/>
      <c r="COU241" s="4"/>
      <c r="COV241" s="4"/>
      <c r="COW241" s="4"/>
      <c r="COX241" s="4"/>
      <c r="COY241" s="4"/>
      <c r="COZ241" s="4"/>
      <c r="CPA241" s="4"/>
      <c r="CPB241" s="4"/>
      <c r="CPC241" s="4"/>
      <c r="CPD241" s="4"/>
      <c r="CPE241" s="4"/>
      <c r="CPF241" s="4"/>
      <c r="CPG241" s="4"/>
      <c r="CPH241" s="4"/>
      <c r="CPI241" s="4"/>
      <c r="CPJ241" s="4"/>
      <c r="CPK241" s="4"/>
      <c r="CPL241" s="4"/>
      <c r="CPM241" s="4"/>
      <c r="CPN241" s="4"/>
      <c r="CPO241" s="4"/>
      <c r="CPP241" s="4"/>
      <c r="CPQ241" s="4"/>
      <c r="CPR241" s="4"/>
      <c r="CPS241" s="4"/>
      <c r="CPT241" s="4"/>
      <c r="CPU241" s="4"/>
      <c r="CPV241" s="4"/>
      <c r="CPW241" s="4"/>
      <c r="CPX241" s="4"/>
      <c r="CPY241" s="4"/>
      <c r="CPZ241" s="4"/>
      <c r="CQA241" s="4"/>
      <c r="CQB241" s="4"/>
      <c r="CQC241" s="4"/>
      <c r="CQD241" s="4"/>
      <c r="CQE241" s="4"/>
      <c r="CQF241" s="4"/>
      <c r="CQG241" s="4"/>
      <c r="CQH241" s="4"/>
      <c r="CQI241" s="4"/>
      <c r="CQJ241" s="4"/>
      <c r="CQK241" s="4"/>
      <c r="CQL241" s="4"/>
      <c r="CQM241" s="4"/>
      <c r="CQN241" s="4"/>
      <c r="CQO241" s="4"/>
      <c r="CQP241" s="4"/>
      <c r="CQQ241" s="4"/>
      <c r="CQR241" s="4"/>
      <c r="CQS241" s="4"/>
      <c r="CQT241" s="4"/>
      <c r="CQU241" s="4"/>
      <c r="CQV241" s="4"/>
      <c r="CQW241" s="4"/>
      <c r="CQX241" s="4"/>
      <c r="CQY241" s="4"/>
      <c r="CQZ241" s="4"/>
      <c r="CRA241" s="4"/>
      <c r="CRB241" s="4"/>
      <c r="CRC241" s="4"/>
      <c r="CRD241" s="4"/>
      <c r="CRE241" s="4"/>
      <c r="CRF241" s="4"/>
      <c r="CRG241" s="4"/>
      <c r="CRH241" s="4"/>
      <c r="CRI241" s="4"/>
      <c r="CRJ241" s="4"/>
      <c r="CRK241" s="4"/>
      <c r="CRL241" s="4"/>
      <c r="CRM241" s="4"/>
      <c r="CRN241" s="4"/>
      <c r="CRO241" s="4"/>
      <c r="CRP241" s="4"/>
      <c r="CRQ241" s="4"/>
      <c r="CRR241" s="4"/>
      <c r="CRS241" s="4"/>
      <c r="CRT241" s="4"/>
      <c r="CRU241" s="4"/>
      <c r="CRV241" s="4"/>
      <c r="CRW241" s="4"/>
      <c r="CRX241" s="4"/>
      <c r="CRY241" s="4"/>
      <c r="CRZ241" s="4"/>
      <c r="CSA241" s="4"/>
      <c r="CSB241" s="4"/>
      <c r="CSC241" s="4"/>
      <c r="CSD241" s="4"/>
      <c r="CSE241" s="4"/>
      <c r="CSF241" s="4"/>
      <c r="CSG241" s="4"/>
      <c r="CSH241" s="4"/>
      <c r="CSI241" s="4"/>
      <c r="CSJ241" s="4"/>
      <c r="CSK241" s="4"/>
      <c r="CSL241" s="4"/>
      <c r="CSM241" s="4"/>
      <c r="CSN241" s="4"/>
      <c r="CSO241" s="4"/>
      <c r="CSP241" s="4"/>
      <c r="CSQ241" s="4"/>
      <c r="CSR241" s="4"/>
      <c r="CSS241" s="4"/>
      <c r="CST241" s="4"/>
      <c r="CSU241" s="4"/>
      <c r="CSV241" s="4"/>
      <c r="CSW241" s="4"/>
      <c r="CSX241" s="4"/>
      <c r="CSY241" s="4"/>
      <c r="CSZ241" s="4"/>
      <c r="CTA241" s="4"/>
      <c r="CTB241" s="4"/>
      <c r="CTC241" s="4"/>
      <c r="CTD241" s="4"/>
      <c r="CTE241" s="4"/>
      <c r="CTF241" s="4"/>
      <c r="CTG241" s="4"/>
      <c r="CTH241" s="4"/>
      <c r="CTI241" s="4"/>
      <c r="CTJ241" s="4"/>
      <c r="CTK241" s="4"/>
      <c r="CTL241" s="4"/>
      <c r="CTM241" s="4"/>
      <c r="CTN241" s="4"/>
      <c r="CTO241" s="4"/>
      <c r="CTP241" s="4"/>
      <c r="CTQ241" s="4"/>
      <c r="CTR241" s="4"/>
      <c r="CTS241" s="4"/>
      <c r="CTT241" s="4"/>
      <c r="CTU241" s="4"/>
      <c r="CTV241" s="4"/>
      <c r="CTW241" s="4"/>
      <c r="CTX241" s="4"/>
      <c r="CTY241" s="4"/>
      <c r="CTZ241" s="4"/>
      <c r="CUA241" s="4"/>
      <c r="CUB241" s="4"/>
      <c r="CUC241" s="4"/>
      <c r="CUD241" s="4"/>
      <c r="CUE241" s="4"/>
      <c r="CUF241" s="4"/>
      <c r="CUG241" s="4"/>
      <c r="CUH241" s="4"/>
      <c r="CUI241" s="4"/>
      <c r="CUJ241" s="4"/>
      <c r="CUK241" s="4"/>
      <c r="CUL241" s="4"/>
      <c r="CUM241" s="4"/>
      <c r="CUN241" s="4"/>
      <c r="CUO241" s="4"/>
      <c r="CUP241" s="4"/>
      <c r="CUQ241" s="4"/>
      <c r="CUR241" s="4"/>
      <c r="CUS241" s="4"/>
      <c r="CUT241" s="4"/>
      <c r="CUU241" s="4"/>
      <c r="CUV241" s="4"/>
      <c r="CUW241" s="4"/>
      <c r="CUX241" s="4"/>
      <c r="CUY241" s="4"/>
      <c r="CUZ241" s="4"/>
      <c r="CVA241" s="4"/>
      <c r="CVB241" s="4"/>
      <c r="CVC241" s="4"/>
      <c r="CVD241" s="4"/>
      <c r="CVE241" s="4"/>
      <c r="CVF241" s="4"/>
      <c r="CVG241" s="4"/>
      <c r="CVH241" s="4"/>
      <c r="CVI241" s="4"/>
      <c r="CVJ241" s="4"/>
      <c r="CVK241" s="4"/>
      <c r="CVL241" s="4"/>
      <c r="CVM241" s="4"/>
      <c r="CVN241" s="4"/>
      <c r="CVO241" s="4"/>
      <c r="CVP241" s="4"/>
      <c r="CVQ241" s="4"/>
      <c r="CVR241" s="4"/>
      <c r="CVS241" s="4"/>
      <c r="CVT241" s="4"/>
      <c r="CVU241" s="4"/>
      <c r="CVV241" s="4"/>
      <c r="CVW241" s="4"/>
      <c r="CVX241" s="4"/>
      <c r="CVY241" s="4"/>
      <c r="CVZ241" s="4"/>
      <c r="CWA241" s="4"/>
      <c r="CWB241" s="4"/>
      <c r="CWC241" s="4"/>
      <c r="CWD241" s="4"/>
      <c r="CWE241" s="4"/>
      <c r="CWF241" s="4"/>
      <c r="CWG241" s="4"/>
      <c r="CWH241" s="4"/>
      <c r="CWI241" s="4"/>
      <c r="CWJ241" s="4"/>
      <c r="CWK241" s="4"/>
      <c r="CWL241" s="4"/>
      <c r="CWM241" s="4"/>
      <c r="CWN241" s="4"/>
      <c r="CWO241" s="4"/>
      <c r="CWP241" s="4"/>
      <c r="CWQ241" s="4"/>
      <c r="CWR241" s="4"/>
      <c r="CWS241" s="4"/>
      <c r="CWT241" s="4"/>
      <c r="CWU241" s="4"/>
      <c r="CWV241" s="4"/>
      <c r="CWW241" s="4"/>
      <c r="CWX241" s="4"/>
      <c r="CWY241" s="4"/>
      <c r="CWZ241" s="4"/>
      <c r="CXA241" s="4"/>
      <c r="CXB241" s="4"/>
      <c r="CXC241" s="4"/>
      <c r="CXD241" s="4"/>
      <c r="CXE241" s="4"/>
      <c r="CXF241" s="4"/>
      <c r="CXG241" s="4"/>
      <c r="CXH241" s="4"/>
      <c r="CXI241" s="4"/>
      <c r="CXJ241" s="4"/>
      <c r="CXK241" s="4"/>
      <c r="CXL241" s="4"/>
      <c r="CXM241" s="4"/>
      <c r="CXN241" s="4"/>
      <c r="CXO241" s="4"/>
      <c r="CXP241" s="4"/>
      <c r="CXQ241" s="4"/>
      <c r="CXR241" s="4"/>
      <c r="CXS241" s="4"/>
      <c r="CXT241" s="4"/>
      <c r="CXU241" s="4"/>
      <c r="CXV241" s="4"/>
      <c r="CXW241" s="4"/>
      <c r="CXX241" s="4"/>
      <c r="CXY241" s="4"/>
      <c r="CXZ241" s="4"/>
      <c r="CYA241" s="4"/>
      <c r="CYB241" s="4"/>
      <c r="CYC241" s="4"/>
      <c r="CYD241" s="4"/>
      <c r="CYE241" s="4"/>
      <c r="CYF241" s="4"/>
      <c r="CYG241" s="4"/>
      <c r="CYH241" s="4"/>
      <c r="CYI241" s="4"/>
      <c r="CYJ241" s="4"/>
      <c r="CYK241" s="4"/>
      <c r="CYL241" s="4"/>
      <c r="CYM241" s="4"/>
      <c r="CYN241" s="4"/>
      <c r="CYO241" s="4"/>
      <c r="CYP241" s="4"/>
      <c r="CYQ241" s="4"/>
      <c r="CYR241" s="4"/>
      <c r="CYS241" s="4"/>
      <c r="CYT241" s="4"/>
      <c r="CYU241" s="4"/>
      <c r="CYV241" s="4"/>
      <c r="CYW241" s="4"/>
      <c r="CYX241" s="4"/>
      <c r="CYY241" s="4"/>
      <c r="CYZ241" s="4"/>
      <c r="CZA241" s="4"/>
      <c r="CZB241" s="4"/>
      <c r="CZC241" s="4"/>
      <c r="CZD241" s="4"/>
      <c r="CZE241" s="4"/>
      <c r="CZF241" s="4"/>
      <c r="CZG241" s="4"/>
      <c r="CZH241" s="4"/>
      <c r="CZI241" s="4"/>
      <c r="CZJ241" s="4"/>
      <c r="CZK241" s="4"/>
      <c r="CZL241" s="4"/>
      <c r="CZM241" s="4"/>
      <c r="CZN241" s="4"/>
      <c r="CZO241" s="4"/>
      <c r="CZP241" s="4"/>
      <c r="CZQ241" s="4"/>
      <c r="CZR241" s="4"/>
      <c r="CZS241" s="4"/>
      <c r="CZT241" s="4"/>
      <c r="CZU241" s="4"/>
      <c r="CZV241" s="4"/>
      <c r="CZW241" s="4"/>
      <c r="CZX241" s="4"/>
      <c r="CZY241" s="4"/>
      <c r="CZZ241" s="4"/>
      <c r="DAA241" s="4"/>
      <c r="DAB241" s="4"/>
      <c r="DAC241" s="4"/>
      <c r="DAD241" s="4"/>
      <c r="DAE241" s="4"/>
      <c r="DAF241" s="4"/>
      <c r="DAG241" s="4"/>
      <c r="DAH241" s="4"/>
      <c r="DAI241" s="4"/>
      <c r="DAJ241" s="4"/>
      <c r="DAK241" s="4"/>
      <c r="DAL241" s="4"/>
      <c r="DAM241" s="4"/>
      <c r="DAN241" s="4"/>
      <c r="DAO241" s="4"/>
      <c r="DAP241" s="4"/>
      <c r="DAQ241" s="4"/>
      <c r="DAR241" s="4"/>
      <c r="DAS241" s="4"/>
      <c r="DAT241" s="4"/>
      <c r="DAU241" s="4"/>
      <c r="DAV241" s="4"/>
      <c r="DAW241" s="4"/>
      <c r="DAX241" s="4"/>
      <c r="DAY241" s="4"/>
      <c r="DAZ241" s="4"/>
      <c r="DBA241" s="4"/>
      <c r="DBB241" s="4"/>
      <c r="DBC241" s="4"/>
      <c r="DBD241" s="4"/>
      <c r="DBE241" s="4"/>
      <c r="DBF241" s="4"/>
      <c r="DBG241" s="4"/>
      <c r="DBH241" s="4"/>
      <c r="DBI241" s="4"/>
      <c r="DBJ241" s="4"/>
      <c r="DBK241" s="4"/>
      <c r="DBL241" s="4"/>
      <c r="DBM241" s="4"/>
      <c r="DBN241" s="4"/>
      <c r="DBO241" s="4"/>
      <c r="DBP241" s="4"/>
      <c r="DBQ241" s="4"/>
      <c r="DBR241" s="4"/>
      <c r="DBS241" s="4"/>
      <c r="DBT241" s="4"/>
      <c r="DBU241" s="4"/>
      <c r="DBV241" s="4"/>
      <c r="DBW241" s="4"/>
      <c r="DBX241" s="4"/>
      <c r="DBY241" s="4"/>
      <c r="DBZ241" s="4"/>
      <c r="DCA241" s="4"/>
      <c r="DCB241" s="4"/>
      <c r="DCC241" s="4"/>
      <c r="DCD241" s="4"/>
      <c r="DCE241" s="4"/>
      <c r="DCF241" s="4"/>
      <c r="DCG241" s="4"/>
      <c r="DCH241" s="4"/>
      <c r="DCI241" s="4"/>
      <c r="DCJ241" s="4"/>
      <c r="DCK241" s="4"/>
      <c r="DCL241" s="4"/>
      <c r="DCM241" s="4"/>
      <c r="DCN241" s="4"/>
      <c r="DCO241" s="4"/>
      <c r="DCP241" s="4"/>
      <c r="DCQ241" s="4"/>
      <c r="DCR241" s="4"/>
      <c r="DCS241" s="4"/>
      <c r="DCT241" s="4"/>
      <c r="DCU241" s="4"/>
      <c r="DCV241" s="4"/>
      <c r="DCW241" s="4"/>
      <c r="DCX241" s="4"/>
      <c r="DCY241" s="4"/>
      <c r="DCZ241" s="4"/>
      <c r="DDA241" s="4"/>
      <c r="DDB241" s="4"/>
      <c r="DDC241" s="4"/>
      <c r="DDD241" s="4"/>
      <c r="DDE241" s="4"/>
      <c r="DDF241" s="4"/>
      <c r="DDG241" s="4"/>
      <c r="DDH241" s="4"/>
      <c r="DDI241" s="4"/>
      <c r="DDJ241" s="4"/>
      <c r="DDK241" s="4"/>
      <c r="DDL241" s="4"/>
      <c r="DDM241" s="4"/>
      <c r="DDN241" s="4"/>
      <c r="DDO241" s="4"/>
      <c r="DDP241" s="4"/>
      <c r="DDQ241" s="4"/>
      <c r="DDR241" s="4"/>
      <c r="DDS241" s="4"/>
      <c r="DDT241" s="4"/>
      <c r="DDU241" s="4"/>
      <c r="DDV241" s="4"/>
      <c r="DDW241" s="4"/>
      <c r="DDX241" s="4"/>
      <c r="DDY241" s="4"/>
      <c r="DDZ241" s="4"/>
      <c r="DEA241" s="4"/>
      <c r="DEB241" s="4"/>
      <c r="DEC241" s="4"/>
      <c r="DED241" s="4"/>
      <c r="DEE241" s="4"/>
      <c r="DEF241" s="4"/>
      <c r="DEG241" s="4"/>
      <c r="DEH241" s="4"/>
      <c r="DEI241" s="4"/>
      <c r="DEJ241" s="4"/>
      <c r="DEK241" s="4"/>
      <c r="DEL241" s="4"/>
      <c r="DEM241" s="4"/>
      <c r="DEN241" s="4"/>
      <c r="DEO241" s="4"/>
      <c r="DEP241" s="4"/>
      <c r="DEQ241" s="4"/>
      <c r="DER241" s="4"/>
      <c r="DES241" s="4"/>
      <c r="DET241" s="4"/>
      <c r="DEU241" s="4"/>
      <c r="DEV241" s="4"/>
      <c r="DEW241" s="4"/>
      <c r="DEX241" s="4"/>
      <c r="DEY241" s="4"/>
      <c r="DEZ241" s="4"/>
      <c r="DFA241" s="4"/>
      <c r="DFB241" s="4"/>
      <c r="DFC241" s="4"/>
      <c r="DFD241" s="4"/>
      <c r="DFE241" s="4"/>
      <c r="DFF241" s="4"/>
      <c r="DFG241" s="4"/>
      <c r="DFH241" s="4"/>
      <c r="DFI241" s="4"/>
      <c r="DFJ241" s="4"/>
      <c r="DFK241" s="4"/>
      <c r="DFL241" s="4"/>
      <c r="DFM241" s="4"/>
      <c r="DFN241" s="4"/>
      <c r="DFO241" s="4"/>
      <c r="DFP241" s="4"/>
      <c r="DFQ241" s="4"/>
      <c r="DFR241" s="4"/>
      <c r="DFS241" s="4"/>
      <c r="DFT241" s="4"/>
      <c r="DFU241" s="4"/>
      <c r="DFV241" s="4"/>
      <c r="DFW241" s="4"/>
      <c r="DFX241" s="4"/>
      <c r="DFY241" s="4"/>
      <c r="DFZ241" s="4"/>
      <c r="DGA241" s="4"/>
      <c r="DGB241" s="4"/>
      <c r="DGC241" s="4"/>
      <c r="DGD241" s="4"/>
      <c r="DGE241" s="4"/>
      <c r="DGF241" s="4"/>
      <c r="DGG241" s="4"/>
      <c r="DGH241" s="4"/>
      <c r="DGI241" s="4"/>
      <c r="DGJ241" s="4"/>
      <c r="DGK241" s="4"/>
      <c r="DGL241" s="4"/>
      <c r="DGM241" s="4"/>
      <c r="DGN241" s="4"/>
      <c r="DGO241" s="4"/>
      <c r="DGP241" s="4"/>
      <c r="DGQ241" s="4"/>
      <c r="DGR241" s="4"/>
      <c r="DGS241" s="4"/>
      <c r="DGT241" s="4"/>
      <c r="DGU241" s="4"/>
      <c r="DGV241" s="4"/>
      <c r="DGW241" s="4"/>
      <c r="DGX241" s="4"/>
      <c r="DGY241" s="4"/>
      <c r="DGZ241" s="4"/>
      <c r="DHA241" s="4"/>
      <c r="DHB241" s="4"/>
      <c r="DHC241" s="4"/>
      <c r="DHD241" s="4"/>
      <c r="DHE241" s="4"/>
      <c r="DHF241" s="4"/>
      <c r="DHG241" s="4"/>
      <c r="DHH241" s="4"/>
      <c r="DHI241" s="4"/>
      <c r="DHJ241" s="4"/>
      <c r="DHK241" s="4"/>
      <c r="DHL241" s="4"/>
      <c r="DHM241" s="4"/>
      <c r="DHN241" s="4"/>
      <c r="DHO241" s="4"/>
      <c r="DHP241" s="4"/>
      <c r="DHQ241" s="4"/>
      <c r="DHR241" s="4"/>
      <c r="DHS241" s="4"/>
      <c r="DHT241" s="4"/>
      <c r="DHU241" s="4"/>
      <c r="DHV241" s="4"/>
      <c r="DHW241" s="4"/>
      <c r="DHX241" s="4"/>
      <c r="DHY241" s="4"/>
      <c r="DHZ241" s="4"/>
      <c r="DIA241" s="4"/>
      <c r="DIB241" s="4"/>
      <c r="DIC241" s="4"/>
      <c r="DID241" s="4"/>
      <c r="DIE241" s="4"/>
      <c r="DIF241" s="4"/>
      <c r="DIG241" s="4"/>
      <c r="DIH241" s="4"/>
      <c r="DII241" s="4"/>
      <c r="DIJ241" s="4"/>
      <c r="DIK241" s="4"/>
      <c r="DIL241" s="4"/>
      <c r="DIM241" s="4"/>
      <c r="DIN241" s="4"/>
      <c r="DIO241" s="4"/>
      <c r="DIP241" s="4"/>
      <c r="DIQ241" s="4"/>
      <c r="DIR241" s="4"/>
      <c r="DIS241" s="4"/>
      <c r="DIT241" s="4"/>
      <c r="DIU241" s="4"/>
      <c r="DIV241" s="4"/>
      <c r="DIW241" s="4"/>
      <c r="DIX241" s="4"/>
      <c r="DIY241" s="4"/>
      <c r="DIZ241" s="4"/>
      <c r="DJA241" s="4"/>
      <c r="DJB241" s="4"/>
      <c r="DJC241" s="4"/>
      <c r="DJD241" s="4"/>
      <c r="DJE241" s="4"/>
      <c r="DJF241" s="4"/>
      <c r="DJG241" s="4"/>
      <c r="DJH241" s="4"/>
      <c r="DJI241" s="4"/>
      <c r="DJJ241" s="4"/>
      <c r="DJK241" s="4"/>
      <c r="DJL241" s="4"/>
      <c r="DJM241" s="4"/>
      <c r="DJN241" s="4"/>
      <c r="DJO241" s="4"/>
      <c r="DJP241" s="4"/>
      <c r="DJQ241" s="4"/>
      <c r="DJR241" s="4"/>
      <c r="DJS241" s="4"/>
      <c r="DJT241" s="4"/>
      <c r="DJU241" s="4"/>
      <c r="DJV241" s="4"/>
      <c r="DJW241" s="4"/>
      <c r="DJX241" s="4"/>
      <c r="DJY241" s="4"/>
      <c r="DJZ241" s="4"/>
      <c r="DKA241" s="4"/>
      <c r="DKB241" s="4"/>
      <c r="DKC241" s="4"/>
      <c r="DKD241" s="4"/>
      <c r="DKE241" s="4"/>
      <c r="DKF241" s="4"/>
      <c r="DKG241" s="4"/>
      <c r="DKH241" s="4"/>
      <c r="DKI241" s="4"/>
      <c r="DKJ241" s="4"/>
      <c r="DKK241" s="4"/>
      <c r="DKL241" s="4"/>
      <c r="DKM241" s="4"/>
      <c r="DKN241" s="4"/>
      <c r="DKO241" s="4"/>
      <c r="DKP241" s="4"/>
      <c r="DKQ241" s="4"/>
      <c r="DKR241" s="4"/>
      <c r="DKS241" s="4"/>
      <c r="DKT241" s="4"/>
      <c r="DKU241" s="4"/>
      <c r="DKV241" s="4"/>
      <c r="DKW241" s="4"/>
      <c r="DKX241" s="4"/>
      <c r="DKY241" s="4"/>
      <c r="DKZ241" s="4"/>
      <c r="DLA241" s="4"/>
      <c r="DLB241" s="4"/>
      <c r="DLC241" s="4"/>
      <c r="DLD241" s="4"/>
      <c r="DLE241" s="4"/>
      <c r="DLF241" s="4"/>
      <c r="DLG241" s="4"/>
      <c r="DLH241" s="4"/>
      <c r="DLI241" s="4"/>
      <c r="DLJ241" s="4"/>
      <c r="DLK241" s="4"/>
      <c r="DLL241" s="4"/>
      <c r="DLM241" s="4"/>
      <c r="DLN241" s="4"/>
      <c r="DLO241" s="4"/>
      <c r="DLP241" s="4"/>
      <c r="DLQ241" s="4"/>
      <c r="DLR241" s="4"/>
      <c r="DLS241" s="4"/>
      <c r="DLT241" s="4"/>
      <c r="DLU241" s="4"/>
      <c r="DLV241" s="4"/>
      <c r="DLW241" s="4"/>
      <c r="DLX241" s="4"/>
      <c r="DLY241" s="4"/>
      <c r="DLZ241" s="4"/>
      <c r="DMA241" s="4"/>
      <c r="DMB241" s="4"/>
      <c r="DMC241" s="4"/>
      <c r="DMD241" s="4"/>
      <c r="DME241" s="4"/>
      <c r="DMF241" s="4"/>
      <c r="DMG241" s="4"/>
      <c r="DMH241" s="4"/>
      <c r="DMI241" s="4"/>
      <c r="DMJ241" s="4"/>
      <c r="DMK241" s="4"/>
      <c r="DML241" s="4"/>
      <c r="DMM241" s="4"/>
      <c r="DMN241" s="4"/>
      <c r="DMO241" s="4"/>
      <c r="DMP241" s="4"/>
      <c r="DMQ241" s="4"/>
      <c r="DMR241" s="4"/>
      <c r="DMS241" s="4"/>
      <c r="DMT241" s="4"/>
      <c r="DMU241" s="4"/>
      <c r="DMV241" s="4"/>
      <c r="DMW241" s="4"/>
      <c r="DMX241" s="4"/>
      <c r="DMY241" s="4"/>
      <c r="DMZ241" s="4"/>
      <c r="DNA241" s="4"/>
      <c r="DNB241" s="4"/>
      <c r="DNC241" s="4"/>
      <c r="DND241" s="4"/>
      <c r="DNE241" s="4"/>
      <c r="DNF241" s="4"/>
      <c r="DNG241" s="4"/>
      <c r="DNH241" s="4"/>
      <c r="DNI241" s="4"/>
      <c r="DNJ241" s="4"/>
      <c r="DNK241" s="4"/>
      <c r="DNL241" s="4"/>
      <c r="DNM241" s="4"/>
      <c r="DNN241" s="4"/>
      <c r="DNO241" s="4"/>
      <c r="DNP241" s="4"/>
      <c r="DNQ241" s="4"/>
      <c r="DNR241" s="4"/>
      <c r="DNS241" s="4"/>
      <c r="DNT241" s="4"/>
      <c r="DNU241" s="4"/>
      <c r="DNV241" s="4"/>
      <c r="DNW241" s="4"/>
      <c r="DNX241" s="4"/>
      <c r="DNY241" s="4"/>
      <c r="DNZ241" s="4"/>
      <c r="DOA241" s="4"/>
      <c r="DOB241" s="4"/>
      <c r="DOC241" s="4"/>
      <c r="DOD241" s="4"/>
      <c r="DOE241" s="4"/>
      <c r="DOF241" s="4"/>
      <c r="DOG241" s="4"/>
      <c r="DOH241" s="4"/>
      <c r="DOI241" s="4"/>
      <c r="DOJ241" s="4"/>
      <c r="DOK241" s="4"/>
      <c r="DOL241" s="4"/>
      <c r="DOM241" s="4"/>
      <c r="DON241" s="4"/>
      <c r="DOO241" s="4"/>
      <c r="DOP241" s="4"/>
      <c r="DOQ241" s="4"/>
      <c r="DOR241" s="4"/>
      <c r="DOS241" s="4"/>
      <c r="DOT241" s="4"/>
      <c r="DOU241" s="4"/>
      <c r="DOV241" s="4"/>
      <c r="DOW241" s="4"/>
      <c r="DOX241" s="4"/>
      <c r="DOY241" s="4"/>
      <c r="DOZ241" s="4"/>
      <c r="DPA241" s="4"/>
      <c r="DPB241" s="4"/>
      <c r="DPC241" s="4"/>
      <c r="DPD241" s="4"/>
      <c r="DPE241" s="4"/>
      <c r="DPF241" s="4"/>
      <c r="DPG241" s="4"/>
      <c r="DPH241" s="4"/>
      <c r="DPI241" s="4"/>
      <c r="DPJ241" s="4"/>
      <c r="DPK241" s="4"/>
      <c r="DPL241" s="4"/>
      <c r="DPM241" s="4"/>
      <c r="DPN241" s="4"/>
      <c r="DPO241" s="4"/>
      <c r="DPP241" s="4"/>
      <c r="DPQ241" s="4"/>
      <c r="DPR241" s="4"/>
      <c r="DPS241" s="4"/>
      <c r="DPT241" s="4"/>
      <c r="DPU241" s="4"/>
      <c r="DPV241" s="4"/>
      <c r="DPW241" s="4"/>
      <c r="DPX241" s="4"/>
      <c r="DPY241" s="4"/>
      <c r="DPZ241" s="4"/>
      <c r="DQA241" s="4"/>
      <c r="DQB241" s="4"/>
      <c r="DQC241" s="4"/>
      <c r="DQD241" s="4"/>
      <c r="DQE241" s="4"/>
      <c r="DQF241" s="4"/>
      <c r="DQG241" s="4"/>
      <c r="DQH241" s="4"/>
      <c r="DQI241" s="4"/>
      <c r="DQJ241" s="4"/>
      <c r="DQK241" s="4"/>
      <c r="DQL241" s="4"/>
      <c r="DQM241" s="4"/>
      <c r="DQN241" s="4"/>
      <c r="DQO241" s="4"/>
      <c r="DQP241" s="4"/>
      <c r="DQQ241" s="4"/>
      <c r="DQR241" s="4"/>
      <c r="DQS241" s="4"/>
      <c r="DQT241" s="4"/>
      <c r="DQU241" s="4"/>
      <c r="DQV241" s="4"/>
      <c r="DQW241" s="4"/>
      <c r="DQX241" s="4"/>
      <c r="DQY241" s="4"/>
      <c r="DQZ241" s="4"/>
      <c r="DRA241" s="4"/>
      <c r="DRB241" s="4"/>
      <c r="DRC241" s="4"/>
      <c r="DRD241" s="4"/>
      <c r="DRE241" s="4"/>
      <c r="DRF241" s="4"/>
      <c r="DRG241" s="4"/>
      <c r="DRH241" s="4"/>
      <c r="DRI241" s="4"/>
      <c r="DRJ241" s="4"/>
      <c r="DRK241" s="4"/>
      <c r="DRL241" s="4"/>
      <c r="DRM241" s="4"/>
      <c r="DRN241" s="4"/>
      <c r="DRO241" s="4"/>
      <c r="DRP241" s="4"/>
      <c r="DRQ241" s="4"/>
      <c r="DRR241" s="4"/>
      <c r="DRS241" s="4"/>
      <c r="DRT241" s="4"/>
      <c r="DRU241" s="4"/>
      <c r="DRV241" s="4"/>
      <c r="DRW241" s="4"/>
      <c r="DRX241" s="4"/>
      <c r="DRY241" s="4"/>
      <c r="DRZ241" s="4"/>
      <c r="DSA241" s="4"/>
      <c r="DSB241" s="4"/>
      <c r="DSC241" s="4"/>
      <c r="DSD241" s="4"/>
      <c r="DSE241" s="4"/>
      <c r="DSF241" s="4"/>
      <c r="DSG241" s="4"/>
      <c r="DSH241" s="4"/>
      <c r="DSI241" s="4"/>
      <c r="DSJ241" s="4"/>
      <c r="DSK241" s="4"/>
      <c r="DSL241" s="4"/>
      <c r="DSM241" s="4"/>
      <c r="DSN241" s="4"/>
      <c r="DSO241" s="4"/>
      <c r="DSP241" s="4"/>
      <c r="DSQ241" s="4"/>
      <c r="DSR241" s="4"/>
      <c r="DSS241" s="4"/>
      <c r="DST241" s="4"/>
      <c r="DSU241" s="4"/>
      <c r="DSV241" s="4"/>
      <c r="DSW241" s="4"/>
      <c r="DSX241" s="4"/>
      <c r="DSY241" s="4"/>
      <c r="DSZ241" s="4"/>
      <c r="DTA241" s="4"/>
      <c r="DTB241" s="4"/>
      <c r="DTC241" s="4"/>
      <c r="DTD241" s="4"/>
      <c r="DTE241" s="4"/>
      <c r="DTF241" s="4"/>
      <c r="DTG241" s="4"/>
      <c r="DTH241" s="4"/>
      <c r="DTI241" s="4"/>
      <c r="DTJ241" s="4"/>
      <c r="DTK241" s="4"/>
      <c r="DTL241" s="4"/>
      <c r="DTM241" s="4"/>
      <c r="DTN241" s="4"/>
      <c r="DTO241" s="4"/>
      <c r="DTP241" s="4"/>
      <c r="DTQ241" s="4"/>
      <c r="DTR241" s="4"/>
      <c r="DTS241" s="4"/>
      <c r="DTT241" s="4"/>
      <c r="DTU241" s="4"/>
      <c r="DTV241" s="4"/>
      <c r="DTW241" s="4"/>
      <c r="DTX241" s="4"/>
      <c r="DTY241" s="4"/>
      <c r="DTZ241" s="4"/>
      <c r="DUA241" s="4"/>
      <c r="DUB241" s="4"/>
      <c r="DUC241" s="4"/>
      <c r="DUD241" s="4"/>
      <c r="DUE241" s="4"/>
      <c r="DUF241" s="4"/>
      <c r="DUG241" s="4"/>
      <c r="DUH241" s="4"/>
      <c r="DUI241" s="4"/>
      <c r="DUJ241" s="4"/>
      <c r="DUK241" s="4"/>
      <c r="DUL241" s="4"/>
      <c r="DUM241" s="4"/>
      <c r="DUN241" s="4"/>
      <c r="DUO241" s="4"/>
      <c r="DUP241" s="4"/>
      <c r="DUQ241" s="4"/>
      <c r="DUR241" s="4"/>
      <c r="DUS241" s="4"/>
      <c r="DUT241" s="4"/>
      <c r="DUU241" s="4"/>
      <c r="DUV241" s="4"/>
      <c r="DUW241" s="4"/>
      <c r="DUX241" s="4"/>
      <c r="DUY241" s="4"/>
      <c r="DUZ241" s="4"/>
      <c r="DVA241" s="4"/>
      <c r="DVB241" s="4"/>
      <c r="DVC241" s="4"/>
      <c r="DVD241" s="4"/>
      <c r="DVE241" s="4"/>
      <c r="DVF241" s="4"/>
      <c r="DVG241" s="4"/>
      <c r="DVH241" s="4"/>
      <c r="DVI241" s="4"/>
      <c r="DVJ241" s="4"/>
      <c r="DVK241" s="4"/>
      <c r="DVL241" s="4"/>
      <c r="DVM241" s="4"/>
      <c r="DVN241" s="4"/>
      <c r="DVO241" s="4"/>
      <c r="DVP241" s="4"/>
      <c r="DVQ241" s="4"/>
      <c r="DVR241" s="4"/>
      <c r="DVS241" s="4"/>
      <c r="DVT241" s="4"/>
      <c r="DVU241" s="4"/>
      <c r="DVV241" s="4"/>
      <c r="DVW241" s="4"/>
      <c r="DVX241" s="4"/>
      <c r="DVY241" s="4"/>
      <c r="DVZ241" s="4"/>
      <c r="DWA241" s="4"/>
      <c r="DWB241" s="4"/>
      <c r="DWC241" s="4"/>
      <c r="DWD241" s="4"/>
      <c r="DWE241" s="4"/>
      <c r="DWF241" s="4"/>
      <c r="DWG241" s="4"/>
      <c r="DWH241" s="4"/>
      <c r="DWI241" s="4"/>
      <c r="DWJ241" s="4"/>
      <c r="DWK241" s="4"/>
      <c r="DWL241" s="4"/>
      <c r="DWM241" s="4"/>
      <c r="DWN241" s="4"/>
      <c r="DWO241" s="4"/>
      <c r="DWP241" s="4"/>
      <c r="DWQ241" s="4"/>
      <c r="DWR241" s="4"/>
      <c r="DWS241" s="4"/>
      <c r="DWT241" s="4"/>
      <c r="DWU241" s="4"/>
      <c r="DWV241" s="4"/>
      <c r="DWW241" s="4"/>
      <c r="DWX241" s="4"/>
      <c r="DWY241" s="4"/>
      <c r="DWZ241" s="4"/>
      <c r="DXA241" s="4"/>
      <c r="DXB241" s="4"/>
      <c r="DXC241" s="4"/>
      <c r="DXD241" s="4"/>
      <c r="DXE241" s="4"/>
      <c r="DXF241" s="4"/>
      <c r="DXG241" s="4"/>
      <c r="DXH241" s="4"/>
      <c r="DXI241" s="4"/>
      <c r="DXJ241" s="4"/>
      <c r="DXK241" s="4"/>
      <c r="DXL241" s="4"/>
      <c r="DXM241" s="4"/>
      <c r="DXN241" s="4"/>
      <c r="DXO241" s="4"/>
      <c r="DXP241" s="4"/>
      <c r="DXQ241" s="4"/>
      <c r="DXR241" s="4"/>
      <c r="DXS241" s="4"/>
      <c r="DXT241" s="4"/>
      <c r="DXU241" s="4"/>
      <c r="DXV241" s="4"/>
      <c r="DXW241" s="4"/>
      <c r="DXX241" s="4"/>
      <c r="DXY241" s="4"/>
      <c r="DXZ241" s="4"/>
      <c r="DYA241" s="4"/>
      <c r="DYB241" s="4"/>
      <c r="DYC241" s="4"/>
      <c r="DYD241" s="4"/>
      <c r="DYE241" s="4"/>
      <c r="DYF241" s="4"/>
      <c r="DYG241" s="4"/>
      <c r="DYH241" s="4"/>
      <c r="DYI241" s="4"/>
      <c r="DYJ241" s="4"/>
      <c r="DYK241" s="4"/>
      <c r="DYL241" s="4"/>
      <c r="DYM241" s="4"/>
      <c r="DYN241" s="4"/>
      <c r="DYO241" s="4"/>
      <c r="DYP241" s="4"/>
      <c r="DYQ241" s="4"/>
      <c r="DYR241" s="4"/>
      <c r="DYS241" s="4"/>
      <c r="DYT241" s="4"/>
      <c r="DYU241" s="4"/>
      <c r="DYV241" s="4"/>
      <c r="DYW241" s="4"/>
      <c r="DYX241" s="4"/>
      <c r="DYY241" s="4"/>
      <c r="DYZ241" s="4"/>
      <c r="DZA241" s="4"/>
      <c r="DZB241" s="4"/>
      <c r="DZC241" s="4"/>
      <c r="DZD241" s="4"/>
      <c r="DZE241" s="4"/>
      <c r="DZF241" s="4"/>
      <c r="DZG241" s="4"/>
      <c r="DZH241" s="4"/>
      <c r="DZI241" s="4"/>
      <c r="DZJ241" s="4"/>
      <c r="DZK241" s="4"/>
      <c r="DZL241" s="4"/>
      <c r="DZM241" s="4"/>
      <c r="DZN241" s="4"/>
      <c r="DZO241" s="4"/>
      <c r="DZP241" s="4"/>
      <c r="DZQ241" s="4"/>
      <c r="DZR241" s="4"/>
      <c r="DZS241" s="4"/>
      <c r="DZT241" s="4"/>
      <c r="DZU241" s="4"/>
      <c r="DZV241" s="4"/>
      <c r="DZW241" s="4"/>
      <c r="DZX241" s="4"/>
      <c r="DZY241" s="4"/>
      <c r="DZZ241" s="4"/>
      <c r="EAA241" s="4"/>
      <c r="EAB241" s="4"/>
      <c r="EAC241" s="4"/>
      <c r="EAD241" s="4"/>
      <c r="EAE241" s="4"/>
      <c r="EAF241" s="4"/>
      <c r="EAG241" s="4"/>
      <c r="EAH241" s="4"/>
      <c r="EAI241" s="4"/>
      <c r="EAJ241" s="4"/>
      <c r="EAK241" s="4"/>
      <c r="EAL241" s="4"/>
      <c r="EAM241" s="4"/>
      <c r="EAN241" s="4"/>
      <c r="EAO241" s="4"/>
      <c r="EAP241" s="4"/>
      <c r="EAQ241" s="4"/>
      <c r="EAR241" s="4"/>
      <c r="EAS241" s="4"/>
      <c r="EAT241" s="4"/>
      <c r="EAU241" s="4"/>
      <c r="EAV241" s="4"/>
      <c r="EAW241" s="4"/>
      <c r="EAX241" s="4"/>
      <c r="EAY241" s="4"/>
      <c r="EAZ241" s="4"/>
      <c r="EBA241" s="4"/>
      <c r="EBB241" s="4"/>
      <c r="EBC241" s="4"/>
      <c r="EBD241" s="4"/>
      <c r="EBE241" s="4"/>
      <c r="EBF241" s="4"/>
      <c r="EBG241" s="4"/>
      <c r="EBH241" s="4"/>
      <c r="EBI241" s="4"/>
      <c r="EBJ241" s="4"/>
      <c r="EBK241" s="4"/>
      <c r="EBL241" s="4"/>
      <c r="EBM241" s="4"/>
      <c r="EBN241" s="4"/>
      <c r="EBO241" s="4"/>
      <c r="EBP241" s="4"/>
      <c r="EBQ241" s="4"/>
      <c r="EBR241" s="4"/>
      <c r="EBS241" s="4"/>
      <c r="EBT241" s="4"/>
      <c r="EBU241" s="4"/>
      <c r="EBV241" s="4"/>
      <c r="EBW241" s="4"/>
      <c r="EBX241" s="4"/>
      <c r="EBY241" s="4"/>
      <c r="EBZ241" s="4"/>
      <c r="ECA241" s="4"/>
      <c r="ECB241" s="4"/>
      <c r="ECC241" s="4"/>
      <c r="ECD241" s="4"/>
      <c r="ECE241" s="4"/>
      <c r="ECF241" s="4"/>
      <c r="ECG241" s="4"/>
      <c r="ECH241" s="4"/>
      <c r="ECI241" s="4"/>
      <c r="ECJ241" s="4"/>
      <c r="ECK241" s="4"/>
      <c r="ECL241" s="4"/>
      <c r="ECM241" s="4"/>
      <c r="ECN241" s="4"/>
      <c r="ECO241" s="4"/>
      <c r="ECP241" s="4"/>
      <c r="ECQ241" s="4"/>
      <c r="ECR241" s="4"/>
      <c r="ECS241" s="4"/>
      <c r="ECT241" s="4"/>
      <c r="ECU241" s="4"/>
      <c r="ECV241" s="4"/>
      <c r="ECW241" s="4"/>
      <c r="ECX241" s="4"/>
      <c r="ECY241" s="4"/>
      <c r="ECZ241" s="4"/>
      <c r="EDA241" s="4"/>
      <c r="EDB241" s="4"/>
      <c r="EDC241" s="4"/>
      <c r="EDD241" s="4"/>
      <c r="EDE241" s="4"/>
      <c r="EDF241" s="4"/>
      <c r="EDG241" s="4"/>
      <c r="EDH241" s="4"/>
      <c r="EDI241" s="4"/>
      <c r="EDJ241" s="4"/>
      <c r="EDK241" s="4"/>
      <c r="EDL241" s="4"/>
      <c r="EDM241" s="4"/>
      <c r="EDN241" s="4"/>
      <c r="EDO241" s="4"/>
      <c r="EDP241" s="4"/>
      <c r="EDQ241" s="4"/>
      <c r="EDR241" s="4"/>
      <c r="EDS241" s="4"/>
      <c r="EDT241" s="4"/>
      <c r="EDU241" s="4"/>
      <c r="EDV241" s="4"/>
      <c r="EDW241" s="4"/>
      <c r="EDX241" s="4"/>
      <c r="EDY241" s="4"/>
      <c r="EDZ241" s="4"/>
      <c r="EEA241" s="4"/>
      <c r="EEB241" s="4"/>
      <c r="EEC241" s="4"/>
      <c r="EED241" s="4"/>
      <c r="EEE241" s="4"/>
      <c r="EEF241" s="4"/>
      <c r="EEG241" s="4"/>
      <c r="EEH241" s="4"/>
      <c r="EEI241" s="4"/>
      <c r="EEJ241" s="4"/>
      <c r="EEK241" s="4"/>
      <c r="EEL241" s="4"/>
      <c r="EEM241" s="4"/>
      <c r="EEN241" s="4"/>
      <c r="EEO241" s="4"/>
      <c r="EEP241" s="4"/>
      <c r="EEQ241" s="4"/>
      <c r="EER241" s="4"/>
      <c r="EES241" s="4"/>
      <c r="EET241" s="4"/>
      <c r="EEU241" s="4"/>
      <c r="EEV241" s="4"/>
      <c r="EEW241" s="4"/>
      <c r="EEX241" s="4"/>
      <c r="EEY241" s="4"/>
      <c r="EEZ241" s="4"/>
      <c r="EFA241" s="4"/>
      <c r="EFB241" s="4"/>
      <c r="EFC241" s="4"/>
      <c r="EFD241" s="4"/>
      <c r="EFE241" s="4"/>
      <c r="EFF241" s="4"/>
      <c r="EFG241" s="4"/>
      <c r="EFH241" s="4"/>
      <c r="EFI241" s="4"/>
      <c r="EFJ241" s="4"/>
      <c r="EFK241" s="4"/>
      <c r="EFL241" s="4"/>
      <c r="EFM241" s="4"/>
      <c r="EFN241" s="4"/>
      <c r="EFO241" s="4"/>
      <c r="EFP241" s="4"/>
      <c r="EFQ241" s="4"/>
      <c r="EFR241" s="4"/>
      <c r="EFS241" s="4"/>
      <c r="EFT241" s="4"/>
      <c r="EFU241" s="4"/>
      <c r="EFV241" s="4"/>
      <c r="EFW241" s="4"/>
      <c r="EFX241" s="4"/>
      <c r="EFY241" s="4"/>
      <c r="EFZ241" s="4"/>
      <c r="EGA241" s="4"/>
      <c r="EGB241" s="4"/>
      <c r="EGC241" s="4"/>
      <c r="EGD241" s="4"/>
      <c r="EGE241" s="4"/>
      <c r="EGF241" s="4"/>
      <c r="EGG241" s="4"/>
      <c r="EGH241" s="4"/>
      <c r="EGI241" s="4"/>
      <c r="EGJ241" s="4"/>
      <c r="EGK241" s="4"/>
      <c r="EGL241" s="4"/>
      <c r="EGM241" s="4"/>
      <c r="EGN241" s="4"/>
      <c r="EGO241" s="4"/>
      <c r="EGP241" s="4"/>
      <c r="EGQ241" s="4"/>
      <c r="EGR241" s="4"/>
      <c r="EGS241" s="4"/>
      <c r="EGT241" s="4"/>
      <c r="EGU241" s="4"/>
      <c r="EGV241" s="4"/>
      <c r="EGW241" s="4"/>
      <c r="EGX241" s="4"/>
      <c r="EGY241" s="4"/>
      <c r="EGZ241" s="4"/>
      <c r="EHA241" s="4"/>
      <c r="EHB241" s="4"/>
      <c r="EHC241" s="4"/>
      <c r="EHD241" s="4"/>
      <c r="EHE241" s="4"/>
      <c r="EHF241" s="4"/>
      <c r="EHG241" s="4"/>
      <c r="EHH241" s="4"/>
      <c r="EHI241" s="4"/>
      <c r="EHJ241" s="4"/>
      <c r="EHK241" s="4"/>
      <c r="EHL241" s="4"/>
      <c r="EHM241" s="4"/>
      <c r="EHN241" s="4"/>
      <c r="EHO241" s="4"/>
      <c r="EHP241" s="4"/>
      <c r="EHQ241" s="4"/>
      <c r="EHR241" s="4"/>
      <c r="EHS241" s="4"/>
      <c r="EHT241" s="4"/>
      <c r="EHU241" s="4"/>
      <c r="EHV241" s="4"/>
      <c r="EHW241" s="4"/>
      <c r="EHX241" s="4"/>
      <c r="EHY241" s="4"/>
      <c r="EHZ241" s="4"/>
      <c r="EIA241" s="4"/>
      <c r="EIB241" s="4"/>
      <c r="EIC241" s="4"/>
      <c r="EID241" s="4"/>
      <c r="EIE241" s="4"/>
      <c r="EIF241" s="4"/>
      <c r="EIG241" s="4"/>
      <c r="EIH241" s="4"/>
      <c r="EII241" s="4"/>
      <c r="EIJ241" s="4"/>
      <c r="EIK241" s="4"/>
      <c r="EIL241" s="4"/>
      <c r="EIM241" s="4"/>
      <c r="EIN241" s="4"/>
      <c r="EIO241" s="4"/>
      <c r="EIP241" s="4"/>
      <c r="EIQ241" s="4"/>
      <c r="EIR241" s="4"/>
      <c r="EIS241" s="4"/>
      <c r="EIT241" s="4"/>
      <c r="EIU241" s="4"/>
      <c r="EIV241" s="4"/>
      <c r="EIW241" s="4"/>
      <c r="EIX241" s="4"/>
      <c r="EIY241" s="4"/>
      <c r="EIZ241" s="4"/>
      <c r="EJA241" s="4"/>
      <c r="EJB241" s="4"/>
      <c r="EJC241" s="4"/>
      <c r="EJD241" s="4"/>
      <c r="EJE241" s="4"/>
      <c r="EJF241" s="4"/>
      <c r="EJG241" s="4"/>
      <c r="EJH241" s="4"/>
      <c r="EJI241" s="4"/>
      <c r="EJJ241" s="4"/>
      <c r="EJK241" s="4"/>
      <c r="EJL241" s="4"/>
      <c r="EJM241" s="4"/>
      <c r="EJN241" s="4"/>
      <c r="EJO241" s="4"/>
      <c r="EJP241" s="4"/>
      <c r="EJQ241" s="4"/>
      <c r="EJR241" s="4"/>
      <c r="EJS241" s="4"/>
      <c r="EJT241" s="4"/>
      <c r="EJU241" s="4"/>
      <c r="EJV241" s="4"/>
      <c r="EJW241" s="4"/>
      <c r="EJX241" s="4"/>
      <c r="EJY241" s="4"/>
      <c r="EJZ241" s="4"/>
      <c r="EKA241" s="4"/>
      <c r="EKB241" s="4"/>
      <c r="EKC241" s="4"/>
      <c r="EKD241" s="4"/>
      <c r="EKE241" s="4"/>
      <c r="EKF241" s="4"/>
      <c r="EKG241" s="4"/>
      <c r="EKH241" s="4"/>
      <c r="EKI241" s="4"/>
      <c r="EKJ241" s="4"/>
      <c r="EKK241" s="4"/>
      <c r="EKL241" s="4"/>
      <c r="EKM241" s="4"/>
      <c r="EKN241" s="4"/>
      <c r="EKO241" s="4"/>
      <c r="EKP241" s="4"/>
      <c r="EKQ241" s="4"/>
      <c r="EKR241" s="4"/>
      <c r="EKS241" s="4"/>
      <c r="EKT241" s="4"/>
      <c r="EKU241" s="4"/>
      <c r="EKV241" s="4"/>
      <c r="EKW241" s="4"/>
      <c r="EKX241" s="4"/>
      <c r="EKY241" s="4"/>
      <c r="EKZ241" s="4"/>
      <c r="ELA241" s="4"/>
      <c r="ELB241" s="4"/>
      <c r="ELC241" s="4"/>
      <c r="ELD241" s="4"/>
      <c r="ELE241" s="4"/>
      <c r="ELF241" s="4"/>
      <c r="ELG241" s="4"/>
      <c r="ELH241" s="4"/>
      <c r="ELI241" s="4"/>
      <c r="ELJ241" s="4"/>
      <c r="ELK241" s="4"/>
      <c r="ELL241" s="4"/>
      <c r="ELM241" s="4"/>
      <c r="ELN241" s="4"/>
      <c r="ELO241" s="4"/>
      <c r="ELP241" s="4"/>
      <c r="ELQ241" s="4"/>
      <c r="ELR241" s="4"/>
      <c r="ELS241" s="4"/>
      <c r="ELT241" s="4"/>
      <c r="ELU241" s="4"/>
      <c r="ELV241" s="4"/>
      <c r="ELW241" s="4"/>
      <c r="ELX241" s="4"/>
      <c r="ELY241" s="4"/>
      <c r="ELZ241" s="4"/>
      <c r="EMA241" s="4"/>
      <c r="EMB241" s="4"/>
      <c r="EMC241" s="4"/>
      <c r="EMD241" s="4"/>
      <c r="EME241" s="4"/>
      <c r="EMF241" s="4"/>
      <c r="EMG241" s="4"/>
      <c r="EMH241" s="4"/>
      <c r="EMI241" s="4"/>
      <c r="EMJ241" s="4"/>
      <c r="EMK241" s="4"/>
      <c r="EML241" s="4"/>
      <c r="EMM241" s="4"/>
      <c r="EMN241" s="4"/>
      <c r="EMO241" s="4"/>
      <c r="EMP241" s="4"/>
      <c r="EMQ241" s="4"/>
      <c r="EMR241" s="4"/>
      <c r="EMS241" s="4"/>
      <c r="EMT241" s="4"/>
      <c r="EMU241" s="4"/>
      <c r="EMV241" s="4"/>
      <c r="EMW241" s="4"/>
      <c r="EMX241" s="4"/>
      <c r="EMY241" s="4"/>
      <c r="EMZ241" s="4"/>
      <c r="ENA241" s="4"/>
      <c r="ENB241" s="4"/>
      <c r="ENC241" s="4"/>
      <c r="END241" s="4"/>
      <c r="ENE241" s="4"/>
      <c r="ENF241" s="4"/>
      <c r="ENG241" s="4"/>
      <c r="ENH241" s="4"/>
      <c r="ENI241" s="4"/>
      <c r="ENJ241" s="4"/>
      <c r="ENK241" s="4"/>
      <c r="ENL241" s="4"/>
      <c r="ENM241" s="4"/>
      <c r="ENN241" s="4"/>
      <c r="ENO241" s="4"/>
      <c r="ENP241" s="4"/>
      <c r="ENQ241" s="4"/>
      <c r="ENR241" s="4"/>
      <c r="ENS241" s="4"/>
      <c r="ENT241" s="4"/>
      <c r="ENU241" s="4"/>
      <c r="ENV241" s="4"/>
      <c r="ENW241" s="4"/>
      <c r="ENX241" s="4"/>
      <c r="ENY241" s="4"/>
      <c r="ENZ241" s="4"/>
      <c r="EOA241" s="4"/>
      <c r="EOB241" s="4"/>
      <c r="EOC241" s="4"/>
      <c r="EOD241" s="4"/>
      <c r="EOE241" s="4"/>
      <c r="EOF241" s="4"/>
      <c r="EOG241" s="4"/>
      <c r="EOH241" s="4"/>
      <c r="EOI241" s="4"/>
      <c r="EOJ241" s="4"/>
      <c r="EOK241" s="4"/>
      <c r="EOL241" s="4"/>
      <c r="EOM241" s="4"/>
      <c r="EON241" s="4"/>
      <c r="EOO241" s="4"/>
      <c r="EOP241" s="4"/>
      <c r="EOQ241" s="4"/>
      <c r="EOR241" s="4"/>
      <c r="EOS241" s="4"/>
      <c r="EOT241" s="4"/>
      <c r="EOU241" s="4"/>
      <c r="EOV241" s="4"/>
      <c r="EOW241" s="4"/>
      <c r="EOX241" s="4"/>
      <c r="EOY241" s="4"/>
      <c r="EOZ241" s="4"/>
      <c r="EPA241" s="4"/>
      <c r="EPB241" s="4"/>
      <c r="EPC241" s="4"/>
      <c r="EPD241" s="4"/>
      <c r="EPE241" s="4"/>
      <c r="EPF241" s="4"/>
      <c r="EPG241" s="4"/>
      <c r="EPH241" s="4"/>
      <c r="EPI241" s="4"/>
      <c r="EPJ241" s="4"/>
      <c r="EPK241" s="4"/>
      <c r="EPL241" s="4"/>
      <c r="EPM241" s="4"/>
      <c r="EPN241" s="4"/>
      <c r="EPO241" s="4"/>
      <c r="EPP241" s="4"/>
      <c r="EPQ241" s="4"/>
      <c r="EPR241" s="4"/>
      <c r="EPS241" s="4"/>
      <c r="EPT241" s="4"/>
      <c r="EPU241" s="4"/>
      <c r="EPV241" s="4"/>
      <c r="EPW241" s="4"/>
      <c r="EPX241" s="4"/>
      <c r="EPY241" s="4"/>
      <c r="EPZ241" s="4"/>
      <c r="EQA241" s="4"/>
      <c r="EQB241" s="4"/>
      <c r="EQC241" s="4"/>
      <c r="EQD241" s="4"/>
      <c r="EQE241" s="4"/>
      <c r="EQF241" s="4"/>
      <c r="EQG241" s="4"/>
      <c r="EQH241" s="4"/>
      <c r="EQI241" s="4"/>
      <c r="EQJ241" s="4"/>
      <c r="EQK241" s="4"/>
      <c r="EQL241" s="4"/>
      <c r="EQM241" s="4"/>
      <c r="EQN241" s="4"/>
      <c r="EQO241" s="4"/>
      <c r="EQP241" s="4"/>
      <c r="EQQ241" s="4"/>
      <c r="EQR241" s="4"/>
      <c r="EQS241" s="4"/>
      <c r="EQT241" s="4"/>
      <c r="EQU241" s="4"/>
      <c r="EQV241" s="4"/>
      <c r="EQW241" s="4"/>
      <c r="EQX241" s="4"/>
      <c r="EQY241" s="4"/>
      <c r="EQZ241" s="4"/>
      <c r="ERA241" s="4"/>
      <c r="ERB241" s="4"/>
      <c r="ERC241" s="4"/>
      <c r="ERD241" s="4"/>
      <c r="ERE241" s="4"/>
      <c r="ERF241" s="4"/>
      <c r="ERG241" s="4"/>
      <c r="ERH241" s="4"/>
      <c r="ERI241" s="4"/>
      <c r="ERJ241" s="4"/>
      <c r="ERK241" s="4"/>
      <c r="ERL241" s="4"/>
      <c r="ERM241" s="4"/>
      <c r="ERN241" s="4"/>
      <c r="ERO241" s="4"/>
      <c r="ERP241" s="4"/>
      <c r="ERQ241" s="4"/>
      <c r="ERR241" s="4"/>
      <c r="ERS241" s="4"/>
      <c r="ERT241" s="4"/>
      <c r="ERU241" s="4"/>
      <c r="ERV241" s="4"/>
      <c r="ERW241" s="4"/>
      <c r="ERX241" s="4"/>
      <c r="ERY241" s="4"/>
      <c r="ERZ241" s="4"/>
      <c r="ESA241" s="4"/>
      <c r="ESB241" s="4"/>
      <c r="ESC241" s="4"/>
      <c r="ESD241" s="4"/>
      <c r="ESE241" s="4"/>
      <c r="ESF241" s="4"/>
      <c r="ESG241" s="4"/>
      <c r="ESH241" s="4"/>
      <c r="ESI241" s="4"/>
      <c r="ESJ241" s="4"/>
      <c r="ESK241" s="4"/>
      <c r="ESL241" s="4"/>
      <c r="ESM241" s="4"/>
      <c r="ESN241" s="4"/>
      <c r="ESO241" s="4"/>
      <c r="ESP241" s="4"/>
      <c r="ESQ241" s="4"/>
      <c r="ESR241" s="4"/>
      <c r="ESS241" s="4"/>
      <c r="EST241" s="4"/>
      <c r="ESU241" s="4"/>
      <c r="ESV241" s="4"/>
      <c r="ESW241" s="4"/>
      <c r="ESX241" s="4"/>
      <c r="ESY241" s="4"/>
      <c r="ESZ241" s="4"/>
      <c r="ETA241" s="4"/>
      <c r="ETB241" s="4"/>
      <c r="ETC241" s="4"/>
      <c r="ETD241" s="4"/>
      <c r="ETE241" s="4"/>
      <c r="ETF241" s="4"/>
      <c r="ETG241" s="4"/>
      <c r="ETH241" s="4"/>
      <c r="ETI241" s="4"/>
      <c r="ETJ241" s="4"/>
      <c r="ETK241" s="4"/>
      <c r="ETL241" s="4"/>
      <c r="ETM241" s="4"/>
      <c r="ETN241" s="4"/>
      <c r="ETO241" s="4"/>
      <c r="ETP241" s="4"/>
      <c r="ETQ241" s="4"/>
      <c r="ETR241" s="4"/>
      <c r="ETS241" s="4"/>
      <c r="ETT241" s="4"/>
      <c r="ETU241" s="4"/>
      <c r="ETV241" s="4"/>
      <c r="ETW241" s="4"/>
      <c r="ETX241" s="4"/>
      <c r="ETY241" s="4"/>
      <c r="ETZ241" s="4"/>
      <c r="EUA241" s="4"/>
      <c r="EUB241" s="4"/>
      <c r="EUC241" s="4"/>
      <c r="EUD241" s="4"/>
      <c r="EUE241" s="4"/>
      <c r="EUF241" s="4"/>
      <c r="EUG241" s="4"/>
      <c r="EUH241" s="4"/>
      <c r="EUI241" s="4"/>
      <c r="EUJ241" s="4"/>
      <c r="EUK241" s="4"/>
      <c r="EUL241" s="4"/>
      <c r="EUM241" s="4"/>
      <c r="EUN241" s="4"/>
      <c r="EUO241" s="4"/>
      <c r="EUP241" s="4"/>
      <c r="EUQ241" s="4"/>
      <c r="EUR241" s="4"/>
      <c r="EUS241" s="4"/>
      <c r="EUT241" s="4"/>
      <c r="EUU241" s="4"/>
      <c r="EUV241" s="4"/>
      <c r="EUW241" s="4"/>
      <c r="EUX241" s="4"/>
      <c r="EUY241" s="4"/>
      <c r="EUZ241" s="4"/>
      <c r="EVA241" s="4"/>
      <c r="EVB241" s="4"/>
      <c r="EVC241" s="4"/>
      <c r="EVD241" s="4"/>
      <c r="EVE241" s="4"/>
      <c r="EVF241" s="4"/>
      <c r="EVG241" s="4"/>
      <c r="EVH241" s="4"/>
      <c r="EVI241" s="4"/>
      <c r="EVJ241" s="4"/>
      <c r="EVK241" s="4"/>
      <c r="EVL241" s="4"/>
      <c r="EVM241" s="4"/>
      <c r="EVN241" s="4"/>
      <c r="EVO241" s="4"/>
      <c r="EVP241" s="4"/>
      <c r="EVQ241" s="4"/>
      <c r="EVR241" s="4"/>
      <c r="EVS241" s="4"/>
      <c r="EVT241" s="4"/>
      <c r="EVU241" s="4"/>
      <c r="EVV241" s="4"/>
      <c r="EVW241" s="4"/>
      <c r="EVX241" s="4"/>
      <c r="EVY241" s="4"/>
      <c r="EVZ241" s="4"/>
      <c r="EWA241" s="4"/>
      <c r="EWB241" s="4"/>
      <c r="EWC241" s="4"/>
      <c r="EWD241" s="4"/>
      <c r="EWE241" s="4"/>
      <c r="EWF241" s="4"/>
      <c r="EWG241" s="4"/>
      <c r="EWH241" s="4"/>
      <c r="EWI241" s="4"/>
      <c r="EWJ241" s="4"/>
      <c r="EWK241" s="4"/>
      <c r="EWL241" s="4"/>
      <c r="EWM241" s="4"/>
      <c r="EWN241" s="4"/>
      <c r="EWO241" s="4"/>
      <c r="EWP241" s="4"/>
      <c r="EWQ241" s="4"/>
      <c r="EWR241" s="4"/>
      <c r="EWS241" s="4"/>
      <c r="EWT241" s="4"/>
      <c r="EWU241" s="4"/>
      <c r="EWV241" s="4"/>
      <c r="EWW241" s="4"/>
      <c r="EWX241" s="4"/>
      <c r="EWY241" s="4"/>
      <c r="EWZ241" s="4"/>
      <c r="EXA241" s="4"/>
      <c r="EXB241" s="4"/>
      <c r="EXC241" s="4"/>
      <c r="EXD241" s="4"/>
      <c r="EXE241" s="4"/>
      <c r="EXF241" s="4"/>
      <c r="EXG241" s="4"/>
      <c r="EXH241" s="4"/>
      <c r="EXI241" s="4"/>
      <c r="EXJ241" s="4"/>
      <c r="EXK241" s="4"/>
      <c r="EXL241" s="4"/>
      <c r="EXM241" s="4"/>
      <c r="EXN241" s="4"/>
      <c r="EXO241" s="4"/>
      <c r="EXP241" s="4"/>
      <c r="EXQ241" s="4"/>
      <c r="EXR241" s="4"/>
      <c r="EXS241" s="4"/>
      <c r="EXT241" s="4"/>
      <c r="EXU241" s="4"/>
      <c r="EXV241" s="4"/>
      <c r="EXW241" s="4"/>
      <c r="EXX241" s="4"/>
      <c r="EXY241" s="4"/>
      <c r="EXZ241" s="4"/>
      <c r="EYA241" s="4"/>
      <c r="EYB241" s="4"/>
      <c r="EYC241" s="4"/>
      <c r="EYD241" s="4"/>
      <c r="EYE241" s="4"/>
      <c r="EYF241" s="4"/>
      <c r="EYG241" s="4"/>
      <c r="EYH241" s="4"/>
      <c r="EYI241" s="4"/>
      <c r="EYJ241" s="4"/>
      <c r="EYK241" s="4"/>
      <c r="EYL241" s="4"/>
      <c r="EYM241" s="4"/>
      <c r="EYN241" s="4"/>
      <c r="EYO241" s="4"/>
      <c r="EYP241" s="4"/>
      <c r="EYQ241" s="4"/>
      <c r="EYR241" s="4"/>
      <c r="EYS241" s="4"/>
      <c r="EYT241" s="4"/>
      <c r="EYU241" s="4"/>
      <c r="EYV241" s="4"/>
      <c r="EYW241" s="4"/>
      <c r="EYX241" s="4"/>
      <c r="EYY241" s="4"/>
      <c r="EYZ241" s="4"/>
      <c r="EZA241" s="4"/>
      <c r="EZB241" s="4"/>
      <c r="EZC241" s="4"/>
      <c r="EZD241" s="4"/>
      <c r="EZE241" s="4"/>
      <c r="EZF241" s="4"/>
      <c r="EZG241" s="4"/>
      <c r="EZH241" s="4"/>
      <c r="EZI241" s="4"/>
      <c r="EZJ241" s="4"/>
      <c r="EZK241" s="4"/>
      <c r="EZL241" s="4"/>
      <c r="EZM241" s="4"/>
      <c r="EZN241" s="4"/>
      <c r="EZO241" s="4"/>
      <c r="EZP241" s="4"/>
      <c r="EZQ241" s="4"/>
      <c r="EZR241" s="4"/>
      <c r="EZS241" s="4"/>
      <c r="EZT241" s="4"/>
      <c r="EZU241" s="4"/>
      <c r="EZV241" s="4"/>
      <c r="EZW241" s="4"/>
      <c r="EZX241" s="4"/>
      <c r="EZY241" s="4"/>
      <c r="EZZ241" s="4"/>
      <c r="FAA241" s="4"/>
      <c r="FAB241" s="4"/>
      <c r="FAC241" s="4"/>
      <c r="FAD241" s="4"/>
      <c r="FAE241" s="4"/>
      <c r="FAF241" s="4"/>
      <c r="FAG241" s="4"/>
      <c r="FAH241" s="4"/>
      <c r="FAI241" s="4"/>
      <c r="FAJ241" s="4"/>
      <c r="FAK241" s="4"/>
      <c r="FAL241" s="4"/>
      <c r="FAM241" s="4"/>
      <c r="FAN241" s="4"/>
      <c r="FAO241" s="4"/>
      <c r="FAP241" s="4"/>
      <c r="FAQ241" s="4"/>
      <c r="FAR241" s="4"/>
      <c r="FAS241" s="4"/>
      <c r="FAT241" s="4"/>
      <c r="FAU241" s="4"/>
      <c r="FAV241" s="4"/>
      <c r="FAW241" s="4"/>
      <c r="FAX241" s="4"/>
      <c r="FAY241" s="4"/>
      <c r="FAZ241" s="4"/>
      <c r="FBA241" s="4"/>
      <c r="FBB241" s="4"/>
      <c r="FBC241" s="4"/>
      <c r="FBD241" s="4"/>
      <c r="FBE241" s="4"/>
      <c r="FBF241" s="4"/>
      <c r="FBG241" s="4"/>
      <c r="FBH241" s="4"/>
      <c r="FBI241" s="4"/>
      <c r="FBJ241" s="4"/>
      <c r="FBK241" s="4"/>
      <c r="FBL241" s="4"/>
      <c r="FBM241" s="4"/>
      <c r="FBN241" s="4"/>
      <c r="FBO241" s="4"/>
      <c r="FBP241" s="4"/>
      <c r="FBQ241" s="4"/>
      <c r="FBR241" s="4"/>
      <c r="FBS241" s="4"/>
      <c r="FBT241" s="4"/>
      <c r="FBU241" s="4"/>
      <c r="FBV241" s="4"/>
      <c r="FBW241" s="4"/>
      <c r="FBX241" s="4"/>
      <c r="FBY241" s="4"/>
      <c r="FBZ241" s="4"/>
      <c r="FCA241" s="4"/>
      <c r="FCB241" s="4"/>
      <c r="FCC241" s="4"/>
      <c r="FCD241" s="4"/>
      <c r="FCE241" s="4"/>
      <c r="FCF241" s="4"/>
      <c r="FCG241" s="4"/>
      <c r="FCH241" s="4"/>
      <c r="FCI241" s="4"/>
      <c r="FCJ241" s="4"/>
      <c r="FCK241" s="4"/>
      <c r="FCL241" s="4"/>
      <c r="FCM241" s="4"/>
      <c r="FCN241" s="4"/>
      <c r="FCO241" s="4"/>
      <c r="FCP241" s="4"/>
      <c r="FCQ241" s="4"/>
      <c r="FCR241" s="4"/>
      <c r="FCS241" s="4"/>
      <c r="FCT241" s="4"/>
      <c r="FCU241" s="4"/>
      <c r="FCV241" s="4"/>
      <c r="FCW241" s="4"/>
      <c r="FCX241" s="4"/>
      <c r="FCY241" s="4"/>
      <c r="FCZ241" s="4"/>
      <c r="FDA241" s="4"/>
      <c r="FDB241" s="4"/>
      <c r="FDC241" s="4"/>
      <c r="FDD241" s="4"/>
      <c r="FDE241" s="4"/>
      <c r="FDF241" s="4"/>
      <c r="FDG241" s="4"/>
      <c r="FDH241" s="4"/>
      <c r="FDI241" s="4"/>
      <c r="FDJ241" s="4"/>
      <c r="FDK241" s="4"/>
      <c r="FDL241" s="4"/>
      <c r="FDM241" s="4"/>
      <c r="FDN241" s="4"/>
      <c r="FDO241" s="4"/>
      <c r="FDP241" s="4"/>
      <c r="FDQ241" s="4"/>
      <c r="FDR241" s="4"/>
      <c r="FDS241" s="4"/>
      <c r="FDT241" s="4"/>
      <c r="FDU241" s="4"/>
      <c r="FDV241" s="4"/>
      <c r="FDW241" s="4"/>
      <c r="FDX241" s="4"/>
      <c r="FDY241" s="4"/>
      <c r="FDZ241" s="4"/>
      <c r="FEA241" s="4"/>
      <c r="FEB241" s="4"/>
      <c r="FEC241" s="4"/>
      <c r="FED241" s="4"/>
      <c r="FEE241" s="4"/>
      <c r="FEF241" s="4"/>
      <c r="FEG241" s="4"/>
      <c r="FEH241" s="4"/>
      <c r="FEI241" s="4"/>
      <c r="FEJ241" s="4"/>
      <c r="FEK241" s="4"/>
      <c r="FEL241" s="4"/>
      <c r="FEM241" s="4"/>
      <c r="FEN241" s="4"/>
      <c r="FEO241" s="4"/>
      <c r="FEP241" s="4"/>
      <c r="FEQ241" s="4"/>
      <c r="FER241" s="4"/>
      <c r="FES241" s="4"/>
      <c r="FET241" s="4"/>
      <c r="FEU241" s="4"/>
      <c r="FEV241" s="4"/>
      <c r="FEW241" s="4"/>
      <c r="FEX241" s="4"/>
      <c r="FEY241" s="4"/>
      <c r="FEZ241" s="4"/>
      <c r="FFA241" s="4"/>
      <c r="FFB241" s="4"/>
      <c r="FFC241" s="4"/>
      <c r="FFD241" s="4"/>
      <c r="FFE241" s="4"/>
      <c r="FFF241" s="4"/>
      <c r="FFG241" s="4"/>
      <c r="FFH241" s="4"/>
      <c r="FFI241" s="4"/>
      <c r="FFJ241" s="4"/>
      <c r="FFK241" s="4"/>
      <c r="FFL241" s="4"/>
      <c r="FFM241" s="4"/>
      <c r="FFN241" s="4"/>
      <c r="FFO241" s="4"/>
      <c r="FFP241" s="4"/>
      <c r="FFQ241" s="4"/>
      <c r="FFR241" s="4"/>
      <c r="FFS241" s="4"/>
      <c r="FFT241" s="4"/>
      <c r="FFU241" s="4"/>
      <c r="FFV241" s="4"/>
      <c r="FFW241" s="4"/>
      <c r="FFX241" s="4"/>
      <c r="FFY241" s="4"/>
      <c r="FFZ241" s="4"/>
      <c r="FGA241" s="4"/>
      <c r="FGB241" s="4"/>
      <c r="FGC241" s="4"/>
      <c r="FGD241" s="4"/>
      <c r="FGE241" s="4"/>
      <c r="FGF241" s="4"/>
      <c r="FGG241" s="4"/>
      <c r="FGH241" s="4"/>
      <c r="FGI241" s="4"/>
      <c r="FGJ241" s="4"/>
      <c r="FGK241" s="4"/>
      <c r="FGL241" s="4"/>
      <c r="FGM241" s="4"/>
      <c r="FGN241" s="4"/>
      <c r="FGO241" s="4"/>
      <c r="FGP241" s="4"/>
      <c r="FGQ241" s="4"/>
      <c r="FGR241" s="4"/>
      <c r="FGS241" s="4"/>
      <c r="FGT241" s="4"/>
      <c r="FGU241" s="4"/>
      <c r="FGV241" s="4"/>
      <c r="FGW241" s="4"/>
      <c r="FGX241" s="4"/>
      <c r="FGY241" s="4"/>
      <c r="FGZ241" s="4"/>
      <c r="FHA241" s="4"/>
      <c r="FHB241" s="4"/>
      <c r="FHC241" s="4"/>
      <c r="FHD241" s="4"/>
      <c r="FHE241" s="4"/>
      <c r="FHF241" s="4"/>
      <c r="FHG241" s="4"/>
      <c r="FHH241" s="4"/>
      <c r="FHI241" s="4"/>
      <c r="FHJ241" s="4"/>
      <c r="FHK241" s="4"/>
      <c r="FHL241" s="4"/>
      <c r="FHM241" s="4"/>
      <c r="FHN241" s="4"/>
      <c r="FHO241" s="4"/>
      <c r="FHP241" s="4"/>
      <c r="FHQ241" s="4"/>
      <c r="FHR241" s="4"/>
      <c r="FHS241" s="4"/>
      <c r="FHT241" s="4"/>
      <c r="FHU241" s="4"/>
      <c r="FHV241" s="4"/>
      <c r="FHW241" s="4"/>
      <c r="FHX241" s="4"/>
      <c r="FHY241" s="4"/>
      <c r="FHZ241" s="4"/>
      <c r="FIA241" s="4"/>
      <c r="FIB241" s="4"/>
      <c r="FIC241" s="4"/>
      <c r="FID241" s="4"/>
      <c r="FIE241" s="4"/>
      <c r="FIF241" s="4"/>
      <c r="FIG241" s="4"/>
      <c r="FIH241" s="4"/>
      <c r="FII241" s="4"/>
      <c r="FIJ241" s="4"/>
      <c r="FIK241" s="4"/>
      <c r="FIL241" s="4"/>
      <c r="FIM241" s="4"/>
      <c r="FIN241" s="4"/>
      <c r="FIO241" s="4"/>
      <c r="FIP241" s="4"/>
      <c r="FIQ241" s="4"/>
      <c r="FIR241" s="4"/>
      <c r="FIS241" s="4"/>
      <c r="FIT241" s="4"/>
      <c r="FIU241" s="4"/>
      <c r="FIV241" s="4"/>
      <c r="FIW241" s="4"/>
      <c r="FIX241" s="4"/>
      <c r="FIY241" s="4"/>
      <c r="FIZ241" s="4"/>
      <c r="FJA241" s="4"/>
      <c r="FJB241" s="4"/>
      <c r="FJC241" s="4"/>
      <c r="FJD241" s="4"/>
      <c r="FJE241" s="4"/>
      <c r="FJF241" s="4"/>
      <c r="FJG241" s="4"/>
      <c r="FJH241" s="4"/>
      <c r="FJI241" s="4"/>
      <c r="FJJ241" s="4"/>
      <c r="FJK241" s="4"/>
      <c r="FJL241" s="4"/>
      <c r="FJM241" s="4"/>
      <c r="FJN241" s="4"/>
      <c r="FJO241" s="4"/>
      <c r="FJP241" s="4"/>
      <c r="FJQ241" s="4"/>
      <c r="FJR241" s="4"/>
      <c r="FJS241" s="4"/>
      <c r="FJT241" s="4"/>
      <c r="FJU241" s="4"/>
      <c r="FJV241" s="4"/>
      <c r="FJW241" s="4"/>
      <c r="FJX241" s="4"/>
      <c r="FJY241" s="4"/>
      <c r="FJZ241" s="4"/>
      <c r="FKA241" s="4"/>
      <c r="FKB241" s="4"/>
      <c r="FKC241" s="4"/>
      <c r="FKD241" s="4"/>
      <c r="FKE241" s="4"/>
      <c r="FKF241" s="4"/>
      <c r="FKG241" s="4"/>
      <c r="FKH241" s="4"/>
      <c r="FKI241" s="4"/>
      <c r="FKJ241" s="4"/>
      <c r="FKK241" s="4"/>
      <c r="FKL241" s="4"/>
      <c r="FKM241" s="4"/>
      <c r="FKN241" s="4"/>
      <c r="FKO241" s="4"/>
      <c r="FKP241" s="4"/>
      <c r="FKQ241" s="4"/>
      <c r="FKR241" s="4"/>
      <c r="FKS241" s="4"/>
      <c r="FKT241" s="4"/>
      <c r="FKU241" s="4"/>
      <c r="FKV241" s="4"/>
      <c r="FKW241" s="4"/>
      <c r="FKX241" s="4"/>
      <c r="FKY241" s="4"/>
      <c r="FKZ241" s="4"/>
      <c r="FLA241" s="4"/>
      <c r="FLB241" s="4"/>
      <c r="FLC241" s="4"/>
      <c r="FLD241" s="4"/>
      <c r="FLE241" s="4"/>
      <c r="FLF241" s="4"/>
      <c r="FLG241" s="4"/>
      <c r="FLH241" s="4"/>
      <c r="FLI241" s="4"/>
      <c r="FLJ241" s="4"/>
      <c r="FLK241" s="4"/>
      <c r="FLL241" s="4"/>
      <c r="FLM241" s="4"/>
      <c r="FLN241" s="4"/>
      <c r="FLO241" s="4"/>
      <c r="FLP241" s="4"/>
      <c r="FLQ241" s="4"/>
      <c r="FLR241" s="4"/>
      <c r="FLS241" s="4"/>
      <c r="FLT241" s="4"/>
      <c r="FLU241" s="4"/>
      <c r="FLV241" s="4"/>
      <c r="FLW241" s="4"/>
      <c r="FLX241" s="4"/>
      <c r="FLY241" s="4"/>
      <c r="FLZ241" s="4"/>
      <c r="FMA241" s="4"/>
      <c r="FMB241" s="4"/>
      <c r="FMC241" s="4"/>
      <c r="FMD241" s="4"/>
      <c r="FME241" s="4"/>
      <c r="FMF241" s="4"/>
      <c r="FMG241" s="4"/>
      <c r="FMH241" s="4"/>
      <c r="FMI241" s="4"/>
      <c r="FMJ241" s="4"/>
      <c r="FMK241" s="4"/>
      <c r="FML241" s="4"/>
      <c r="FMM241" s="4"/>
      <c r="FMN241" s="4"/>
      <c r="FMO241" s="4"/>
      <c r="FMP241" s="4"/>
      <c r="FMQ241" s="4"/>
      <c r="FMR241" s="4"/>
      <c r="FMS241" s="4"/>
      <c r="FMT241" s="4"/>
      <c r="FMU241" s="4"/>
      <c r="FMV241" s="4"/>
      <c r="FMW241" s="4"/>
      <c r="FMX241" s="4"/>
      <c r="FMY241" s="4"/>
      <c r="FMZ241" s="4"/>
      <c r="FNA241" s="4"/>
      <c r="FNB241" s="4"/>
      <c r="FNC241" s="4"/>
      <c r="FND241" s="4"/>
      <c r="FNE241" s="4"/>
      <c r="FNF241" s="4"/>
      <c r="FNG241" s="4"/>
      <c r="FNH241" s="4"/>
      <c r="FNI241" s="4"/>
      <c r="FNJ241" s="4"/>
      <c r="FNK241" s="4"/>
      <c r="FNL241" s="4"/>
      <c r="FNM241" s="4"/>
      <c r="FNN241" s="4"/>
      <c r="FNO241" s="4"/>
      <c r="FNP241" s="4"/>
      <c r="FNQ241" s="4"/>
      <c r="FNR241" s="4"/>
      <c r="FNS241" s="4"/>
      <c r="FNT241" s="4"/>
      <c r="FNU241" s="4"/>
      <c r="FNV241" s="4"/>
      <c r="FNW241" s="4"/>
      <c r="FNX241" s="4"/>
      <c r="FNY241" s="4"/>
      <c r="FNZ241" s="4"/>
      <c r="FOA241" s="4"/>
      <c r="FOB241" s="4"/>
      <c r="FOC241" s="4"/>
      <c r="FOD241" s="4"/>
      <c r="FOE241" s="4"/>
      <c r="FOF241" s="4"/>
      <c r="FOG241" s="4"/>
      <c r="FOH241" s="4"/>
      <c r="FOI241" s="4"/>
      <c r="FOJ241" s="4"/>
      <c r="FOK241" s="4"/>
      <c r="FOL241" s="4"/>
      <c r="FOM241" s="4"/>
      <c r="FON241" s="4"/>
      <c r="FOO241" s="4"/>
      <c r="FOP241" s="4"/>
      <c r="FOQ241" s="4"/>
      <c r="FOR241" s="4"/>
      <c r="FOS241" s="4"/>
      <c r="FOT241" s="4"/>
      <c r="FOU241" s="4"/>
      <c r="FOV241" s="4"/>
      <c r="FOW241" s="4"/>
      <c r="FOX241" s="4"/>
      <c r="FOY241" s="4"/>
      <c r="FOZ241" s="4"/>
      <c r="FPA241" s="4"/>
      <c r="FPB241" s="4"/>
      <c r="FPC241" s="4"/>
      <c r="FPD241" s="4"/>
      <c r="FPE241" s="4"/>
      <c r="FPF241" s="4"/>
      <c r="FPG241" s="4"/>
      <c r="FPH241" s="4"/>
      <c r="FPI241" s="4"/>
      <c r="FPJ241" s="4"/>
      <c r="FPK241" s="4"/>
      <c r="FPL241" s="4"/>
      <c r="FPM241" s="4"/>
      <c r="FPN241" s="4"/>
      <c r="FPO241" s="4"/>
      <c r="FPP241" s="4"/>
      <c r="FPQ241" s="4"/>
      <c r="FPR241" s="4"/>
      <c r="FPS241" s="4"/>
      <c r="FPT241" s="4"/>
      <c r="FPU241" s="4"/>
      <c r="FPV241" s="4"/>
      <c r="FPW241" s="4"/>
      <c r="FPX241" s="4"/>
      <c r="FPY241" s="4"/>
      <c r="FPZ241" s="4"/>
      <c r="FQA241" s="4"/>
      <c r="FQB241" s="4"/>
      <c r="FQC241" s="4"/>
      <c r="FQD241" s="4"/>
      <c r="FQE241" s="4"/>
      <c r="FQF241" s="4"/>
      <c r="FQG241" s="4"/>
      <c r="FQH241" s="4"/>
      <c r="FQI241" s="4"/>
      <c r="FQJ241" s="4"/>
      <c r="FQK241" s="4"/>
      <c r="FQL241" s="4"/>
      <c r="FQM241" s="4"/>
      <c r="FQN241" s="4"/>
      <c r="FQO241" s="4"/>
      <c r="FQP241" s="4"/>
      <c r="FQQ241" s="4"/>
      <c r="FQR241" s="4"/>
      <c r="FQS241" s="4"/>
      <c r="FQT241" s="4"/>
      <c r="FQU241" s="4"/>
      <c r="FQV241" s="4"/>
      <c r="FQW241" s="4"/>
      <c r="FQX241" s="4"/>
      <c r="FQY241" s="4"/>
      <c r="FQZ241" s="4"/>
      <c r="FRA241" s="4"/>
      <c r="FRB241" s="4"/>
      <c r="FRC241" s="4"/>
      <c r="FRD241" s="4"/>
      <c r="FRE241" s="4"/>
      <c r="FRF241" s="4"/>
      <c r="FRG241" s="4"/>
      <c r="FRH241" s="4"/>
      <c r="FRI241" s="4"/>
      <c r="FRJ241" s="4"/>
      <c r="FRK241" s="4"/>
      <c r="FRL241" s="4"/>
      <c r="FRM241" s="4"/>
      <c r="FRN241" s="4"/>
      <c r="FRO241" s="4"/>
      <c r="FRP241" s="4"/>
      <c r="FRQ241" s="4"/>
      <c r="FRR241" s="4"/>
      <c r="FRS241" s="4"/>
      <c r="FRT241" s="4"/>
      <c r="FRU241" s="4"/>
      <c r="FRV241" s="4"/>
      <c r="FRW241" s="4"/>
      <c r="FRX241" s="4"/>
      <c r="FRY241" s="4"/>
      <c r="FRZ241" s="4"/>
      <c r="FSA241" s="4"/>
      <c r="FSB241" s="4"/>
      <c r="FSC241" s="4"/>
      <c r="FSD241" s="4"/>
      <c r="FSE241" s="4"/>
      <c r="FSF241" s="4"/>
      <c r="FSG241" s="4"/>
      <c r="FSH241" s="4"/>
      <c r="FSI241" s="4"/>
      <c r="FSJ241" s="4"/>
      <c r="FSK241" s="4"/>
      <c r="FSL241" s="4"/>
      <c r="FSM241" s="4"/>
      <c r="FSN241" s="4"/>
      <c r="FSO241" s="4"/>
      <c r="FSP241" s="4"/>
      <c r="FSQ241" s="4"/>
      <c r="FSR241" s="4"/>
      <c r="FSS241" s="4"/>
      <c r="FST241" s="4"/>
      <c r="FSU241" s="4"/>
      <c r="FSV241" s="4"/>
      <c r="FSW241" s="4"/>
      <c r="FSX241" s="4"/>
      <c r="FSY241" s="4"/>
      <c r="FSZ241" s="4"/>
      <c r="FTA241" s="4"/>
      <c r="FTB241" s="4"/>
      <c r="FTC241" s="4"/>
      <c r="FTD241" s="4"/>
      <c r="FTE241" s="4"/>
      <c r="FTF241" s="4"/>
      <c r="FTG241" s="4"/>
      <c r="FTH241" s="4"/>
      <c r="FTI241" s="4"/>
      <c r="FTJ241" s="4"/>
      <c r="FTK241" s="4"/>
      <c r="FTL241" s="4"/>
      <c r="FTM241" s="4"/>
      <c r="FTN241" s="4"/>
      <c r="FTO241" s="4"/>
      <c r="FTP241" s="4"/>
      <c r="FTQ241" s="4"/>
      <c r="FTR241" s="4"/>
      <c r="FTS241" s="4"/>
      <c r="FTT241" s="4"/>
      <c r="FTU241" s="4"/>
      <c r="FTV241" s="4"/>
      <c r="FTW241" s="4"/>
      <c r="FTX241" s="4"/>
      <c r="FTY241" s="4"/>
      <c r="FTZ241" s="4"/>
      <c r="FUA241" s="4"/>
      <c r="FUB241" s="4"/>
      <c r="FUC241" s="4"/>
      <c r="FUD241" s="4"/>
      <c r="FUE241" s="4"/>
      <c r="FUF241" s="4"/>
      <c r="FUG241" s="4"/>
      <c r="FUH241" s="4"/>
      <c r="FUI241" s="4"/>
      <c r="FUJ241" s="4"/>
      <c r="FUK241" s="4"/>
      <c r="FUL241" s="4"/>
      <c r="FUM241" s="4"/>
      <c r="FUN241" s="4"/>
      <c r="FUO241" s="4"/>
      <c r="FUP241" s="4"/>
      <c r="FUQ241" s="4"/>
      <c r="FUR241" s="4"/>
      <c r="FUS241" s="4"/>
      <c r="FUT241" s="4"/>
      <c r="FUU241" s="4"/>
      <c r="FUV241" s="4"/>
      <c r="FUW241" s="4"/>
      <c r="FUX241" s="4"/>
      <c r="FUY241" s="4"/>
      <c r="FUZ241" s="4"/>
      <c r="FVA241" s="4"/>
      <c r="FVB241" s="4"/>
      <c r="FVC241" s="4"/>
      <c r="FVD241" s="4"/>
      <c r="FVE241" s="4"/>
      <c r="FVF241" s="4"/>
      <c r="FVG241" s="4"/>
      <c r="FVH241" s="4"/>
      <c r="FVI241" s="4"/>
      <c r="FVJ241" s="4"/>
      <c r="FVK241" s="4"/>
      <c r="FVL241" s="4"/>
      <c r="FVM241" s="4"/>
      <c r="FVN241" s="4"/>
      <c r="FVO241" s="4"/>
      <c r="FVP241" s="4"/>
      <c r="FVQ241" s="4"/>
      <c r="FVR241" s="4"/>
      <c r="FVS241" s="4"/>
      <c r="FVT241" s="4"/>
      <c r="FVU241" s="4"/>
      <c r="FVV241" s="4"/>
      <c r="FVW241" s="4"/>
      <c r="FVX241" s="4"/>
      <c r="FVY241" s="4"/>
      <c r="FVZ241" s="4"/>
      <c r="FWA241" s="4"/>
      <c r="FWB241" s="4"/>
      <c r="FWC241" s="4"/>
      <c r="FWD241" s="4"/>
      <c r="FWE241" s="4"/>
      <c r="FWF241" s="4"/>
      <c r="FWG241" s="4"/>
      <c r="FWH241" s="4"/>
      <c r="FWI241" s="4"/>
      <c r="FWJ241" s="4"/>
      <c r="FWK241" s="4"/>
      <c r="FWL241" s="4"/>
      <c r="FWM241" s="4"/>
      <c r="FWN241" s="4"/>
      <c r="FWO241" s="4"/>
      <c r="FWP241" s="4"/>
      <c r="FWQ241" s="4"/>
      <c r="FWR241" s="4"/>
      <c r="FWS241" s="4"/>
      <c r="FWT241" s="4"/>
      <c r="FWU241" s="4"/>
      <c r="FWV241" s="4"/>
      <c r="FWW241" s="4"/>
      <c r="FWX241" s="4"/>
      <c r="FWY241" s="4"/>
      <c r="FWZ241" s="4"/>
      <c r="FXA241" s="4"/>
      <c r="FXB241" s="4"/>
      <c r="FXC241" s="4"/>
      <c r="FXD241" s="4"/>
      <c r="FXE241" s="4"/>
      <c r="FXF241" s="4"/>
      <c r="FXG241" s="4"/>
      <c r="FXH241" s="4"/>
      <c r="FXI241" s="4"/>
      <c r="FXJ241" s="4"/>
      <c r="FXK241" s="4"/>
      <c r="FXL241" s="4"/>
      <c r="FXM241" s="4"/>
      <c r="FXN241" s="4"/>
      <c r="FXO241" s="4"/>
      <c r="FXP241" s="4"/>
      <c r="FXQ241" s="4"/>
      <c r="FXR241" s="4"/>
      <c r="FXS241" s="4"/>
      <c r="FXT241" s="4"/>
      <c r="FXU241" s="4"/>
      <c r="FXV241" s="4"/>
      <c r="FXW241" s="4"/>
      <c r="FXX241" s="4"/>
      <c r="FXY241" s="4"/>
      <c r="FXZ241" s="4"/>
      <c r="FYA241" s="4"/>
      <c r="FYB241" s="4"/>
      <c r="FYC241" s="4"/>
      <c r="FYD241" s="4"/>
      <c r="FYE241" s="4"/>
      <c r="FYF241" s="4"/>
      <c r="FYG241" s="4"/>
      <c r="FYH241" s="4"/>
      <c r="FYI241" s="4"/>
      <c r="FYJ241" s="4"/>
      <c r="FYK241" s="4"/>
      <c r="FYL241" s="4"/>
      <c r="FYM241" s="4"/>
      <c r="FYN241" s="4"/>
      <c r="FYO241" s="4"/>
      <c r="FYP241" s="4"/>
      <c r="FYQ241" s="4"/>
      <c r="FYR241" s="4"/>
      <c r="FYS241" s="4"/>
      <c r="FYT241" s="4"/>
      <c r="FYU241" s="4"/>
      <c r="FYV241" s="4"/>
      <c r="FYW241" s="4"/>
      <c r="FYX241" s="4"/>
      <c r="FYY241" s="4"/>
      <c r="FYZ241" s="4"/>
      <c r="FZA241" s="4"/>
      <c r="FZB241" s="4"/>
      <c r="FZC241" s="4"/>
      <c r="FZD241" s="4"/>
      <c r="FZE241" s="4"/>
      <c r="FZF241" s="4"/>
      <c r="FZG241" s="4"/>
      <c r="FZH241" s="4"/>
      <c r="FZI241" s="4"/>
      <c r="FZJ241" s="4"/>
      <c r="FZK241" s="4"/>
      <c r="FZL241" s="4"/>
      <c r="FZM241" s="4"/>
      <c r="FZN241" s="4"/>
      <c r="FZO241" s="4"/>
      <c r="FZP241" s="4"/>
      <c r="FZQ241" s="4"/>
      <c r="FZR241" s="4"/>
      <c r="FZS241" s="4"/>
      <c r="FZT241" s="4"/>
      <c r="FZU241" s="4"/>
      <c r="FZV241" s="4"/>
      <c r="FZW241" s="4"/>
      <c r="FZX241" s="4"/>
      <c r="FZY241" s="4"/>
      <c r="FZZ241" s="4"/>
      <c r="GAA241" s="4"/>
      <c r="GAB241" s="4"/>
      <c r="GAC241" s="4"/>
      <c r="GAD241" s="4"/>
      <c r="GAE241" s="4"/>
      <c r="GAF241" s="4"/>
      <c r="GAG241" s="4"/>
      <c r="GAH241" s="4"/>
      <c r="GAI241" s="4"/>
      <c r="GAJ241" s="4"/>
      <c r="GAK241" s="4"/>
      <c r="GAL241" s="4"/>
      <c r="GAM241" s="4"/>
      <c r="GAN241" s="4"/>
      <c r="GAO241" s="4"/>
      <c r="GAP241" s="4"/>
      <c r="GAQ241" s="4"/>
      <c r="GAR241" s="4"/>
      <c r="GAS241" s="4"/>
      <c r="GAT241" s="4"/>
      <c r="GAU241" s="4"/>
      <c r="GAV241" s="4"/>
      <c r="GAW241" s="4"/>
      <c r="GAX241" s="4"/>
      <c r="GAY241" s="4"/>
      <c r="GAZ241" s="4"/>
      <c r="GBA241" s="4"/>
      <c r="GBB241" s="4"/>
      <c r="GBC241" s="4"/>
      <c r="GBD241" s="4"/>
      <c r="GBE241" s="4"/>
      <c r="GBF241" s="4"/>
      <c r="GBG241" s="4"/>
      <c r="GBH241" s="4"/>
      <c r="GBI241" s="4"/>
      <c r="GBJ241" s="4"/>
      <c r="GBK241" s="4"/>
      <c r="GBL241" s="4"/>
      <c r="GBM241" s="4"/>
      <c r="GBN241" s="4"/>
      <c r="GBO241" s="4"/>
      <c r="GBP241" s="4"/>
      <c r="GBQ241" s="4"/>
      <c r="GBR241" s="4"/>
      <c r="GBS241" s="4"/>
      <c r="GBT241" s="4"/>
      <c r="GBU241" s="4"/>
      <c r="GBV241" s="4"/>
      <c r="GBW241" s="4"/>
      <c r="GBX241" s="4"/>
      <c r="GBY241" s="4"/>
      <c r="GBZ241" s="4"/>
      <c r="GCA241" s="4"/>
      <c r="GCB241" s="4"/>
      <c r="GCC241" s="4"/>
      <c r="GCD241" s="4"/>
      <c r="GCE241" s="4"/>
      <c r="GCF241" s="4"/>
      <c r="GCG241" s="4"/>
      <c r="GCH241" s="4"/>
      <c r="GCI241" s="4"/>
      <c r="GCJ241" s="4"/>
      <c r="GCK241" s="4"/>
      <c r="GCL241" s="4"/>
      <c r="GCM241" s="4"/>
      <c r="GCN241" s="4"/>
      <c r="GCO241" s="4"/>
      <c r="GCP241" s="4"/>
      <c r="GCQ241" s="4"/>
      <c r="GCR241" s="4"/>
      <c r="GCS241" s="4"/>
      <c r="GCT241" s="4"/>
      <c r="GCU241" s="4"/>
      <c r="GCV241" s="4"/>
      <c r="GCW241" s="4"/>
      <c r="GCX241" s="4"/>
      <c r="GCY241" s="4"/>
      <c r="GCZ241" s="4"/>
      <c r="GDA241" s="4"/>
      <c r="GDB241" s="4"/>
      <c r="GDC241" s="4"/>
      <c r="GDD241" s="4"/>
      <c r="GDE241" s="4"/>
      <c r="GDF241" s="4"/>
      <c r="GDG241" s="4"/>
      <c r="GDH241" s="4"/>
      <c r="GDI241" s="4"/>
      <c r="GDJ241" s="4"/>
      <c r="GDK241" s="4"/>
      <c r="GDL241" s="4"/>
      <c r="GDM241" s="4"/>
      <c r="GDN241" s="4"/>
      <c r="GDO241" s="4"/>
      <c r="GDP241" s="4"/>
      <c r="GDQ241" s="4"/>
      <c r="GDR241" s="4"/>
      <c r="GDS241" s="4"/>
      <c r="GDT241" s="4"/>
      <c r="GDU241" s="4"/>
      <c r="GDV241" s="4"/>
      <c r="GDW241" s="4"/>
      <c r="GDX241" s="4"/>
      <c r="GDY241" s="4"/>
      <c r="GDZ241" s="4"/>
      <c r="GEA241" s="4"/>
      <c r="GEB241" s="4"/>
      <c r="GEC241" s="4"/>
      <c r="GED241" s="4"/>
      <c r="GEE241" s="4"/>
      <c r="GEF241" s="4"/>
      <c r="GEG241" s="4"/>
      <c r="GEH241" s="4"/>
      <c r="GEI241" s="4"/>
      <c r="GEJ241" s="4"/>
      <c r="GEK241" s="4"/>
      <c r="GEL241" s="4"/>
      <c r="GEM241" s="4"/>
      <c r="GEN241" s="4"/>
      <c r="GEO241" s="4"/>
      <c r="GEP241" s="4"/>
      <c r="GEQ241" s="4"/>
      <c r="GER241" s="4"/>
      <c r="GES241" s="4"/>
      <c r="GET241" s="4"/>
      <c r="GEU241" s="4"/>
      <c r="GEV241" s="4"/>
      <c r="GEW241" s="4"/>
      <c r="GEX241" s="4"/>
      <c r="GEY241" s="4"/>
      <c r="GEZ241" s="4"/>
      <c r="GFA241" s="4"/>
      <c r="GFB241" s="4"/>
      <c r="GFC241" s="4"/>
      <c r="GFD241" s="4"/>
      <c r="GFE241" s="4"/>
      <c r="GFF241" s="4"/>
      <c r="GFG241" s="4"/>
      <c r="GFH241" s="4"/>
      <c r="GFI241" s="4"/>
      <c r="GFJ241" s="4"/>
      <c r="GFK241" s="4"/>
      <c r="GFL241" s="4"/>
      <c r="GFM241" s="4"/>
      <c r="GFN241" s="4"/>
      <c r="GFO241" s="4"/>
      <c r="GFP241" s="4"/>
      <c r="GFQ241" s="4"/>
      <c r="GFR241" s="4"/>
      <c r="GFS241" s="4"/>
      <c r="GFT241" s="4"/>
      <c r="GFU241" s="4"/>
      <c r="GFV241" s="4"/>
      <c r="GFW241" s="4"/>
      <c r="GFX241" s="4"/>
      <c r="GFY241" s="4"/>
      <c r="GFZ241" s="4"/>
      <c r="GGA241" s="4"/>
      <c r="GGB241" s="4"/>
      <c r="GGC241" s="4"/>
      <c r="GGD241" s="4"/>
      <c r="GGE241" s="4"/>
      <c r="GGF241" s="4"/>
      <c r="GGG241" s="4"/>
      <c r="GGH241" s="4"/>
      <c r="GGI241" s="4"/>
      <c r="GGJ241" s="4"/>
      <c r="GGK241" s="4"/>
      <c r="GGL241" s="4"/>
      <c r="GGM241" s="4"/>
      <c r="GGN241" s="4"/>
      <c r="GGO241" s="4"/>
      <c r="GGP241" s="4"/>
      <c r="GGQ241" s="4"/>
      <c r="GGR241" s="4"/>
      <c r="GGS241" s="4"/>
      <c r="GGT241" s="4"/>
      <c r="GGU241" s="4"/>
      <c r="GGV241" s="4"/>
      <c r="GGW241" s="4"/>
      <c r="GGX241" s="4"/>
      <c r="GGY241" s="4"/>
      <c r="GGZ241" s="4"/>
      <c r="GHA241" s="4"/>
      <c r="GHB241" s="4"/>
      <c r="GHC241" s="4"/>
      <c r="GHD241" s="4"/>
      <c r="GHE241" s="4"/>
      <c r="GHF241" s="4"/>
      <c r="GHG241" s="4"/>
      <c r="GHH241" s="4"/>
      <c r="GHI241" s="4"/>
      <c r="GHJ241" s="4"/>
      <c r="GHK241" s="4"/>
      <c r="GHL241" s="4"/>
      <c r="GHM241" s="4"/>
      <c r="GHN241" s="4"/>
      <c r="GHO241" s="4"/>
      <c r="GHP241" s="4"/>
      <c r="GHQ241" s="4"/>
      <c r="GHR241" s="4"/>
      <c r="GHS241" s="4"/>
      <c r="GHT241" s="4"/>
      <c r="GHU241" s="4"/>
      <c r="GHV241" s="4"/>
      <c r="GHW241" s="4"/>
      <c r="GHX241" s="4"/>
      <c r="GHY241" s="4"/>
      <c r="GHZ241" s="4"/>
      <c r="GIA241" s="4"/>
      <c r="GIB241" s="4"/>
      <c r="GIC241" s="4"/>
      <c r="GID241" s="4"/>
      <c r="GIE241" s="4"/>
      <c r="GIF241" s="4"/>
      <c r="GIG241" s="4"/>
      <c r="GIH241" s="4"/>
      <c r="GII241" s="4"/>
      <c r="GIJ241" s="4"/>
      <c r="GIK241" s="4"/>
      <c r="GIL241" s="4"/>
      <c r="GIM241" s="4"/>
      <c r="GIN241" s="4"/>
      <c r="GIO241" s="4"/>
      <c r="GIP241" s="4"/>
      <c r="GIQ241" s="4"/>
      <c r="GIR241" s="4"/>
      <c r="GIS241" s="4"/>
      <c r="GIT241" s="4"/>
      <c r="GIU241" s="4"/>
      <c r="GIV241" s="4"/>
      <c r="GIW241" s="4"/>
      <c r="GIX241" s="4"/>
      <c r="GIY241" s="4"/>
      <c r="GIZ241" s="4"/>
      <c r="GJA241" s="4"/>
      <c r="GJB241" s="4"/>
      <c r="GJC241" s="4"/>
      <c r="GJD241" s="4"/>
      <c r="GJE241" s="4"/>
      <c r="GJF241" s="4"/>
      <c r="GJG241" s="4"/>
      <c r="GJH241" s="4"/>
      <c r="GJI241" s="4"/>
      <c r="GJJ241" s="4"/>
      <c r="GJK241" s="4"/>
      <c r="GJL241" s="4"/>
      <c r="GJM241" s="4"/>
      <c r="GJN241" s="4"/>
      <c r="GJO241" s="4"/>
      <c r="GJP241" s="4"/>
      <c r="GJQ241" s="4"/>
      <c r="GJR241" s="4"/>
      <c r="GJS241" s="4"/>
      <c r="GJT241" s="4"/>
      <c r="GJU241" s="4"/>
      <c r="GJV241" s="4"/>
      <c r="GJW241" s="4"/>
      <c r="GJX241" s="4"/>
      <c r="GJY241" s="4"/>
      <c r="GJZ241" s="4"/>
      <c r="GKA241" s="4"/>
      <c r="GKB241" s="4"/>
      <c r="GKC241" s="4"/>
      <c r="GKD241" s="4"/>
      <c r="GKE241" s="4"/>
      <c r="GKF241" s="4"/>
      <c r="GKG241" s="4"/>
      <c r="GKH241" s="4"/>
      <c r="GKI241" s="4"/>
      <c r="GKJ241" s="4"/>
      <c r="GKK241" s="4"/>
      <c r="GKL241" s="4"/>
      <c r="GKM241" s="4"/>
      <c r="GKN241" s="4"/>
      <c r="GKO241" s="4"/>
      <c r="GKP241" s="4"/>
      <c r="GKQ241" s="4"/>
      <c r="GKR241" s="4"/>
      <c r="GKS241" s="4"/>
      <c r="GKT241" s="4"/>
      <c r="GKU241" s="4"/>
      <c r="GKV241" s="4"/>
      <c r="GKW241" s="4"/>
      <c r="GKX241" s="4"/>
      <c r="GKY241" s="4"/>
      <c r="GKZ241" s="4"/>
      <c r="GLA241" s="4"/>
      <c r="GLB241" s="4"/>
      <c r="GLC241" s="4"/>
      <c r="GLD241" s="4"/>
      <c r="GLE241" s="4"/>
      <c r="GLF241" s="4"/>
      <c r="GLG241" s="4"/>
      <c r="GLH241" s="4"/>
      <c r="GLI241" s="4"/>
      <c r="GLJ241" s="4"/>
      <c r="GLK241" s="4"/>
      <c r="GLL241" s="4"/>
      <c r="GLM241" s="4"/>
      <c r="GLN241" s="4"/>
      <c r="GLO241" s="4"/>
      <c r="GLP241" s="4"/>
      <c r="GLQ241" s="4"/>
      <c r="GLR241" s="4"/>
      <c r="GLS241" s="4"/>
      <c r="GLT241" s="4"/>
      <c r="GLU241" s="4"/>
      <c r="GLV241" s="4"/>
      <c r="GLW241" s="4"/>
      <c r="GLX241" s="4"/>
      <c r="GLY241" s="4"/>
      <c r="GLZ241" s="4"/>
      <c r="GMA241" s="4"/>
      <c r="GMB241" s="4"/>
      <c r="GMC241" s="4"/>
      <c r="GMD241" s="4"/>
      <c r="GME241" s="4"/>
      <c r="GMF241" s="4"/>
      <c r="GMG241" s="4"/>
      <c r="GMH241" s="4"/>
      <c r="GMI241" s="4"/>
      <c r="GMJ241" s="4"/>
      <c r="GMK241" s="4"/>
      <c r="GML241" s="4"/>
      <c r="GMM241" s="4"/>
      <c r="GMN241" s="4"/>
      <c r="GMO241" s="4"/>
      <c r="GMP241" s="4"/>
      <c r="GMQ241" s="4"/>
      <c r="GMR241" s="4"/>
      <c r="GMS241" s="4"/>
      <c r="GMT241" s="4"/>
      <c r="GMU241" s="4"/>
      <c r="GMV241" s="4"/>
      <c r="GMW241" s="4"/>
      <c r="GMX241" s="4"/>
      <c r="GMY241" s="4"/>
      <c r="GMZ241" s="4"/>
      <c r="GNA241" s="4"/>
      <c r="GNB241" s="4"/>
      <c r="GNC241" s="4"/>
      <c r="GND241" s="4"/>
      <c r="GNE241" s="4"/>
      <c r="GNF241" s="4"/>
      <c r="GNG241" s="4"/>
      <c r="GNH241" s="4"/>
      <c r="GNI241" s="4"/>
      <c r="GNJ241" s="4"/>
      <c r="GNK241" s="4"/>
      <c r="GNL241" s="4"/>
      <c r="GNM241" s="4"/>
      <c r="GNN241" s="4"/>
      <c r="GNO241" s="4"/>
      <c r="GNP241" s="4"/>
      <c r="GNQ241" s="4"/>
      <c r="GNR241" s="4"/>
      <c r="GNS241" s="4"/>
      <c r="GNT241" s="4"/>
      <c r="GNU241" s="4"/>
      <c r="GNV241" s="4"/>
      <c r="GNW241" s="4"/>
      <c r="GNX241" s="4"/>
      <c r="GNY241" s="4"/>
      <c r="GNZ241" s="4"/>
      <c r="GOA241" s="4"/>
      <c r="GOB241" s="4"/>
      <c r="GOC241" s="4"/>
      <c r="GOD241" s="4"/>
      <c r="GOE241" s="4"/>
      <c r="GOF241" s="4"/>
      <c r="GOG241" s="4"/>
      <c r="GOH241" s="4"/>
      <c r="GOI241" s="4"/>
      <c r="GOJ241" s="4"/>
      <c r="GOK241" s="4"/>
      <c r="GOL241" s="4"/>
      <c r="GOM241" s="4"/>
      <c r="GON241" s="4"/>
      <c r="GOO241" s="4"/>
      <c r="GOP241" s="4"/>
      <c r="GOQ241" s="4"/>
      <c r="GOR241" s="4"/>
      <c r="GOS241" s="4"/>
      <c r="GOT241" s="4"/>
      <c r="GOU241" s="4"/>
      <c r="GOV241" s="4"/>
      <c r="GOW241" s="4"/>
      <c r="GOX241" s="4"/>
      <c r="GOY241" s="4"/>
      <c r="GOZ241" s="4"/>
      <c r="GPA241" s="4"/>
      <c r="GPB241" s="4"/>
      <c r="GPC241" s="4"/>
      <c r="GPD241" s="4"/>
      <c r="GPE241" s="4"/>
      <c r="GPF241" s="4"/>
      <c r="GPG241" s="4"/>
      <c r="GPH241" s="4"/>
      <c r="GPI241" s="4"/>
      <c r="GPJ241" s="4"/>
      <c r="GPK241" s="4"/>
      <c r="GPL241" s="4"/>
      <c r="GPM241" s="4"/>
      <c r="GPN241" s="4"/>
      <c r="GPO241" s="4"/>
      <c r="GPP241" s="4"/>
      <c r="GPQ241" s="4"/>
      <c r="GPR241" s="4"/>
      <c r="GPS241" s="4"/>
      <c r="GPT241" s="4"/>
      <c r="GPU241" s="4"/>
      <c r="GPV241" s="4"/>
      <c r="GPW241" s="4"/>
      <c r="GPX241" s="4"/>
      <c r="GPY241" s="4"/>
      <c r="GPZ241" s="4"/>
      <c r="GQA241" s="4"/>
      <c r="GQB241" s="4"/>
      <c r="GQC241" s="4"/>
      <c r="GQD241" s="4"/>
      <c r="GQE241" s="4"/>
      <c r="GQF241" s="4"/>
      <c r="GQG241" s="4"/>
      <c r="GQH241" s="4"/>
      <c r="GQI241" s="4"/>
      <c r="GQJ241" s="4"/>
      <c r="GQK241" s="4"/>
      <c r="GQL241" s="4"/>
      <c r="GQM241" s="4"/>
      <c r="GQN241" s="4"/>
      <c r="GQO241" s="4"/>
      <c r="GQP241" s="4"/>
      <c r="GQQ241" s="4"/>
      <c r="GQR241" s="4"/>
      <c r="GQS241" s="4"/>
      <c r="GQT241" s="4"/>
      <c r="GQU241" s="4"/>
      <c r="GQV241" s="4"/>
      <c r="GQW241" s="4"/>
      <c r="GQX241" s="4"/>
      <c r="GQY241" s="4"/>
      <c r="GQZ241" s="4"/>
      <c r="GRA241" s="4"/>
      <c r="GRB241" s="4"/>
      <c r="GRC241" s="4"/>
      <c r="GRD241" s="4"/>
      <c r="GRE241" s="4"/>
      <c r="GRF241" s="4"/>
      <c r="GRG241" s="4"/>
      <c r="GRH241" s="4"/>
      <c r="GRI241" s="4"/>
      <c r="GRJ241" s="4"/>
      <c r="GRK241" s="4"/>
      <c r="GRL241" s="4"/>
      <c r="GRM241" s="4"/>
      <c r="GRN241" s="4"/>
      <c r="GRO241" s="4"/>
      <c r="GRP241" s="4"/>
      <c r="GRQ241" s="4"/>
      <c r="GRR241" s="4"/>
      <c r="GRS241" s="4"/>
      <c r="GRT241" s="4"/>
      <c r="GRU241" s="4"/>
      <c r="GRV241" s="4"/>
      <c r="GRW241" s="4"/>
      <c r="GRX241" s="4"/>
      <c r="GRY241" s="4"/>
      <c r="GRZ241" s="4"/>
      <c r="GSA241" s="4"/>
      <c r="GSB241" s="4"/>
      <c r="GSC241" s="4"/>
      <c r="GSD241" s="4"/>
      <c r="GSE241" s="4"/>
      <c r="GSF241" s="4"/>
      <c r="GSG241" s="4"/>
      <c r="GSH241" s="4"/>
      <c r="GSI241" s="4"/>
      <c r="GSJ241" s="4"/>
      <c r="GSK241" s="4"/>
      <c r="GSL241" s="4"/>
      <c r="GSM241" s="4"/>
      <c r="GSN241" s="4"/>
      <c r="GSO241" s="4"/>
      <c r="GSP241" s="4"/>
      <c r="GSQ241" s="4"/>
      <c r="GSR241" s="4"/>
      <c r="GSS241" s="4"/>
      <c r="GST241" s="4"/>
      <c r="GSU241" s="4"/>
      <c r="GSV241" s="4"/>
      <c r="GSW241" s="4"/>
      <c r="GSX241" s="4"/>
      <c r="GSY241" s="4"/>
      <c r="GSZ241" s="4"/>
      <c r="GTA241" s="4"/>
      <c r="GTB241" s="4"/>
      <c r="GTC241" s="4"/>
      <c r="GTD241" s="4"/>
      <c r="GTE241" s="4"/>
      <c r="GTF241" s="4"/>
      <c r="GTG241" s="4"/>
      <c r="GTH241" s="4"/>
      <c r="GTI241" s="4"/>
      <c r="GTJ241" s="4"/>
      <c r="GTK241" s="4"/>
      <c r="GTL241" s="4"/>
      <c r="GTM241" s="4"/>
      <c r="GTN241" s="4"/>
      <c r="GTO241" s="4"/>
      <c r="GTP241" s="4"/>
      <c r="GTQ241" s="4"/>
      <c r="GTR241" s="4"/>
      <c r="GTS241" s="4"/>
      <c r="GTT241" s="4"/>
      <c r="GTU241" s="4"/>
      <c r="GTV241" s="4"/>
      <c r="GTW241" s="4"/>
      <c r="GTX241" s="4"/>
      <c r="GTY241" s="4"/>
      <c r="GTZ241" s="4"/>
      <c r="GUA241" s="4"/>
      <c r="GUB241" s="4"/>
      <c r="GUC241" s="4"/>
      <c r="GUD241" s="4"/>
      <c r="GUE241" s="4"/>
      <c r="GUF241" s="4"/>
      <c r="GUG241" s="4"/>
      <c r="GUH241" s="4"/>
      <c r="GUI241" s="4"/>
      <c r="GUJ241" s="4"/>
      <c r="GUK241" s="4"/>
      <c r="GUL241" s="4"/>
      <c r="GUM241" s="4"/>
      <c r="GUN241" s="4"/>
      <c r="GUO241" s="4"/>
      <c r="GUP241" s="4"/>
      <c r="GUQ241" s="4"/>
      <c r="GUR241" s="4"/>
      <c r="GUS241" s="4"/>
      <c r="GUT241" s="4"/>
      <c r="GUU241" s="4"/>
      <c r="GUV241" s="4"/>
      <c r="GUW241" s="4"/>
      <c r="GUX241" s="4"/>
      <c r="GUY241" s="4"/>
      <c r="GUZ241" s="4"/>
      <c r="GVA241" s="4"/>
      <c r="GVB241" s="4"/>
      <c r="GVC241" s="4"/>
      <c r="GVD241" s="4"/>
      <c r="GVE241" s="4"/>
      <c r="GVF241" s="4"/>
      <c r="GVG241" s="4"/>
      <c r="GVH241" s="4"/>
      <c r="GVI241" s="4"/>
      <c r="GVJ241" s="4"/>
      <c r="GVK241" s="4"/>
      <c r="GVL241" s="4"/>
      <c r="GVM241" s="4"/>
      <c r="GVN241" s="4"/>
      <c r="GVO241" s="4"/>
      <c r="GVP241" s="4"/>
      <c r="GVQ241" s="4"/>
      <c r="GVR241" s="4"/>
      <c r="GVS241" s="4"/>
      <c r="GVT241" s="4"/>
      <c r="GVU241" s="4"/>
      <c r="GVV241" s="4"/>
      <c r="GVW241" s="4"/>
      <c r="GVX241" s="4"/>
      <c r="GVY241" s="4"/>
      <c r="GVZ241" s="4"/>
      <c r="GWA241" s="4"/>
      <c r="GWB241" s="4"/>
      <c r="GWC241" s="4"/>
      <c r="GWD241" s="4"/>
      <c r="GWE241" s="4"/>
      <c r="GWF241" s="4"/>
      <c r="GWG241" s="4"/>
      <c r="GWH241" s="4"/>
      <c r="GWI241" s="4"/>
      <c r="GWJ241" s="4"/>
      <c r="GWK241" s="4"/>
      <c r="GWL241" s="4"/>
      <c r="GWM241" s="4"/>
      <c r="GWN241" s="4"/>
      <c r="GWO241" s="4"/>
      <c r="GWP241" s="4"/>
      <c r="GWQ241" s="4"/>
      <c r="GWR241" s="4"/>
      <c r="GWS241" s="4"/>
      <c r="GWT241" s="4"/>
      <c r="GWU241" s="4"/>
      <c r="GWV241" s="4"/>
      <c r="GWW241" s="4"/>
      <c r="GWX241" s="4"/>
      <c r="GWY241" s="4"/>
      <c r="GWZ241" s="4"/>
      <c r="GXA241" s="4"/>
      <c r="GXB241" s="4"/>
      <c r="GXC241" s="4"/>
      <c r="GXD241" s="4"/>
      <c r="GXE241" s="4"/>
      <c r="GXF241" s="4"/>
      <c r="GXG241" s="4"/>
      <c r="GXH241" s="4"/>
      <c r="GXI241" s="4"/>
      <c r="GXJ241" s="4"/>
      <c r="GXK241" s="4"/>
      <c r="GXL241" s="4"/>
      <c r="GXM241" s="4"/>
      <c r="GXN241" s="4"/>
      <c r="GXO241" s="4"/>
      <c r="GXP241" s="4"/>
      <c r="GXQ241" s="4"/>
      <c r="GXR241" s="4"/>
      <c r="GXS241" s="4"/>
      <c r="GXT241" s="4"/>
      <c r="GXU241" s="4"/>
      <c r="GXV241" s="4"/>
      <c r="GXW241" s="4"/>
      <c r="GXX241" s="4"/>
      <c r="GXY241" s="4"/>
      <c r="GXZ241" s="4"/>
      <c r="GYA241" s="4"/>
      <c r="GYB241" s="4"/>
      <c r="GYC241" s="4"/>
      <c r="GYD241" s="4"/>
      <c r="GYE241" s="4"/>
      <c r="GYF241" s="4"/>
      <c r="GYG241" s="4"/>
      <c r="GYH241" s="4"/>
      <c r="GYI241" s="4"/>
      <c r="GYJ241" s="4"/>
      <c r="GYK241" s="4"/>
      <c r="GYL241" s="4"/>
      <c r="GYM241" s="4"/>
      <c r="GYN241" s="4"/>
      <c r="GYO241" s="4"/>
      <c r="GYP241" s="4"/>
      <c r="GYQ241" s="4"/>
      <c r="GYR241" s="4"/>
      <c r="GYS241" s="4"/>
      <c r="GYT241" s="4"/>
      <c r="GYU241" s="4"/>
      <c r="GYV241" s="4"/>
      <c r="GYW241" s="4"/>
      <c r="GYX241" s="4"/>
      <c r="GYY241" s="4"/>
      <c r="GYZ241" s="4"/>
      <c r="GZA241" s="4"/>
      <c r="GZB241" s="4"/>
      <c r="GZC241" s="4"/>
      <c r="GZD241" s="4"/>
      <c r="GZE241" s="4"/>
      <c r="GZF241" s="4"/>
      <c r="GZG241" s="4"/>
      <c r="GZH241" s="4"/>
      <c r="GZI241" s="4"/>
      <c r="GZJ241" s="4"/>
      <c r="GZK241" s="4"/>
      <c r="GZL241" s="4"/>
      <c r="GZM241" s="4"/>
      <c r="GZN241" s="4"/>
      <c r="GZO241" s="4"/>
      <c r="GZP241" s="4"/>
      <c r="GZQ241" s="4"/>
      <c r="GZR241" s="4"/>
      <c r="GZS241" s="4"/>
      <c r="GZT241" s="4"/>
      <c r="GZU241" s="4"/>
      <c r="GZV241" s="4"/>
      <c r="GZW241" s="4"/>
      <c r="GZX241" s="4"/>
      <c r="GZY241" s="4"/>
      <c r="GZZ241" s="4"/>
      <c r="HAA241" s="4"/>
      <c r="HAB241" s="4"/>
      <c r="HAC241" s="4"/>
      <c r="HAD241" s="4"/>
      <c r="HAE241" s="4"/>
      <c r="HAF241" s="4"/>
      <c r="HAG241" s="4"/>
      <c r="HAH241" s="4"/>
      <c r="HAI241" s="4"/>
      <c r="HAJ241" s="4"/>
      <c r="HAK241" s="4"/>
      <c r="HAL241" s="4"/>
      <c r="HAM241" s="4"/>
      <c r="HAN241" s="4"/>
      <c r="HAO241" s="4"/>
      <c r="HAP241" s="4"/>
      <c r="HAQ241" s="4"/>
      <c r="HAR241" s="4"/>
      <c r="HAS241" s="4"/>
      <c r="HAT241" s="4"/>
      <c r="HAU241" s="4"/>
      <c r="HAV241" s="4"/>
      <c r="HAW241" s="4"/>
      <c r="HAX241" s="4"/>
      <c r="HAY241" s="4"/>
      <c r="HAZ241" s="4"/>
      <c r="HBA241" s="4"/>
      <c r="HBB241" s="4"/>
      <c r="HBC241" s="4"/>
      <c r="HBD241" s="4"/>
      <c r="HBE241" s="4"/>
      <c r="HBF241" s="4"/>
      <c r="HBG241" s="4"/>
      <c r="HBH241" s="4"/>
      <c r="HBI241" s="4"/>
      <c r="HBJ241" s="4"/>
      <c r="HBK241" s="4"/>
      <c r="HBL241" s="4"/>
      <c r="HBM241" s="4"/>
      <c r="HBN241" s="4"/>
      <c r="HBO241" s="4"/>
      <c r="HBP241" s="4"/>
      <c r="HBQ241" s="4"/>
      <c r="HBR241" s="4"/>
      <c r="HBS241" s="4"/>
      <c r="HBT241" s="4"/>
      <c r="HBU241" s="4"/>
      <c r="HBV241" s="4"/>
      <c r="HBW241" s="4"/>
      <c r="HBX241" s="4"/>
      <c r="HBY241" s="4"/>
      <c r="HBZ241" s="4"/>
      <c r="HCA241" s="4"/>
      <c r="HCB241" s="4"/>
      <c r="HCC241" s="4"/>
      <c r="HCD241" s="4"/>
      <c r="HCE241" s="4"/>
      <c r="HCF241" s="4"/>
      <c r="HCG241" s="4"/>
      <c r="HCH241" s="4"/>
      <c r="HCI241" s="4"/>
      <c r="HCJ241" s="4"/>
      <c r="HCK241" s="4"/>
      <c r="HCL241" s="4"/>
      <c r="HCM241" s="4"/>
      <c r="HCN241" s="4"/>
      <c r="HCO241" s="4"/>
      <c r="HCP241" s="4"/>
      <c r="HCQ241" s="4"/>
      <c r="HCR241" s="4"/>
      <c r="HCS241" s="4"/>
      <c r="HCT241" s="4"/>
      <c r="HCU241" s="4"/>
      <c r="HCV241" s="4"/>
      <c r="HCW241" s="4"/>
      <c r="HCX241" s="4"/>
      <c r="HCY241" s="4"/>
      <c r="HCZ241" s="4"/>
      <c r="HDA241" s="4"/>
      <c r="HDB241" s="4"/>
      <c r="HDC241" s="4"/>
      <c r="HDD241" s="4"/>
      <c r="HDE241" s="4"/>
      <c r="HDF241" s="4"/>
      <c r="HDG241" s="4"/>
      <c r="HDH241" s="4"/>
      <c r="HDI241" s="4"/>
      <c r="HDJ241" s="4"/>
      <c r="HDK241" s="4"/>
      <c r="HDL241" s="4"/>
      <c r="HDM241" s="4"/>
      <c r="HDN241" s="4"/>
      <c r="HDO241" s="4"/>
      <c r="HDP241" s="4"/>
      <c r="HDQ241" s="4"/>
      <c r="HDR241" s="4"/>
      <c r="HDS241" s="4"/>
      <c r="HDT241" s="4"/>
      <c r="HDU241" s="4"/>
      <c r="HDV241" s="4"/>
      <c r="HDW241" s="4"/>
      <c r="HDX241" s="4"/>
      <c r="HDY241" s="4"/>
      <c r="HDZ241" s="4"/>
      <c r="HEA241" s="4"/>
      <c r="HEB241" s="4"/>
      <c r="HEC241" s="4"/>
      <c r="HED241" s="4"/>
      <c r="HEE241" s="4"/>
      <c r="HEF241" s="4"/>
      <c r="HEG241" s="4"/>
      <c r="HEH241" s="4"/>
      <c r="HEI241" s="4"/>
      <c r="HEJ241" s="4"/>
      <c r="HEK241" s="4"/>
      <c r="HEL241" s="4"/>
      <c r="HEM241" s="4"/>
      <c r="HEN241" s="4"/>
      <c r="HEO241" s="4"/>
      <c r="HEP241" s="4"/>
      <c r="HEQ241" s="4"/>
      <c r="HER241" s="4"/>
      <c r="HES241" s="4"/>
      <c r="HET241" s="4"/>
      <c r="HEU241" s="4"/>
      <c r="HEV241" s="4"/>
      <c r="HEW241" s="4"/>
      <c r="HEX241" s="4"/>
      <c r="HEY241" s="4"/>
      <c r="HEZ241" s="4"/>
      <c r="HFA241" s="4"/>
      <c r="HFB241" s="4"/>
      <c r="HFC241" s="4"/>
      <c r="HFD241" s="4"/>
      <c r="HFE241" s="4"/>
      <c r="HFF241" s="4"/>
      <c r="HFG241" s="4"/>
      <c r="HFH241" s="4"/>
      <c r="HFI241" s="4"/>
      <c r="HFJ241" s="4"/>
      <c r="HFK241" s="4"/>
      <c r="HFL241" s="4"/>
      <c r="HFM241" s="4"/>
      <c r="HFN241" s="4"/>
      <c r="HFO241" s="4"/>
      <c r="HFP241" s="4"/>
      <c r="HFQ241" s="4"/>
      <c r="HFR241" s="4"/>
      <c r="HFS241" s="4"/>
      <c r="HFT241" s="4"/>
      <c r="HFU241" s="4"/>
      <c r="HFV241" s="4"/>
      <c r="HFW241" s="4"/>
      <c r="HFX241" s="4"/>
      <c r="HFY241" s="4"/>
      <c r="HFZ241" s="4"/>
      <c r="HGA241" s="4"/>
      <c r="HGB241" s="4"/>
      <c r="HGC241" s="4"/>
      <c r="HGD241" s="4"/>
      <c r="HGE241" s="4"/>
      <c r="HGF241" s="4"/>
      <c r="HGG241" s="4"/>
      <c r="HGH241" s="4"/>
      <c r="HGI241" s="4"/>
      <c r="HGJ241" s="4"/>
      <c r="HGK241" s="4"/>
      <c r="HGL241" s="4"/>
      <c r="HGM241" s="4"/>
      <c r="HGN241" s="4"/>
      <c r="HGO241" s="4"/>
      <c r="HGP241" s="4"/>
      <c r="HGQ241" s="4"/>
      <c r="HGR241" s="4"/>
      <c r="HGS241" s="4"/>
      <c r="HGT241" s="4"/>
      <c r="HGU241" s="4"/>
      <c r="HGV241" s="4"/>
      <c r="HGW241" s="4"/>
      <c r="HGX241" s="4"/>
      <c r="HGY241" s="4"/>
      <c r="HGZ241" s="4"/>
      <c r="HHA241" s="4"/>
      <c r="HHB241" s="4"/>
      <c r="HHC241" s="4"/>
      <c r="HHD241" s="4"/>
      <c r="HHE241" s="4"/>
      <c r="HHF241" s="4"/>
      <c r="HHG241" s="4"/>
      <c r="HHH241" s="4"/>
      <c r="HHI241" s="4"/>
      <c r="HHJ241" s="4"/>
      <c r="HHK241" s="4"/>
      <c r="HHL241" s="4"/>
      <c r="HHM241" s="4"/>
      <c r="HHN241" s="4"/>
      <c r="HHO241" s="4"/>
      <c r="HHP241" s="4"/>
      <c r="HHQ241" s="4"/>
      <c r="HHR241" s="4"/>
      <c r="HHS241" s="4"/>
      <c r="HHT241" s="4"/>
      <c r="HHU241" s="4"/>
      <c r="HHV241" s="4"/>
      <c r="HHW241" s="4"/>
      <c r="HHX241" s="4"/>
      <c r="HHY241" s="4"/>
      <c r="HHZ241" s="4"/>
      <c r="HIA241" s="4"/>
      <c r="HIB241" s="4"/>
      <c r="HIC241" s="4"/>
      <c r="HID241" s="4"/>
      <c r="HIE241" s="4"/>
      <c r="HIF241" s="4"/>
      <c r="HIG241" s="4"/>
      <c r="HIH241" s="4"/>
      <c r="HII241" s="4"/>
      <c r="HIJ241" s="4"/>
      <c r="HIK241" s="4"/>
      <c r="HIL241" s="4"/>
      <c r="HIM241" s="4"/>
      <c r="HIN241" s="4"/>
      <c r="HIO241" s="4"/>
      <c r="HIP241" s="4"/>
      <c r="HIQ241" s="4"/>
      <c r="HIR241" s="4"/>
      <c r="HIS241" s="4"/>
      <c r="HIT241" s="4"/>
      <c r="HIU241" s="4"/>
      <c r="HIV241" s="4"/>
      <c r="HIW241" s="4"/>
      <c r="HIX241" s="4"/>
      <c r="HIY241" s="4"/>
      <c r="HIZ241" s="4"/>
      <c r="HJA241" s="4"/>
      <c r="HJB241" s="4"/>
      <c r="HJC241" s="4"/>
      <c r="HJD241" s="4"/>
      <c r="HJE241" s="4"/>
      <c r="HJF241" s="4"/>
      <c r="HJG241" s="4"/>
      <c r="HJH241" s="4"/>
      <c r="HJI241" s="4"/>
      <c r="HJJ241" s="4"/>
      <c r="HJK241" s="4"/>
      <c r="HJL241" s="4"/>
      <c r="HJM241" s="4"/>
      <c r="HJN241" s="4"/>
      <c r="HJO241" s="4"/>
      <c r="HJP241" s="4"/>
      <c r="HJQ241" s="4"/>
      <c r="HJR241" s="4"/>
      <c r="HJS241" s="4"/>
      <c r="HJT241" s="4"/>
      <c r="HJU241" s="4"/>
      <c r="HJV241" s="4"/>
      <c r="HJW241" s="4"/>
      <c r="HJX241" s="4"/>
      <c r="HJY241" s="4"/>
      <c r="HJZ241" s="4"/>
      <c r="HKA241" s="4"/>
      <c r="HKB241" s="4"/>
      <c r="HKC241" s="4"/>
      <c r="HKD241" s="4"/>
      <c r="HKE241" s="4"/>
      <c r="HKF241" s="4"/>
      <c r="HKG241" s="4"/>
      <c r="HKH241" s="4"/>
      <c r="HKI241" s="4"/>
      <c r="HKJ241" s="4"/>
      <c r="HKK241" s="4"/>
      <c r="HKL241" s="4"/>
      <c r="HKM241" s="4"/>
      <c r="HKN241" s="4"/>
      <c r="HKO241" s="4"/>
      <c r="HKP241" s="4"/>
      <c r="HKQ241" s="4"/>
      <c r="HKR241" s="4"/>
      <c r="HKS241" s="4"/>
      <c r="HKT241" s="4"/>
      <c r="HKU241" s="4"/>
      <c r="HKV241" s="4"/>
      <c r="HKW241" s="4"/>
      <c r="HKX241" s="4"/>
      <c r="HKY241" s="4"/>
      <c r="HKZ241" s="4"/>
      <c r="HLA241" s="4"/>
      <c r="HLB241" s="4"/>
      <c r="HLC241" s="4"/>
      <c r="HLD241" s="4"/>
      <c r="HLE241" s="4"/>
      <c r="HLF241" s="4"/>
      <c r="HLG241" s="4"/>
      <c r="HLH241" s="4"/>
      <c r="HLI241" s="4"/>
      <c r="HLJ241" s="4"/>
      <c r="HLK241" s="4"/>
      <c r="HLL241" s="4"/>
      <c r="HLM241" s="4"/>
      <c r="HLN241" s="4"/>
      <c r="HLO241" s="4"/>
      <c r="HLP241" s="4"/>
      <c r="HLQ241" s="4"/>
      <c r="HLR241" s="4"/>
      <c r="HLS241" s="4"/>
      <c r="HLT241" s="4"/>
      <c r="HLU241" s="4"/>
      <c r="HLV241" s="4"/>
      <c r="HLW241" s="4"/>
      <c r="HLX241" s="4"/>
      <c r="HLY241" s="4"/>
      <c r="HLZ241" s="4"/>
      <c r="HMA241" s="4"/>
      <c r="HMB241" s="4"/>
      <c r="HMC241" s="4"/>
      <c r="HMD241" s="4"/>
      <c r="HME241" s="4"/>
      <c r="HMF241" s="4"/>
      <c r="HMG241" s="4"/>
      <c r="HMH241" s="4"/>
      <c r="HMI241" s="4"/>
      <c r="HMJ241" s="4"/>
      <c r="HMK241" s="4"/>
      <c r="HML241" s="4"/>
      <c r="HMM241" s="4"/>
      <c r="HMN241" s="4"/>
      <c r="HMO241" s="4"/>
      <c r="HMP241" s="4"/>
      <c r="HMQ241" s="4"/>
      <c r="HMR241" s="4"/>
      <c r="HMS241" s="4"/>
      <c r="HMT241" s="4"/>
      <c r="HMU241" s="4"/>
      <c r="HMV241" s="4"/>
      <c r="HMW241" s="4"/>
      <c r="HMX241" s="4"/>
      <c r="HMY241" s="4"/>
      <c r="HMZ241" s="4"/>
      <c r="HNA241" s="4"/>
      <c r="HNB241" s="4"/>
      <c r="HNC241" s="4"/>
      <c r="HND241" s="4"/>
      <c r="HNE241" s="4"/>
      <c r="HNF241" s="4"/>
      <c r="HNG241" s="4"/>
      <c r="HNH241" s="4"/>
      <c r="HNI241" s="4"/>
      <c r="HNJ241" s="4"/>
      <c r="HNK241" s="4"/>
      <c r="HNL241" s="4"/>
      <c r="HNM241" s="4"/>
      <c r="HNN241" s="4"/>
      <c r="HNO241" s="4"/>
      <c r="HNP241" s="4"/>
      <c r="HNQ241" s="4"/>
      <c r="HNR241" s="4"/>
      <c r="HNS241" s="4"/>
      <c r="HNT241" s="4"/>
      <c r="HNU241" s="4"/>
      <c r="HNV241" s="4"/>
      <c r="HNW241" s="4"/>
      <c r="HNX241" s="4"/>
      <c r="HNY241" s="4"/>
      <c r="HNZ241" s="4"/>
      <c r="HOA241" s="4"/>
      <c r="HOB241" s="4"/>
      <c r="HOC241" s="4"/>
      <c r="HOD241" s="4"/>
      <c r="HOE241" s="4"/>
      <c r="HOF241" s="4"/>
      <c r="HOG241" s="4"/>
      <c r="HOH241" s="4"/>
      <c r="HOI241" s="4"/>
      <c r="HOJ241" s="4"/>
      <c r="HOK241" s="4"/>
      <c r="HOL241" s="4"/>
      <c r="HOM241" s="4"/>
      <c r="HON241" s="4"/>
      <c r="HOO241" s="4"/>
      <c r="HOP241" s="4"/>
      <c r="HOQ241" s="4"/>
      <c r="HOR241" s="4"/>
      <c r="HOS241" s="4"/>
      <c r="HOT241" s="4"/>
      <c r="HOU241" s="4"/>
      <c r="HOV241" s="4"/>
      <c r="HOW241" s="4"/>
      <c r="HOX241" s="4"/>
      <c r="HOY241" s="4"/>
      <c r="HOZ241" s="4"/>
      <c r="HPA241" s="4"/>
      <c r="HPB241" s="4"/>
      <c r="HPC241" s="4"/>
      <c r="HPD241" s="4"/>
      <c r="HPE241" s="4"/>
      <c r="HPF241" s="4"/>
      <c r="HPG241" s="4"/>
      <c r="HPH241" s="4"/>
      <c r="HPI241" s="4"/>
      <c r="HPJ241" s="4"/>
      <c r="HPK241" s="4"/>
      <c r="HPL241" s="4"/>
      <c r="HPM241" s="4"/>
      <c r="HPN241" s="4"/>
      <c r="HPO241" s="4"/>
      <c r="HPP241" s="4"/>
      <c r="HPQ241" s="4"/>
      <c r="HPR241" s="4"/>
      <c r="HPS241" s="4"/>
      <c r="HPT241" s="4"/>
      <c r="HPU241" s="4"/>
      <c r="HPV241" s="4"/>
      <c r="HPW241" s="4"/>
      <c r="HPX241" s="4"/>
      <c r="HPY241" s="4"/>
      <c r="HPZ241" s="4"/>
      <c r="HQA241" s="4"/>
      <c r="HQB241" s="4"/>
      <c r="HQC241" s="4"/>
      <c r="HQD241" s="4"/>
      <c r="HQE241" s="4"/>
      <c r="HQF241" s="4"/>
      <c r="HQG241" s="4"/>
      <c r="HQH241" s="4"/>
      <c r="HQI241" s="4"/>
      <c r="HQJ241" s="4"/>
      <c r="HQK241" s="4"/>
      <c r="HQL241" s="4"/>
      <c r="HQM241" s="4"/>
      <c r="HQN241" s="4"/>
      <c r="HQO241" s="4"/>
      <c r="HQP241" s="4"/>
      <c r="HQQ241" s="4"/>
      <c r="HQR241" s="4"/>
      <c r="HQS241" s="4"/>
      <c r="HQT241" s="4"/>
      <c r="HQU241" s="4"/>
      <c r="HQV241" s="4"/>
      <c r="HQW241" s="4"/>
      <c r="HQX241" s="4"/>
      <c r="HQY241" s="4"/>
      <c r="HQZ241" s="4"/>
      <c r="HRA241" s="4"/>
      <c r="HRB241" s="4"/>
      <c r="HRC241" s="4"/>
      <c r="HRD241" s="4"/>
      <c r="HRE241" s="4"/>
      <c r="HRF241" s="4"/>
      <c r="HRG241" s="4"/>
      <c r="HRH241" s="4"/>
      <c r="HRI241" s="4"/>
      <c r="HRJ241" s="4"/>
      <c r="HRK241" s="4"/>
      <c r="HRL241" s="4"/>
      <c r="HRM241" s="4"/>
      <c r="HRN241" s="4"/>
      <c r="HRO241" s="4"/>
      <c r="HRP241" s="4"/>
      <c r="HRQ241" s="4"/>
      <c r="HRR241" s="4"/>
      <c r="HRS241" s="4"/>
      <c r="HRT241" s="4"/>
      <c r="HRU241" s="4"/>
      <c r="HRV241" s="4"/>
      <c r="HRW241" s="4"/>
      <c r="HRX241" s="4"/>
      <c r="HRY241" s="4"/>
      <c r="HRZ241" s="4"/>
      <c r="HSA241" s="4"/>
      <c r="HSB241" s="4"/>
      <c r="HSC241" s="4"/>
      <c r="HSD241" s="4"/>
      <c r="HSE241" s="4"/>
      <c r="HSF241" s="4"/>
      <c r="HSG241" s="4"/>
      <c r="HSH241" s="4"/>
      <c r="HSI241" s="4"/>
      <c r="HSJ241" s="4"/>
      <c r="HSK241" s="4"/>
      <c r="HSL241" s="4"/>
      <c r="HSM241" s="4"/>
      <c r="HSN241" s="4"/>
      <c r="HSO241" s="4"/>
      <c r="HSP241" s="4"/>
      <c r="HSQ241" s="4"/>
      <c r="HSR241" s="4"/>
      <c r="HSS241" s="4"/>
      <c r="HST241" s="4"/>
      <c r="HSU241" s="4"/>
      <c r="HSV241" s="4"/>
      <c r="HSW241" s="4"/>
      <c r="HSX241" s="4"/>
      <c r="HSY241" s="4"/>
      <c r="HSZ241" s="4"/>
      <c r="HTA241" s="4"/>
      <c r="HTB241" s="4"/>
      <c r="HTC241" s="4"/>
      <c r="HTD241" s="4"/>
      <c r="HTE241" s="4"/>
      <c r="HTF241" s="4"/>
      <c r="HTG241" s="4"/>
      <c r="HTH241" s="4"/>
      <c r="HTI241" s="4"/>
      <c r="HTJ241" s="4"/>
      <c r="HTK241" s="4"/>
      <c r="HTL241" s="4"/>
      <c r="HTM241" s="4"/>
      <c r="HTN241" s="4"/>
      <c r="HTO241" s="4"/>
      <c r="HTP241" s="4"/>
      <c r="HTQ241" s="4"/>
      <c r="HTR241" s="4"/>
      <c r="HTS241" s="4"/>
      <c r="HTT241" s="4"/>
      <c r="HTU241" s="4"/>
      <c r="HTV241" s="4"/>
      <c r="HTW241" s="4"/>
      <c r="HTX241" s="4"/>
      <c r="HTY241" s="4"/>
      <c r="HTZ241" s="4"/>
      <c r="HUA241" s="4"/>
      <c r="HUB241" s="4"/>
      <c r="HUC241" s="4"/>
      <c r="HUD241" s="4"/>
      <c r="HUE241" s="4"/>
      <c r="HUF241" s="4"/>
      <c r="HUG241" s="4"/>
      <c r="HUH241" s="4"/>
      <c r="HUI241" s="4"/>
      <c r="HUJ241" s="4"/>
      <c r="HUK241" s="4"/>
      <c r="HUL241" s="4"/>
      <c r="HUM241" s="4"/>
      <c r="HUN241" s="4"/>
      <c r="HUO241" s="4"/>
      <c r="HUP241" s="4"/>
      <c r="HUQ241" s="4"/>
      <c r="HUR241" s="4"/>
      <c r="HUS241" s="4"/>
      <c r="HUT241" s="4"/>
      <c r="HUU241" s="4"/>
      <c r="HUV241" s="4"/>
      <c r="HUW241" s="4"/>
      <c r="HUX241" s="4"/>
      <c r="HUY241" s="4"/>
      <c r="HUZ241" s="4"/>
      <c r="HVA241" s="4"/>
      <c r="HVB241" s="4"/>
      <c r="HVC241" s="4"/>
      <c r="HVD241" s="4"/>
      <c r="HVE241" s="4"/>
      <c r="HVF241" s="4"/>
      <c r="HVG241" s="4"/>
      <c r="HVH241" s="4"/>
      <c r="HVI241" s="4"/>
      <c r="HVJ241" s="4"/>
      <c r="HVK241" s="4"/>
      <c r="HVL241" s="4"/>
      <c r="HVM241" s="4"/>
      <c r="HVN241" s="4"/>
      <c r="HVO241" s="4"/>
      <c r="HVP241" s="4"/>
      <c r="HVQ241" s="4"/>
      <c r="HVR241" s="4"/>
      <c r="HVS241" s="4"/>
      <c r="HVT241" s="4"/>
      <c r="HVU241" s="4"/>
      <c r="HVV241" s="4"/>
      <c r="HVW241" s="4"/>
      <c r="HVX241" s="4"/>
      <c r="HVY241" s="4"/>
      <c r="HVZ241" s="4"/>
      <c r="HWA241" s="4"/>
      <c r="HWB241" s="4"/>
      <c r="HWC241" s="4"/>
      <c r="HWD241" s="4"/>
      <c r="HWE241" s="4"/>
      <c r="HWF241" s="4"/>
      <c r="HWG241" s="4"/>
      <c r="HWH241" s="4"/>
      <c r="HWI241" s="4"/>
      <c r="HWJ241" s="4"/>
      <c r="HWK241" s="4"/>
      <c r="HWL241" s="4"/>
      <c r="HWM241" s="4"/>
      <c r="HWN241" s="4"/>
      <c r="HWO241" s="4"/>
      <c r="HWP241" s="4"/>
      <c r="HWQ241" s="4"/>
      <c r="HWR241" s="4"/>
      <c r="HWS241" s="4"/>
      <c r="HWT241" s="4"/>
      <c r="HWU241" s="4"/>
      <c r="HWV241" s="4"/>
      <c r="HWW241" s="4"/>
      <c r="HWX241" s="4"/>
      <c r="HWY241" s="4"/>
      <c r="HWZ241" s="4"/>
      <c r="HXA241" s="4"/>
      <c r="HXB241" s="4"/>
      <c r="HXC241" s="4"/>
      <c r="HXD241" s="4"/>
      <c r="HXE241" s="4"/>
      <c r="HXF241" s="4"/>
      <c r="HXG241" s="4"/>
      <c r="HXH241" s="4"/>
      <c r="HXI241" s="4"/>
      <c r="HXJ241" s="4"/>
      <c r="HXK241" s="4"/>
      <c r="HXL241" s="4"/>
      <c r="HXM241" s="4"/>
      <c r="HXN241" s="4"/>
      <c r="HXO241" s="4"/>
      <c r="HXP241" s="4"/>
      <c r="HXQ241" s="4"/>
      <c r="HXR241" s="4"/>
      <c r="HXS241" s="4"/>
      <c r="HXT241" s="4"/>
      <c r="HXU241" s="4"/>
      <c r="HXV241" s="4"/>
      <c r="HXW241" s="4"/>
      <c r="HXX241" s="4"/>
      <c r="HXY241" s="4"/>
      <c r="HXZ241" s="4"/>
      <c r="HYA241" s="4"/>
      <c r="HYB241" s="4"/>
      <c r="HYC241" s="4"/>
      <c r="HYD241" s="4"/>
      <c r="HYE241" s="4"/>
      <c r="HYF241" s="4"/>
      <c r="HYG241" s="4"/>
      <c r="HYH241" s="4"/>
      <c r="HYI241" s="4"/>
      <c r="HYJ241" s="4"/>
      <c r="HYK241" s="4"/>
      <c r="HYL241" s="4"/>
      <c r="HYM241" s="4"/>
      <c r="HYN241" s="4"/>
      <c r="HYO241" s="4"/>
      <c r="HYP241" s="4"/>
      <c r="HYQ241" s="4"/>
      <c r="HYR241" s="4"/>
      <c r="HYS241" s="4"/>
      <c r="HYT241" s="4"/>
      <c r="HYU241" s="4"/>
      <c r="HYV241" s="4"/>
      <c r="HYW241" s="4"/>
      <c r="HYX241" s="4"/>
      <c r="HYY241" s="4"/>
      <c r="HYZ241" s="4"/>
      <c r="HZA241" s="4"/>
      <c r="HZB241" s="4"/>
      <c r="HZC241" s="4"/>
      <c r="HZD241" s="4"/>
      <c r="HZE241" s="4"/>
      <c r="HZF241" s="4"/>
      <c r="HZG241" s="4"/>
      <c r="HZH241" s="4"/>
      <c r="HZI241" s="4"/>
      <c r="HZJ241" s="4"/>
      <c r="HZK241" s="4"/>
      <c r="HZL241" s="4"/>
      <c r="HZM241" s="4"/>
      <c r="HZN241" s="4"/>
      <c r="HZO241" s="4"/>
      <c r="HZP241" s="4"/>
      <c r="HZQ241" s="4"/>
      <c r="HZR241" s="4"/>
      <c r="HZS241" s="4"/>
      <c r="HZT241" s="4"/>
      <c r="HZU241" s="4"/>
      <c r="HZV241" s="4"/>
      <c r="HZW241" s="4"/>
      <c r="HZX241" s="4"/>
      <c r="HZY241" s="4"/>
      <c r="HZZ241" s="4"/>
      <c r="IAA241" s="4"/>
      <c r="IAB241" s="4"/>
      <c r="IAC241" s="4"/>
      <c r="IAD241" s="4"/>
      <c r="IAE241" s="4"/>
      <c r="IAF241" s="4"/>
      <c r="IAG241" s="4"/>
      <c r="IAH241" s="4"/>
      <c r="IAI241" s="4"/>
      <c r="IAJ241" s="4"/>
      <c r="IAK241" s="4"/>
      <c r="IAL241" s="4"/>
      <c r="IAM241" s="4"/>
      <c r="IAN241" s="4"/>
      <c r="IAO241" s="4"/>
      <c r="IAP241" s="4"/>
      <c r="IAQ241" s="4"/>
      <c r="IAR241" s="4"/>
      <c r="IAS241" s="4"/>
      <c r="IAT241" s="4"/>
      <c r="IAU241" s="4"/>
      <c r="IAV241" s="4"/>
      <c r="IAW241" s="4"/>
      <c r="IAX241" s="4"/>
      <c r="IAY241" s="4"/>
      <c r="IAZ241" s="4"/>
      <c r="IBA241" s="4"/>
      <c r="IBB241" s="4"/>
      <c r="IBC241" s="4"/>
      <c r="IBD241" s="4"/>
      <c r="IBE241" s="4"/>
      <c r="IBF241" s="4"/>
      <c r="IBG241" s="4"/>
      <c r="IBH241" s="4"/>
      <c r="IBI241" s="4"/>
      <c r="IBJ241" s="4"/>
      <c r="IBK241" s="4"/>
      <c r="IBL241" s="4"/>
      <c r="IBM241" s="4"/>
      <c r="IBN241" s="4"/>
      <c r="IBO241" s="4"/>
      <c r="IBP241" s="4"/>
      <c r="IBQ241" s="4"/>
      <c r="IBR241" s="4"/>
      <c r="IBS241" s="4"/>
      <c r="IBT241" s="4"/>
      <c r="IBU241" s="4"/>
      <c r="IBV241" s="4"/>
      <c r="IBW241" s="4"/>
      <c r="IBX241" s="4"/>
      <c r="IBY241" s="4"/>
      <c r="IBZ241" s="4"/>
      <c r="ICA241" s="4"/>
      <c r="ICB241" s="4"/>
      <c r="ICC241" s="4"/>
      <c r="ICD241" s="4"/>
      <c r="ICE241" s="4"/>
      <c r="ICF241" s="4"/>
      <c r="ICG241" s="4"/>
      <c r="ICH241" s="4"/>
      <c r="ICI241" s="4"/>
      <c r="ICJ241" s="4"/>
      <c r="ICK241" s="4"/>
      <c r="ICL241" s="4"/>
      <c r="ICM241" s="4"/>
      <c r="ICN241" s="4"/>
      <c r="ICO241" s="4"/>
      <c r="ICP241" s="4"/>
      <c r="ICQ241" s="4"/>
      <c r="ICR241" s="4"/>
      <c r="ICS241" s="4"/>
      <c r="ICT241" s="4"/>
      <c r="ICU241" s="4"/>
      <c r="ICV241" s="4"/>
      <c r="ICW241" s="4"/>
      <c r="ICX241" s="4"/>
      <c r="ICY241" s="4"/>
      <c r="ICZ241" s="4"/>
      <c r="IDA241" s="4"/>
      <c r="IDB241" s="4"/>
      <c r="IDC241" s="4"/>
      <c r="IDD241" s="4"/>
      <c r="IDE241" s="4"/>
      <c r="IDF241" s="4"/>
      <c r="IDG241" s="4"/>
      <c r="IDH241" s="4"/>
      <c r="IDI241" s="4"/>
      <c r="IDJ241" s="4"/>
      <c r="IDK241" s="4"/>
      <c r="IDL241" s="4"/>
      <c r="IDM241" s="4"/>
      <c r="IDN241" s="4"/>
      <c r="IDO241" s="4"/>
      <c r="IDP241" s="4"/>
      <c r="IDQ241" s="4"/>
      <c r="IDR241" s="4"/>
      <c r="IDS241" s="4"/>
      <c r="IDT241" s="4"/>
      <c r="IDU241" s="4"/>
      <c r="IDV241" s="4"/>
      <c r="IDW241" s="4"/>
      <c r="IDX241" s="4"/>
      <c r="IDY241" s="4"/>
      <c r="IDZ241" s="4"/>
      <c r="IEA241" s="4"/>
      <c r="IEB241" s="4"/>
      <c r="IEC241" s="4"/>
      <c r="IED241" s="4"/>
      <c r="IEE241" s="4"/>
      <c r="IEF241" s="4"/>
      <c r="IEG241" s="4"/>
      <c r="IEH241" s="4"/>
      <c r="IEI241" s="4"/>
      <c r="IEJ241" s="4"/>
      <c r="IEK241" s="4"/>
      <c r="IEL241" s="4"/>
      <c r="IEM241" s="4"/>
      <c r="IEN241" s="4"/>
      <c r="IEO241" s="4"/>
      <c r="IEP241" s="4"/>
      <c r="IEQ241" s="4"/>
      <c r="IER241" s="4"/>
      <c r="IES241" s="4"/>
      <c r="IET241" s="4"/>
      <c r="IEU241" s="4"/>
      <c r="IEV241" s="4"/>
      <c r="IEW241" s="4"/>
      <c r="IEX241" s="4"/>
      <c r="IEY241" s="4"/>
      <c r="IEZ241" s="4"/>
      <c r="IFA241" s="4"/>
      <c r="IFB241" s="4"/>
      <c r="IFC241" s="4"/>
      <c r="IFD241" s="4"/>
      <c r="IFE241" s="4"/>
      <c r="IFF241" s="4"/>
      <c r="IFG241" s="4"/>
      <c r="IFH241" s="4"/>
      <c r="IFI241" s="4"/>
      <c r="IFJ241" s="4"/>
      <c r="IFK241" s="4"/>
      <c r="IFL241" s="4"/>
      <c r="IFM241" s="4"/>
      <c r="IFN241" s="4"/>
      <c r="IFO241" s="4"/>
      <c r="IFP241" s="4"/>
      <c r="IFQ241" s="4"/>
      <c r="IFR241" s="4"/>
      <c r="IFS241" s="4"/>
      <c r="IFT241" s="4"/>
      <c r="IFU241" s="4"/>
      <c r="IFV241" s="4"/>
      <c r="IFW241" s="4"/>
      <c r="IFX241" s="4"/>
      <c r="IFY241" s="4"/>
      <c r="IFZ241" s="4"/>
      <c r="IGA241" s="4"/>
      <c r="IGB241" s="4"/>
      <c r="IGC241" s="4"/>
      <c r="IGD241" s="4"/>
      <c r="IGE241" s="4"/>
      <c r="IGF241" s="4"/>
      <c r="IGG241" s="4"/>
      <c r="IGH241" s="4"/>
      <c r="IGI241" s="4"/>
      <c r="IGJ241" s="4"/>
      <c r="IGK241" s="4"/>
      <c r="IGL241" s="4"/>
      <c r="IGM241" s="4"/>
      <c r="IGN241" s="4"/>
      <c r="IGO241" s="4"/>
      <c r="IGP241" s="4"/>
      <c r="IGQ241" s="4"/>
      <c r="IGR241" s="4"/>
      <c r="IGS241" s="4"/>
      <c r="IGT241" s="4"/>
      <c r="IGU241" s="4"/>
      <c r="IGV241" s="4"/>
      <c r="IGW241" s="4"/>
      <c r="IGX241" s="4"/>
      <c r="IGY241" s="4"/>
      <c r="IGZ241" s="4"/>
      <c r="IHA241" s="4"/>
      <c r="IHB241" s="4"/>
      <c r="IHC241" s="4"/>
      <c r="IHD241" s="4"/>
      <c r="IHE241" s="4"/>
      <c r="IHF241" s="4"/>
      <c r="IHG241" s="4"/>
      <c r="IHH241" s="4"/>
      <c r="IHI241" s="4"/>
      <c r="IHJ241" s="4"/>
      <c r="IHK241" s="4"/>
      <c r="IHL241" s="4"/>
      <c r="IHM241" s="4"/>
      <c r="IHN241" s="4"/>
      <c r="IHO241" s="4"/>
      <c r="IHP241" s="4"/>
      <c r="IHQ241" s="4"/>
      <c r="IHR241" s="4"/>
      <c r="IHS241" s="4"/>
      <c r="IHT241" s="4"/>
      <c r="IHU241" s="4"/>
      <c r="IHV241" s="4"/>
      <c r="IHW241" s="4"/>
      <c r="IHX241" s="4"/>
      <c r="IHY241" s="4"/>
      <c r="IHZ241" s="4"/>
      <c r="IIA241" s="4"/>
      <c r="IIB241" s="4"/>
      <c r="IIC241" s="4"/>
      <c r="IID241" s="4"/>
      <c r="IIE241" s="4"/>
      <c r="IIF241" s="4"/>
      <c r="IIG241" s="4"/>
      <c r="IIH241" s="4"/>
      <c r="III241" s="4"/>
      <c r="IIJ241" s="4"/>
      <c r="IIK241" s="4"/>
      <c r="IIL241" s="4"/>
      <c r="IIM241" s="4"/>
      <c r="IIN241" s="4"/>
      <c r="IIO241" s="4"/>
      <c r="IIP241" s="4"/>
      <c r="IIQ241" s="4"/>
      <c r="IIR241" s="4"/>
      <c r="IIS241" s="4"/>
      <c r="IIT241" s="4"/>
      <c r="IIU241" s="4"/>
      <c r="IIV241" s="4"/>
      <c r="IIW241" s="4"/>
      <c r="IIX241" s="4"/>
      <c r="IIY241" s="4"/>
      <c r="IIZ241" s="4"/>
      <c r="IJA241" s="4"/>
      <c r="IJB241" s="4"/>
      <c r="IJC241" s="4"/>
      <c r="IJD241" s="4"/>
      <c r="IJE241" s="4"/>
      <c r="IJF241" s="4"/>
      <c r="IJG241" s="4"/>
      <c r="IJH241" s="4"/>
      <c r="IJI241" s="4"/>
      <c r="IJJ241" s="4"/>
      <c r="IJK241" s="4"/>
      <c r="IJL241" s="4"/>
      <c r="IJM241" s="4"/>
      <c r="IJN241" s="4"/>
      <c r="IJO241" s="4"/>
      <c r="IJP241" s="4"/>
      <c r="IJQ241" s="4"/>
      <c r="IJR241" s="4"/>
      <c r="IJS241" s="4"/>
      <c r="IJT241" s="4"/>
      <c r="IJU241" s="4"/>
      <c r="IJV241" s="4"/>
      <c r="IJW241" s="4"/>
      <c r="IJX241" s="4"/>
      <c r="IJY241" s="4"/>
      <c r="IJZ241" s="4"/>
      <c r="IKA241" s="4"/>
      <c r="IKB241" s="4"/>
      <c r="IKC241" s="4"/>
      <c r="IKD241" s="4"/>
      <c r="IKE241" s="4"/>
      <c r="IKF241" s="4"/>
      <c r="IKG241" s="4"/>
      <c r="IKH241" s="4"/>
      <c r="IKI241" s="4"/>
      <c r="IKJ241" s="4"/>
      <c r="IKK241" s="4"/>
      <c r="IKL241" s="4"/>
      <c r="IKM241" s="4"/>
      <c r="IKN241" s="4"/>
      <c r="IKO241" s="4"/>
      <c r="IKP241" s="4"/>
      <c r="IKQ241" s="4"/>
      <c r="IKR241" s="4"/>
      <c r="IKS241" s="4"/>
      <c r="IKT241" s="4"/>
      <c r="IKU241" s="4"/>
      <c r="IKV241" s="4"/>
      <c r="IKW241" s="4"/>
      <c r="IKX241" s="4"/>
      <c r="IKY241" s="4"/>
      <c r="IKZ241" s="4"/>
      <c r="ILA241" s="4"/>
      <c r="ILB241" s="4"/>
      <c r="ILC241" s="4"/>
      <c r="ILD241" s="4"/>
      <c r="ILE241" s="4"/>
      <c r="ILF241" s="4"/>
      <c r="ILG241" s="4"/>
      <c r="ILH241" s="4"/>
      <c r="ILI241" s="4"/>
      <c r="ILJ241" s="4"/>
      <c r="ILK241" s="4"/>
      <c r="ILL241" s="4"/>
      <c r="ILM241" s="4"/>
      <c r="ILN241" s="4"/>
      <c r="ILO241" s="4"/>
      <c r="ILP241" s="4"/>
      <c r="ILQ241" s="4"/>
      <c r="ILR241" s="4"/>
      <c r="ILS241" s="4"/>
      <c r="ILT241" s="4"/>
      <c r="ILU241" s="4"/>
      <c r="ILV241" s="4"/>
      <c r="ILW241" s="4"/>
      <c r="ILX241" s="4"/>
      <c r="ILY241" s="4"/>
      <c r="ILZ241" s="4"/>
      <c r="IMA241" s="4"/>
      <c r="IMB241" s="4"/>
      <c r="IMC241" s="4"/>
      <c r="IMD241" s="4"/>
      <c r="IME241" s="4"/>
      <c r="IMF241" s="4"/>
      <c r="IMG241" s="4"/>
      <c r="IMH241" s="4"/>
      <c r="IMI241" s="4"/>
      <c r="IMJ241" s="4"/>
      <c r="IMK241" s="4"/>
      <c r="IML241" s="4"/>
      <c r="IMM241" s="4"/>
      <c r="IMN241" s="4"/>
      <c r="IMO241" s="4"/>
      <c r="IMP241" s="4"/>
      <c r="IMQ241" s="4"/>
      <c r="IMR241" s="4"/>
      <c r="IMS241" s="4"/>
      <c r="IMT241" s="4"/>
      <c r="IMU241" s="4"/>
      <c r="IMV241" s="4"/>
      <c r="IMW241" s="4"/>
      <c r="IMX241" s="4"/>
      <c r="IMY241" s="4"/>
      <c r="IMZ241" s="4"/>
      <c r="INA241" s="4"/>
      <c r="INB241" s="4"/>
      <c r="INC241" s="4"/>
      <c r="IND241" s="4"/>
      <c r="INE241" s="4"/>
      <c r="INF241" s="4"/>
      <c r="ING241" s="4"/>
      <c r="INH241" s="4"/>
      <c r="INI241" s="4"/>
      <c r="INJ241" s="4"/>
      <c r="INK241" s="4"/>
      <c r="INL241" s="4"/>
      <c r="INM241" s="4"/>
      <c r="INN241" s="4"/>
      <c r="INO241" s="4"/>
      <c r="INP241" s="4"/>
      <c r="INQ241" s="4"/>
      <c r="INR241" s="4"/>
      <c r="INS241" s="4"/>
      <c r="INT241" s="4"/>
      <c r="INU241" s="4"/>
      <c r="INV241" s="4"/>
      <c r="INW241" s="4"/>
      <c r="INX241" s="4"/>
      <c r="INY241" s="4"/>
      <c r="INZ241" s="4"/>
      <c r="IOA241" s="4"/>
      <c r="IOB241" s="4"/>
      <c r="IOC241" s="4"/>
      <c r="IOD241" s="4"/>
      <c r="IOE241" s="4"/>
      <c r="IOF241" s="4"/>
      <c r="IOG241" s="4"/>
      <c r="IOH241" s="4"/>
      <c r="IOI241" s="4"/>
      <c r="IOJ241" s="4"/>
      <c r="IOK241" s="4"/>
      <c r="IOL241" s="4"/>
      <c r="IOM241" s="4"/>
      <c r="ION241" s="4"/>
      <c r="IOO241" s="4"/>
      <c r="IOP241" s="4"/>
      <c r="IOQ241" s="4"/>
      <c r="IOR241" s="4"/>
      <c r="IOS241" s="4"/>
      <c r="IOT241" s="4"/>
      <c r="IOU241" s="4"/>
      <c r="IOV241" s="4"/>
      <c r="IOW241" s="4"/>
      <c r="IOX241" s="4"/>
      <c r="IOY241" s="4"/>
      <c r="IOZ241" s="4"/>
      <c r="IPA241" s="4"/>
      <c r="IPB241" s="4"/>
      <c r="IPC241" s="4"/>
      <c r="IPD241" s="4"/>
      <c r="IPE241" s="4"/>
      <c r="IPF241" s="4"/>
      <c r="IPG241" s="4"/>
      <c r="IPH241" s="4"/>
      <c r="IPI241" s="4"/>
      <c r="IPJ241" s="4"/>
      <c r="IPK241" s="4"/>
      <c r="IPL241" s="4"/>
      <c r="IPM241" s="4"/>
      <c r="IPN241" s="4"/>
      <c r="IPO241" s="4"/>
      <c r="IPP241" s="4"/>
      <c r="IPQ241" s="4"/>
      <c r="IPR241" s="4"/>
      <c r="IPS241" s="4"/>
      <c r="IPT241" s="4"/>
      <c r="IPU241" s="4"/>
      <c r="IPV241" s="4"/>
      <c r="IPW241" s="4"/>
      <c r="IPX241" s="4"/>
      <c r="IPY241" s="4"/>
      <c r="IPZ241" s="4"/>
      <c r="IQA241" s="4"/>
      <c r="IQB241" s="4"/>
      <c r="IQC241" s="4"/>
      <c r="IQD241" s="4"/>
      <c r="IQE241" s="4"/>
      <c r="IQF241" s="4"/>
      <c r="IQG241" s="4"/>
      <c r="IQH241" s="4"/>
      <c r="IQI241" s="4"/>
      <c r="IQJ241" s="4"/>
      <c r="IQK241" s="4"/>
      <c r="IQL241" s="4"/>
      <c r="IQM241" s="4"/>
      <c r="IQN241" s="4"/>
      <c r="IQO241" s="4"/>
      <c r="IQP241" s="4"/>
      <c r="IQQ241" s="4"/>
      <c r="IQR241" s="4"/>
      <c r="IQS241" s="4"/>
      <c r="IQT241" s="4"/>
      <c r="IQU241" s="4"/>
      <c r="IQV241" s="4"/>
      <c r="IQW241" s="4"/>
      <c r="IQX241" s="4"/>
      <c r="IQY241" s="4"/>
      <c r="IQZ241" s="4"/>
      <c r="IRA241" s="4"/>
      <c r="IRB241" s="4"/>
      <c r="IRC241" s="4"/>
      <c r="IRD241" s="4"/>
      <c r="IRE241" s="4"/>
      <c r="IRF241" s="4"/>
      <c r="IRG241" s="4"/>
      <c r="IRH241" s="4"/>
      <c r="IRI241" s="4"/>
      <c r="IRJ241" s="4"/>
      <c r="IRK241" s="4"/>
      <c r="IRL241" s="4"/>
      <c r="IRM241" s="4"/>
      <c r="IRN241" s="4"/>
      <c r="IRO241" s="4"/>
      <c r="IRP241" s="4"/>
      <c r="IRQ241" s="4"/>
      <c r="IRR241" s="4"/>
      <c r="IRS241" s="4"/>
      <c r="IRT241" s="4"/>
      <c r="IRU241" s="4"/>
      <c r="IRV241" s="4"/>
      <c r="IRW241" s="4"/>
      <c r="IRX241" s="4"/>
      <c r="IRY241" s="4"/>
      <c r="IRZ241" s="4"/>
      <c r="ISA241" s="4"/>
      <c r="ISB241" s="4"/>
      <c r="ISC241" s="4"/>
      <c r="ISD241" s="4"/>
      <c r="ISE241" s="4"/>
      <c r="ISF241" s="4"/>
      <c r="ISG241" s="4"/>
      <c r="ISH241" s="4"/>
      <c r="ISI241" s="4"/>
      <c r="ISJ241" s="4"/>
      <c r="ISK241" s="4"/>
      <c r="ISL241" s="4"/>
      <c r="ISM241" s="4"/>
      <c r="ISN241" s="4"/>
      <c r="ISO241" s="4"/>
      <c r="ISP241" s="4"/>
      <c r="ISQ241" s="4"/>
      <c r="ISR241" s="4"/>
      <c r="ISS241" s="4"/>
      <c r="IST241" s="4"/>
      <c r="ISU241" s="4"/>
      <c r="ISV241" s="4"/>
      <c r="ISW241" s="4"/>
      <c r="ISX241" s="4"/>
      <c r="ISY241" s="4"/>
      <c r="ISZ241" s="4"/>
      <c r="ITA241" s="4"/>
      <c r="ITB241" s="4"/>
      <c r="ITC241" s="4"/>
      <c r="ITD241" s="4"/>
      <c r="ITE241" s="4"/>
      <c r="ITF241" s="4"/>
      <c r="ITG241" s="4"/>
      <c r="ITH241" s="4"/>
      <c r="ITI241" s="4"/>
      <c r="ITJ241" s="4"/>
      <c r="ITK241" s="4"/>
      <c r="ITL241" s="4"/>
      <c r="ITM241" s="4"/>
      <c r="ITN241" s="4"/>
      <c r="ITO241" s="4"/>
      <c r="ITP241" s="4"/>
      <c r="ITQ241" s="4"/>
      <c r="ITR241" s="4"/>
      <c r="ITS241" s="4"/>
      <c r="ITT241" s="4"/>
      <c r="ITU241" s="4"/>
      <c r="ITV241" s="4"/>
      <c r="ITW241" s="4"/>
      <c r="ITX241" s="4"/>
      <c r="ITY241" s="4"/>
      <c r="ITZ241" s="4"/>
      <c r="IUA241" s="4"/>
      <c r="IUB241" s="4"/>
      <c r="IUC241" s="4"/>
      <c r="IUD241" s="4"/>
      <c r="IUE241" s="4"/>
      <c r="IUF241" s="4"/>
      <c r="IUG241" s="4"/>
      <c r="IUH241" s="4"/>
      <c r="IUI241" s="4"/>
      <c r="IUJ241" s="4"/>
      <c r="IUK241" s="4"/>
      <c r="IUL241" s="4"/>
      <c r="IUM241" s="4"/>
      <c r="IUN241" s="4"/>
      <c r="IUO241" s="4"/>
      <c r="IUP241" s="4"/>
      <c r="IUQ241" s="4"/>
      <c r="IUR241" s="4"/>
      <c r="IUS241" s="4"/>
      <c r="IUT241" s="4"/>
      <c r="IUU241" s="4"/>
      <c r="IUV241" s="4"/>
      <c r="IUW241" s="4"/>
      <c r="IUX241" s="4"/>
      <c r="IUY241" s="4"/>
      <c r="IUZ241" s="4"/>
      <c r="IVA241" s="4"/>
      <c r="IVB241" s="4"/>
      <c r="IVC241" s="4"/>
      <c r="IVD241" s="4"/>
      <c r="IVE241" s="4"/>
      <c r="IVF241" s="4"/>
      <c r="IVG241" s="4"/>
      <c r="IVH241" s="4"/>
      <c r="IVI241" s="4"/>
      <c r="IVJ241" s="4"/>
      <c r="IVK241" s="4"/>
      <c r="IVL241" s="4"/>
      <c r="IVM241" s="4"/>
      <c r="IVN241" s="4"/>
      <c r="IVO241" s="4"/>
      <c r="IVP241" s="4"/>
      <c r="IVQ241" s="4"/>
      <c r="IVR241" s="4"/>
      <c r="IVS241" s="4"/>
      <c r="IVT241" s="4"/>
      <c r="IVU241" s="4"/>
      <c r="IVV241" s="4"/>
      <c r="IVW241" s="4"/>
      <c r="IVX241" s="4"/>
      <c r="IVY241" s="4"/>
      <c r="IVZ241" s="4"/>
      <c r="IWA241" s="4"/>
      <c r="IWB241" s="4"/>
      <c r="IWC241" s="4"/>
      <c r="IWD241" s="4"/>
      <c r="IWE241" s="4"/>
      <c r="IWF241" s="4"/>
      <c r="IWG241" s="4"/>
      <c r="IWH241" s="4"/>
      <c r="IWI241" s="4"/>
      <c r="IWJ241" s="4"/>
      <c r="IWK241" s="4"/>
      <c r="IWL241" s="4"/>
      <c r="IWM241" s="4"/>
      <c r="IWN241" s="4"/>
      <c r="IWO241" s="4"/>
      <c r="IWP241" s="4"/>
      <c r="IWQ241" s="4"/>
      <c r="IWR241" s="4"/>
      <c r="IWS241" s="4"/>
      <c r="IWT241" s="4"/>
      <c r="IWU241" s="4"/>
      <c r="IWV241" s="4"/>
      <c r="IWW241" s="4"/>
      <c r="IWX241" s="4"/>
      <c r="IWY241" s="4"/>
      <c r="IWZ241" s="4"/>
      <c r="IXA241" s="4"/>
      <c r="IXB241" s="4"/>
      <c r="IXC241" s="4"/>
      <c r="IXD241" s="4"/>
      <c r="IXE241" s="4"/>
      <c r="IXF241" s="4"/>
      <c r="IXG241" s="4"/>
      <c r="IXH241" s="4"/>
      <c r="IXI241" s="4"/>
      <c r="IXJ241" s="4"/>
      <c r="IXK241" s="4"/>
      <c r="IXL241" s="4"/>
      <c r="IXM241" s="4"/>
      <c r="IXN241" s="4"/>
      <c r="IXO241" s="4"/>
      <c r="IXP241" s="4"/>
      <c r="IXQ241" s="4"/>
      <c r="IXR241" s="4"/>
      <c r="IXS241" s="4"/>
      <c r="IXT241" s="4"/>
      <c r="IXU241" s="4"/>
      <c r="IXV241" s="4"/>
      <c r="IXW241" s="4"/>
      <c r="IXX241" s="4"/>
      <c r="IXY241" s="4"/>
      <c r="IXZ241" s="4"/>
      <c r="IYA241" s="4"/>
      <c r="IYB241" s="4"/>
      <c r="IYC241" s="4"/>
      <c r="IYD241" s="4"/>
      <c r="IYE241" s="4"/>
      <c r="IYF241" s="4"/>
      <c r="IYG241" s="4"/>
      <c r="IYH241" s="4"/>
      <c r="IYI241" s="4"/>
      <c r="IYJ241" s="4"/>
      <c r="IYK241" s="4"/>
      <c r="IYL241" s="4"/>
      <c r="IYM241" s="4"/>
      <c r="IYN241" s="4"/>
      <c r="IYO241" s="4"/>
      <c r="IYP241" s="4"/>
      <c r="IYQ241" s="4"/>
      <c r="IYR241" s="4"/>
      <c r="IYS241" s="4"/>
      <c r="IYT241" s="4"/>
      <c r="IYU241" s="4"/>
      <c r="IYV241" s="4"/>
      <c r="IYW241" s="4"/>
      <c r="IYX241" s="4"/>
      <c r="IYY241" s="4"/>
      <c r="IYZ241" s="4"/>
      <c r="IZA241" s="4"/>
      <c r="IZB241" s="4"/>
      <c r="IZC241" s="4"/>
      <c r="IZD241" s="4"/>
      <c r="IZE241" s="4"/>
      <c r="IZF241" s="4"/>
      <c r="IZG241" s="4"/>
      <c r="IZH241" s="4"/>
      <c r="IZI241" s="4"/>
      <c r="IZJ241" s="4"/>
      <c r="IZK241" s="4"/>
      <c r="IZL241" s="4"/>
      <c r="IZM241" s="4"/>
      <c r="IZN241" s="4"/>
      <c r="IZO241" s="4"/>
      <c r="IZP241" s="4"/>
      <c r="IZQ241" s="4"/>
      <c r="IZR241" s="4"/>
      <c r="IZS241" s="4"/>
      <c r="IZT241" s="4"/>
      <c r="IZU241" s="4"/>
      <c r="IZV241" s="4"/>
      <c r="IZW241" s="4"/>
      <c r="IZX241" s="4"/>
      <c r="IZY241" s="4"/>
      <c r="IZZ241" s="4"/>
      <c r="JAA241" s="4"/>
      <c r="JAB241" s="4"/>
      <c r="JAC241" s="4"/>
      <c r="JAD241" s="4"/>
      <c r="JAE241" s="4"/>
      <c r="JAF241" s="4"/>
      <c r="JAG241" s="4"/>
      <c r="JAH241" s="4"/>
      <c r="JAI241" s="4"/>
      <c r="JAJ241" s="4"/>
      <c r="JAK241" s="4"/>
      <c r="JAL241" s="4"/>
      <c r="JAM241" s="4"/>
      <c r="JAN241" s="4"/>
      <c r="JAO241" s="4"/>
      <c r="JAP241" s="4"/>
      <c r="JAQ241" s="4"/>
      <c r="JAR241" s="4"/>
      <c r="JAS241" s="4"/>
      <c r="JAT241" s="4"/>
      <c r="JAU241" s="4"/>
      <c r="JAV241" s="4"/>
      <c r="JAW241" s="4"/>
      <c r="JAX241" s="4"/>
      <c r="JAY241" s="4"/>
      <c r="JAZ241" s="4"/>
      <c r="JBA241" s="4"/>
      <c r="JBB241" s="4"/>
      <c r="JBC241" s="4"/>
      <c r="JBD241" s="4"/>
      <c r="JBE241" s="4"/>
      <c r="JBF241" s="4"/>
      <c r="JBG241" s="4"/>
      <c r="JBH241" s="4"/>
      <c r="JBI241" s="4"/>
      <c r="JBJ241" s="4"/>
      <c r="JBK241" s="4"/>
      <c r="JBL241" s="4"/>
      <c r="JBM241" s="4"/>
      <c r="JBN241" s="4"/>
      <c r="JBO241" s="4"/>
      <c r="JBP241" s="4"/>
      <c r="JBQ241" s="4"/>
      <c r="JBR241" s="4"/>
      <c r="JBS241" s="4"/>
      <c r="JBT241" s="4"/>
      <c r="JBU241" s="4"/>
      <c r="JBV241" s="4"/>
      <c r="JBW241" s="4"/>
      <c r="JBX241" s="4"/>
      <c r="JBY241" s="4"/>
      <c r="JBZ241" s="4"/>
      <c r="JCA241" s="4"/>
      <c r="JCB241" s="4"/>
      <c r="JCC241" s="4"/>
      <c r="JCD241" s="4"/>
      <c r="JCE241" s="4"/>
      <c r="JCF241" s="4"/>
      <c r="JCG241" s="4"/>
      <c r="JCH241" s="4"/>
      <c r="JCI241" s="4"/>
      <c r="JCJ241" s="4"/>
      <c r="JCK241" s="4"/>
      <c r="JCL241" s="4"/>
      <c r="JCM241" s="4"/>
      <c r="JCN241" s="4"/>
      <c r="JCO241" s="4"/>
      <c r="JCP241" s="4"/>
      <c r="JCQ241" s="4"/>
      <c r="JCR241" s="4"/>
      <c r="JCS241" s="4"/>
      <c r="JCT241" s="4"/>
      <c r="JCU241" s="4"/>
      <c r="JCV241" s="4"/>
      <c r="JCW241" s="4"/>
      <c r="JCX241" s="4"/>
      <c r="JCY241" s="4"/>
      <c r="JCZ241" s="4"/>
      <c r="JDA241" s="4"/>
      <c r="JDB241" s="4"/>
      <c r="JDC241" s="4"/>
      <c r="JDD241" s="4"/>
      <c r="JDE241" s="4"/>
      <c r="JDF241" s="4"/>
      <c r="JDG241" s="4"/>
      <c r="JDH241" s="4"/>
      <c r="JDI241" s="4"/>
      <c r="JDJ241" s="4"/>
      <c r="JDK241" s="4"/>
      <c r="JDL241" s="4"/>
      <c r="JDM241" s="4"/>
      <c r="JDN241" s="4"/>
      <c r="JDO241" s="4"/>
      <c r="JDP241" s="4"/>
      <c r="JDQ241" s="4"/>
      <c r="JDR241" s="4"/>
      <c r="JDS241" s="4"/>
      <c r="JDT241" s="4"/>
      <c r="JDU241" s="4"/>
      <c r="JDV241" s="4"/>
      <c r="JDW241" s="4"/>
      <c r="JDX241" s="4"/>
      <c r="JDY241" s="4"/>
      <c r="JDZ241" s="4"/>
      <c r="JEA241" s="4"/>
      <c r="JEB241" s="4"/>
      <c r="JEC241" s="4"/>
      <c r="JED241" s="4"/>
      <c r="JEE241" s="4"/>
      <c r="JEF241" s="4"/>
      <c r="JEG241" s="4"/>
      <c r="JEH241" s="4"/>
      <c r="JEI241" s="4"/>
      <c r="JEJ241" s="4"/>
      <c r="JEK241" s="4"/>
      <c r="JEL241" s="4"/>
      <c r="JEM241" s="4"/>
      <c r="JEN241" s="4"/>
      <c r="JEO241" s="4"/>
      <c r="JEP241" s="4"/>
      <c r="JEQ241" s="4"/>
      <c r="JER241" s="4"/>
      <c r="JES241" s="4"/>
      <c r="JET241" s="4"/>
      <c r="JEU241" s="4"/>
      <c r="JEV241" s="4"/>
      <c r="JEW241" s="4"/>
      <c r="JEX241" s="4"/>
      <c r="JEY241" s="4"/>
      <c r="JEZ241" s="4"/>
      <c r="JFA241" s="4"/>
      <c r="JFB241" s="4"/>
      <c r="JFC241" s="4"/>
      <c r="JFD241" s="4"/>
      <c r="JFE241" s="4"/>
      <c r="JFF241" s="4"/>
      <c r="JFG241" s="4"/>
      <c r="JFH241" s="4"/>
      <c r="JFI241" s="4"/>
      <c r="JFJ241" s="4"/>
      <c r="JFK241" s="4"/>
      <c r="JFL241" s="4"/>
      <c r="JFM241" s="4"/>
      <c r="JFN241" s="4"/>
      <c r="JFO241" s="4"/>
      <c r="JFP241" s="4"/>
      <c r="JFQ241" s="4"/>
      <c r="JFR241" s="4"/>
      <c r="JFS241" s="4"/>
      <c r="JFT241" s="4"/>
      <c r="JFU241" s="4"/>
      <c r="JFV241" s="4"/>
      <c r="JFW241" s="4"/>
      <c r="JFX241" s="4"/>
      <c r="JFY241" s="4"/>
      <c r="JFZ241" s="4"/>
      <c r="JGA241" s="4"/>
      <c r="JGB241" s="4"/>
      <c r="JGC241" s="4"/>
      <c r="JGD241" s="4"/>
      <c r="JGE241" s="4"/>
      <c r="JGF241" s="4"/>
      <c r="JGG241" s="4"/>
      <c r="JGH241" s="4"/>
      <c r="JGI241" s="4"/>
      <c r="JGJ241" s="4"/>
      <c r="JGK241" s="4"/>
      <c r="JGL241" s="4"/>
      <c r="JGM241" s="4"/>
      <c r="JGN241" s="4"/>
      <c r="JGO241" s="4"/>
      <c r="JGP241" s="4"/>
      <c r="JGQ241" s="4"/>
      <c r="JGR241" s="4"/>
      <c r="JGS241" s="4"/>
      <c r="JGT241" s="4"/>
      <c r="JGU241" s="4"/>
      <c r="JGV241" s="4"/>
      <c r="JGW241" s="4"/>
      <c r="JGX241" s="4"/>
      <c r="JGY241" s="4"/>
      <c r="JGZ241" s="4"/>
      <c r="JHA241" s="4"/>
      <c r="JHB241" s="4"/>
      <c r="JHC241" s="4"/>
      <c r="JHD241" s="4"/>
      <c r="JHE241" s="4"/>
      <c r="JHF241" s="4"/>
      <c r="JHG241" s="4"/>
      <c r="JHH241" s="4"/>
      <c r="JHI241" s="4"/>
      <c r="JHJ241" s="4"/>
      <c r="JHK241" s="4"/>
      <c r="JHL241" s="4"/>
      <c r="JHM241" s="4"/>
      <c r="JHN241" s="4"/>
      <c r="JHO241" s="4"/>
      <c r="JHP241" s="4"/>
      <c r="JHQ241" s="4"/>
      <c r="JHR241" s="4"/>
      <c r="JHS241" s="4"/>
      <c r="JHT241" s="4"/>
      <c r="JHU241" s="4"/>
      <c r="JHV241" s="4"/>
      <c r="JHW241" s="4"/>
      <c r="JHX241" s="4"/>
      <c r="JHY241" s="4"/>
      <c r="JHZ241" s="4"/>
      <c r="JIA241" s="4"/>
      <c r="JIB241" s="4"/>
      <c r="JIC241" s="4"/>
      <c r="JID241" s="4"/>
      <c r="JIE241" s="4"/>
      <c r="JIF241" s="4"/>
      <c r="JIG241" s="4"/>
      <c r="JIH241" s="4"/>
      <c r="JII241" s="4"/>
      <c r="JIJ241" s="4"/>
      <c r="JIK241" s="4"/>
      <c r="JIL241" s="4"/>
      <c r="JIM241" s="4"/>
      <c r="JIN241" s="4"/>
      <c r="JIO241" s="4"/>
      <c r="JIP241" s="4"/>
      <c r="JIQ241" s="4"/>
      <c r="JIR241" s="4"/>
      <c r="JIS241" s="4"/>
      <c r="JIT241" s="4"/>
      <c r="JIU241" s="4"/>
      <c r="JIV241" s="4"/>
      <c r="JIW241" s="4"/>
      <c r="JIX241" s="4"/>
      <c r="JIY241" s="4"/>
      <c r="JIZ241" s="4"/>
      <c r="JJA241" s="4"/>
      <c r="JJB241" s="4"/>
      <c r="JJC241" s="4"/>
      <c r="JJD241" s="4"/>
      <c r="JJE241" s="4"/>
      <c r="JJF241" s="4"/>
      <c r="JJG241" s="4"/>
      <c r="JJH241" s="4"/>
      <c r="JJI241" s="4"/>
      <c r="JJJ241" s="4"/>
      <c r="JJK241" s="4"/>
      <c r="JJL241" s="4"/>
      <c r="JJM241" s="4"/>
      <c r="JJN241" s="4"/>
      <c r="JJO241" s="4"/>
      <c r="JJP241" s="4"/>
      <c r="JJQ241" s="4"/>
      <c r="JJR241" s="4"/>
      <c r="JJS241" s="4"/>
      <c r="JJT241" s="4"/>
      <c r="JJU241" s="4"/>
      <c r="JJV241" s="4"/>
      <c r="JJW241" s="4"/>
      <c r="JJX241" s="4"/>
      <c r="JJY241" s="4"/>
      <c r="JJZ241" s="4"/>
      <c r="JKA241" s="4"/>
      <c r="JKB241" s="4"/>
      <c r="JKC241" s="4"/>
      <c r="JKD241" s="4"/>
      <c r="JKE241" s="4"/>
      <c r="JKF241" s="4"/>
      <c r="JKG241" s="4"/>
      <c r="JKH241" s="4"/>
      <c r="JKI241" s="4"/>
      <c r="JKJ241" s="4"/>
      <c r="JKK241" s="4"/>
      <c r="JKL241" s="4"/>
      <c r="JKM241" s="4"/>
      <c r="JKN241" s="4"/>
      <c r="JKO241" s="4"/>
      <c r="JKP241" s="4"/>
      <c r="JKQ241" s="4"/>
      <c r="JKR241" s="4"/>
      <c r="JKS241" s="4"/>
      <c r="JKT241" s="4"/>
      <c r="JKU241" s="4"/>
      <c r="JKV241" s="4"/>
      <c r="JKW241" s="4"/>
      <c r="JKX241" s="4"/>
      <c r="JKY241" s="4"/>
      <c r="JKZ241" s="4"/>
      <c r="JLA241" s="4"/>
      <c r="JLB241" s="4"/>
      <c r="JLC241" s="4"/>
      <c r="JLD241" s="4"/>
      <c r="JLE241" s="4"/>
      <c r="JLF241" s="4"/>
      <c r="JLG241" s="4"/>
      <c r="JLH241" s="4"/>
      <c r="JLI241" s="4"/>
      <c r="JLJ241" s="4"/>
      <c r="JLK241" s="4"/>
      <c r="JLL241" s="4"/>
      <c r="JLM241" s="4"/>
      <c r="JLN241" s="4"/>
      <c r="JLO241" s="4"/>
      <c r="JLP241" s="4"/>
      <c r="JLQ241" s="4"/>
      <c r="JLR241" s="4"/>
      <c r="JLS241" s="4"/>
      <c r="JLT241" s="4"/>
      <c r="JLU241" s="4"/>
      <c r="JLV241" s="4"/>
      <c r="JLW241" s="4"/>
      <c r="JLX241" s="4"/>
      <c r="JLY241" s="4"/>
      <c r="JLZ241" s="4"/>
      <c r="JMA241" s="4"/>
      <c r="JMB241" s="4"/>
      <c r="JMC241" s="4"/>
      <c r="JMD241" s="4"/>
      <c r="JME241" s="4"/>
      <c r="JMF241" s="4"/>
      <c r="JMG241" s="4"/>
      <c r="JMH241" s="4"/>
      <c r="JMI241" s="4"/>
      <c r="JMJ241" s="4"/>
      <c r="JMK241" s="4"/>
      <c r="JML241" s="4"/>
      <c r="JMM241" s="4"/>
      <c r="JMN241" s="4"/>
      <c r="JMO241" s="4"/>
      <c r="JMP241" s="4"/>
      <c r="JMQ241" s="4"/>
      <c r="JMR241" s="4"/>
      <c r="JMS241" s="4"/>
      <c r="JMT241" s="4"/>
      <c r="JMU241" s="4"/>
      <c r="JMV241" s="4"/>
      <c r="JMW241" s="4"/>
      <c r="JMX241" s="4"/>
      <c r="JMY241" s="4"/>
      <c r="JMZ241" s="4"/>
      <c r="JNA241" s="4"/>
      <c r="JNB241" s="4"/>
      <c r="JNC241" s="4"/>
      <c r="JND241" s="4"/>
      <c r="JNE241" s="4"/>
      <c r="JNF241" s="4"/>
      <c r="JNG241" s="4"/>
      <c r="JNH241" s="4"/>
      <c r="JNI241" s="4"/>
      <c r="JNJ241" s="4"/>
      <c r="JNK241" s="4"/>
      <c r="JNL241" s="4"/>
      <c r="JNM241" s="4"/>
      <c r="JNN241" s="4"/>
      <c r="JNO241" s="4"/>
      <c r="JNP241" s="4"/>
      <c r="JNQ241" s="4"/>
      <c r="JNR241" s="4"/>
      <c r="JNS241" s="4"/>
      <c r="JNT241" s="4"/>
      <c r="JNU241" s="4"/>
      <c r="JNV241" s="4"/>
      <c r="JNW241" s="4"/>
      <c r="JNX241" s="4"/>
      <c r="JNY241" s="4"/>
      <c r="JNZ241" s="4"/>
      <c r="JOA241" s="4"/>
      <c r="JOB241" s="4"/>
      <c r="JOC241" s="4"/>
      <c r="JOD241" s="4"/>
      <c r="JOE241" s="4"/>
      <c r="JOF241" s="4"/>
      <c r="JOG241" s="4"/>
      <c r="JOH241" s="4"/>
      <c r="JOI241" s="4"/>
      <c r="JOJ241" s="4"/>
      <c r="JOK241" s="4"/>
      <c r="JOL241" s="4"/>
      <c r="JOM241" s="4"/>
      <c r="JON241" s="4"/>
      <c r="JOO241" s="4"/>
      <c r="JOP241" s="4"/>
      <c r="JOQ241" s="4"/>
      <c r="JOR241" s="4"/>
      <c r="JOS241" s="4"/>
      <c r="JOT241" s="4"/>
      <c r="JOU241" s="4"/>
      <c r="JOV241" s="4"/>
      <c r="JOW241" s="4"/>
      <c r="JOX241" s="4"/>
      <c r="JOY241" s="4"/>
      <c r="JOZ241" s="4"/>
      <c r="JPA241" s="4"/>
      <c r="JPB241" s="4"/>
      <c r="JPC241" s="4"/>
      <c r="JPD241" s="4"/>
      <c r="JPE241" s="4"/>
      <c r="JPF241" s="4"/>
      <c r="JPG241" s="4"/>
      <c r="JPH241" s="4"/>
      <c r="JPI241" s="4"/>
      <c r="JPJ241" s="4"/>
      <c r="JPK241" s="4"/>
      <c r="JPL241" s="4"/>
      <c r="JPM241" s="4"/>
      <c r="JPN241" s="4"/>
      <c r="JPO241" s="4"/>
      <c r="JPP241" s="4"/>
      <c r="JPQ241" s="4"/>
      <c r="JPR241" s="4"/>
      <c r="JPS241" s="4"/>
      <c r="JPT241" s="4"/>
      <c r="JPU241" s="4"/>
      <c r="JPV241" s="4"/>
      <c r="JPW241" s="4"/>
      <c r="JPX241" s="4"/>
      <c r="JPY241" s="4"/>
      <c r="JPZ241" s="4"/>
      <c r="JQA241" s="4"/>
      <c r="JQB241" s="4"/>
      <c r="JQC241" s="4"/>
      <c r="JQD241" s="4"/>
      <c r="JQE241" s="4"/>
      <c r="JQF241" s="4"/>
      <c r="JQG241" s="4"/>
      <c r="JQH241" s="4"/>
      <c r="JQI241" s="4"/>
      <c r="JQJ241" s="4"/>
      <c r="JQK241" s="4"/>
      <c r="JQL241" s="4"/>
      <c r="JQM241" s="4"/>
      <c r="JQN241" s="4"/>
      <c r="JQO241" s="4"/>
      <c r="JQP241" s="4"/>
      <c r="JQQ241" s="4"/>
      <c r="JQR241" s="4"/>
      <c r="JQS241" s="4"/>
      <c r="JQT241" s="4"/>
      <c r="JQU241" s="4"/>
      <c r="JQV241" s="4"/>
      <c r="JQW241" s="4"/>
      <c r="JQX241" s="4"/>
      <c r="JQY241" s="4"/>
      <c r="JQZ241" s="4"/>
      <c r="JRA241" s="4"/>
      <c r="JRB241" s="4"/>
      <c r="JRC241" s="4"/>
      <c r="JRD241" s="4"/>
      <c r="JRE241" s="4"/>
      <c r="JRF241" s="4"/>
      <c r="JRG241" s="4"/>
      <c r="JRH241" s="4"/>
      <c r="JRI241" s="4"/>
      <c r="JRJ241" s="4"/>
      <c r="JRK241" s="4"/>
      <c r="JRL241" s="4"/>
      <c r="JRM241" s="4"/>
      <c r="JRN241" s="4"/>
      <c r="JRO241" s="4"/>
      <c r="JRP241" s="4"/>
      <c r="JRQ241" s="4"/>
      <c r="JRR241" s="4"/>
      <c r="JRS241" s="4"/>
      <c r="JRT241" s="4"/>
      <c r="JRU241" s="4"/>
      <c r="JRV241" s="4"/>
      <c r="JRW241" s="4"/>
      <c r="JRX241" s="4"/>
      <c r="JRY241" s="4"/>
      <c r="JRZ241" s="4"/>
      <c r="JSA241" s="4"/>
      <c r="JSB241" s="4"/>
      <c r="JSC241" s="4"/>
      <c r="JSD241" s="4"/>
      <c r="JSE241" s="4"/>
      <c r="JSF241" s="4"/>
      <c r="JSG241" s="4"/>
      <c r="JSH241" s="4"/>
      <c r="JSI241" s="4"/>
      <c r="JSJ241" s="4"/>
      <c r="JSK241" s="4"/>
      <c r="JSL241" s="4"/>
      <c r="JSM241" s="4"/>
      <c r="JSN241" s="4"/>
      <c r="JSO241" s="4"/>
      <c r="JSP241" s="4"/>
      <c r="JSQ241" s="4"/>
      <c r="JSR241" s="4"/>
      <c r="JSS241" s="4"/>
      <c r="JST241" s="4"/>
      <c r="JSU241" s="4"/>
      <c r="JSV241" s="4"/>
      <c r="JSW241" s="4"/>
      <c r="JSX241" s="4"/>
      <c r="JSY241" s="4"/>
      <c r="JSZ241" s="4"/>
      <c r="JTA241" s="4"/>
      <c r="JTB241" s="4"/>
      <c r="JTC241" s="4"/>
      <c r="JTD241" s="4"/>
      <c r="JTE241" s="4"/>
      <c r="JTF241" s="4"/>
      <c r="JTG241" s="4"/>
      <c r="JTH241" s="4"/>
      <c r="JTI241" s="4"/>
      <c r="JTJ241" s="4"/>
      <c r="JTK241" s="4"/>
      <c r="JTL241" s="4"/>
      <c r="JTM241" s="4"/>
      <c r="JTN241" s="4"/>
      <c r="JTO241" s="4"/>
      <c r="JTP241" s="4"/>
      <c r="JTQ241" s="4"/>
      <c r="JTR241" s="4"/>
      <c r="JTS241" s="4"/>
      <c r="JTT241" s="4"/>
      <c r="JTU241" s="4"/>
      <c r="JTV241" s="4"/>
      <c r="JTW241" s="4"/>
      <c r="JTX241" s="4"/>
      <c r="JTY241" s="4"/>
      <c r="JTZ241" s="4"/>
      <c r="JUA241" s="4"/>
      <c r="JUB241" s="4"/>
      <c r="JUC241" s="4"/>
      <c r="JUD241" s="4"/>
      <c r="JUE241" s="4"/>
      <c r="JUF241" s="4"/>
      <c r="JUG241" s="4"/>
      <c r="JUH241" s="4"/>
      <c r="JUI241" s="4"/>
      <c r="JUJ241" s="4"/>
      <c r="JUK241" s="4"/>
      <c r="JUL241" s="4"/>
      <c r="JUM241" s="4"/>
      <c r="JUN241" s="4"/>
      <c r="JUO241" s="4"/>
      <c r="JUP241" s="4"/>
      <c r="JUQ241" s="4"/>
      <c r="JUR241" s="4"/>
      <c r="JUS241" s="4"/>
      <c r="JUT241" s="4"/>
      <c r="JUU241" s="4"/>
      <c r="JUV241" s="4"/>
      <c r="JUW241" s="4"/>
      <c r="JUX241" s="4"/>
      <c r="JUY241" s="4"/>
      <c r="JUZ241" s="4"/>
      <c r="JVA241" s="4"/>
      <c r="JVB241" s="4"/>
      <c r="JVC241" s="4"/>
      <c r="JVD241" s="4"/>
      <c r="JVE241" s="4"/>
      <c r="JVF241" s="4"/>
      <c r="JVG241" s="4"/>
      <c r="JVH241" s="4"/>
      <c r="JVI241" s="4"/>
      <c r="JVJ241" s="4"/>
      <c r="JVK241" s="4"/>
      <c r="JVL241" s="4"/>
      <c r="JVM241" s="4"/>
      <c r="JVN241" s="4"/>
      <c r="JVO241" s="4"/>
      <c r="JVP241" s="4"/>
      <c r="JVQ241" s="4"/>
      <c r="JVR241" s="4"/>
      <c r="JVS241" s="4"/>
      <c r="JVT241" s="4"/>
      <c r="JVU241" s="4"/>
      <c r="JVV241" s="4"/>
      <c r="JVW241" s="4"/>
      <c r="JVX241" s="4"/>
      <c r="JVY241" s="4"/>
      <c r="JVZ241" s="4"/>
      <c r="JWA241" s="4"/>
      <c r="JWB241" s="4"/>
      <c r="JWC241" s="4"/>
      <c r="JWD241" s="4"/>
      <c r="JWE241" s="4"/>
      <c r="JWF241" s="4"/>
      <c r="JWG241" s="4"/>
      <c r="JWH241" s="4"/>
      <c r="JWI241" s="4"/>
      <c r="JWJ241" s="4"/>
      <c r="JWK241" s="4"/>
      <c r="JWL241" s="4"/>
      <c r="JWM241" s="4"/>
      <c r="JWN241" s="4"/>
      <c r="JWO241" s="4"/>
      <c r="JWP241" s="4"/>
      <c r="JWQ241" s="4"/>
      <c r="JWR241" s="4"/>
      <c r="JWS241" s="4"/>
      <c r="JWT241" s="4"/>
      <c r="JWU241" s="4"/>
      <c r="JWV241" s="4"/>
      <c r="JWW241" s="4"/>
      <c r="JWX241" s="4"/>
      <c r="JWY241" s="4"/>
      <c r="JWZ241" s="4"/>
      <c r="JXA241" s="4"/>
      <c r="JXB241" s="4"/>
      <c r="JXC241" s="4"/>
      <c r="JXD241" s="4"/>
      <c r="JXE241" s="4"/>
      <c r="JXF241" s="4"/>
      <c r="JXG241" s="4"/>
      <c r="JXH241" s="4"/>
      <c r="JXI241" s="4"/>
      <c r="JXJ241" s="4"/>
      <c r="JXK241" s="4"/>
      <c r="JXL241" s="4"/>
      <c r="JXM241" s="4"/>
      <c r="JXN241" s="4"/>
      <c r="JXO241" s="4"/>
      <c r="JXP241" s="4"/>
      <c r="JXQ241" s="4"/>
      <c r="JXR241" s="4"/>
      <c r="JXS241" s="4"/>
      <c r="JXT241" s="4"/>
      <c r="JXU241" s="4"/>
      <c r="JXV241" s="4"/>
      <c r="JXW241" s="4"/>
      <c r="JXX241" s="4"/>
      <c r="JXY241" s="4"/>
      <c r="JXZ241" s="4"/>
      <c r="JYA241" s="4"/>
      <c r="JYB241" s="4"/>
      <c r="JYC241" s="4"/>
      <c r="JYD241" s="4"/>
      <c r="JYE241" s="4"/>
      <c r="JYF241" s="4"/>
      <c r="JYG241" s="4"/>
      <c r="JYH241" s="4"/>
      <c r="JYI241" s="4"/>
      <c r="JYJ241" s="4"/>
      <c r="JYK241" s="4"/>
      <c r="JYL241" s="4"/>
      <c r="JYM241" s="4"/>
      <c r="JYN241" s="4"/>
      <c r="JYO241" s="4"/>
      <c r="JYP241" s="4"/>
      <c r="JYQ241" s="4"/>
      <c r="JYR241" s="4"/>
      <c r="JYS241" s="4"/>
      <c r="JYT241" s="4"/>
      <c r="JYU241" s="4"/>
      <c r="JYV241" s="4"/>
      <c r="JYW241" s="4"/>
      <c r="JYX241" s="4"/>
      <c r="JYY241" s="4"/>
      <c r="JYZ241" s="4"/>
      <c r="JZA241" s="4"/>
      <c r="JZB241" s="4"/>
      <c r="JZC241" s="4"/>
      <c r="JZD241" s="4"/>
      <c r="JZE241" s="4"/>
      <c r="JZF241" s="4"/>
      <c r="JZG241" s="4"/>
      <c r="JZH241" s="4"/>
      <c r="JZI241" s="4"/>
      <c r="JZJ241" s="4"/>
      <c r="JZK241" s="4"/>
      <c r="JZL241" s="4"/>
      <c r="JZM241" s="4"/>
      <c r="JZN241" s="4"/>
      <c r="JZO241" s="4"/>
      <c r="JZP241" s="4"/>
      <c r="JZQ241" s="4"/>
      <c r="JZR241" s="4"/>
      <c r="JZS241" s="4"/>
      <c r="JZT241" s="4"/>
      <c r="JZU241" s="4"/>
      <c r="JZV241" s="4"/>
      <c r="JZW241" s="4"/>
      <c r="JZX241" s="4"/>
      <c r="JZY241" s="4"/>
      <c r="JZZ241" s="4"/>
      <c r="KAA241" s="4"/>
      <c r="KAB241" s="4"/>
      <c r="KAC241" s="4"/>
      <c r="KAD241" s="4"/>
      <c r="KAE241" s="4"/>
      <c r="KAF241" s="4"/>
      <c r="KAG241" s="4"/>
      <c r="KAH241" s="4"/>
      <c r="KAI241" s="4"/>
      <c r="KAJ241" s="4"/>
      <c r="KAK241" s="4"/>
      <c r="KAL241" s="4"/>
      <c r="KAM241" s="4"/>
      <c r="KAN241" s="4"/>
      <c r="KAO241" s="4"/>
      <c r="KAP241" s="4"/>
      <c r="KAQ241" s="4"/>
      <c r="KAR241" s="4"/>
      <c r="KAS241" s="4"/>
      <c r="KAT241" s="4"/>
      <c r="KAU241" s="4"/>
      <c r="KAV241" s="4"/>
      <c r="KAW241" s="4"/>
      <c r="KAX241" s="4"/>
      <c r="KAY241" s="4"/>
      <c r="KAZ241" s="4"/>
      <c r="KBA241" s="4"/>
      <c r="KBB241" s="4"/>
      <c r="KBC241" s="4"/>
      <c r="KBD241" s="4"/>
      <c r="KBE241" s="4"/>
      <c r="KBF241" s="4"/>
      <c r="KBG241" s="4"/>
      <c r="KBH241" s="4"/>
      <c r="KBI241" s="4"/>
      <c r="KBJ241" s="4"/>
      <c r="KBK241" s="4"/>
      <c r="KBL241" s="4"/>
      <c r="KBM241" s="4"/>
      <c r="KBN241" s="4"/>
      <c r="KBO241" s="4"/>
      <c r="KBP241" s="4"/>
      <c r="KBQ241" s="4"/>
      <c r="KBR241" s="4"/>
      <c r="KBS241" s="4"/>
      <c r="KBT241" s="4"/>
      <c r="KBU241" s="4"/>
      <c r="KBV241" s="4"/>
      <c r="KBW241" s="4"/>
      <c r="KBX241" s="4"/>
      <c r="KBY241" s="4"/>
      <c r="KBZ241" s="4"/>
      <c r="KCA241" s="4"/>
      <c r="KCB241" s="4"/>
      <c r="KCC241" s="4"/>
      <c r="KCD241" s="4"/>
      <c r="KCE241" s="4"/>
      <c r="KCF241" s="4"/>
      <c r="KCG241" s="4"/>
      <c r="KCH241" s="4"/>
      <c r="KCI241" s="4"/>
      <c r="KCJ241" s="4"/>
      <c r="KCK241" s="4"/>
      <c r="KCL241" s="4"/>
      <c r="KCM241" s="4"/>
      <c r="KCN241" s="4"/>
      <c r="KCO241" s="4"/>
      <c r="KCP241" s="4"/>
      <c r="KCQ241" s="4"/>
      <c r="KCR241" s="4"/>
      <c r="KCS241" s="4"/>
      <c r="KCT241" s="4"/>
      <c r="KCU241" s="4"/>
      <c r="KCV241" s="4"/>
      <c r="KCW241" s="4"/>
      <c r="KCX241" s="4"/>
      <c r="KCY241" s="4"/>
      <c r="KCZ241" s="4"/>
      <c r="KDA241" s="4"/>
      <c r="KDB241" s="4"/>
      <c r="KDC241" s="4"/>
      <c r="KDD241" s="4"/>
      <c r="KDE241" s="4"/>
      <c r="KDF241" s="4"/>
      <c r="KDG241" s="4"/>
      <c r="KDH241" s="4"/>
      <c r="KDI241" s="4"/>
      <c r="KDJ241" s="4"/>
      <c r="KDK241" s="4"/>
      <c r="KDL241" s="4"/>
      <c r="KDM241" s="4"/>
      <c r="KDN241" s="4"/>
      <c r="KDO241" s="4"/>
      <c r="KDP241" s="4"/>
      <c r="KDQ241" s="4"/>
      <c r="KDR241" s="4"/>
      <c r="KDS241" s="4"/>
      <c r="KDT241" s="4"/>
      <c r="KDU241" s="4"/>
      <c r="KDV241" s="4"/>
      <c r="KDW241" s="4"/>
      <c r="KDX241" s="4"/>
      <c r="KDY241" s="4"/>
      <c r="KDZ241" s="4"/>
      <c r="KEA241" s="4"/>
      <c r="KEB241" s="4"/>
      <c r="KEC241" s="4"/>
      <c r="KED241" s="4"/>
      <c r="KEE241" s="4"/>
      <c r="KEF241" s="4"/>
      <c r="KEG241" s="4"/>
      <c r="KEH241" s="4"/>
      <c r="KEI241" s="4"/>
      <c r="KEJ241" s="4"/>
      <c r="KEK241" s="4"/>
      <c r="KEL241" s="4"/>
      <c r="KEM241" s="4"/>
      <c r="KEN241" s="4"/>
      <c r="KEO241" s="4"/>
      <c r="KEP241" s="4"/>
      <c r="KEQ241" s="4"/>
      <c r="KER241" s="4"/>
      <c r="KES241" s="4"/>
      <c r="KET241" s="4"/>
      <c r="KEU241" s="4"/>
      <c r="KEV241" s="4"/>
      <c r="KEW241" s="4"/>
      <c r="KEX241" s="4"/>
      <c r="KEY241" s="4"/>
      <c r="KEZ241" s="4"/>
      <c r="KFA241" s="4"/>
      <c r="KFB241" s="4"/>
      <c r="KFC241" s="4"/>
      <c r="KFD241" s="4"/>
      <c r="KFE241" s="4"/>
      <c r="KFF241" s="4"/>
      <c r="KFG241" s="4"/>
      <c r="KFH241" s="4"/>
      <c r="KFI241" s="4"/>
      <c r="KFJ241" s="4"/>
      <c r="KFK241" s="4"/>
      <c r="KFL241" s="4"/>
      <c r="KFM241" s="4"/>
      <c r="KFN241" s="4"/>
      <c r="KFO241" s="4"/>
      <c r="KFP241" s="4"/>
      <c r="KFQ241" s="4"/>
      <c r="KFR241" s="4"/>
      <c r="KFS241" s="4"/>
      <c r="KFT241" s="4"/>
      <c r="KFU241" s="4"/>
      <c r="KFV241" s="4"/>
      <c r="KFW241" s="4"/>
      <c r="KFX241" s="4"/>
      <c r="KFY241" s="4"/>
      <c r="KFZ241" s="4"/>
      <c r="KGA241" s="4"/>
      <c r="KGB241" s="4"/>
      <c r="KGC241" s="4"/>
      <c r="KGD241" s="4"/>
      <c r="KGE241" s="4"/>
      <c r="KGF241" s="4"/>
      <c r="KGG241" s="4"/>
      <c r="KGH241" s="4"/>
      <c r="KGI241" s="4"/>
      <c r="KGJ241" s="4"/>
      <c r="KGK241" s="4"/>
      <c r="KGL241" s="4"/>
      <c r="KGM241" s="4"/>
      <c r="KGN241" s="4"/>
      <c r="KGO241" s="4"/>
      <c r="KGP241" s="4"/>
      <c r="KGQ241" s="4"/>
      <c r="KGR241" s="4"/>
      <c r="KGS241" s="4"/>
      <c r="KGT241" s="4"/>
      <c r="KGU241" s="4"/>
      <c r="KGV241" s="4"/>
      <c r="KGW241" s="4"/>
      <c r="KGX241" s="4"/>
      <c r="KGY241" s="4"/>
      <c r="KGZ241" s="4"/>
      <c r="KHA241" s="4"/>
      <c r="KHB241" s="4"/>
      <c r="KHC241" s="4"/>
      <c r="KHD241" s="4"/>
      <c r="KHE241" s="4"/>
      <c r="KHF241" s="4"/>
      <c r="KHG241" s="4"/>
      <c r="KHH241" s="4"/>
      <c r="KHI241" s="4"/>
      <c r="KHJ241" s="4"/>
      <c r="KHK241" s="4"/>
      <c r="KHL241" s="4"/>
      <c r="KHM241" s="4"/>
      <c r="KHN241" s="4"/>
      <c r="KHO241" s="4"/>
      <c r="KHP241" s="4"/>
      <c r="KHQ241" s="4"/>
      <c r="KHR241" s="4"/>
      <c r="KHS241" s="4"/>
      <c r="KHT241" s="4"/>
      <c r="KHU241" s="4"/>
      <c r="KHV241" s="4"/>
      <c r="KHW241" s="4"/>
      <c r="KHX241" s="4"/>
      <c r="KHY241" s="4"/>
      <c r="KHZ241" s="4"/>
      <c r="KIA241" s="4"/>
      <c r="KIB241" s="4"/>
      <c r="KIC241" s="4"/>
      <c r="KID241" s="4"/>
      <c r="KIE241" s="4"/>
      <c r="KIF241" s="4"/>
      <c r="KIG241" s="4"/>
      <c r="KIH241" s="4"/>
      <c r="KII241" s="4"/>
      <c r="KIJ241" s="4"/>
      <c r="KIK241" s="4"/>
      <c r="KIL241" s="4"/>
      <c r="KIM241" s="4"/>
      <c r="KIN241" s="4"/>
      <c r="KIO241" s="4"/>
      <c r="KIP241" s="4"/>
      <c r="KIQ241" s="4"/>
      <c r="KIR241" s="4"/>
      <c r="KIS241" s="4"/>
      <c r="KIT241" s="4"/>
      <c r="KIU241" s="4"/>
      <c r="KIV241" s="4"/>
      <c r="KIW241" s="4"/>
      <c r="KIX241" s="4"/>
      <c r="KIY241" s="4"/>
      <c r="KIZ241" s="4"/>
      <c r="KJA241" s="4"/>
      <c r="KJB241" s="4"/>
      <c r="KJC241" s="4"/>
      <c r="KJD241" s="4"/>
      <c r="KJE241" s="4"/>
      <c r="KJF241" s="4"/>
      <c r="KJG241" s="4"/>
      <c r="KJH241" s="4"/>
      <c r="KJI241" s="4"/>
      <c r="KJJ241" s="4"/>
      <c r="KJK241" s="4"/>
      <c r="KJL241" s="4"/>
      <c r="KJM241" s="4"/>
      <c r="KJN241" s="4"/>
      <c r="KJO241" s="4"/>
      <c r="KJP241" s="4"/>
      <c r="KJQ241" s="4"/>
      <c r="KJR241" s="4"/>
      <c r="KJS241" s="4"/>
      <c r="KJT241" s="4"/>
      <c r="KJU241" s="4"/>
      <c r="KJV241" s="4"/>
      <c r="KJW241" s="4"/>
      <c r="KJX241" s="4"/>
      <c r="KJY241" s="4"/>
      <c r="KJZ241" s="4"/>
      <c r="KKA241" s="4"/>
      <c r="KKB241" s="4"/>
      <c r="KKC241" s="4"/>
      <c r="KKD241" s="4"/>
      <c r="KKE241" s="4"/>
      <c r="KKF241" s="4"/>
      <c r="KKG241" s="4"/>
      <c r="KKH241" s="4"/>
      <c r="KKI241" s="4"/>
      <c r="KKJ241" s="4"/>
      <c r="KKK241" s="4"/>
      <c r="KKL241" s="4"/>
      <c r="KKM241" s="4"/>
      <c r="KKN241" s="4"/>
      <c r="KKO241" s="4"/>
      <c r="KKP241" s="4"/>
      <c r="KKQ241" s="4"/>
      <c r="KKR241" s="4"/>
      <c r="KKS241" s="4"/>
      <c r="KKT241" s="4"/>
      <c r="KKU241" s="4"/>
      <c r="KKV241" s="4"/>
      <c r="KKW241" s="4"/>
      <c r="KKX241" s="4"/>
      <c r="KKY241" s="4"/>
      <c r="KKZ241" s="4"/>
      <c r="KLA241" s="4"/>
      <c r="KLB241" s="4"/>
      <c r="KLC241" s="4"/>
      <c r="KLD241" s="4"/>
      <c r="KLE241" s="4"/>
      <c r="KLF241" s="4"/>
      <c r="KLG241" s="4"/>
      <c r="KLH241" s="4"/>
      <c r="KLI241" s="4"/>
      <c r="KLJ241" s="4"/>
      <c r="KLK241" s="4"/>
      <c r="KLL241" s="4"/>
      <c r="KLM241" s="4"/>
      <c r="KLN241" s="4"/>
      <c r="KLO241" s="4"/>
      <c r="KLP241" s="4"/>
      <c r="KLQ241" s="4"/>
      <c r="KLR241" s="4"/>
      <c r="KLS241" s="4"/>
      <c r="KLT241" s="4"/>
      <c r="KLU241" s="4"/>
      <c r="KLV241" s="4"/>
      <c r="KLW241" s="4"/>
      <c r="KLX241" s="4"/>
      <c r="KLY241" s="4"/>
      <c r="KLZ241" s="4"/>
      <c r="KMA241" s="4"/>
      <c r="KMB241" s="4"/>
      <c r="KMC241" s="4"/>
      <c r="KMD241" s="4"/>
      <c r="KME241" s="4"/>
      <c r="KMF241" s="4"/>
      <c r="KMG241" s="4"/>
      <c r="KMH241" s="4"/>
      <c r="KMI241" s="4"/>
      <c r="KMJ241" s="4"/>
      <c r="KMK241" s="4"/>
      <c r="KML241" s="4"/>
      <c r="KMM241" s="4"/>
      <c r="KMN241" s="4"/>
      <c r="KMO241" s="4"/>
      <c r="KMP241" s="4"/>
      <c r="KMQ241" s="4"/>
      <c r="KMR241" s="4"/>
      <c r="KMS241" s="4"/>
      <c r="KMT241" s="4"/>
      <c r="KMU241" s="4"/>
      <c r="KMV241" s="4"/>
      <c r="KMW241" s="4"/>
      <c r="KMX241" s="4"/>
      <c r="KMY241" s="4"/>
      <c r="KMZ241" s="4"/>
      <c r="KNA241" s="4"/>
      <c r="KNB241" s="4"/>
      <c r="KNC241" s="4"/>
      <c r="KND241" s="4"/>
      <c r="KNE241" s="4"/>
      <c r="KNF241" s="4"/>
      <c r="KNG241" s="4"/>
      <c r="KNH241" s="4"/>
      <c r="KNI241" s="4"/>
      <c r="KNJ241" s="4"/>
      <c r="KNK241" s="4"/>
      <c r="KNL241" s="4"/>
      <c r="KNM241" s="4"/>
      <c r="KNN241" s="4"/>
      <c r="KNO241" s="4"/>
      <c r="KNP241" s="4"/>
      <c r="KNQ241" s="4"/>
      <c r="KNR241" s="4"/>
      <c r="KNS241" s="4"/>
      <c r="KNT241" s="4"/>
      <c r="KNU241" s="4"/>
      <c r="KNV241" s="4"/>
      <c r="KNW241" s="4"/>
      <c r="KNX241" s="4"/>
      <c r="KNY241" s="4"/>
      <c r="KNZ241" s="4"/>
      <c r="KOA241" s="4"/>
      <c r="KOB241" s="4"/>
      <c r="KOC241" s="4"/>
      <c r="KOD241" s="4"/>
      <c r="KOE241" s="4"/>
      <c r="KOF241" s="4"/>
      <c r="KOG241" s="4"/>
      <c r="KOH241" s="4"/>
      <c r="KOI241" s="4"/>
      <c r="KOJ241" s="4"/>
      <c r="KOK241" s="4"/>
      <c r="KOL241" s="4"/>
      <c r="KOM241" s="4"/>
      <c r="KON241" s="4"/>
      <c r="KOO241" s="4"/>
      <c r="KOP241" s="4"/>
      <c r="KOQ241" s="4"/>
      <c r="KOR241" s="4"/>
      <c r="KOS241" s="4"/>
      <c r="KOT241" s="4"/>
      <c r="KOU241" s="4"/>
      <c r="KOV241" s="4"/>
      <c r="KOW241" s="4"/>
      <c r="KOX241" s="4"/>
      <c r="KOY241" s="4"/>
      <c r="KOZ241" s="4"/>
      <c r="KPA241" s="4"/>
      <c r="KPB241" s="4"/>
      <c r="KPC241" s="4"/>
      <c r="KPD241" s="4"/>
      <c r="KPE241" s="4"/>
      <c r="KPF241" s="4"/>
      <c r="KPG241" s="4"/>
      <c r="KPH241" s="4"/>
      <c r="KPI241" s="4"/>
      <c r="KPJ241" s="4"/>
      <c r="KPK241" s="4"/>
      <c r="KPL241" s="4"/>
      <c r="KPM241" s="4"/>
      <c r="KPN241" s="4"/>
      <c r="KPO241" s="4"/>
      <c r="KPP241" s="4"/>
      <c r="KPQ241" s="4"/>
      <c r="KPR241" s="4"/>
      <c r="KPS241" s="4"/>
      <c r="KPT241" s="4"/>
      <c r="KPU241" s="4"/>
      <c r="KPV241" s="4"/>
      <c r="KPW241" s="4"/>
      <c r="KPX241" s="4"/>
      <c r="KPY241" s="4"/>
      <c r="KPZ241" s="4"/>
      <c r="KQA241" s="4"/>
      <c r="KQB241" s="4"/>
      <c r="KQC241" s="4"/>
      <c r="KQD241" s="4"/>
      <c r="KQE241" s="4"/>
      <c r="KQF241" s="4"/>
      <c r="KQG241" s="4"/>
      <c r="KQH241" s="4"/>
      <c r="KQI241" s="4"/>
      <c r="KQJ241" s="4"/>
      <c r="KQK241" s="4"/>
      <c r="KQL241" s="4"/>
      <c r="KQM241" s="4"/>
      <c r="KQN241" s="4"/>
      <c r="KQO241" s="4"/>
      <c r="KQP241" s="4"/>
      <c r="KQQ241" s="4"/>
      <c r="KQR241" s="4"/>
      <c r="KQS241" s="4"/>
      <c r="KQT241" s="4"/>
      <c r="KQU241" s="4"/>
      <c r="KQV241" s="4"/>
      <c r="KQW241" s="4"/>
      <c r="KQX241" s="4"/>
      <c r="KQY241" s="4"/>
      <c r="KQZ241" s="4"/>
      <c r="KRA241" s="4"/>
      <c r="KRB241" s="4"/>
      <c r="KRC241" s="4"/>
      <c r="KRD241" s="4"/>
      <c r="KRE241" s="4"/>
      <c r="KRF241" s="4"/>
      <c r="KRG241" s="4"/>
      <c r="KRH241" s="4"/>
      <c r="KRI241" s="4"/>
      <c r="KRJ241" s="4"/>
      <c r="KRK241" s="4"/>
      <c r="KRL241" s="4"/>
      <c r="KRM241" s="4"/>
      <c r="KRN241" s="4"/>
      <c r="KRO241" s="4"/>
      <c r="KRP241" s="4"/>
      <c r="KRQ241" s="4"/>
      <c r="KRR241" s="4"/>
      <c r="KRS241" s="4"/>
      <c r="KRT241" s="4"/>
      <c r="KRU241" s="4"/>
      <c r="KRV241" s="4"/>
      <c r="KRW241" s="4"/>
      <c r="KRX241" s="4"/>
      <c r="KRY241" s="4"/>
      <c r="KRZ241" s="4"/>
      <c r="KSA241" s="4"/>
      <c r="KSB241" s="4"/>
      <c r="KSC241" s="4"/>
      <c r="KSD241" s="4"/>
      <c r="KSE241" s="4"/>
      <c r="KSF241" s="4"/>
      <c r="KSG241" s="4"/>
      <c r="KSH241" s="4"/>
      <c r="KSI241" s="4"/>
      <c r="KSJ241" s="4"/>
      <c r="KSK241" s="4"/>
      <c r="KSL241" s="4"/>
      <c r="KSM241" s="4"/>
      <c r="KSN241" s="4"/>
      <c r="KSO241" s="4"/>
      <c r="KSP241" s="4"/>
      <c r="KSQ241" s="4"/>
      <c r="KSR241" s="4"/>
      <c r="KSS241" s="4"/>
      <c r="KST241" s="4"/>
      <c r="KSU241" s="4"/>
      <c r="KSV241" s="4"/>
      <c r="KSW241" s="4"/>
      <c r="KSX241" s="4"/>
      <c r="KSY241" s="4"/>
      <c r="KSZ241" s="4"/>
      <c r="KTA241" s="4"/>
      <c r="KTB241" s="4"/>
      <c r="KTC241" s="4"/>
      <c r="KTD241" s="4"/>
      <c r="KTE241" s="4"/>
      <c r="KTF241" s="4"/>
      <c r="KTG241" s="4"/>
      <c r="KTH241" s="4"/>
      <c r="KTI241" s="4"/>
      <c r="KTJ241" s="4"/>
      <c r="KTK241" s="4"/>
      <c r="KTL241" s="4"/>
      <c r="KTM241" s="4"/>
      <c r="KTN241" s="4"/>
      <c r="KTO241" s="4"/>
      <c r="KTP241" s="4"/>
      <c r="KTQ241" s="4"/>
      <c r="KTR241" s="4"/>
      <c r="KTS241" s="4"/>
      <c r="KTT241" s="4"/>
      <c r="KTU241" s="4"/>
      <c r="KTV241" s="4"/>
      <c r="KTW241" s="4"/>
      <c r="KTX241" s="4"/>
      <c r="KTY241" s="4"/>
      <c r="KTZ241" s="4"/>
      <c r="KUA241" s="4"/>
      <c r="KUB241" s="4"/>
      <c r="KUC241" s="4"/>
      <c r="KUD241" s="4"/>
      <c r="KUE241" s="4"/>
      <c r="KUF241" s="4"/>
      <c r="KUG241" s="4"/>
      <c r="KUH241" s="4"/>
      <c r="KUI241" s="4"/>
      <c r="KUJ241" s="4"/>
      <c r="KUK241" s="4"/>
      <c r="KUL241" s="4"/>
      <c r="KUM241" s="4"/>
      <c r="KUN241" s="4"/>
      <c r="KUO241" s="4"/>
      <c r="KUP241" s="4"/>
      <c r="KUQ241" s="4"/>
      <c r="KUR241" s="4"/>
      <c r="KUS241" s="4"/>
      <c r="KUT241" s="4"/>
      <c r="KUU241" s="4"/>
      <c r="KUV241" s="4"/>
      <c r="KUW241" s="4"/>
      <c r="KUX241" s="4"/>
      <c r="KUY241" s="4"/>
      <c r="KUZ241" s="4"/>
      <c r="KVA241" s="4"/>
      <c r="KVB241" s="4"/>
      <c r="KVC241" s="4"/>
      <c r="KVD241" s="4"/>
      <c r="KVE241" s="4"/>
      <c r="KVF241" s="4"/>
      <c r="KVG241" s="4"/>
      <c r="KVH241" s="4"/>
      <c r="KVI241" s="4"/>
      <c r="KVJ241" s="4"/>
      <c r="KVK241" s="4"/>
      <c r="KVL241" s="4"/>
      <c r="KVM241" s="4"/>
      <c r="KVN241" s="4"/>
      <c r="KVO241" s="4"/>
      <c r="KVP241" s="4"/>
      <c r="KVQ241" s="4"/>
      <c r="KVR241" s="4"/>
      <c r="KVS241" s="4"/>
      <c r="KVT241" s="4"/>
      <c r="KVU241" s="4"/>
      <c r="KVV241" s="4"/>
      <c r="KVW241" s="4"/>
      <c r="KVX241" s="4"/>
      <c r="KVY241" s="4"/>
      <c r="KVZ241" s="4"/>
      <c r="KWA241" s="4"/>
      <c r="KWB241" s="4"/>
      <c r="KWC241" s="4"/>
      <c r="KWD241" s="4"/>
      <c r="KWE241" s="4"/>
      <c r="KWF241" s="4"/>
      <c r="KWG241" s="4"/>
      <c r="KWH241" s="4"/>
      <c r="KWI241" s="4"/>
      <c r="KWJ241" s="4"/>
      <c r="KWK241" s="4"/>
      <c r="KWL241" s="4"/>
      <c r="KWM241" s="4"/>
      <c r="KWN241" s="4"/>
      <c r="KWO241" s="4"/>
      <c r="KWP241" s="4"/>
      <c r="KWQ241" s="4"/>
      <c r="KWR241" s="4"/>
      <c r="KWS241" s="4"/>
      <c r="KWT241" s="4"/>
      <c r="KWU241" s="4"/>
      <c r="KWV241" s="4"/>
      <c r="KWW241" s="4"/>
      <c r="KWX241" s="4"/>
      <c r="KWY241" s="4"/>
      <c r="KWZ241" s="4"/>
      <c r="KXA241" s="4"/>
      <c r="KXB241" s="4"/>
      <c r="KXC241" s="4"/>
      <c r="KXD241" s="4"/>
      <c r="KXE241" s="4"/>
      <c r="KXF241" s="4"/>
      <c r="KXG241" s="4"/>
      <c r="KXH241" s="4"/>
      <c r="KXI241" s="4"/>
      <c r="KXJ241" s="4"/>
      <c r="KXK241" s="4"/>
      <c r="KXL241" s="4"/>
      <c r="KXM241" s="4"/>
      <c r="KXN241" s="4"/>
      <c r="KXO241" s="4"/>
      <c r="KXP241" s="4"/>
      <c r="KXQ241" s="4"/>
      <c r="KXR241" s="4"/>
      <c r="KXS241" s="4"/>
      <c r="KXT241" s="4"/>
      <c r="KXU241" s="4"/>
      <c r="KXV241" s="4"/>
      <c r="KXW241" s="4"/>
      <c r="KXX241" s="4"/>
      <c r="KXY241" s="4"/>
      <c r="KXZ241" s="4"/>
      <c r="KYA241" s="4"/>
      <c r="KYB241" s="4"/>
      <c r="KYC241" s="4"/>
      <c r="KYD241" s="4"/>
      <c r="KYE241" s="4"/>
      <c r="KYF241" s="4"/>
      <c r="KYG241" s="4"/>
      <c r="KYH241" s="4"/>
      <c r="KYI241" s="4"/>
      <c r="KYJ241" s="4"/>
      <c r="KYK241" s="4"/>
      <c r="KYL241" s="4"/>
      <c r="KYM241" s="4"/>
      <c r="KYN241" s="4"/>
      <c r="KYO241" s="4"/>
      <c r="KYP241" s="4"/>
      <c r="KYQ241" s="4"/>
      <c r="KYR241" s="4"/>
      <c r="KYS241" s="4"/>
      <c r="KYT241" s="4"/>
      <c r="KYU241" s="4"/>
      <c r="KYV241" s="4"/>
      <c r="KYW241" s="4"/>
      <c r="KYX241" s="4"/>
      <c r="KYY241" s="4"/>
      <c r="KYZ241" s="4"/>
      <c r="KZA241" s="4"/>
      <c r="KZB241" s="4"/>
      <c r="KZC241" s="4"/>
      <c r="KZD241" s="4"/>
      <c r="KZE241" s="4"/>
      <c r="KZF241" s="4"/>
      <c r="KZG241" s="4"/>
      <c r="KZH241" s="4"/>
      <c r="KZI241" s="4"/>
      <c r="KZJ241" s="4"/>
      <c r="KZK241" s="4"/>
      <c r="KZL241" s="4"/>
      <c r="KZM241" s="4"/>
      <c r="KZN241" s="4"/>
      <c r="KZO241" s="4"/>
      <c r="KZP241" s="4"/>
      <c r="KZQ241" s="4"/>
      <c r="KZR241" s="4"/>
      <c r="KZS241" s="4"/>
      <c r="KZT241" s="4"/>
      <c r="KZU241" s="4"/>
      <c r="KZV241" s="4"/>
      <c r="KZW241" s="4"/>
      <c r="KZX241" s="4"/>
      <c r="KZY241" s="4"/>
      <c r="KZZ241" s="4"/>
      <c r="LAA241" s="4"/>
      <c r="LAB241" s="4"/>
      <c r="LAC241" s="4"/>
      <c r="LAD241" s="4"/>
      <c r="LAE241" s="4"/>
      <c r="LAF241" s="4"/>
      <c r="LAG241" s="4"/>
      <c r="LAH241" s="4"/>
      <c r="LAI241" s="4"/>
      <c r="LAJ241" s="4"/>
      <c r="LAK241" s="4"/>
      <c r="LAL241" s="4"/>
      <c r="LAM241" s="4"/>
      <c r="LAN241" s="4"/>
      <c r="LAO241" s="4"/>
      <c r="LAP241" s="4"/>
      <c r="LAQ241" s="4"/>
      <c r="LAR241" s="4"/>
      <c r="LAS241" s="4"/>
      <c r="LAT241" s="4"/>
      <c r="LAU241" s="4"/>
      <c r="LAV241" s="4"/>
      <c r="LAW241" s="4"/>
      <c r="LAX241" s="4"/>
      <c r="LAY241" s="4"/>
      <c r="LAZ241" s="4"/>
      <c r="LBA241" s="4"/>
      <c r="LBB241" s="4"/>
      <c r="LBC241" s="4"/>
      <c r="LBD241" s="4"/>
      <c r="LBE241" s="4"/>
      <c r="LBF241" s="4"/>
      <c r="LBG241" s="4"/>
      <c r="LBH241" s="4"/>
      <c r="LBI241" s="4"/>
      <c r="LBJ241" s="4"/>
      <c r="LBK241" s="4"/>
      <c r="LBL241" s="4"/>
      <c r="LBM241" s="4"/>
      <c r="LBN241" s="4"/>
      <c r="LBO241" s="4"/>
      <c r="LBP241" s="4"/>
      <c r="LBQ241" s="4"/>
      <c r="LBR241" s="4"/>
      <c r="LBS241" s="4"/>
      <c r="LBT241" s="4"/>
      <c r="LBU241" s="4"/>
      <c r="LBV241" s="4"/>
      <c r="LBW241" s="4"/>
      <c r="LBX241" s="4"/>
      <c r="LBY241" s="4"/>
      <c r="LBZ241" s="4"/>
      <c r="LCA241" s="4"/>
      <c r="LCB241" s="4"/>
      <c r="LCC241" s="4"/>
      <c r="LCD241" s="4"/>
      <c r="LCE241" s="4"/>
      <c r="LCF241" s="4"/>
      <c r="LCG241" s="4"/>
      <c r="LCH241" s="4"/>
      <c r="LCI241" s="4"/>
      <c r="LCJ241" s="4"/>
      <c r="LCK241" s="4"/>
      <c r="LCL241" s="4"/>
      <c r="LCM241" s="4"/>
      <c r="LCN241" s="4"/>
      <c r="LCO241" s="4"/>
      <c r="LCP241" s="4"/>
      <c r="LCQ241" s="4"/>
      <c r="LCR241" s="4"/>
      <c r="LCS241" s="4"/>
      <c r="LCT241" s="4"/>
      <c r="LCU241" s="4"/>
      <c r="LCV241" s="4"/>
      <c r="LCW241" s="4"/>
      <c r="LCX241" s="4"/>
      <c r="LCY241" s="4"/>
      <c r="LCZ241" s="4"/>
      <c r="LDA241" s="4"/>
      <c r="LDB241" s="4"/>
      <c r="LDC241" s="4"/>
      <c r="LDD241" s="4"/>
      <c r="LDE241" s="4"/>
      <c r="LDF241" s="4"/>
      <c r="LDG241" s="4"/>
      <c r="LDH241" s="4"/>
      <c r="LDI241" s="4"/>
      <c r="LDJ241" s="4"/>
      <c r="LDK241" s="4"/>
      <c r="LDL241" s="4"/>
      <c r="LDM241" s="4"/>
      <c r="LDN241" s="4"/>
      <c r="LDO241" s="4"/>
      <c r="LDP241" s="4"/>
      <c r="LDQ241" s="4"/>
      <c r="LDR241" s="4"/>
      <c r="LDS241" s="4"/>
      <c r="LDT241" s="4"/>
      <c r="LDU241" s="4"/>
      <c r="LDV241" s="4"/>
      <c r="LDW241" s="4"/>
      <c r="LDX241" s="4"/>
      <c r="LDY241" s="4"/>
      <c r="LDZ241" s="4"/>
      <c r="LEA241" s="4"/>
      <c r="LEB241" s="4"/>
      <c r="LEC241" s="4"/>
      <c r="LED241" s="4"/>
      <c r="LEE241" s="4"/>
      <c r="LEF241" s="4"/>
      <c r="LEG241" s="4"/>
      <c r="LEH241" s="4"/>
      <c r="LEI241" s="4"/>
      <c r="LEJ241" s="4"/>
      <c r="LEK241" s="4"/>
      <c r="LEL241" s="4"/>
      <c r="LEM241" s="4"/>
      <c r="LEN241" s="4"/>
      <c r="LEO241" s="4"/>
      <c r="LEP241" s="4"/>
      <c r="LEQ241" s="4"/>
      <c r="LER241" s="4"/>
      <c r="LES241" s="4"/>
      <c r="LET241" s="4"/>
      <c r="LEU241" s="4"/>
      <c r="LEV241" s="4"/>
      <c r="LEW241" s="4"/>
      <c r="LEX241" s="4"/>
      <c r="LEY241" s="4"/>
      <c r="LEZ241" s="4"/>
      <c r="LFA241" s="4"/>
      <c r="LFB241" s="4"/>
      <c r="LFC241" s="4"/>
      <c r="LFD241" s="4"/>
      <c r="LFE241" s="4"/>
      <c r="LFF241" s="4"/>
      <c r="LFG241" s="4"/>
      <c r="LFH241" s="4"/>
      <c r="LFI241" s="4"/>
      <c r="LFJ241" s="4"/>
      <c r="LFK241" s="4"/>
      <c r="LFL241" s="4"/>
      <c r="LFM241" s="4"/>
      <c r="LFN241" s="4"/>
      <c r="LFO241" s="4"/>
      <c r="LFP241" s="4"/>
      <c r="LFQ241" s="4"/>
      <c r="LFR241" s="4"/>
      <c r="LFS241" s="4"/>
      <c r="LFT241" s="4"/>
      <c r="LFU241" s="4"/>
      <c r="LFV241" s="4"/>
      <c r="LFW241" s="4"/>
      <c r="LFX241" s="4"/>
      <c r="LFY241" s="4"/>
      <c r="LFZ241" s="4"/>
      <c r="LGA241" s="4"/>
      <c r="LGB241" s="4"/>
      <c r="LGC241" s="4"/>
      <c r="LGD241" s="4"/>
      <c r="LGE241" s="4"/>
      <c r="LGF241" s="4"/>
      <c r="LGG241" s="4"/>
      <c r="LGH241" s="4"/>
      <c r="LGI241" s="4"/>
      <c r="LGJ241" s="4"/>
      <c r="LGK241" s="4"/>
      <c r="LGL241" s="4"/>
      <c r="LGM241" s="4"/>
      <c r="LGN241" s="4"/>
      <c r="LGO241" s="4"/>
      <c r="LGP241" s="4"/>
      <c r="LGQ241" s="4"/>
      <c r="LGR241" s="4"/>
      <c r="LGS241" s="4"/>
      <c r="LGT241" s="4"/>
      <c r="LGU241" s="4"/>
      <c r="LGV241" s="4"/>
      <c r="LGW241" s="4"/>
      <c r="LGX241" s="4"/>
      <c r="LGY241" s="4"/>
      <c r="LGZ241" s="4"/>
      <c r="LHA241" s="4"/>
      <c r="LHB241" s="4"/>
      <c r="LHC241" s="4"/>
      <c r="LHD241" s="4"/>
      <c r="LHE241" s="4"/>
      <c r="LHF241" s="4"/>
      <c r="LHG241" s="4"/>
      <c r="LHH241" s="4"/>
      <c r="LHI241" s="4"/>
      <c r="LHJ241" s="4"/>
      <c r="LHK241" s="4"/>
      <c r="LHL241" s="4"/>
      <c r="LHM241" s="4"/>
      <c r="LHN241" s="4"/>
      <c r="LHO241" s="4"/>
      <c r="LHP241" s="4"/>
      <c r="LHQ241" s="4"/>
      <c r="LHR241" s="4"/>
      <c r="LHS241" s="4"/>
      <c r="LHT241" s="4"/>
      <c r="LHU241" s="4"/>
      <c r="LHV241" s="4"/>
      <c r="LHW241" s="4"/>
      <c r="LHX241" s="4"/>
      <c r="LHY241" s="4"/>
      <c r="LHZ241" s="4"/>
      <c r="LIA241" s="4"/>
      <c r="LIB241" s="4"/>
      <c r="LIC241" s="4"/>
      <c r="LID241" s="4"/>
      <c r="LIE241" s="4"/>
      <c r="LIF241" s="4"/>
      <c r="LIG241" s="4"/>
      <c r="LIH241" s="4"/>
      <c r="LII241" s="4"/>
      <c r="LIJ241" s="4"/>
      <c r="LIK241" s="4"/>
      <c r="LIL241" s="4"/>
      <c r="LIM241" s="4"/>
      <c r="LIN241" s="4"/>
      <c r="LIO241" s="4"/>
      <c r="LIP241" s="4"/>
      <c r="LIQ241" s="4"/>
      <c r="LIR241" s="4"/>
      <c r="LIS241" s="4"/>
      <c r="LIT241" s="4"/>
      <c r="LIU241" s="4"/>
      <c r="LIV241" s="4"/>
      <c r="LIW241" s="4"/>
      <c r="LIX241" s="4"/>
      <c r="LIY241" s="4"/>
      <c r="LIZ241" s="4"/>
      <c r="LJA241" s="4"/>
      <c r="LJB241" s="4"/>
      <c r="LJC241" s="4"/>
      <c r="LJD241" s="4"/>
      <c r="LJE241" s="4"/>
      <c r="LJF241" s="4"/>
      <c r="LJG241" s="4"/>
      <c r="LJH241" s="4"/>
      <c r="LJI241" s="4"/>
      <c r="LJJ241" s="4"/>
      <c r="LJK241" s="4"/>
      <c r="LJL241" s="4"/>
      <c r="LJM241" s="4"/>
      <c r="LJN241" s="4"/>
      <c r="LJO241" s="4"/>
      <c r="LJP241" s="4"/>
      <c r="LJQ241" s="4"/>
      <c r="LJR241" s="4"/>
      <c r="LJS241" s="4"/>
      <c r="LJT241" s="4"/>
      <c r="LJU241" s="4"/>
      <c r="LJV241" s="4"/>
      <c r="LJW241" s="4"/>
      <c r="LJX241" s="4"/>
      <c r="LJY241" s="4"/>
      <c r="LJZ241" s="4"/>
      <c r="LKA241" s="4"/>
      <c r="LKB241" s="4"/>
      <c r="LKC241" s="4"/>
      <c r="LKD241" s="4"/>
      <c r="LKE241" s="4"/>
      <c r="LKF241" s="4"/>
      <c r="LKG241" s="4"/>
      <c r="LKH241" s="4"/>
      <c r="LKI241" s="4"/>
      <c r="LKJ241" s="4"/>
      <c r="LKK241" s="4"/>
      <c r="LKL241" s="4"/>
      <c r="LKM241" s="4"/>
      <c r="LKN241" s="4"/>
      <c r="LKO241" s="4"/>
      <c r="LKP241" s="4"/>
      <c r="LKQ241" s="4"/>
      <c r="LKR241" s="4"/>
      <c r="LKS241" s="4"/>
      <c r="LKT241" s="4"/>
      <c r="LKU241" s="4"/>
      <c r="LKV241" s="4"/>
      <c r="LKW241" s="4"/>
      <c r="LKX241" s="4"/>
      <c r="LKY241" s="4"/>
      <c r="LKZ241" s="4"/>
      <c r="LLA241" s="4"/>
      <c r="LLB241" s="4"/>
      <c r="LLC241" s="4"/>
      <c r="LLD241" s="4"/>
      <c r="LLE241" s="4"/>
      <c r="LLF241" s="4"/>
      <c r="LLG241" s="4"/>
      <c r="LLH241" s="4"/>
      <c r="LLI241" s="4"/>
      <c r="LLJ241" s="4"/>
      <c r="LLK241" s="4"/>
      <c r="LLL241" s="4"/>
      <c r="LLM241" s="4"/>
      <c r="LLN241" s="4"/>
      <c r="LLO241" s="4"/>
      <c r="LLP241" s="4"/>
      <c r="LLQ241" s="4"/>
      <c r="LLR241" s="4"/>
      <c r="LLS241" s="4"/>
      <c r="LLT241" s="4"/>
      <c r="LLU241" s="4"/>
      <c r="LLV241" s="4"/>
      <c r="LLW241" s="4"/>
      <c r="LLX241" s="4"/>
      <c r="LLY241" s="4"/>
      <c r="LLZ241" s="4"/>
      <c r="LMA241" s="4"/>
      <c r="LMB241" s="4"/>
      <c r="LMC241" s="4"/>
      <c r="LMD241" s="4"/>
      <c r="LME241" s="4"/>
      <c r="LMF241" s="4"/>
      <c r="LMG241" s="4"/>
      <c r="LMH241" s="4"/>
      <c r="LMI241" s="4"/>
      <c r="LMJ241" s="4"/>
      <c r="LMK241" s="4"/>
      <c r="LML241" s="4"/>
      <c r="LMM241" s="4"/>
      <c r="LMN241" s="4"/>
      <c r="LMO241" s="4"/>
      <c r="LMP241" s="4"/>
      <c r="LMQ241" s="4"/>
      <c r="LMR241" s="4"/>
      <c r="LMS241" s="4"/>
      <c r="LMT241" s="4"/>
      <c r="LMU241" s="4"/>
      <c r="LMV241" s="4"/>
      <c r="LMW241" s="4"/>
      <c r="LMX241" s="4"/>
      <c r="LMY241" s="4"/>
      <c r="LMZ241" s="4"/>
      <c r="LNA241" s="4"/>
      <c r="LNB241" s="4"/>
      <c r="LNC241" s="4"/>
      <c r="LND241" s="4"/>
      <c r="LNE241" s="4"/>
      <c r="LNF241" s="4"/>
      <c r="LNG241" s="4"/>
      <c r="LNH241" s="4"/>
      <c r="LNI241" s="4"/>
      <c r="LNJ241" s="4"/>
      <c r="LNK241" s="4"/>
      <c r="LNL241" s="4"/>
      <c r="LNM241" s="4"/>
      <c r="LNN241" s="4"/>
      <c r="LNO241" s="4"/>
      <c r="LNP241" s="4"/>
      <c r="LNQ241" s="4"/>
      <c r="LNR241" s="4"/>
      <c r="LNS241" s="4"/>
      <c r="LNT241" s="4"/>
      <c r="LNU241" s="4"/>
      <c r="LNV241" s="4"/>
      <c r="LNW241" s="4"/>
      <c r="LNX241" s="4"/>
      <c r="LNY241" s="4"/>
      <c r="LNZ241" s="4"/>
      <c r="LOA241" s="4"/>
      <c r="LOB241" s="4"/>
      <c r="LOC241" s="4"/>
      <c r="LOD241" s="4"/>
      <c r="LOE241" s="4"/>
      <c r="LOF241" s="4"/>
      <c r="LOG241" s="4"/>
      <c r="LOH241" s="4"/>
      <c r="LOI241" s="4"/>
      <c r="LOJ241" s="4"/>
      <c r="LOK241" s="4"/>
      <c r="LOL241" s="4"/>
      <c r="LOM241" s="4"/>
      <c r="LON241" s="4"/>
      <c r="LOO241" s="4"/>
      <c r="LOP241" s="4"/>
      <c r="LOQ241" s="4"/>
      <c r="LOR241" s="4"/>
      <c r="LOS241" s="4"/>
      <c r="LOT241" s="4"/>
      <c r="LOU241" s="4"/>
      <c r="LOV241" s="4"/>
      <c r="LOW241" s="4"/>
      <c r="LOX241" s="4"/>
      <c r="LOY241" s="4"/>
      <c r="LOZ241" s="4"/>
      <c r="LPA241" s="4"/>
      <c r="LPB241" s="4"/>
      <c r="LPC241" s="4"/>
      <c r="LPD241" s="4"/>
      <c r="LPE241" s="4"/>
      <c r="LPF241" s="4"/>
      <c r="LPG241" s="4"/>
      <c r="LPH241" s="4"/>
      <c r="LPI241" s="4"/>
      <c r="LPJ241" s="4"/>
      <c r="LPK241" s="4"/>
      <c r="LPL241" s="4"/>
      <c r="LPM241" s="4"/>
      <c r="LPN241" s="4"/>
      <c r="LPO241" s="4"/>
      <c r="LPP241" s="4"/>
      <c r="LPQ241" s="4"/>
      <c r="LPR241" s="4"/>
      <c r="LPS241" s="4"/>
      <c r="LPT241" s="4"/>
      <c r="LPU241" s="4"/>
      <c r="LPV241" s="4"/>
      <c r="LPW241" s="4"/>
      <c r="LPX241" s="4"/>
      <c r="LPY241" s="4"/>
      <c r="LPZ241" s="4"/>
      <c r="LQA241" s="4"/>
      <c r="LQB241" s="4"/>
      <c r="LQC241" s="4"/>
      <c r="LQD241" s="4"/>
      <c r="LQE241" s="4"/>
      <c r="LQF241" s="4"/>
      <c r="LQG241" s="4"/>
      <c r="LQH241" s="4"/>
      <c r="LQI241" s="4"/>
      <c r="LQJ241" s="4"/>
      <c r="LQK241" s="4"/>
      <c r="LQL241" s="4"/>
      <c r="LQM241" s="4"/>
      <c r="LQN241" s="4"/>
      <c r="LQO241" s="4"/>
      <c r="LQP241" s="4"/>
      <c r="LQQ241" s="4"/>
      <c r="LQR241" s="4"/>
      <c r="LQS241" s="4"/>
      <c r="LQT241" s="4"/>
      <c r="LQU241" s="4"/>
      <c r="LQV241" s="4"/>
      <c r="LQW241" s="4"/>
      <c r="LQX241" s="4"/>
      <c r="LQY241" s="4"/>
      <c r="LQZ241" s="4"/>
      <c r="LRA241" s="4"/>
      <c r="LRB241" s="4"/>
      <c r="LRC241" s="4"/>
      <c r="LRD241" s="4"/>
      <c r="LRE241" s="4"/>
      <c r="LRF241" s="4"/>
      <c r="LRG241" s="4"/>
      <c r="LRH241" s="4"/>
      <c r="LRI241" s="4"/>
      <c r="LRJ241" s="4"/>
      <c r="LRK241" s="4"/>
      <c r="LRL241" s="4"/>
      <c r="LRM241" s="4"/>
      <c r="LRN241" s="4"/>
      <c r="LRO241" s="4"/>
      <c r="LRP241" s="4"/>
      <c r="LRQ241" s="4"/>
      <c r="LRR241" s="4"/>
      <c r="LRS241" s="4"/>
      <c r="LRT241" s="4"/>
      <c r="LRU241" s="4"/>
      <c r="LRV241" s="4"/>
      <c r="LRW241" s="4"/>
      <c r="LRX241" s="4"/>
      <c r="LRY241" s="4"/>
      <c r="LRZ241" s="4"/>
      <c r="LSA241" s="4"/>
      <c r="LSB241" s="4"/>
      <c r="LSC241" s="4"/>
      <c r="LSD241" s="4"/>
      <c r="LSE241" s="4"/>
      <c r="LSF241" s="4"/>
      <c r="LSG241" s="4"/>
      <c r="LSH241" s="4"/>
      <c r="LSI241" s="4"/>
      <c r="LSJ241" s="4"/>
      <c r="LSK241" s="4"/>
      <c r="LSL241" s="4"/>
      <c r="LSM241" s="4"/>
      <c r="LSN241" s="4"/>
      <c r="LSO241" s="4"/>
      <c r="LSP241" s="4"/>
      <c r="LSQ241" s="4"/>
      <c r="LSR241" s="4"/>
      <c r="LSS241" s="4"/>
      <c r="LST241" s="4"/>
      <c r="LSU241" s="4"/>
      <c r="LSV241" s="4"/>
      <c r="LSW241" s="4"/>
      <c r="LSX241" s="4"/>
      <c r="LSY241" s="4"/>
      <c r="LSZ241" s="4"/>
      <c r="LTA241" s="4"/>
      <c r="LTB241" s="4"/>
      <c r="LTC241" s="4"/>
      <c r="LTD241" s="4"/>
      <c r="LTE241" s="4"/>
      <c r="LTF241" s="4"/>
      <c r="LTG241" s="4"/>
      <c r="LTH241" s="4"/>
      <c r="LTI241" s="4"/>
      <c r="LTJ241" s="4"/>
      <c r="LTK241" s="4"/>
      <c r="LTL241" s="4"/>
      <c r="LTM241" s="4"/>
      <c r="LTN241" s="4"/>
      <c r="LTO241" s="4"/>
      <c r="LTP241" s="4"/>
      <c r="LTQ241" s="4"/>
      <c r="LTR241" s="4"/>
      <c r="LTS241" s="4"/>
      <c r="LTT241" s="4"/>
      <c r="LTU241" s="4"/>
      <c r="LTV241" s="4"/>
      <c r="LTW241" s="4"/>
      <c r="LTX241" s="4"/>
      <c r="LTY241" s="4"/>
      <c r="LTZ241" s="4"/>
      <c r="LUA241" s="4"/>
      <c r="LUB241" s="4"/>
      <c r="LUC241" s="4"/>
      <c r="LUD241" s="4"/>
      <c r="LUE241" s="4"/>
      <c r="LUF241" s="4"/>
      <c r="LUG241" s="4"/>
      <c r="LUH241" s="4"/>
      <c r="LUI241" s="4"/>
      <c r="LUJ241" s="4"/>
      <c r="LUK241" s="4"/>
      <c r="LUL241" s="4"/>
      <c r="LUM241" s="4"/>
      <c r="LUN241" s="4"/>
      <c r="LUO241" s="4"/>
      <c r="LUP241" s="4"/>
      <c r="LUQ241" s="4"/>
      <c r="LUR241" s="4"/>
      <c r="LUS241" s="4"/>
      <c r="LUT241" s="4"/>
      <c r="LUU241" s="4"/>
      <c r="LUV241" s="4"/>
      <c r="LUW241" s="4"/>
      <c r="LUX241" s="4"/>
      <c r="LUY241" s="4"/>
      <c r="LUZ241" s="4"/>
      <c r="LVA241" s="4"/>
      <c r="LVB241" s="4"/>
      <c r="LVC241" s="4"/>
      <c r="LVD241" s="4"/>
      <c r="LVE241" s="4"/>
      <c r="LVF241" s="4"/>
      <c r="LVG241" s="4"/>
      <c r="LVH241" s="4"/>
      <c r="LVI241" s="4"/>
      <c r="LVJ241" s="4"/>
      <c r="LVK241" s="4"/>
      <c r="LVL241" s="4"/>
      <c r="LVM241" s="4"/>
      <c r="LVN241" s="4"/>
      <c r="LVO241" s="4"/>
      <c r="LVP241" s="4"/>
      <c r="LVQ241" s="4"/>
      <c r="LVR241" s="4"/>
      <c r="LVS241" s="4"/>
      <c r="LVT241" s="4"/>
      <c r="LVU241" s="4"/>
      <c r="LVV241" s="4"/>
      <c r="LVW241" s="4"/>
      <c r="LVX241" s="4"/>
      <c r="LVY241" s="4"/>
      <c r="LVZ241" s="4"/>
      <c r="LWA241" s="4"/>
      <c r="LWB241" s="4"/>
      <c r="LWC241" s="4"/>
      <c r="LWD241" s="4"/>
      <c r="LWE241" s="4"/>
      <c r="LWF241" s="4"/>
      <c r="LWG241" s="4"/>
      <c r="LWH241" s="4"/>
      <c r="LWI241" s="4"/>
      <c r="LWJ241" s="4"/>
      <c r="LWK241" s="4"/>
      <c r="LWL241" s="4"/>
      <c r="LWM241" s="4"/>
      <c r="LWN241" s="4"/>
      <c r="LWO241" s="4"/>
      <c r="LWP241" s="4"/>
      <c r="LWQ241" s="4"/>
      <c r="LWR241" s="4"/>
      <c r="LWS241" s="4"/>
      <c r="LWT241" s="4"/>
      <c r="LWU241" s="4"/>
      <c r="LWV241" s="4"/>
      <c r="LWW241" s="4"/>
      <c r="LWX241" s="4"/>
      <c r="LWY241" s="4"/>
      <c r="LWZ241" s="4"/>
      <c r="LXA241" s="4"/>
      <c r="LXB241" s="4"/>
      <c r="LXC241" s="4"/>
      <c r="LXD241" s="4"/>
      <c r="LXE241" s="4"/>
      <c r="LXF241" s="4"/>
      <c r="LXG241" s="4"/>
      <c r="LXH241" s="4"/>
      <c r="LXI241" s="4"/>
      <c r="LXJ241" s="4"/>
      <c r="LXK241" s="4"/>
      <c r="LXL241" s="4"/>
      <c r="LXM241" s="4"/>
      <c r="LXN241" s="4"/>
      <c r="LXO241" s="4"/>
      <c r="LXP241" s="4"/>
      <c r="LXQ241" s="4"/>
      <c r="LXR241" s="4"/>
      <c r="LXS241" s="4"/>
      <c r="LXT241" s="4"/>
      <c r="LXU241" s="4"/>
      <c r="LXV241" s="4"/>
      <c r="LXW241" s="4"/>
      <c r="LXX241" s="4"/>
      <c r="LXY241" s="4"/>
      <c r="LXZ241" s="4"/>
      <c r="LYA241" s="4"/>
      <c r="LYB241" s="4"/>
      <c r="LYC241" s="4"/>
      <c r="LYD241" s="4"/>
      <c r="LYE241" s="4"/>
      <c r="LYF241" s="4"/>
      <c r="LYG241" s="4"/>
      <c r="LYH241" s="4"/>
      <c r="LYI241" s="4"/>
      <c r="LYJ241" s="4"/>
      <c r="LYK241" s="4"/>
      <c r="LYL241" s="4"/>
      <c r="LYM241" s="4"/>
      <c r="LYN241" s="4"/>
      <c r="LYO241" s="4"/>
      <c r="LYP241" s="4"/>
      <c r="LYQ241" s="4"/>
      <c r="LYR241" s="4"/>
      <c r="LYS241" s="4"/>
      <c r="LYT241" s="4"/>
      <c r="LYU241" s="4"/>
      <c r="LYV241" s="4"/>
      <c r="LYW241" s="4"/>
      <c r="LYX241" s="4"/>
      <c r="LYY241" s="4"/>
      <c r="LYZ241" s="4"/>
      <c r="LZA241" s="4"/>
      <c r="LZB241" s="4"/>
      <c r="LZC241" s="4"/>
      <c r="LZD241" s="4"/>
      <c r="LZE241" s="4"/>
      <c r="LZF241" s="4"/>
      <c r="LZG241" s="4"/>
      <c r="LZH241" s="4"/>
      <c r="LZI241" s="4"/>
      <c r="LZJ241" s="4"/>
      <c r="LZK241" s="4"/>
      <c r="LZL241" s="4"/>
      <c r="LZM241" s="4"/>
      <c r="LZN241" s="4"/>
      <c r="LZO241" s="4"/>
      <c r="LZP241" s="4"/>
      <c r="LZQ241" s="4"/>
      <c r="LZR241" s="4"/>
      <c r="LZS241" s="4"/>
      <c r="LZT241" s="4"/>
      <c r="LZU241" s="4"/>
      <c r="LZV241" s="4"/>
      <c r="LZW241" s="4"/>
      <c r="LZX241" s="4"/>
      <c r="LZY241" s="4"/>
      <c r="LZZ241" s="4"/>
      <c r="MAA241" s="4"/>
      <c r="MAB241" s="4"/>
      <c r="MAC241" s="4"/>
      <c r="MAD241" s="4"/>
      <c r="MAE241" s="4"/>
      <c r="MAF241" s="4"/>
      <c r="MAG241" s="4"/>
      <c r="MAH241" s="4"/>
      <c r="MAI241" s="4"/>
      <c r="MAJ241" s="4"/>
      <c r="MAK241" s="4"/>
      <c r="MAL241" s="4"/>
      <c r="MAM241" s="4"/>
      <c r="MAN241" s="4"/>
      <c r="MAO241" s="4"/>
      <c r="MAP241" s="4"/>
      <c r="MAQ241" s="4"/>
      <c r="MAR241" s="4"/>
      <c r="MAS241" s="4"/>
      <c r="MAT241" s="4"/>
      <c r="MAU241" s="4"/>
      <c r="MAV241" s="4"/>
      <c r="MAW241" s="4"/>
      <c r="MAX241" s="4"/>
      <c r="MAY241" s="4"/>
      <c r="MAZ241" s="4"/>
      <c r="MBA241" s="4"/>
      <c r="MBB241" s="4"/>
      <c r="MBC241" s="4"/>
      <c r="MBD241" s="4"/>
      <c r="MBE241" s="4"/>
      <c r="MBF241" s="4"/>
      <c r="MBG241" s="4"/>
      <c r="MBH241" s="4"/>
      <c r="MBI241" s="4"/>
      <c r="MBJ241" s="4"/>
      <c r="MBK241" s="4"/>
      <c r="MBL241" s="4"/>
      <c r="MBM241" s="4"/>
      <c r="MBN241" s="4"/>
      <c r="MBO241" s="4"/>
      <c r="MBP241" s="4"/>
      <c r="MBQ241" s="4"/>
      <c r="MBR241" s="4"/>
      <c r="MBS241" s="4"/>
      <c r="MBT241" s="4"/>
      <c r="MBU241" s="4"/>
      <c r="MBV241" s="4"/>
      <c r="MBW241" s="4"/>
      <c r="MBX241" s="4"/>
      <c r="MBY241" s="4"/>
      <c r="MBZ241" s="4"/>
      <c r="MCA241" s="4"/>
      <c r="MCB241" s="4"/>
      <c r="MCC241" s="4"/>
      <c r="MCD241" s="4"/>
      <c r="MCE241" s="4"/>
      <c r="MCF241" s="4"/>
      <c r="MCG241" s="4"/>
      <c r="MCH241" s="4"/>
      <c r="MCI241" s="4"/>
      <c r="MCJ241" s="4"/>
      <c r="MCK241" s="4"/>
      <c r="MCL241" s="4"/>
      <c r="MCM241" s="4"/>
      <c r="MCN241" s="4"/>
      <c r="MCO241" s="4"/>
      <c r="MCP241" s="4"/>
      <c r="MCQ241" s="4"/>
      <c r="MCR241" s="4"/>
      <c r="MCS241" s="4"/>
      <c r="MCT241" s="4"/>
      <c r="MCU241" s="4"/>
      <c r="MCV241" s="4"/>
      <c r="MCW241" s="4"/>
      <c r="MCX241" s="4"/>
      <c r="MCY241" s="4"/>
      <c r="MCZ241" s="4"/>
      <c r="MDA241" s="4"/>
      <c r="MDB241" s="4"/>
      <c r="MDC241" s="4"/>
      <c r="MDD241" s="4"/>
      <c r="MDE241" s="4"/>
      <c r="MDF241" s="4"/>
      <c r="MDG241" s="4"/>
      <c r="MDH241" s="4"/>
      <c r="MDI241" s="4"/>
      <c r="MDJ241" s="4"/>
      <c r="MDK241" s="4"/>
      <c r="MDL241" s="4"/>
      <c r="MDM241" s="4"/>
      <c r="MDN241" s="4"/>
      <c r="MDO241" s="4"/>
      <c r="MDP241" s="4"/>
      <c r="MDQ241" s="4"/>
      <c r="MDR241" s="4"/>
      <c r="MDS241" s="4"/>
      <c r="MDT241" s="4"/>
      <c r="MDU241" s="4"/>
      <c r="MDV241" s="4"/>
      <c r="MDW241" s="4"/>
      <c r="MDX241" s="4"/>
      <c r="MDY241" s="4"/>
      <c r="MDZ241" s="4"/>
      <c r="MEA241" s="4"/>
      <c r="MEB241" s="4"/>
      <c r="MEC241" s="4"/>
      <c r="MED241" s="4"/>
      <c r="MEE241" s="4"/>
      <c r="MEF241" s="4"/>
      <c r="MEG241" s="4"/>
      <c r="MEH241" s="4"/>
      <c r="MEI241" s="4"/>
      <c r="MEJ241" s="4"/>
      <c r="MEK241" s="4"/>
      <c r="MEL241" s="4"/>
      <c r="MEM241" s="4"/>
      <c r="MEN241" s="4"/>
      <c r="MEO241" s="4"/>
      <c r="MEP241" s="4"/>
      <c r="MEQ241" s="4"/>
      <c r="MER241" s="4"/>
      <c r="MES241" s="4"/>
      <c r="MET241" s="4"/>
      <c r="MEU241" s="4"/>
      <c r="MEV241" s="4"/>
      <c r="MEW241" s="4"/>
      <c r="MEX241" s="4"/>
      <c r="MEY241" s="4"/>
      <c r="MEZ241" s="4"/>
      <c r="MFA241" s="4"/>
      <c r="MFB241" s="4"/>
      <c r="MFC241" s="4"/>
      <c r="MFD241" s="4"/>
      <c r="MFE241" s="4"/>
      <c r="MFF241" s="4"/>
      <c r="MFG241" s="4"/>
      <c r="MFH241" s="4"/>
      <c r="MFI241" s="4"/>
      <c r="MFJ241" s="4"/>
      <c r="MFK241" s="4"/>
      <c r="MFL241" s="4"/>
      <c r="MFM241" s="4"/>
      <c r="MFN241" s="4"/>
      <c r="MFO241" s="4"/>
      <c r="MFP241" s="4"/>
      <c r="MFQ241" s="4"/>
      <c r="MFR241" s="4"/>
      <c r="MFS241" s="4"/>
      <c r="MFT241" s="4"/>
      <c r="MFU241" s="4"/>
      <c r="MFV241" s="4"/>
      <c r="MFW241" s="4"/>
      <c r="MFX241" s="4"/>
      <c r="MFY241" s="4"/>
      <c r="MFZ241" s="4"/>
      <c r="MGA241" s="4"/>
      <c r="MGB241" s="4"/>
      <c r="MGC241" s="4"/>
      <c r="MGD241" s="4"/>
      <c r="MGE241" s="4"/>
      <c r="MGF241" s="4"/>
      <c r="MGG241" s="4"/>
      <c r="MGH241" s="4"/>
      <c r="MGI241" s="4"/>
      <c r="MGJ241" s="4"/>
      <c r="MGK241" s="4"/>
      <c r="MGL241" s="4"/>
      <c r="MGM241" s="4"/>
      <c r="MGN241" s="4"/>
      <c r="MGO241" s="4"/>
      <c r="MGP241" s="4"/>
      <c r="MGQ241" s="4"/>
      <c r="MGR241" s="4"/>
      <c r="MGS241" s="4"/>
      <c r="MGT241" s="4"/>
      <c r="MGU241" s="4"/>
      <c r="MGV241" s="4"/>
      <c r="MGW241" s="4"/>
      <c r="MGX241" s="4"/>
      <c r="MGY241" s="4"/>
      <c r="MGZ241" s="4"/>
      <c r="MHA241" s="4"/>
      <c r="MHB241" s="4"/>
      <c r="MHC241" s="4"/>
      <c r="MHD241" s="4"/>
      <c r="MHE241" s="4"/>
      <c r="MHF241" s="4"/>
      <c r="MHG241" s="4"/>
      <c r="MHH241" s="4"/>
      <c r="MHI241" s="4"/>
      <c r="MHJ241" s="4"/>
      <c r="MHK241" s="4"/>
      <c r="MHL241" s="4"/>
      <c r="MHM241" s="4"/>
      <c r="MHN241" s="4"/>
      <c r="MHO241" s="4"/>
      <c r="MHP241" s="4"/>
      <c r="MHQ241" s="4"/>
      <c r="MHR241" s="4"/>
      <c r="MHS241" s="4"/>
      <c r="MHT241" s="4"/>
      <c r="MHU241" s="4"/>
      <c r="MHV241" s="4"/>
      <c r="MHW241" s="4"/>
      <c r="MHX241" s="4"/>
      <c r="MHY241" s="4"/>
      <c r="MHZ241" s="4"/>
      <c r="MIA241" s="4"/>
      <c r="MIB241" s="4"/>
      <c r="MIC241" s="4"/>
      <c r="MID241" s="4"/>
      <c r="MIE241" s="4"/>
      <c r="MIF241" s="4"/>
      <c r="MIG241" s="4"/>
      <c r="MIH241" s="4"/>
      <c r="MII241" s="4"/>
      <c r="MIJ241" s="4"/>
      <c r="MIK241" s="4"/>
      <c r="MIL241" s="4"/>
      <c r="MIM241" s="4"/>
      <c r="MIN241" s="4"/>
      <c r="MIO241" s="4"/>
      <c r="MIP241" s="4"/>
      <c r="MIQ241" s="4"/>
      <c r="MIR241" s="4"/>
      <c r="MIS241" s="4"/>
      <c r="MIT241" s="4"/>
      <c r="MIU241" s="4"/>
      <c r="MIV241" s="4"/>
      <c r="MIW241" s="4"/>
      <c r="MIX241" s="4"/>
      <c r="MIY241" s="4"/>
      <c r="MIZ241" s="4"/>
      <c r="MJA241" s="4"/>
      <c r="MJB241" s="4"/>
      <c r="MJC241" s="4"/>
      <c r="MJD241" s="4"/>
      <c r="MJE241" s="4"/>
      <c r="MJF241" s="4"/>
      <c r="MJG241" s="4"/>
      <c r="MJH241" s="4"/>
      <c r="MJI241" s="4"/>
      <c r="MJJ241" s="4"/>
      <c r="MJK241" s="4"/>
      <c r="MJL241" s="4"/>
      <c r="MJM241" s="4"/>
      <c r="MJN241" s="4"/>
      <c r="MJO241" s="4"/>
      <c r="MJP241" s="4"/>
      <c r="MJQ241" s="4"/>
      <c r="MJR241" s="4"/>
      <c r="MJS241" s="4"/>
      <c r="MJT241" s="4"/>
      <c r="MJU241" s="4"/>
      <c r="MJV241" s="4"/>
      <c r="MJW241" s="4"/>
      <c r="MJX241" s="4"/>
      <c r="MJY241" s="4"/>
      <c r="MJZ241" s="4"/>
      <c r="MKA241" s="4"/>
      <c r="MKB241" s="4"/>
      <c r="MKC241" s="4"/>
      <c r="MKD241" s="4"/>
      <c r="MKE241" s="4"/>
      <c r="MKF241" s="4"/>
      <c r="MKG241" s="4"/>
      <c r="MKH241" s="4"/>
      <c r="MKI241" s="4"/>
      <c r="MKJ241" s="4"/>
      <c r="MKK241" s="4"/>
      <c r="MKL241" s="4"/>
      <c r="MKM241" s="4"/>
      <c r="MKN241" s="4"/>
      <c r="MKO241" s="4"/>
      <c r="MKP241" s="4"/>
      <c r="MKQ241" s="4"/>
      <c r="MKR241" s="4"/>
      <c r="MKS241" s="4"/>
      <c r="MKT241" s="4"/>
      <c r="MKU241" s="4"/>
      <c r="MKV241" s="4"/>
      <c r="MKW241" s="4"/>
      <c r="MKX241" s="4"/>
      <c r="MKY241" s="4"/>
      <c r="MKZ241" s="4"/>
      <c r="MLA241" s="4"/>
      <c r="MLB241" s="4"/>
      <c r="MLC241" s="4"/>
      <c r="MLD241" s="4"/>
      <c r="MLE241" s="4"/>
      <c r="MLF241" s="4"/>
      <c r="MLG241" s="4"/>
      <c r="MLH241" s="4"/>
      <c r="MLI241" s="4"/>
      <c r="MLJ241" s="4"/>
      <c r="MLK241" s="4"/>
      <c r="MLL241" s="4"/>
      <c r="MLM241" s="4"/>
      <c r="MLN241" s="4"/>
      <c r="MLO241" s="4"/>
      <c r="MLP241" s="4"/>
      <c r="MLQ241" s="4"/>
      <c r="MLR241" s="4"/>
      <c r="MLS241" s="4"/>
      <c r="MLT241" s="4"/>
      <c r="MLU241" s="4"/>
      <c r="MLV241" s="4"/>
      <c r="MLW241" s="4"/>
      <c r="MLX241" s="4"/>
      <c r="MLY241" s="4"/>
      <c r="MLZ241" s="4"/>
      <c r="MMA241" s="4"/>
      <c r="MMB241" s="4"/>
      <c r="MMC241" s="4"/>
      <c r="MMD241" s="4"/>
      <c r="MME241" s="4"/>
      <c r="MMF241" s="4"/>
      <c r="MMG241" s="4"/>
      <c r="MMH241" s="4"/>
      <c r="MMI241" s="4"/>
      <c r="MMJ241" s="4"/>
      <c r="MMK241" s="4"/>
      <c r="MML241" s="4"/>
      <c r="MMM241" s="4"/>
      <c r="MMN241" s="4"/>
      <c r="MMO241" s="4"/>
      <c r="MMP241" s="4"/>
      <c r="MMQ241" s="4"/>
      <c r="MMR241" s="4"/>
      <c r="MMS241" s="4"/>
      <c r="MMT241" s="4"/>
      <c r="MMU241" s="4"/>
      <c r="MMV241" s="4"/>
      <c r="MMW241" s="4"/>
      <c r="MMX241" s="4"/>
      <c r="MMY241" s="4"/>
      <c r="MMZ241" s="4"/>
      <c r="MNA241" s="4"/>
      <c r="MNB241" s="4"/>
      <c r="MNC241" s="4"/>
      <c r="MND241" s="4"/>
      <c r="MNE241" s="4"/>
      <c r="MNF241" s="4"/>
      <c r="MNG241" s="4"/>
      <c r="MNH241" s="4"/>
      <c r="MNI241" s="4"/>
      <c r="MNJ241" s="4"/>
      <c r="MNK241" s="4"/>
      <c r="MNL241" s="4"/>
      <c r="MNM241" s="4"/>
      <c r="MNN241" s="4"/>
      <c r="MNO241" s="4"/>
      <c r="MNP241" s="4"/>
      <c r="MNQ241" s="4"/>
      <c r="MNR241" s="4"/>
      <c r="MNS241" s="4"/>
      <c r="MNT241" s="4"/>
      <c r="MNU241" s="4"/>
      <c r="MNV241" s="4"/>
      <c r="MNW241" s="4"/>
      <c r="MNX241" s="4"/>
      <c r="MNY241" s="4"/>
      <c r="MNZ241" s="4"/>
      <c r="MOA241" s="4"/>
      <c r="MOB241" s="4"/>
      <c r="MOC241" s="4"/>
      <c r="MOD241" s="4"/>
      <c r="MOE241" s="4"/>
      <c r="MOF241" s="4"/>
      <c r="MOG241" s="4"/>
      <c r="MOH241" s="4"/>
      <c r="MOI241" s="4"/>
      <c r="MOJ241" s="4"/>
      <c r="MOK241" s="4"/>
      <c r="MOL241" s="4"/>
      <c r="MOM241" s="4"/>
      <c r="MON241" s="4"/>
      <c r="MOO241" s="4"/>
      <c r="MOP241" s="4"/>
      <c r="MOQ241" s="4"/>
      <c r="MOR241" s="4"/>
      <c r="MOS241" s="4"/>
      <c r="MOT241" s="4"/>
      <c r="MOU241" s="4"/>
      <c r="MOV241" s="4"/>
      <c r="MOW241" s="4"/>
      <c r="MOX241" s="4"/>
      <c r="MOY241" s="4"/>
      <c r="MOZ241" s="4"/>
      <c r="MPA241" s="4"/>
      <c r="MPB241" s="4"/>
      <c r="MPC241" s="4"/>
      <c r="MPD241" s="4"/>
      <c r="MPE241" s="4"/>
      <c r="MPF241" s="4"/>
      <c r="MPG241" s="4"/>
      <c r="MPH241" s="4"/>
      <c r="MPI241" s="4"/>
      <c r="MPJ241" s="4"/>
      <c r="MPK241" s="4"/>
      <c r="MPL241" s="4"/>
      <c r="MPM241" s="4"/>
      <c r="MPN241" s="4"/>
      <c r="MPO241" s="4"/>
      <c r="MPP241" s="4"/>
      <c r="MPQ241" s="4"/>
      <c r="MPR241" s="4"/>
      <c r="MPS241" s="4"/>
      <c r="MPT241" s="4"/>
      <c r="MPU241" s="4"/>
      <c r="MPV241" s="4"/>
      <c r="MPW241" s="4"/>
      <c r="MPX241" s="4"/>
      <c r="MPY241" s="4"/>
      <c r="MPZ241" s="4"/>
      <c r="MQA241" s="4"/>
      <c r="MQB241" s="4"/>
      <c r="MQC241" s="4"/>
      <c r="MQD241" s="4"/>
      <c r="MQE241" s="4"/>
      <c r="MQF241" s="4"/>
      <c r="MQG241" s="4"/>
      <c r="MQH241" s="4"/>
      <c r="MQI241" s="4"/>
      <c r="MQJ241" s="4"/>
      <c r="MQK241" s="4"/>
      <c r="MQL241" s="4"/>
      <c r="MQM241" s="4"/>
      <c r="MQN241" s="4"/>
      <c r="MQO241" s="4"/>
      <c r="MQP241" s="4"/>
      <c r="MQQ241" s="4"/>
      <c r="MQR241" s="4"/>
      <c r="MQS241" s="4"/>
      <c r="MQT241" s="4"/>
      <c r="MQU241" s="4"/>
      <c r="MQV241" s="4"/>
      <c r="MQW241" s="4"/>
      <c r="MQX241" s="4"/>
      <c r="MQY241" s="4"/>
      <c r="MQZ241" s="4"/>
      <c r="MRA241" s="4"/>
      <c r="MRB241" s="4"/>
      <c r="MRC241" s="4"/>
      <c r="MRD241" s="4"/>
      <c r="MRE241" s="4"/>
      <c r="MRF241" s="4"/>
      <c r="MRG241" s="4"/>
      <c r="MRH241" s="4"/>
      <c r="MRI241" s="4"/>
      <c r="MRJ241" s="4"/>
      <c r="MRK241" s="4"/>
      <c r="MRL241" s="4"/>
      <c r="MRM241" s="4"/>
      <c r="MRN241" s="4"/>
      <c r="MRO241" s="4"/>
      <c r="MRP241" s="4"/>
      <c r="MRQ241" s="4"/>
      <c r="MRR241" s="4"/>
      <c r="MRS241" s="4"/>
      <c r="MRT241" s="4"/>
      <c r="MRU241" s="4"/>
      <c r="MRV241" s="4"/>
      <c r="MRW241" s="4"/>
      <c r="MRX241" s="4"/>
      <c r="MRY241" s="4"/>
      <c r="MRZ241" s="4"/>
      <c r="MSA241" s="4"/>
      <c r="MSB241" s="4"/>
      <c r="MSC241" s="4"/>
      <c r="MSD241" s="4"/>
      <c r="MSE241" s="4"/>
      <c r="MSF241" s="4"/>
      <c r="MSG241" s="4"/>
      <c r="MSH241" s="4"/>
      <c r="MSI241" s="4"/>
      <c r="MSJ241" s="4"/>
      <c r="MSK241" s="4"/>
      <c r="MSL241" s="4"/>
      <c r="MSM241" s="4"/>
      <c r="MSN241" s="4"/>
      <c r="MSO241" s="4"/>
      <c r="MSP241" s="4"/>
      <c r="MSQ241" s="4"/>
      <c r="MSR241" s="4"/>
      <c r="MSS241" s="4"/>
      <c r="MST241" s="4"/>
      <c r="MSU241" s="4"/>
      <c r="MSV241" s="4"/>
      <c r="MSW241" s="4"/>
      <c r="MSX241" s="4"/>
      <c r="MSY241" s="4"/>
      <c r="MSZ241" s="4"/>
      <c r="MTA241" s="4"/>
      <c r="MTB241" s="4"/>
      <c r="MTC241" s="4"/>
      <c r="MTD241" s="4"/>
      <c r="MTE241" s="4"/>
      <c r="MTF241" s="4"/>
      <c r="MTG241" s="4"/>
      <c r="MTH241" s="4"/>
      <c r="MTI241" s="4"/>
      <c r="MTJ241" s="4"/>
      <c r="MTK241" s="4"/>
      <c r="MTL241" s="4"/>
      <c r="MTM241" s="4"/>
      <c r="MTN241" s="4"/>
      <c r="MTO241" s="4"/>
      <c r="MTP241" s="4"/>
      <c r="MTQ241" s="4"/>
      <c r="MTR241" s="4"/>
      <c r="MTS241" s="4"/>
      <c r="MTT241" s="4"/>
      <c r="MTU241" s="4"/>
      <c r="MTV241" s="4"/>
      <c r="MTW241" s="4"/>
      <c r="MTX241" s="4"/>
      <c r="MTY241" s="4"/>
      <c r="MTZ241" s="4"/>
      <c r="MUA241" s="4"/>
      <c r="MUB241" s="4"/>
      <c r="MUC241" s="4"/>
      <c r="MUD241" s="4"/>
      <c r="MUE241" s="4"/>
      <c r="MUF241" s="4"/>
      <c r="MUG241" s="4"/>
      <c r="MUH241" s="4"/>
      <c r="MUI241" s="4"/>
      <c r="MUJ241" s="4"/>
      <c r="MUK241" s="4"/>
      <c r="MUL241" s="4"/>
      <c r="MUM241" s="4"/>
      <c r="MUN241" s="4"/>
      <c r="MUO241" s="4"/>
      <c r="MUP241" s="4"/>
      <c r="MUQ241" s="4"/>
      <c r="MUR241" s="4"/>
      <c r="MUS241" s="4"/>
      <c r="MUT241" s="4"/>
      <c r="MUU241" s="4"/>
      <c r="MUV241" s="4"/>
      <c r="MUW241" s="4"/>
      <c r="MUX241" s="4"/>
      <c r="MUY241" s="4"/>
      <c r="MUZ241" s="4"/>
      <c r="MVA241" s="4"/>
      <c r="MVB241" s="4"/>
      <c r="MVC241" s="4"/>
      <c r="MVD241" s="4"/>
      <c r="MVE241" s="4"/>
      <c r="MVF241" s="4"/>
      <c r="MVG241" s="4"/>
      <c r="MVH241" s="4"/>
      <c r="MVI241" s="4"/>
      <c r="MVJ241" s="4"/>
      <c r="MVK241" s="4"/>
      <c r="MVL241" s="4"/>
      <c r="MVM241" s="4"/>
      <c r="MVN241" s="4"/>
      <c r="MVO241" s="4"/>
      <c r="MVP241" s="4"/>
      <c r="MVQ241" s="4"/>
      <c r="MVR241" s="4"/>
      <c r="MVS241" s="4"/>
      <c r="MVT241" s="4"/>
      <c r="MVU241" s="4"/>
      <c r="MVV241" s="4"/>
      <c r="MVW241" s="4"/>
      <c r="MVX241" s="4"/>
      <c r="MVY241" s="4"/>
      <c r="MVZ241" s="4"/>
      <c r="MWA241" s="4"/>
      <c r="MWB241" s="4"/>
      <c r="MWC241" s="4"/>
      <c r="MWD241" s="4"/>
      <c r="MWE241" s="4"/>
      <c r="MWF241" s="4"/>
      <c r="MWG241" s="4"/>
      <c r="MWH241" s="4"/>
      <c r="MWI241" s="4"/>
      <c r="MWJ241" s="4"/>
      <c r="MWK241" s="4"/>
      <c r="MWL241" s="4"/>
      <c r="MWM241" s="4"/>
      <c r="MWN241" s="4"/>
      <c r="MWO241" s="4"/>
      <c r="MWP241" s="4"/>
      <c r="MWQ241" s="4"/>
      <c r="MWR241" s="4"/>
      <c r="MWS241" s="4"/>
      <c r="MWT241" s="4"/>
      <c r="MWU241" s="4"/>
      <c r="MWV241" s="4"/>
      <c r="MWW241" s="4"/>
      <c r="MWX241" s="4"/>
      <c r="MWY241" s="4"/>
      <c r="MWZ241" s="4"/>
      <c r="MXA241" s="4"/>
      <c r="MXB241" s="4"/>
      <c r="MXC241" s="4"/>
      <c r="MXD241" s="4"/>
      <c r="MXE241" s="4"/>
      <c r="MXF241" s="4"/>
      <c r="MXG241" s="4"/>
      <c r="MXH241" s="4"/>
      <c r="MXI241" s="4"/>
      <c r="MXJ241" s="4"/>
      <c r="MXK241" s="4"/>
      <c r="MXL241" s="4"/>
      <c r="MXM241" s="4"/>
      <c r="MXN241" s="4"/>
      <c r="MXO241" s="4"/>
      <c r="MXP241" s="4"/>
      <c r="MXQ241" s="4"/>
      <c r="MXR241" s="4"/>
      <c r="MXS241" s="4"/>
      <c r="MXT241" s="4"/>
      <c r="MXU241" s="4"/>
      <c r="MXV241" s="4"/>
      <c r="MXW241" s="4"/>
      <c r="MXX241" s="4"/>
      <c r="MXY241" s="4"/>
      <c r="MXZ241" s="4"/>
      <c r="MYA241" s="4"/>
      <c r="MYB241" s="4"/>
      <c r="MYC241" s="4"/>
      <c r="MYD241" s="4"/>
      <c r="MYE241" s="4"/>
      <c r="MYF241" s="4"/>
      <c r="MYG241" s="4"/>
      <c r="MYH241" s="4"/>
      <c r="MYI241" s="4"/>
      <c r="MYJ241" s="4"/>
      <c r="MYK241" s="4"/>
      <c r="MYL241" s="4"/>
      <c r="MYM241" s="4"/>
      <c r="MYN241" s="4"/>
      <c r="MYO241" s="4"/>
      <c r="MYP241" s="4"/>
      <c r="MYQ241" s="4"/>
      <c r="MYR241" s="4"/>
      <c r="MYS241" s="4"/>
      <c r="MYT241" s="4"/>
      <c r="MYU241" s="4"/>
      <c r="MYV241" s="4"/>
      <c r="MYW241" s="4"/>
      <c r="MYX241" s="4"/>
      <c r="MYY241" s="4"/>
      <c r="MYZ241" s="4"/>
      <c r="MZA241" s="4"/>
      <c r="MZB241" s="4"/>
      <c r="MZC241" s="4"/>
      <c r="MZD241" s="4"/>
      <c r="MZE241" s="4"/>
      <c r="MZF241" s="4"/>
      <c r="MZG241" s="4"/>
      <c r="MZH241" s="4"/>
      <c r="MZI241" s="4"/>
      <c r="MZJ241" s="4"/>
      <c r="MZK241" s="4"/>
      <c r="MZL241" s="4"/>
      <c r="MZM241" s="4"/>
      <c r="MZN241" s="4"/>
      <c r="MZO241" s="4"/>
      <c r="MZP241" s="4"/>
      <c r="MZQ241" s="4"/>
      <c r="MZR241" s="4"/>
      <c r="MZS241" s="4"/>
      <c r="MZT241" s="4"/>
      <c r="MZU241" s="4"/>
      <c r="MZV241" s="4"/>
      <c r="MZW241" s="4"/>
      <c r="MZX241" s="4"/>
      <c r="MZY241" s="4"/>
      <c r="MZZ241" s="4"/>
      <c r="NAA241" s="4"/>
      <c r="NAB241" s="4"/>
      <c r="NAC241" s="4"/>
      <c r="NAD241" s="4"/>
      <c r="NAE241" s="4"/>
      <c r="NAF241" s="4"/>
      <c r="NAG241" s="4"/>
      <c r="NAH241" s="4"/>
      <c r="NAI241" s="4"/>
      <c r="NAJ241" s="4"/>
      <c r="NAK241" s="4"/>
      <c r="NAL241" s="4"/>
      <c r="NAM241" s="4"/>
      <c r="NAN241" s="4"/>
      <c r="NAO241" s="4"/>
      <c r="NAP241" s="4"/>
      <c r="NAQ241" s="4"/>
      <c r="NAR241" s="4"/>
      <c r="NAS241" s="4"/>
      <c r="NAT241" s="4"/>
      <c r="NAU241" s="4"/>
      <c r="NAV241" s="4"/>
      <c r="NAW241" s="4"/>
      <c r="NAX241" s="4"/>
      <c r="NAY241" s="4"/>
      <c r="NAZ241" s="4"/>
      <c r="NBA241" s="4"/>
      <c r="NBB241" s="4"/>
      <c r="NBC241" s="4"/>
      <c r="NBD241" s="4"/>
      <c r="NBE241" s="4"/>
      <c r="NBF241" s="4"/>
      <c r="NBG241" s="4"/>
      <c r="NBH241" s="4"/>
      <c r="NBI241" s="4"/>
      <c r="NBJ241" s="4"/>
      <c r="NBK241" s="4"/>
      <c r="NBL241" s="4"/>
      <c r="NBM241" s="4"/>
      <c r="NBN241" s="4"/>
      <c r="NBO241" s="4"/>
      <c r="NBP241" s="4"/>
      <c r="NBQ241" s="4"/>
      <c r="NBR241" s="4"/>
      <c r="NBS241" s="4"/>
      <c r="NBT241" s="4"/>
      <c r="NBU241" s="4"/>
      <c r="NBV241" s="4"/>
      <c r="NBW241" s="4"/>
      <c r="NBX241" s="4"/>
      <c r="NBY241" s="4"/>
      <c r="NBZ241" s="4"/>
      <c r="NCA241" s="4"/>
      <c r="NCB241" s="4"/>
      <c r="NCC241" s="4"/>
      <c r="NCD241" s="4"/>
      <c r="NCE241" s="4"/>
      <c r="NCF241" s="4"/>
      <c r="NCG241" s="4"/>
      <c r="NCH241" s="4"/>
      <c r="NCI241" s="4"/>
      <c r="NCJ241" s="4"/>
      <c r="NCK241" s="4"/>
      <c r="NCL241" s="4"/>
      <c r="NCM241" s="4"/>
      <c r="NCN241" s="4"/>
      <c r="NCO241" s="4"/>
      <c r="NCP241" s="4"/>
      <c r="NCQ241" s="4"/>
      <c r="NCR241" s="4"/>
      <c r="NCS241" s="4"/>
      <c r="NCT241" s="4"/>
      <c r="NCU241" s="4"/>
      <c r="NCV241" s="4"/>
      <c r="NCW241" s="4"/>
      <c r="NCX241" s="4"/>
      <c r="NCY241" s="4"/>
      <c r="NCZ241" s="4"/>
      <c r="NDA241" s="4"/>
      <c r="NDB241" s="4"/>
      <c r="NDC241" s="4"/>
      <c r="NDD241" s="4"/>
      <c r="NDE241" s="4"/>
      <c r="NDF241" s="4"/>
      <c r="NDG241" s="4"/>
      <c r="NDH241" s="4"/>
      <c r="NDI241" s="4"/>
      <c r="NDJ241" s="4"/>
      <c r="NDK241" s="4"/>
      <c r="NDL241" s="4"/>
      <c r="NDM241" s="4"/>
      <c r="NDN241" s="4"/>
      <c r="NDO241" s="4"/>
      <c r="NDP241" s="4"/>
      <c r="NDQ241" s="4"/>
      <c r="NDR241" s="4"/>
      <c r="NDS241" s="4"/>
      <c r="NDT241" s="4"/>
      <c r="NDU241" s="4"/>
      <c r="NDV241" s="4"/>
      <c r="NDW241" s="4"/>
      <c r="NDX241" s="4"/>
      <c r="NDY241" s="4"/>
      <c r="NDZ241" s="4"/>
      <c r="NEA241" s="4"/>
      <c r="NEB241" s="4"/>
      <c r="NEC241" s="4"/>
      <c r="NED241" s="4"/>
      <c r="NEE241" s="4"/>
      <c r="NEF241" s="4"/>
      <c r="NEG241" s="4"/>
      <c r="NEH241" s="4"/>
      <c r="NEI241" s="4"/>
      <c r="NEJ241" s="4"/>
      <c r="NEK241" s="4"/>
      <c r="NEL241" s="4"/>
      <c r="NEM241" s="4"/>
      <c r="NEN241" s="4"/>
      <c r="NEO241" s="4"/>
      <c r="NEP241" s="4"/>
      <c r="NEQ241" s="4"/>
      <c r="NER241" s="4"/>
      <c r="NES241" s="4"/>
      <c r="NET241" s="4"/>
      <c r="NEU241" s="4"/>
      <c r="NEV241" s="4"/>
      <c r="NEW241" s="4"/>
      <c r="NEX241" s="4"/>
      <c r="NEY241" s="4"/>
      <c r="NEZ241" s="4"/>
      <c r="NFA241" s="4"/>
      <c r="NFB241" s="4"/>
      <c r="NFC241" s="4"/>
      <c r="NFD241" s="4"/>
      <c r="NFE241" s="4"/>
      <c r="NFF241" s="4"/>
      <c r="NFG241" s="4"/>
      <c r="NFH241" s="4"/>
      <c r="NFI241" s="4"/>
      <c r="NFJ241" s="4"/>
      <c r="NFK241" s="4"/>
      <c r="NFL241" s="4"/>
      <c r="NFM241" s="4"/>
      <c r="NFN241" s="4"/>
      <c r="NFO241" s="4"/>
      <c r="NFP241" s="4"/>
      <c r="NFQ241" s="4"/>
      <c r="NFR241" s="4"/>
      <c r="NFS241" s="4"/>
      <c r="NFT241" s="4"/>
      <c r="NFU241" s="4"/>
      <c r="NFV241" s="4"/>
      <c r="NFW241" s="4"/>
      <c r="NFX241" s="4"/>
      <c r="NFY241" s="4"/>
      <c r="NFZ241" s="4"/>
      <c r="NGA241" s="4"/>
      <c r="NGB241" s="4"/>
      <c r="NGC241" s="4"/>
      <c r="NGD241" s="4"/>
      <c r="NGE241" s="4"/>
      <c r="NGF241" s="4"/>
      <c r="NGG241" s="4"/>
      <c r="NGH241" s="4"/>
      <c r="NGI241" s="4"/>
      <c r="NGJ241" s="4"/>
      <c r="NGK241" s="4"/>
      <c r="NGL241" s="4"/>
      <c r="NGM241" s="4"/>
      <c r="NGN241" s="4"/>
      <c r="NGO241" s="4"/>
      <c r="NGP241" s="4"/>
      <c r="NGQ241" s="4"/>
      <c r="NGR241" s="4"/>
      <c r="NGS241" s="4"/>
      <c r="NGT241" s="4"/>
      <c r="NGU241" s="4"/>
      <c r="NGV241" s="4"/>
      <c r="NGW241" s="4"/>
      <c r="NGX241" s="4"/>
      <c r="NGY241" s="4"/>
      <c r="NGZ241" s="4"/>
      <c r="NHA241" s="4"/>
      <c r="NHB241" s="4"/>
      <c r="NHC241" s="4"/>
      <c r="NHD241" s="4"/>
      <c r="NHE241" s="4"/>
      <c r="NHF241" s="4"/>
      <c r="NHG241" s="4"/>
      <c r="NHH241" s="4"/>
      <c r="NHI241" s="4"/>
      <c r="NHJ241" s="4"/>
      <c r="NHK241" s="4"/>
      <c r="NHL241" s="4"/>
      <c r="NHM241" s="4"/>
      <c r="NHN241" s="4"/>
      <c r="NHO241" s="4"/>
      <c r="NHP241" s="4"/>
      <c r="NHQ241" s="4"/>
      <c r="NHR241" s="4"/>
      <c r="NHS241" s="4"/>
      <c r="NHT241" s="4"/>
      <c r="NHU241" s="4"/>
      <c r="NHV241" s="4"/>
      <c r="NHW241" s="4"/>
      <c r="NHX241" s="4"/>
      <c r="NHY241" s="4"/>
      <c r="NHZ241" s="4"/>
      <c r="NIA241" s="4"/>
      <c r="NIB241" s="4"/>
      <c r="NIC241" s="4"/>
      <c r="NID241" s="4"/>
      <c r="NIE241" s="4"/>
      <c r="NIF241" s="4"/>
      <c r="NIG241" s="4"/>
      <c r="NIH241" s="4"/>
      <c r="NII241" s="4"/>
      <c r="NIJ241" s="4"/>
      <c r="NIK241" s="4"/>
      <c r="NIL241" s="4"/>
      <c r="NIM241" s="4"/>
      <c r="NIN241" s="4"/>
      <c r="NIO241" s="4"/>
      <c r="NIP241" s="4"/>
      <c r="NIQ241" s="4"/>
      <c r="NIR241" s="4"/>
      <c r="NIS241" s="4"/>
      <c r="NIT241" s="4"/>
      <c r="NIU241" s="4"/>
      <c r="NIV241" s="4"/>
      <c r="NIW241" s="4"/>
      <c r="NIX241" s="4"/>
      <c r="NIY241" s="4"/>
      <c r="NIZ241" s="4"/>
      <c r="NJA241" s="4"/>
      <c r="NJB241" s="4"/>
      <c r="NJC241" s="4"/>
      <c r="NJD241" s="4"/>
      <c r="NJE241" s="4"/>
      <c r="NJF241" s="4"/>
      <c r="NJG241" s="4"/>
      <c r="NJH241" s="4"/>
      <c r="NJI241" s="4"/>
      <c r="NJJ241" s="4"/>
      <c r="NJK241" s="4"/>
      <c r="NJL241" s="4"/>
      <c r="NJM241" s="4"/>
      <c r="NJN241" s="4"/>
      <c r="NJO241" s="4"/>
      <c r="NJP241" s="4"/>
      <c r="NJQ241" s="4"/>
      <c r="NJR241" s="4"/>
      <c r="NJS241" s="4"/>
      <c r="NJT241" s="4"/>
      <c r="NJU241" s="4"/>
      <c r="NJV241" s="4"/>
      <c r="NJW241" s="4"/>
      <c r="NJX241" s="4"/>
      <c r="NJY241" s="4"/>
      <c r="NJZ241" s="4"/>
      <c r="NKA241" s="4"/>
      <c r="NKB241" s="4"/>
      <c r="NKC241" s="4"/>
      <c r="NKD241" s="4"/>
      <c r="NKE241" s="4"/>
      <c r="NKF241" s="4"/>
      <c r="NKG241" s="4"/>
      <c r="NKH241" s="4"/>
      <c r="NKI241" s="4"/>
      <c r="NKJ241" s="4"/>
      <c r="NKK241" s="4"/>
      <c r="NKL241" s="4"/>
      <c r="NKM241" s="4"/>
      <c r="NKN241" s="4"/>
      <c r="NKO241" s="4"/>
      <c r="NKP241" s="4"/>
      <c r="NKQ241" s="4"/>
      <c r="NKR241" s="4"/>
      <c r="NKS241" s="4"/>
      <c r="NKT241" s="4"/>
      <c r="NKU241" s="4"/>
      <c r="NKV241" s="4"/>
      <c r="NKW241" s="4"/>
      <c r="NKX241" s="4"/>
      <c r="NKY241" s="4"/>
      <c r="NKZ241" s="4"/>
      <c r="NLA241" s="4"/>
      <c r="NLB241" s="4"/>
      <c r="NLC241" s="4"/>
      <c r="NLD241" s="4"/>
      <c r="NLE241" s="4"/>
      <c r="NLF241" s="4"/>
      <c r="NLG241" s="4"/>
      <c r="NLH241" s="4"/>
      <c r="NLI241" s="4"/>
      <c r="NLJ241" s="4"/>
      <c r="NLK241" s="4"/>
      <c r="NLL241" s="4"/>
      <c r="NLM241" s="4"/>
      <c r="NLN241" s="4"/>
      <c r="NLO241" s="4"/>
      <c r="NLP241" s="4"/>
      <c r="NLQ241" s="4"/>
      <c r="NLR241" s="4"/>
      <c r="NLS241" s="4"/>
      <c r="NLT241" s="4"/>
      <c r="NLU241" s="4"/>
      <c r="NLV241" s="4"/>
      <c r="NLW241" s="4"/>
      <c r="NLX241" s="4"/>
      <c r="NLY241" s="4"/>
      <c r="NLZ241" s="4"/>
      <c r="NMA241" s="4"/>
      <c r="NMB241" s="4"/>
      <c r="NMC241" s="4"/>
      <c r="NMD241" s="4"/>
      <c r="NME241" s="4"/>
      <c r="NMF241" s="4"/>
      <c r="NMG241" s="4"/>
      <c r="NMH241" s="4"/>
      <c r="NMI241" s="4"/>
      <c r="NMJ241" s="4"/>
      <c r="NMK241" s="4"/>
      <c r="NML241" s="4"/>
      <c r="NMM241" s="4"/>
      <c r="NMN241" s="4"/>
      <c r="NMO241" s="4"/>
      <c r="NMP241" s="4"/>
      <c r="NMQ241" s="4"/>
      <c r="NMR241" s="4"/>
      <c r="NMS241" s="4"/>
      <c r="NMT241" s="4"/>
      <c r="NMU241" s="4"/>
      <c r="NMV241" s="4"/>
      <c r="NMW241" s="4"/>
      <c r="NMX241" s="4"/>
      <c r="NMY241" s="4"/>
      <c r="NMZ241" s="4"/>
      <c r="NNA241" s="4"/>
      <c r="NNB241" s="4"/>
      <c r="NNC241" s="4"/>
      <c r="NND241" s="4"/>
      <c r="NNE241" s="4"/>
      <c r="NNF241" s="4"/>
      <c r="NNG241" s="4"/>
      <c r="NNH241" s="4"/>
      <c r="NNI241" s="4"/>
      <c r="NNJ241" s="4"/>
      <c r="NNK241" s="4"/>
      <c r="NNL241" s="4"/>
      <c r="NNM241" s="4"/>
      <c r="NNN241" s="4"/>
      <c r="NNO241" s="4"/>
      <c r="NNP241" s="4"/>
      <c r="NNQ241" s="4"/>
      <c r="NNR241" s="4"/>
      <c r="NNS241" s="4"/>
      <c r="NNT241" s="4"/>
      <c r="NNU241" s="4"/>
      <c r="NNV241" s="4"/>
      <c r="NNW241" s="4"/>
      <c r="NNX241" s="4"/>
      <c r="NNY241" s="4"/>
      <c r="NNZ241" s="4"/>
      <c r="NOA241" s="4"/>
      <c r="NOB241" s="4"/>
      <c r="NOC241" s="4"/>
      <c r="NOD241" s="4"/>
      <c r="NOE241" s="4"/>
      <c r="NOF241" s="4"/>
      <c r="NOG241" s="4"/>
      <c r="NOH241" s="4"/>
      <c r="NOI241" s="4"/>
      <c r="NOJ241" s="4"/>
      <c r="NOK241" s="4"/>
      <c r="NOL241" s="4"/>
      <c r="NOM241" s="4"/>
      <c r="NON241" s="4"/>
      <c r="NOO241" s="4"/>
      <c r="NOP241" s="4"/>
      <c r="NOQ241" s="4"/>
      <c r="NOR241" s="4"/>
      <c r="NOS241" s="4"/>
      <c r="NOT241" s="4"/>
      <c r="NOU241" s="4"/>
      <c r="NOV241" s="4"/>
      <c r="NOW241" s="4"/>
      <c r="NOX241" s="4"/>
      <c r="NOY241" s="4"/>
      <c r="NOZ241" s="4"/>
      <c r="NPA241" s="4"/>
      <c r="NPB241" s="4"/>
      <c r="NPC241" s="4"/>
      <c r="NPD241" s="4"/>
      <c r="NPE241" s="4"/>
      <c r="NPF241" s="4"/>
      <c r="NPG241" s="4"/>
      <c r="NPH241" s="4"/>
      <c r="NPI241" s="4"/>
      <c r="NPJ241" s="4"/>
      <c r="NPK241" s="4"/>
      <c r="NPL241" s="4"/>
      <c r="NPM241" s="4"/>
      <c r="NPN241" s="4"/>
      <c r="NPO241" s="4"/>
      <c r="NPP241" s="4"/>
      <c r="NPQ241" s="4"/>
      <c r="NPR241" s="4"/>
      <c r="NPS241" s="4"/>
      <c r="NPT241" s="4"/>
      <c r="NPU241" s="4"/>
      <c r="NPV241" s="4"/>
      <c r="NPW241" s="4"/>
      <c r="NPX241" s="4"/>
      <c r="NPY241" s="4"/>
      <c r="NPZ241" s="4"/>
      <c r="NQA241" s="4"/>
      <c r="NQB241" s="4"/>
      <c r="NQC241" s="4"/>
      <c r="NQD241" s="4"/>
      <c r="NQE241" s="4"/>
      <c r="NQF241" s="4"/>
      <c r="NQG241" s="4"/>
      <c r="NQH241" s="4"/>
      <c r="NQI241" s="4"/>
      <c r="NQJ241" s="4"/>
      <c r="NQK241" s="4"/>
      <c r="NQL241" s="4"/>
      <c r="NQM241" s="4"/>
      <c r="NQN241" s="4"/>
      <c r="NQO241" s="4"/>
      <c r="NQP241" s="4"/>
      <c r="NQQ241" s="4"/>
      <c r="NQR241" s="4"/>
      <c r="NQS241" s="4"/>
      <c r="NQT241" s="4"/>
      <c r="NQU241" s="4"/>
      <c r="NQV241" s="4"/>
      <c r="NQW241" s="4"/>
      <c r="NQX241" s="4"/>
      <c r="NQY241" s="4"/>
      <c r="NQZ241" s="4"/>
      <c r="NRA241" s="4"/>
      <c r="NRB241" s="4"/>
      <c r="NRC241" s="4"/>
      <c r="NRD241" s="4"/>
      <c r="NRE241" s="4"/>
      <c r="NRF241" s="4"/>
      <c r="NRG241" s="4"/>
      <c r="NRH241" s="4"/>
      <c r="NRI241" s="4"/>
      <c r="NRJ241" s="4"/>
      <c r="NRK241" s="4"/>
      <c r="NRL241" s="4"/>
      <c r="NRM241" s="4"/>
      <c r="NRN241" s="4"/>
      <c r="NRO241" s="4"/>
      <c r="NRP241" s="4"/>
      <c r="NRQ241" s="4"/>
      <c r="NRR241" s="4"/>
      <c r="NRS241" s="4"/>
      <c r="NRT241" s="4"/>
      <c r="NRU241" s="4"/>
      <c r="NRV241" s="4"/>
      <c r="NRW241" s="4"/>
      <c r="NRX241" s="4"/>
      <c r="NRY241" s="4"/>
      <c r="NRZ241" s="4"/>
      <c r="NSA241" s="4"/>
      <c r="NSB241" s="4"/>
      <c r="NSC241" s="4"/>
      <c r="NSD241" s="4"/>
      <c r="NSE241" s="4"/>
      <c r="NSF241" s="4"/>
      <c r="NSG241" s="4"/>
      <c r="NSH241" s="4"/>
      <c r="NSI241" s="4"/>
      <c r="NSJ241" s="4"/>
      <c r="NSK241" s="4"/>
      <c r="NSL241" s="4"/>
      <c r="NSM241" s="4"/>
      <c r="NSN241" s="4"/>
      <c r="NSO241" s="4"/>
      <c r="NSP241" s="4"/>
      <c r="NSQ241" s="4"/>
      <c r="NSR241" s="4"/>
      <c r="NSS241" s="4"/>
      <c r="NST241" s="4"/>
      <c r="NSU241" s="4"/>
      <c r="NSV241" s="4"/>
      <c r="NSW241" s="4"/>
      <c r="NSX241" s="4"/>
      <c r="NSY241" s="4"/>
      <c r="NSZ241" s="4"/>
      <c r="NTA241" s="4"/>
      <c r="NTB241" s="4"/>
      <c r="NTC241" s="4"/>
      <c r="NTD241" s="4"/>
      <c r="NTE241" s="4"/>
      <c r="NTF241" s="4"/>
      <c r="NTG241" s="4"/>
      <c r="NTH241" s="4"/>
      <c r="NTI241" s="4"/>
      <c r="NTJ241" s="4"/>
      <c r="NTK241" s="4"/>
      <c r="NTL241" s="4"/>
      <c r="NTM241" s="4"/>
      <c r="NTN241" s="4"/>
      <c r="NTO241" s="4"/>
      <c r="NTP241" s="4"/>
      <c r="NTQ241" s="4"/>
      <c r="NTR241" s="4"/>
      <c r="NTS241" s="4"/>
      <c r="NTT241" s="4"/>
      <c r="NTU241" s="4"/>
      <c r="NTV241" s="4"/>
      <c r="NTW241" s="4"/>
      <c r="NTX241" s="4"/>
      <c r="NTY241" s="4"/>
      <c r="NTZ241" s="4"/>
      <c r="NUA241" s="4"/>
      <c r="NUB241" s="4"/>
      <c r="NUC241" s="4"/>
      <c r="NUD241" s="4"/>
      <c r="NUE241" s="4"/>
      <c r="NUF241" s="4"/>
      <c r="NUG241" s="4"/>
      <c r="NUH241" s="4"/>
      <c r="NUI241" s="4"/>
      <c r="NUJ241" s="4"/>
      <c r="NUK241" s="4"/>
      <c r="NUL241" s="4"/>
      <c r="NUM241" s="4"/>
      <c r="NUN241" s="4"/>
      <c r="NUO241" s="4"/>
      <c r="NUP241" s="4"/>
      <c r="NUQ241" s="4"/>
      <c r="NUR241" s="4"/>
      <c r="NUS241" s="4"/>
      <c r="NUT241" s="4"/>
      <c r="NUU241" s="4"/>
      <c r="NUV241" s="4"/>
      <c r="NUW241" s="4"/>
      <c r="NUX241" s="4"/>
      <c r="NUY241" s="4"/>
      <c r="NUZ241" s="4"/>
      <c r="NVA241" s="4"/>
      <c r="NVB241" s="4"/>
      <c r="NVC241" s="4"/>
      <c r="NVD241" s="4"/>
      <c r="NVE241" s="4"/>
      <c r="NVF241" s="4"/>
      <c r="NVG241" s="4"/>
      <c r="NVH241" s="4"/>
      <c r="NVI241" s="4"/>
      <c r="NVJ241" s="4"/>
      <c r="NVK241" s="4"/>
      <c r="NVL241" s="4"/>
      <c r="NVM241" s="4"/>
      <c r="NVN241" s="4"/>
      <c r="NVO241" s="4"/>
      <c r="NVP241" s="4"/>
      <c r="NVQ241" s="4"/>
      <c r="NVR241" s="4"/>
      <c r="NVS241" s="4"/>
      <c r="NVT241" s="4"/>
      <c r="NVU241" s="4"/>
      <c r="NVV241" s="4"/>
      <c r="NVW241" s="4"/>
      <c r="NVX241" s="4"/>
      <c r="NVY241" s="4"/>
      <c r="NVZ241" s="4"/>
      <c r="NWA241" s="4"/>
      <c r="NWB241" s="4"/>
      <c r="NWC241" s="4"/>
      <c r="NWD241" s="4"/>
      <c r="NWE241" s="4"/>
      <c r="NWF241" s="4"/>
      <c r="NWG241" s="4"/>
      <c r="NWH241" s="4"/>
      <c r="NWI241" s="4"/>
      <c r="NWJ241" s="4"/>
      <c r="NWK241" s="4"/>
      <c r="NWL241" s="4"/>
      <c r="NWM241" s="4"/>
      <c r="NWN241" s="4"/>
      <c r="NWO241" s="4"/>
      <c r="NWP241" s="4"/>
      <c r="NWQ241" s="4"/>
      <c r="NWR241" s="4"/>
      <c r="NWS241" s="4"/>
      <c r="NWT241" s="4"/>
      <c r="NWU241" s="4"/>
      <c r="NWV241" s="4"/>
      <c r="NWW241" s="4"/>
      <c r="NWX241" s="4"/>
      <c r="NWY241" s="4"/>
      <c r="NWZ241" s="4"/>
      <c r="NXA241" s="4"/>
      <c r="NXB241" s="4"/>
      <c r="NXC241" s="4"/>
      <c r="NXD241" s="4"/>
      <c r="NXE241" s="4"/>
      <c r="NXF241" s="4"/>
      <c r="NXG241" s="4"/>
      <c r="NXH241" s="4"/>
      <c r="NXI241" s="4"/>
      <c r="NXJ241" s="4"/>
      <c r="NXK241" s="4"/>
      <c r="NXL241" s="4"/>
      <c r="NXM241" s="4"/>
      <c r="NXN241" s="4"/>
      <c r="NXO241" s="4"/>
      <c r="NXP241" s="4"/>
      <c r="NXQ241" s="4"/>
      <c r="NXR241" s="4"/>
      <c r="NXS241" s="4"/>
      <c r="NXT241" s="4"/>
      <c r="NXU241" s="4"/>
      <c r="NXV241" s="4"/>
      <c r="NXW241" s="4"/>
      <c r="NXX241" s="4"/>
      <c r="NXY241" s="4"/>
      <c r="NXZ241" s="4"/>
      <c r="NYA241" s="4"/>
      <c r="NYB241" s="4"/>
      <c r="NYC241" s="4"/>
      <c r="NYD241" s="4"/>
      <c r="NYE241" s="4"/>
      <c r="NYF241" s="4"/>
      <c r="NYG241" s="4"/>
      <c r="NYH241" s="4"/>
      <c r="NYI241" s="4"/>
      <c r="NYJ241" s="4"/>
      <c r="NYK241" s="4"/>
      <c r="NYL241" s="4"/>
      <c r="NYM241" s="4"/>
      <c r="NYN241" s="4"/>
      <c r="NYO241" s="4"/>
      <c r="NYP241" s="4"/>
      <c r="NYQ241" s="4"/>
      <c r="NYR241" s="4"/>
      <c r="NYS241" s="4"/>
      <c r="NYT241" s="4"/>
      <c r="NYU241" s="4"/>
      <c r="NYV241" s="4"/>
      <c r="NYW241" s="4"/>
      <c r="NYX241" s="4"/>
      <c r="NYY241" s="4"/>
      <c r="NYZ241" s="4"/>
      <c r="NZA241" s="4"/>
      <c r="NZB241" s="4"/>
      <c r="NZC241" s="4"/>
      <c r="NZD241" s="4"/>
      <c r="NZE241" s="4"/>
      <c r="NZF241" s="4"/>
      <c r="NZG241" s="4"/>
      <c r="NZH241" s="4"/>
      <c r="NZI241" s="4"/>
      <c r="NZJ241" s="4"/>
      <c r="NZK241" s="4"/>
      <c r="NZL241" s="4"/>
      <c r="NZM241" s="4"/>
      <c r="NZN241" s="4"/>
      <c r="NZO241" s="4"/>
      <c r="NZP241" s="4"/>
      <c r="NZQ241" s="4"/>
      <c r="NZR241" s="4"/>
      <c r="NZS241" s="4"/>
      <c r="NZT241" s="4"/>
      <c r="NZU241" s="4"/>
      <c r="NZV241" s="4"/>
      <c r="NZW241" s="4"/>
      <c r="NZX241" s="4"/>
      <c r="NZY241" s="4"/>
      <c r="NZZ241" s="4"/>
      <c r="OAA241" s="4"/>
      <c r="OAB241" s="4"/>
      <c r="OAC241" s="4"/>
      <c r="OAD241" s="4"/>
      <c r="OAE241" s="4"/>
      <c r="OAF241" s="4"/>
      <c r="OAG241" s="4"/>
      <c r="OAH241" s="4"/>
      <c r="OAI241" s="4"/>
      <c r="OAJ241" s="4"/>
      <c r="OAK241" s="4"/>
      <c r="OAL241" s="4"/>
      <c r="OAM241" s="4"/>
      <c r="OAN241" s="4"/>
      <c r="OAO241" s="4"/>
      <c r="OAP241" s="4"/>
      <c r="OAQ241" s="4"/>
      <c r="OAR241" s="4"/>
      <c r="OAS241" s="4"/>
      <c r="OAT241" s="4"/>
      <c r="OAU241" s="4"/>
      <c r="OAV241" s="4"/>
      <c r="OAW241" s="4"/>
      <c r="OAX241" s="4"/>
      <c r="OAY241" s="4"/>
      <c r="OAZ241" s="4"/>
      <c r="OBA241" s="4"/>
      <c r="OBB241" s="4"/>
      <c r="OBC241" s="4"/>
      <c r="OBD241" s="4"/>
      <c r="OBE241" s="4"/>
      <c r="OBF241" s="4"/>
      <c r="OBG241" s="4"/>
      <c r="OBH241" s="4"/>
      <c r="OBI241" s="4"/>
      <c r="OBJ241" s="4"/>
      <c r="OBK241" s="4"/>
      <c r="OBL241" s="4"/>
      <c r="OBM241" s="4"/>
      <c r="OBN241" s="4"/>
      <c r="OBO241" s="4"/>
      <c r="OBP241" s="4"/>
      <c r="OBQ241" s="4"/>
      <c r="OBR241" s="4"/>
      <c r="OBS241" s="4"/>
      <c r="OBT241" s="4"/>
      <c r="OBU241" s="4"/>
      <c r="OBV241" s="4"/>
      <c r="OBW241" s="4"/>
      <c r="OBX241" s="4"/>
      <c r="OBY241" s="4"/>
      <c r="OBZ241" s="4"/>
      <c r="OCA241" s="4"/>
      <c r="OCB241" s="4"/>
      <c r="OCC241" s="4"/>
      <c r="OCD241" s="4"/>
      <c r="OCE241" s="4"/>
      <c r="OCF241" s="4"/>
      <c r="OCG241" s="4"/>
      <c r="OCH241" s="4"/>
      <c r="OCI241" s="4"/>
      <c r="OCJ241" s="4"/>
      <c r="OCK241" s="4"/>
      <c r="OCL241" s="4"/>
      <c r="OCM241" s="4"/>
      <c r="OCN241" s="4"/>
      <c r="OCO241" s="4"/>
      <c r="OCP241" s="4"/>
      <c r="OCQ241" s="4"/>
      <c r="OCR241" s="4"/>
      <c r="OCS241" s="4"/>
      <c r="OCT241" s="4"/>
      <c r="OCU241" s="4"/>
      <c r="OCV241" s="4"/>
      <c r="OCW241" s="4"/>
      <c r="OCX241" s="4"/>
      <c r="OCY241" s="4"/>
      <c r="OCZ241" s="4"/>
      <c r="ODA241" s="4"/>
      <c r="ODB241" s="4"/>
      <c r="ODC241" s="4"/>
      <c r="ODD241" s="4"/>
      <c r="ODE241" s="4"/>
      <c r="ODF241" s="4"/>
      <c r="ODG241" s="4"/>
      <c r="ODH241" s="4"/>
      <c r="ODI241" s="4"/>
      <c r="ODJ241" s="4"/>
      <c r="ODK241" s="4"/>
      <c r="ODL241" s="4"/>
      <c r="ODM241" s="4"/>
      <c r="ODN241" s="4"/>
      <c r="ODO241" s="4"/>
      <c r="ODP241" s="4"/>
      <c r="ODQ241" s="4"/>
      <c r="ODR241" s="4"/>
      <c r="ODS241" s="4"/>
      <c r="ODT241" s="4"/>
      <c r="ODU241" s="4"/>
      <c r="ODV241" s="4"/>
      <c r="ODW241" s="4"/>
      <c r="ODX241" s="4"/>
      <c r="ODY241" s="4"/>
      <c r="ODZ241" s="4"/>
      <c r="OEA241" s="4"/>
      <c r="OEB241" s="4"/>
      <c r="OEC241" s="4"/>
      <c r="OED241" s="4"/>
      <c r="OEE241" s="4"/>
      <c r="OEF241" s="4"/>
      <c r="OEG241" s="4"/>
      <c r="OEH241" s="4"/>
      <c r="OEI241" s="4"/>
      <c r="OEJ241" s="4"/>
      <c r="OEK241" s="4"/>
      <c r="OEL241" s="4"/>
      <c r="OEM241" s="4"/>
      <c r="OEN241" s="4"/>
      <c r="OEO241" s="4"/>
      <c r="OEP241" s="4"/>
      <c r="OEQ241" s="4"/>
      <c r="OER241" s="4"/>
      <c r="OES241" s="4"/>
      <c r="OET241" s="4"/>
      <c r="OEU241" s="4"/>
      <c r="OEV241" s="4"/>
      <c r="OEW241" s="4"/>
      <c r="OEX241" s="4"/>
      <c r="OEY241" s="4"/>
      <c r="OEZ241" s="4"/>
      <c r="OFA241" s="4"/>
      <c r="OFB241" s="4"/>
      <c r="OFC241" s="4"/>
      <c r="OFD241" s="4"/>
      <c r="OFE241" s="4"/>
      <c r="OFF241" s="4"/>
      <c r="OFG241" s="4"/>
      <c r="OFH241" s="4"/>
      <c r="OFI241" s="4"/>
      <c r="OFJ241" s="4"/>
      <c r="OFK241" s="4"/>
      <c r="OFL241" s="4"/>
      <c r="OFM241" s="4"/>
      <c r="OFN241" s="4"/>
      <c r="OFO241" s="4"/>
      <c r="OFP241" s="4"/>
      <c r="OFQ241" s="4"/>
      <c r="OFR241" s="4"/>
      <c r="OFS241" s="4"/>
      <c r="OFT241" s="4"/>
      <c r="OFU241" s="4"/>
      <c r="OFV241" s="4"/>
      <c r="OFW241" s="4"/>
      <c r="OFX241" s="4"/>
      <c r="OFY241" s="4"/>
      <c r="OFZ241" s="4"/>
      <c r="OGA241" s="4"/>
      <c r="OGB241" s="4"/>
      <c r="OGC241" s="4"/>
      <c r="OGD241" s="4"/>
      <c r="OGE241" s="4"/>
      <c r="OGF241" s="4"/>
      <c r="OGG241" s="4"/>
      <c r="OGH241" s="4"/>
      <c r="OGI241" s="4"/>
      <c r="OGJ241" s="4"/>
      <c r="OGK241" s="4"/>
      <c r="OGL241" s="4"/>
      <c r="OGM241" s="4"/>
      <c r="OGN241" s="4"/>
      <c r="OGO241" s="4"/>
      <c r="OGP241" s="4"/>
      <c r="OGQ241" s="4"/>
      <c r="OGR241" s="4"/>
      <c r="OGS241" s="4"/>
      <c r="OGT241" s="4"/>
      <c r="OGU241" s="4"/>
      <c r="OGV241" s="4"/>
      <c r="OGW241" s="4"/>
      <c r="OGX241" s="4"/>
      <c r="OGY241" s="4"/>
      <c r="OGZ241" s="4"/>
      <c r="OHA241" s="4"/>
      <c r="OHB241" s="4"/>
      <c r="OHC241" s="4"/>
      <c r="OHD241" s="4"/>
      <c r="OHE241" s="4"/>
      <c r="OHF241" s="4"/>
      <c r="OHG241" s="4"/>
      <c r="OHH241" s="4"/>
      <c r="OHI241" s="4"/>
      <c r="OHJ241" s="4"/>
      <c r="OHK241" s="4"/>
      <c r="OHL241" s="4"/>
      <c r="OHM241" s="4"/>
      <c r="OHN241" s="4"/>
      <c r="OHO241" s="4"/>
      <c r="OHP241" s="4"/>
      <c r="OHQ241" s="4"/>
      <c r="OHR241" s="4"/>
      <c r="OHS241" s="4"/>
      <c r="OHT241" s="4"/>
      <c r="OHU241" s="4"/>
      <c r="OHV241" s="4"/>
      <c r="OHW241" s="4"/>
      <c r="OHX241" s="4"/>
      <c r="OHY241" s="4"/>
      <c r="OHZ241" s="4"/>
      <c r="OIA241" s="4"/>
      <c r="OIB241" s="4"/>
      <c r="OIC241" s="4"/>
      <c r="OID241" s="4"/>
      <c r="OIE241" s="4"/>
      <c r="OIF241" s="4"/>
      <c r="OIG241" s="4"/>
      <c r="OIH241" s="4"/>
      <c r="OII241" s="4"/>
      <c r="OIJ241" s="4"/>
      <c r="OIK241" s="4"/>
      <c r="OIL241" s="4"/>
      <c r="OIM241" s="4"/>
      <c r="OIN241" s="4"/>
      <c r="OIO241" s="4"/>
      <c r="OIP241" s="4"/>
      <c r="OIQ241" s="4"/>
      <c r="OIR241" s="4"/>
      <c r="OIS241" s="4"/>
      <c r="OIT241" s="4"/>
      <c r="OIU241" s="4"/>
      <c r="OIV241" s="4"/>
      <c r="OIW241" s="4"/>
      <c r="OIX241" s="4"/>
      <c r="OIY241" s="4"/>
      <c r="OIZ241" s="4"/>
      <c r="OJA241" s="4"/>
      <c r="OJB241" s="4"/>
      <c r="OJC241" s="4"/>
      <c r="OJD241" s="4"/>
      <c r="OJE241" s="4"/>
      <c r="OJF241" s="4"/>
      <c r="OJG241" s="4"/>
      <c r="OJH241" s="4"/>
      <c r="OJI241" s="4"/>
      <c r="OJJ241" s="4"/>
      <c r="OJK241" s="4"/>
      <c r="OJL241" s="4"/>
      <c r="OJM241" s="4"/>
      <c r="OJN241" s="4"/>
      <c r="OJO241" s="4"/>
      <c r="OJP241" s="4"/>
      <c r="OJQ241" s="4"/>
      <c r="OJR241" s="4"/>
      <c r="OJS241" s="4"/>
      <c r="OJT241" s="4"/>
      <c r="OJU241" s="4"/>
      <c r="OJV241" s="4"/>
      <c r="OJW241" s="4"/>
      <c r="OJX241" s="4"/>
      <c r="OJY241" s="4"/>
      <c r="OJZ241" s="4"/>
      <c r="OKA241" s="4"/>
      <c r="OKB241" s="4"/>
      <c r="OKC241" s="4"/>
      <c r="OKD241" s="4"/>
      <c r="OKE241" s="4"/>
      <c r="OKF241" s="4"/>
      <c r="OKG241" s="4"/>
      <c r="OKH241" s="4"/>
      <c r="OKI241" s="4"/>
      <c r="OKJ241" s="4"/>
      <c r="OKK241" s="4"/>
      <c r="OKL241" s="4"/>
      <c r="OKM241" s="4"/>
      <c r="OKN241" s="4"/>
      <c r="OKO241" s="4"/>
      <c r="OKP241" s="4"/>
      <c r="OKQ241" s="4"/>
      <c r="OKR241" s="4"/>
      <c r="OKS241" s="4"/>
      <c r="OKT241" s="4"/>
      <c r="OKU241" s="4"/>
      <c r="OKV241" s="4"/>
      <c r="OKW241" s="4"/>
      <c r="OKX241" s="4"/>
      <c r="OKY241" s="4"/>
      <c r="OKZ241" s="4"/>
      <c r="OLA241" s="4"/>
      <c r="OLB241" s="4"/>
      <c r="OLC241" s="4"/>
      <c r="OLD241" s="4"/>
      <c r="OLE241" s="4"/>
      <c r="OLF241" s="4"/>
      <c r="OLG241" s="4"/>
      <c r="OLH241" s="4"/>
      <c r="OLI241" s="4"/>
      <c r="OLJ241" s="4"/>
      <c r="OLK241" s="4"/>
      <c r="OLL241" s="4"/>
      <c r="OLM241" s="4"/>
      <c r="OLN241" s="4"/>
      <c r="OLO241" s="4"/>
      <c r="OLP241" s="4"/>
      <c r="OLQ241" s="4"/>
      <c r="OLR241" s="4"/>
      <c r="OLS241" s="4"/>
      <c r="OLT241" s="4"/>
      <c r="OLU241" s="4"/>
      <c r="OLV241" s="4"/>
      <c r="OLW241" s="4"/>
      <c r="OLX241" s="4"/>
      <c r="OLY241" s="4"/>
      <c r="OLZ241" s="4"/>
      <c r="OMA241" s="4"/>
      <c r="OMB241" s="4"/>
      <c r="OMC241" s="4"/>
      <c r="OMD241" s="4"/>
      <c r="OME241" s="4"/>
      <c r="OMF241" s="4"/>
      <c r="OMG241" s="4"/>
      <c r="OMH241" s="4"/>
      <c r="OMI241" s="4"/>
      <c r="OMJ241" s="4"/>
      <c r="OMK241" s="4"/>
      <c r="OML241" s="4"/>
      <c r="OMM241" s="4"/>
      <c r="OMN241" s="4"/>
      <c r="OMO241" s="4"/>
      <c r="OMP241" s="4"/>
      <c r="OMQ241" s="4"/>
      <c r="OMR241" s="4"/>
      <c r="OMS241" s="4"/>
      <c r="OMT241" s="4"/>
      <c r="OMU241" s="4"/>
      <c r="OMV241" s="4"/>
      <c r="OMW241" s="4"/>
      <c r="OMX241" s="4"/>
      <c r="OMY241" s="4"/>
      <c r="OMZ241" s="4"/>
      <c r="ONA241" s="4"/>
      <c r="ONB241" s="4"/>
      <c r="ONC241" s="4"/>
      <c r="OND241" s="4"/>
      <c r="ONE241" s="4"/>
      <c r="ONF241" s="4"/>
      <c r="ONG241" s="4"/>
      <c r="ONH241" s="4"/>
      <c r="ONI241" s="4"/>
      <c r="ONJ241" s="4"/>
      <c r="ONK241" s="4"/>
      <c r="ONL241" s="4"/>
      <c r="ONM241" s="4"/>
      <c r="ONN241" s="4"/>
      <c r="ONO241" s="4"/>
      <c r="ONP241" s="4"/>
      <c r="ONQ241" s="4"/>
      <c r="ONR241" s="4"/>
      <c r="ONS241" s="4"/>
      <c r="ONT241" s="4"/>
      <c r="ONU241" s="4"/>
      <c r="ONV241" s="4"/>
      <c r="ONW241" s="4"/>
      <c r="ONX241" s="4"/>
      <c r="ONY241" s="4"/>
      <c r="ONZ241" s="4"/>
      <c r="OOA241" s="4"/>
      <c r="OOB241" s="4"/>
      <c r="OOC241" s="4"/>
      <c r="OOD241" s="4"/>
      <c r="OOE241" s="4"/>
      <c r="OOF241" s="4"/>
      <c r="OOG241" s="4"/>
      <c r="OOH241" s="4"/>
      <c r="OOI241" s="4"/>
      <c r="OOJ241" s="4"/>
      <c r="OOK241" s="4"/>
      <c r="OOL241" s="4"/>
      <c r="OOM241" s="4"/>
      <c r="OON241" s="4"/>
      <c r="OOO241" s="4"/>
      <c r="OOP241" s="4"/>
      <c r="OOQ241" s="4"/>
      <c r="OOR241" s="4"/>
      <c r="OOS241" s="4"/>
      <c r="OOT241" s="4"/>
      <c r="OOU241" s="4"/>
      <c r="OOV241" s="4"/>
      <c r="OOW241" s="4"/>
      <c r="OOX241" s="4"/>
      <c r="OOY241" s="4"/>
      <c r="OOZ241" s="4"/>
      <c r="OPA241" s="4"/>
      <c r="OPB241" s="4"/>
      <c r="OPC241" s="4"/>
      <c r="OPD241" s="4"/>
      <c r="OPE241" s="4"/>
      <c r="OPF241" s="4"/>
      <c r="OPG241" s="4"/>
      <c r="OPH241" s="4"/>
      <c r="OPI241" s="4"/>
      <c r="OPJ241" s="4"/>
      <c r="OPK241" s="4"/>
      <c r="OPL241" s="4"/>
      <c r="OPM241" s="4"/>
      <c r="OPN241" s="4"/>
      <c r="OPO241" s="4"/>
      <c r="OPP241" s="4"/>
      <c r="OPQ241" s="4"/>
      <c r="OPR241" s="4"/>
      <c r="OPS241" s="4"/>
      <c r="OPT241" s="4"/>
      <c r="OPU241" s="4"/>
      <c r="OPV241" s="4"/>
      <c r="OPW241" s="4"/>
      <c r="OPX241" s="4"/>
      <c r="OPY241" s="4"/>
      <c r="OPZ241" s="4"/>
      <c r="OQA241" s="4"/>
      <c r="OQB241" s="4"/>
      <c r="OQC241" s="4"/>
      <c r="OQD241" s="4"/>
      <c r="OQE241" s="4"/>
      <c r="OQF241" s="4"/>
      <c r="OQG241" s="4"/>
      <c r="OQH241" s="4"/>
      <c r="OQI241" s="4"/>
      <c r="OQJ241" s="4"/>
      <c r="OQK241" s="4"/>
      <c r="OQL241" s="4"/>
      <c r="OQM241" s="4"/>
      <c r="OQN241" s="4"/>
      <c r="OQO241" s="4"/>
      <c r="OQP241" s="4"/>
      <c r="OQQ241" s="4"/>
      <c r="OQR241" s="4"/>
      <c r="OQS241" s="4"/>
      <c r="OQT241" s="4"/>
      <c r="OQU241" s="4"/>
      <c r="OQV241" s="4"/>
      <c r="OQW241" s="4"/>
      <c r="OQX241" s="4"/>
      <c r="OQY241" s="4"/>
      <c r="OQZ241" s="4"/>
      <c r="ORA241" s="4"/>
      <c r="ORB241" s="4"/>
      <c r="ORC241" s="4"/>
      <c r="ORD241" s="4"/>
      <c r="ORE241" s="4"/>
      <c r="ORF241" s="4"/>
      <c r="ORG241" s="4"/>
      <c r="ORH241" s="4"/>
      <c r="ORI241" s="4"/>
      <c r="ORJ241" s="4"/>
      <c r="ORK241" s="4"/>
      <c r="ORL241" s="4"/>
      <c r="ORM241" s="4"/>
      <c r="ORN241" s="4"/>
      <c r="ORO241" s="4"/>
      <c r="ORP241" s="4"/>
      <c r="ORQ241" s="4"/>
      <c r="ORR241" s="4"/>
      <c r="ORS241" s="4"/>
      <c r="ORT241" s="4"/>
      <c r="ORU241" s="4"/>
      <c r="ORV241" s="4"/>
      <c r="ORW241" s="4"/>
      <c r="ORX241" s="4"/>
      <c r="ORY241" s="4"/>
      <c r="ORZ241" s="4"/>
      <c r="OSA241" s="4"/>
      <c r="OSB241" s="4"/>
      <c r="OSC241" s="4"/>
      <c r="OSD241" s="4"/>
      <c r="OSE241" s="4"/>
      <c r="OSF241" s="4"/>
      <c r="OSG241" s="4"/>
      <c r="OSH241" s="4"/>
      <c r="OSI241" s="4"/>
      <c r="OSJ241" s="4"/>
      <c r="OSK241" s="4"/>
      <c r="OSL241" s="4"/>
      <c r="OSM241" s="4"/>
      <c r="OSN241" s="4"/>
      <c r="OSO241" s="4"/>
      <c r="OSP241" s="4"/>
      <c r="OSQ241" s="4"/>
      <c r="OSR241" s="4"/>
      <c r="OSS241" s="4"/>
      <c r="OST241" s="4"/>
      <c r="OSU241" s="4"/>
      <c r="OSV241" s="4"/>
      <c r="OSW241" s="4"/>
      <c r="OSX241" s="4"/>
      <c r="OSY241" s="4"/>
      <c r="OSZ241" s="4"/>
      <c r="OTA241" s="4"/>
      <c r="OTB241" s="4"/>
      <c r="OTC241" s="4"/>
      <c r="OTD241" s="4"/>
      <c r="OTE241" s="4"/>
      <c r="OTF241" s="4"/>
      <c r="OTG241" s="4"/>
      <c r="OTH241" s="4"/>
      <c r="OTI241" s="4"/>
      <c r="OTJ241" s="4"/>
      <c r="OTK241" s="4"/>
      <c r="OTL241" s="4"/>
      <c r="OTM241" s="4"/>
      <c r="OTN241" s="4"/>
      <c r="OTO241" s="4"/>
      <c r="OTP241" s="4"/>
      <c r="OTQ241" s="4"/>
      <c r="OTR241" s="4"/>
      <c r="OTS241" s="4"/>
      <c r="OTT241" s="4"/>
      <c r="OTU241" s="4"/>
      <c r="OTV241" s="4"/>
      <c r="OTW241" s="4"/>
      <c r="OTX241" s="4"/>
      <c r="OTY241" s="4"/>
      <c r="OTZ241" s="4"/>
      <c r="OUA241" s="4"/>
      <c r="OUB241" s="4"/>
      <c r="OUC241" s="4"/>
      <c r="OUD241" s="4"/>
      <c r="OUE241" s="4"/>
      <c r="OUF241" s="4"/>
      <c r="OUG241" s="4"/>
      <c r="OUH241" s="4"/>
      <c r="OUI241" s="4"/>
      <c r="OUJ241" s="4"/>
      <c r="OUK241" s="4"/>
      <c r="OUL241" s="4"/>
      <c r="OUM241" s="4"/>
      <c r="OUN241" s="4"/>
      <c r="OUO241" s="4"/>
      <c r="OUP241" s="4"/>
      <c r="OUQ241" s="4"/>
      <c r="OUR241" s="4"/>
      <c r="OUS241" s="4"/>
      <c r="OUT241" s="4"/>
      <c r="OUU241" s="4"/>
      <c r="OUV241" s="4"/>
      <c r="OUW241" s="4"/>
      <c r="OUX241" s="4"/>
      <c r="OUY241" s="4"/>
      <c r="OUZ241" s="4"/>
      <c r="OVA241" s="4"/>
      <c r="OVB241" s="4"/>
      <c r="OVC241" s="4"/>
      <c r="OVD241" s="4"/>
      <c r="OVE241" s="4"/>
      <c r="OVF241" s="4"/>
      <c r="OVG241" s="4"/>
      <c r="OVH241" s="4"/>
      <c r="OVI241" s="4"/>
      <c r="OVJ241" s="4"/>
      <c r="OVK241" s="4"/>
      <c r="OVL241" s="4"/>
      <c r="OVM241" s="4"/>
      <c r="OVN241" s="4"/>
      <c r="OVO241" s="4"/>
      <c r="OVP241" s="4"/>
      <c r="OVQ241" s="4"/>
      <c r="OVR241" s="4"/>
      <c r="OVS241" s="4"/>
      <c r="OVT241" s="4"/>
      <c r="OVU241" s="4"/>
      <c r="OVV241" s="4"/>
      <c r="OVW241" s="4"/>
      <c r="OVX241" s="4"/>
      <c r="OVY241" s="4"/>
      <c r="OVZ241" s="4"/>
      <c r="OWA241" s="4"/>
      <c r="OWB241" s="4"/>
      <c r="OWC241" s="4"/>
      <c r="OWD241" s="4"/>
      <c r="OWE241" s="4"/>
      <c r="OWF241" s="4"/>
      <c r="OWG241" s="4"/>
      <c r="OWH241" s="4"/>
      <c r="OWI241" s="4"/>
      <c r="OWJ241" s="4"/>
      <c r="OWK241" s="4"/>
      <c r="OWL241" s="4"/>
      <c r="OWM241" s="4"/>
      <c r="OWN241" s="4"/>
      <c r="OWO241" s="4"/>
      <c r="OWP241" s="4"/>
      <c r="OWQ241" s="4"/>
      <c r="OWR241" s="4"/>
      <c r="OWS241" s="4"/>
      <c r="OWT241" s="4"/>
      <c r="OWU241" s="4"/>
      <c r="OWV241" s="4"/>
      <c r="OWW241" s="4"/>
      <c r="OWX241" s="4"/>
      <c r="OWY241" s="4"/>
      <c r="OWZ241" s="4"/>
      <c r="OXA241" s="4"/>
      <c r="OXB241" s="4"/>
      <c r="OXC241" s="4"/>
      <c r="OXD241" s="4"/>
      <c r="OXE241" s="4"/>
      <c r="OXF241" s="4"/>
      <c r="OXG241" s="4"/>
      <c r="OXH241" s="4"/>
      <c r="OXI241" s="4"/>
      <c r="OXJ241" s="4"/>
      <c r="OXK241" s="4"/>
      <c r="OXL241" s="4"/>
      <c r="OXM241" s="4"/>
      <c r="OXN241" s="4"/>
      <c r="OXO241" s="4"/>
      <c r="OXP241" s="4"/>
      <c r="OXQ241" s="4"/>
      <c r="OXR241" s="4"/>
      <c r="OXS241" s="4"/>
      <c r="OXT241" s="4"/>
      <c r="OXU241" s="4"/>
      <c r="OXV241" s="4"/>
      <c r="OXW241" s="4"/>
      <c r="OXX241" s="4"/>
      <c r="OXY241" s="4"/>
      <c r="OXZ241" s="4"/>
      <c r="OYA241" s="4"/>
      <c r="OYB241" s="4"/>
      <c r="OYC241" s="4"/>
      <c r="OYD241" s="4"/>
      <c r="OYE241" s="4"/>
      <c r="OYF241" s="4"/>
      <c r="OYG241" s="4"/>
      <c r="OYH241" s="4"/>
      <c r="OYI241" s="4"/>
      <c r="OYJ241" s="4"/>
      <c r="OYK241" s="4"/>
      <c r="OYL241" s="4"/>
      <c r="OYM241" s="4"/>
      <c r="OYN241" s="4"/>
      <c r="OYO241" s="4"/>
      <c r="OYP241" s="4"/>
      <c r="OYQ241" s="4"/>
      <c r="OYR241" s="4"/>
      <c r="OYS241" s="4"/>
      <c r="OYT241" s="4"/>
      <c r="OYU241" s="4"/>
      <c r="OYV241" s="4"/>
      <c r="OYW241" s="4"/>
      <c r="OYX241" s="4"/>
      <c r="OYY241" s="4"/>
      <c r="OYZ241" s="4"/>
      <c r="OZA241" s="4"/>
      <c r="OZB241" s="4"/>
      <c r="OZC241" s="4"/>
      <c r="OZD241" s="4"/>
      <c r="OZE241" s="4"/>
      <c r="OZF241" s="4"/>
      <c r="OZG241" s="4"/>
      <c r="OZH241" s="4"/>
      <c r="OZI241" s="4"/>
      <c r="OZJ241" s="4"/>
      <c r="OZK241" s="4"/>
      <c r="OZL241" s="4"/>
      <c r="OZM241" s="4"/>
      <c r="OZN241" s="4"/>
      <c r="OZO241" s="4"/>
      <c r="OZP241" s="4"/>
      <c r="OZQ241" s="4"/>
      <c r="OZR241" s="4"/>
      <c r="OZS241" s="4"/>
      <c r="OZT241" s="4"/>
      <c r="OZU241" s="4"/>
      <c r="OZV241" s="4"/>
      <c r="OZW241" s="4"/>
      <c r="OZX241" s="4"/>
      <c r="OZY241" s="4"/>
      <c r="OZZ241" s="4"/>
      <c r="PAA241" s="4"/>
      <c r="PAB241" s="4"/>
      <c r="PAC241" s="4"/>
      <c r="PAD241" s="4"/>
      <c r="PAE241" s="4"/>
      <c r="PAF241" s="4"/>
      <c r="PAG241" s="4"/>
      <c r="PAH241" s="4"/>
      <c r="PAI241" s="4"/>
      <c r="PAJ241" s="4"/>
      <c r="PAK241" s="4"/>
      <c r="PAL241" s="4"/>
      <c r="PAM241" s="4"/>
      <c r="PAN241" s="4"/>
      <c r="PAO241" s="4"/>
      <c r="PAP241" s="4"/>
      <c r="PAQ241" s="4"/>
      <c r="PAR241" s="4"/>
      <c r="PAS241" s="4"/>
      <c r="PAT241" s="4"/>
      <c r="PAU241" s="4"/>
      <c r="PAV241" s="4"/>
      <c r="PAW241" s="4"/>
      <c r="PAX241" s="4"/>
      <c r="PAY241" s="4"/>
      <c r="PAZ241" s="4"/>
      <c r="PBA241" s="4"/>
      <c r="PBB241" s="4"/>
      <c r="PBC241" s="4"/>
      <c r="PBD241" s="4"/>
      <c r="PBE241" s="4"/>
      <c r="PBF241" s="4"/>
      <c r="PBG241" s="4"/>
      <c r="PBH241" s="4"/>
      <c r="PBI241" s="4"/>
      <c r="PBJ241" s="4"/>
      <c r="PBK241" s="4"/>
      <c r="PBL241" s="4"/>
      <c r="PBM241" s="4"/>
      <c r="PBN241" s="4"/>
      <c r="PBO241" s="4"/>
      <c r="PBP241" s="4"/>
      <c r="PBQ241" s="4"/>
      <c r="PBR241" s="4"/>
      <c r="PBS241" s="4"/>
      <c r="PBT241" s="4"/>
      <c r="PBU241" s="4"/>
      <c r="PBV241" s="4"/>
      <c r="PBW241" s="4"/>
      <c r="PBX241" s="4"/>
      <c r="PBY241" s="4"/>
      <c r="PBZ241" s="4"/>
      <c r="PCA241" s="4"/>
      <c r="PCB241" s="4"/>
      <c r="PCC241" s="4"/>
      <c r="PCD241" s="4"/>
      <c r="PCE241" s="4"/>
      <c r="PCF241" s="4"/>
      <c r="PCG241" s="4"/>
      <c r="PCH241" s="4"/>
      <c r="PCI241" s="4"/>
      <c r="PCJ241" s="4"/>
      <c r="PCK241" s="4"/>
      <c r="PCL241" s="4"/>
      <c r="PCM241" s="4"/>
      <c r="PCN241" s="4"/>
      <c r="PCO241" s="4"/>
      <c r="PCP241" s="4"/>
      <c r="PCQ241" s="4"/>
      <c r="PCR241" s="4"/>
      <c r="PCS241" s="4"/>
      <c r="PCT241" s="4"/>
      <c r="PCU241" s="4"/>
      <c r="PCV241" s="4"/>
      <c r="PCW241" s="4"/>
      <c r="PCX241" s="4"/>
      <c r="PCY241" s="4"/>
      <c r="PCZ241" s="4"/>
      <c r="PDA241" s="4"/>
      <c r="PDB241" s="4"/>
      <c r="PDC241" s="4"/>
      <c r="PDD241" s="4"/>
      <c r="PDE241" s="4"/>
      <c r="PDF241" s="4"/>
      <c r="PDG241" s="4"/>
      <c r="PDH241" s="4"/>
      <c r="PDI241" s="4"/>
      <c r="PDJ241" s="4"/>
      <c r="PDK241" s="4"/>
      <c r="PDL241" s="4"/>
      <c r="PDM241" s="4"/>
      <c r="PDN241" s="4"/>
      <c r="PDO241" s="4"/>
      <c r="PDP241" s="4"/>
      <c r="PDQ241" s="4"/>
      <c r="PDR241" s="4"/>
      <c r="PDS241" s="4"/>
      <c r="PDT241" s="4"/>
      <c r="PDU241" s="4"/>
      <c r="PDV241" s="4"/>
      <c r="PDW241" s="4"/>
      <c r="PDX241" s="4"/>
      <c r="PDY241" s="4"/>
      <c r="PDZ241" s="4"/>
      <c r="PEA241" s="4"/>
      <c r="PEB241" s="4"/>
      <c r="PEC241" s="4"/>
      <c r="PED241" s="4"/>
      <c r="PEE241" s="4"/>
      <c r="PEF241" s="4"/>
      <c r="PEG241" s="4"/>
      <c r="PEH241" s="4"/>
      <c r="PEI241" s="4"/>
      <c r="PEJ241" s="4"/>
      <c r="PEK241" s="4"/>
      <c r="PEL241" s="4"/>
      <c r="PEM241" s="4"/>
      <c r="PEN241" s="4"/>
      <c r="PEO241" s="4"/>
      <c r="PEP241" s="4"/>
      <c r="PEQ241" s="4"/>
      <c r="PER241" s="4"/>
      <c r="PES241" s="4"/>
      <c r="PET241" s="4"/>
      <c r="PEU241" s="4"/>
      <c r="PEV241" s="4"/>
      <c r="PEW241" s="4"/>
      <c r="PEX241" s="4"/>
      <c r="PEY241" s="4"/>
      <c r="PEZ241" s="4"/>
      <c r="PFA241" s="4"/>
      <c r="PFB241" s="4"/>
      <c r="PFC241" s="4"/>
      <c r="PFD241" s="4"/>
      <c r="PFE241" s="4"/>
      <c r="PFF241" s="4"/>
      <c r="PFG241" s="4"/>
      <c r="PFH241" s="4"/>
      <c r="PFI241" s="4"/>
      <c r="PFJ241" s="4"/>
      <c r="PFK241" s="4"/>
      <c r="PFL241" s="4"/>
      <c r="PFM241" s="4"/>
      <c r="PFN241" s="4"/>
      <c r="PFO241" s="4"/>
      <c r="PFP241" s="4"/>
      <c r="PFQ241" s="4"/>
      <c r="PFR241" s="4"/>
      <c r="PFS241" s="4"/>
      <c r="PFT241" s="4"/>
      <c r="PFU241" s="4"/>
      <c r="PFV241" s="4"/>
      <c r="PFW241" s="4"/>
      <c r="PFX241" s="4"/>
      <c r="PFY241" s="4"/>
      <c r="PFZ241" s="4"/>
      <c r="PGA241" s="4"/>
      <c r="PGB241" s="4"/>
      <c r="PGC241" s="4"/>
      <c r="PGD241" s="4"/>
      <c r="PGE241" s="4"/>
      <c r="PGF241" s="4"/>
      <c r="PGG241" s="4"/>
      <c r="PGH241" s="4"/>
      <c r="PGI241" s="4"/>
      <c r="PGJ241" s="4"/>
      <c r="PGK241" s="4"/>
      <c r="PGL241" s="4"/>
      <c r="PGM241" s="4"/>
      <c r="PGN241" s="4"/>
      <c r="PGO241" s="4"/>
      <c r="PGP241" s="4"/>
      <c r="PGQ241" s="4"/>
      <c r="PGR241" s="4"/>
      <c r="PGS241" s="4"/>
      <c r="PGT241" s="4"/>
      <c r="PGU241" s="4"/>
      <c r="PGV241" s="4"/>
      <c r="PGW241" s="4"/>
      <c r="PGX241" s="4"/>
      <c r="PGY241" s="4"/>
      <c r="PGZ241" s="4"/>
      <c r="PHA241" s="4"/>
      <c r="PHB241" s="4"/>
      <c r="PHC241" s="4"/>
      <c r="PHD241" s="4"/>
      <c r="PHE241" s="4"/>
      <c r="PHF241" s="4"/>
      <c r="PHG241" s="4"/>
      <c r="PHH241" s="4"/>
      <c r="PHI241" s="4"/>
      <c r="PHJ241" s="4"/>
      <c r="PHK241" s="4"/>
      <c r="PHL241" s="4"/>
      <c r="PHM241" s="4"/>
      <c r="PHN241" s="4"/>
      <c r="PHO241" s="4"/>
      <c r="PHP241" s="4"/>
      <c r="PHQ241" s="4"/>
      <c r="PHR241" s="4"/>
      <c r="PHS241" s="4"/>
      <c r="PHT241" s="4"/>
      <c r="PHU241" s="4"/>
      <c r="PHV241" s="4"/>
      <c r="PHW241" s="4"/>
      <c r="PHX241" s="4"/>
      <c r="PHY241" s="4"/>
      <c r="PHZ241" s="4"/>
      <c r="PIA241" s="4"/>
      <c r="PIB241" s="4"/>
      <c r="PIC241" s="4"/>
      <c r="PID241" s="4"/>
      <c r="PIE241" s="4"/>
      <c r="PIF241" s="4"/>
      <c r="PIG241" s="4"/>
      <c r="PIH241" s="4"/>
      <c r="PII241" s="4"/>
      <c r="PIJ241" s="4"/>
      <c r="PIK241" s="4"/>
      <c r="PIL241" s="4"/>
      <c r="PIM241" s="4"/>
      <c r="PIN241" s="4"/>
      <c r="PIO241" s="4"/>
      <c r="PIP241" s="4"/>
      <c r="PIQ241" s="4"/>
      <c r="PIR241" s="4"/>
      <c r="PIS241" s="4"/>
      <c r="PIT241" s="4"/>
      <c r="PIU241" s="4"/>
      <c r="PIV241" s="4"/>
      <c r="PIW241" s="4"/>
      <c r="PIX241" s="4"/>
      <c r="PIY241" s="4"/>
      <c r="PIZ241" s="4"/>
      <c r="PJA241" s="4"/>
      <c r="PJB241" s="4"/>
      <c r="PJC241" s="4"/>
      <c r="PJD241" s="4"/>
      <c r="PJE241" s="4"/>
      <c r="PJF241" s="4"/>
      <c r="PJG241" s="4"/>
      <c r="PJH241" s="4"/>
      <c r="PJI241" s="4"/>
      <c r="PJJ241" s="4"/>
      <c r="PJK241" s="4"/>
      <c r="PJL241" s="4"/>
      <c r="PJM241" s="4"/>
      <c r="PJN241" s="4"/>
      <c r="PJO241" s="4"/>
      <c r="PJP241" s="4"/>
      <c r="PJQ241" s="4"/>
      <c r="PJR241" s="4"/>
      <c r="PJS241" s="4"/>
      <c r="PJT241" s="4"/>
      <c r="PJU241" s="4"/>
      <c r="PJV241" s="4"/>
      <c r="PJW241" s="4"/>
      <c r="PJX241" s="4"/>
      <c r="PJY241" s="4"/>
      <c r="PJZ241" s="4"/>
      <c r="PKA241" s="4"/>
      <c r="PKB241" s="4"/>
      <c r="PKC241" s="4"/>
      <c r="PKD241" s="4"/>
      <c r="PKE241" s="4"/>
      <c r="PKF241" s="4"/>
      <c r="PKG241" s="4"/>
      <c r="PKH241" s="4"/>
      <c r="PKI241" s="4"/>
      <c r="PKJ241" s="4"/>
      <c r="PKK241" s="4"/>
      <c r="PKL241" s="4"/>
      <c r="PKM241" s="4"/>
      <c r="PKN241" s="4"/>
      <c r="PKO241" s="4"/>
      <c r="PKP241" s="4"/>
      <c r="PKQ241" s="4"/>
      <c r="PKR241" s="4"/>
      <c r="PKS241" s="4"/>
      <c r="PKT241" s="4"/>
      <c r="PKU241" s="4"/>
      <c r="PKV241" s="4"/>
      <c r="PKW241" s="4"/>
      <c r="PKX241" s="4"/>
      <c r="PKY241" s="4"/>
      <c r="PKZ241" s="4"/>
      <c r="PLA241" s="4"/>
      <c r="PLB241" s="4"/>
      <c r="PLC241" s="4"/>
      <c r="PLD241" s="4"/>
      <c r="PLE241" s="4"/>
      <c r="PLF241" s="4"/>
      <c r="PLG241" s="4"/>
      <c r="PLH241" s="4"/>
      <c r="PLI241" s="4"/>
      <c r="PLJ241" s="4"/>
      <c r="PLK241" s="4"/>
      <c r="PLL241" s="4"/>
      <c r="PLM241" s="4"/>
      <c r="PLN241" s="4"/>
      <c r="PLO241" s="4"/>
      <c r="PLP241" s="4"/>
      <c r="PLQ241" s="4"/>
      <c r="PLR241" s="4"/>
      <c r="PLS241" s="4"/>
      <c r="PLT241" s="4"/>
      <c r="PLU241" s="4"/>
      <c r="PLV241" s="4"/>
      <c r="PLW241" s="4"/>
      <c r="PLX241" s="4"/>
      <c r="PLY241" s="4"/>
      <c r="PLZ241" s="4"/>
      <c r="PMA241" s="4"/>
      <c r="PMB241" s="4"/>
      <c r="PMC241" s="4"/>
      <c r="PMD241" s="4"/>
      <c r="PME241" s="4"/>
      <c r="PMF241" s="4"/>
      <c r="PMG241" s="4"/>
      <c r="PMH241" s="4"/>
      <c r="PMI241" s="4"/>
      <c r="PMJ241" s="4"/>
      <c r="PMK241" s="4"/>
      <c r="PML241" s="4"/>
      <c r="PMM241" s="4"/>
      <c r="PMN241" s="4"/>
      <c r="PMO241" s="4"/>
      <c r="PMP241" s="4"/>
      <c r="PMQ241" s="4"/>
      <c r="PMR241" s="4"/>
      <c r="PMS241" s="4"/>
      <c r="PMT241" s="4"/>
      <c r="PMU241" s="4"/>
      <c r="PMV241" s="4"/>
      <c r="PMW241" s="4"/>
      <c r="PMX241" s="4"/>
      <c r="PMY241" s="4"/>
      <c r="PMZ241" s="4"/>
      <c r="PNA241" s="4"/>
      <c r="PNB241" s="4"/>
      <c r="PNC241" s="4"/>
      <c r="PND241" s="4"/>
      <c r="PNE241" s="4"/>
      <c r="PNF241" s="4"/>
      <c r="PNG241" s="4"/>
      <c r="PNH241" s="4"/>
      <c r="PNI241" s="4"/>
      <c r="PNJ241" s="4"/>
      <c r="PNK241" s="4"/>
      <c r="PNL241" s="4"/>
      <c r="PNM241" s="4"/>
      <c r="PNN241" s="4"/>
      <c r="PNO241" s="4"/>
      <c r="PNP241" s="4"/>
      <c r="PNQ241" s="4"/>
      <c r="PNR241" s="4"/>
      <c r="PNS241" s="4"/>
      <c r="PNT241" s="4"/>
      <c r="PNU241" s="4"/>
      <c r="PNV241" s="4"/>
      <c r="PNW241" s="4"/>
      <c r="PNX241" s="4"/>
      <c r="PNY241" s="4"/>
      <c r="PNZ241" s="4"/>
      <c r="POA241" s="4"/>
      <c r="POB241" s="4"/>
      <c r="POC241" s="4"/>
      <c r="POD241" s="4"/>
      <c r="POE241" s="4"/>
      <c r="POF241" s="4"/>
      <c r="POG241" s="4"/>
      <c r="POH241" s="4"/>
      <c r="POI241" s="4"/>
      <c r="POJ241" s="4"/>
      <c r="POK241" s="4"/>
      <c r="POL241" s="4"/>
      <c r="POM241" s="4"/>
      <c r="PON241" s="4"/>
      <c r="POO241" s="4"/>
      <c r="POP241" s="4"/>
      <c r="POQ241" s="4"/>
      <c r="POR241" s="4"/>
      <c r="POS241" s="4"/>
      <c r="POT241" s="4"/>
      <c r="POU241" s="4"/>
      <c r="POV241" s="4"/>
      <c r="POW241" s="4"/>
      <c r="POX241" s="4"/>
      <c r="POY241" s="4"/>
      <c r="POZ241" s="4"/>
      <c r="PPA241" s="4"/>
      <c r="PPB241" s="4"/>
      <c r="PPC241" s="4"/>
      <c r="PPD241" s="4"/>
      <c r="PPE241" s="4"/>
      <c r="PPF241" s="4"/>
      <c r="PPG241" s="4"/>
      <c r="PPH241" s="4"/>
      <c r="PPI241" s="4"/>
      <c r="PPJ241" s="4"/>
      <c r="PPK241" s="4"/>
      <c r="PPL241" s="4"/>
      <c r="PPM241" s="4"/>
      <c r="PPN241" s="4"/>
      <c r="PPO241" s="4"/>
      <c r="PPP241" s="4"/>
      <c r="PPQ241" s="4"/>
      <c r="PPR241" s="4"/>
      <c r="PPS241" s="4"/>
      <c r="PPT241" s="4"/>
      <c r="PPU241" s="4"/>
      <c r="PPV241" s="4"/>
      <c r="PPW241" s="4"/>
      <c r="PPX241" s="4"/>
      <c r="PPY241" s="4"/>
      <c r="PPZ241" s="4"/>
      <c r="PQA241" s="4"/>
      <c r="PQB241" s="4"/>
      <c r="PQC241" s="4"/>
      <c r="PQD241" s="4"/>
      <c r="PQE241" s="4"/>
      <c r="PQF241" s="4"/>
      <c r="PQG241" s="4"/>
      <c r="PQH241" s="4"/>
      <c r="PQI241" s="4"/>
      <c r="PQJ241" s="4"/>
      <c r="PQK241" s="4"/>
      <c r="PQL241" s="4"/>
      <c r="PQM241" s="4"/>
      <c r="PQN241" s="4"/>
      <c r="PQO241" s="4"/>
      <c r="PQP241" s="4"/>
      <c r="PQQ241" s="4"/>
      <c r="PQR241" s="4"/>
      <c r="PQS241" s="4"/>
      <c r="PQT241" s="4"/>
      <c r="PQU241" s="4"/>
      <c r="PQV241" s="4"/>
      <c r="PQW241" s="4"/>
      <c r="PQX241" s="4"/>
      <c r="PQY241" s="4"/>
      <c r="PQZ241" s="4"/>
      <c r="PRA241" s="4"/>
      <c r="PRB241" s="4"/>
      <c r="PRC241" s="4"/>
      <c r="PRD241" s="4"/>
      <c r="PRE241" s="4"/>
      <c r="PRF241" s="4"/>
      <c r="PRG241" s="4"/>
      <c r="PRH241" s="4"/>
      <c r="PRI241" s="4"/>
      <c r="PRJ241" s="4"/>
      <c r="PRK241" s="4"/>
      <c r="PRL241" s="4"/>
      <c r="PRM241" s="4"/>
      <c r="PRN241" s="4"/>
      <c r="PRO241" s="4"/>
      <c r="PRP241" s="4"/>
      <c r="PRQ241" s="4"/>
      <c r="PRR241" s="4"/>
      <c r="PRS241" s="4"/>
      <c r="PRT241" s="4"/>
      <c r="PRU241" s="4"/>
      <c r="PRV241" s="4"/>
      <c r="PRW241" s="4"/>
      <c r="PRX241" s="4"/>
      <c r="PRY241" s="4"/>
      <c r="PRZ241" s="4"/>
      <c r="PSA241" s="4"/>
      <c r="PSB241" s="4"/>
      <c r="PSC241" s="4"/>
      <c r="PSD241" s="4"/>
      <c r="PSE241" s="4"/>
      <c r="PSF241" s="4"/>
      <c r="PSG241" s="4"/>
      <c r="PSH241" s="4"/>
      <c r="PSI241" s="4"/>
      <c r="PSJ241" s="4"/>
      <c r="PSK241" s="4"/>
      <c r="PSL241" s="4"/>
      <c r="PSM241" s="4"/>
      <c r="PSN241" s="4"/>
      <c r="PSO241" s="4"/>
      <c r="PSP241" s="4"/>
      <c r="PSQ241" s="4"/>
      <c r="PSR241" s="4"/>
      <c r="PSS241" s="4"/>
      <c r="PST241" s="4"/>
      <c r="PSU241" s="4"/>
      <c r="PSV241" s="4"/>
      <c r="PSW241" s="4"/>
      <c r="PSX241" s="4"/>
      <c r="PSY241" s="4"/>
      <c r="PSZ241" s="4"/>
      <c r="PTA241" s="4"/>
      <c r="PTB241" s="4"/>
      <c r="PTC241" s="4"/>
      <c r="PTD241" s="4"/>
      <c r="PTE241" s="4"/>
      <c r="PTF241" s="4"/>
      <c r="PTG241" s="4"/>
      <c r="PTH241" s="4"/>
      <c r="PTI241" s="4"/>
      <c r="PTJ241" s="4"/>
      <c r="PTK241" s="4"/>
      <c r="PTL241" s="4"/>
      <c r="PTM241" s="4"/>
      <c r="PTN241" s="4"/>
      <c r="PTO241" s="4"/>
      <c r="PTP241" s="4"/>
      <c r="PTQ241" s="4"/>
      <c r="PTR241" s="4"/>
      <c r="PTS241" s="4"/>
      <c r="PTT241" s="4"/>
      <c r="PTU241" s="4"/>
      <c r="PTV241" s="4"/>
      <c r="PTW241" s="4"/>
      <c r="PTX241" s="4"/>
      <c r="PTY241" s="4"/>
      <c r="PTZ241" s="4"/>
      <c r="PUA241" s="4"/>
      <c r="PUB241" s="4"/>
      <c r="PUC241" s="4"/>
      <c r="PUD241" s="4"/>
      <c r="PUE241" s="4"/>
      <c r="PUF241" s="4"/>
      <c r="PUG241" s="4"/>
      <c r="PUH241" s="4"/>
      <c r="PUI241" s="4"/>
      <c r="PUJ241" s="4"/>
      <c r="PUK241" s="4"/>
      <c r="PUL241" s="4"/>
      <c r="PUM241" s="4"/>
      <c r="PUN241" s="4"/>
      <c r="PUO241" s="4"/>
      <c r="PUP241" s="4"/>
      <c r="PUQ241" s="4"/>
      <c r="PUR241" s="4"/>
      <c r="PUS241" s="4"/>
      <c r="PUT241" s="4"/>
      <c r="PUU241" s="4"/>
      <c r="PUV241" s="4"/>
      <c r="PUW241" s="4"/>
      <c r="PUX241" s="4"/>
      <c r="PUY241" s="4"/>
      <c r="PUZ241" s="4"/>
      <c r="PVA241" s="4"/>
      <c r="PVB241" s="4"/>
      <c r="PVC241" s="4"/>
      <c r="PVD241" s="4"/>
      <c r="PVE241" s="4"/>
      <c r="PVF241" s="4"/>
      <c r="PVG241" s="4"/>
      <c r="PVH241" s="4"/>
      <c r="PVI241" s="4"/>
      <c r="PVJ241" s="4"/>
      <c r="PVK241" s="4"/>
      <c r="PVL241" s="4"/>
      <c r="PVM241" s="4"/>
      <c r="PVN241" s="4"/>
      <c r="PVO241" s="4"/>
      <c r="PVP241" s="4"/>
      <c r="PVQ241" s="4"/>
      <c r="PVR241" s="4"/>
      <c r="PVS241" s="4"/>
      <c r="PVT241" s="4"/>
      <c r="PVU241" s="4"/>
      <c r="PVV241" s="4"/>
      <c r="PVW241" s="4"/>
      <c r="PVX241" s="4"/>
      <c r="PVY241" s="4"/>
      <c r="PVZ241" s="4"/>
      <c r="PWA241" s="4"/>
      <c r="PWB241" s="4"/>
      <c r="PWC241" s="4"/>
      <c r="PWD241" s="4"/>
      <c r="PWE241" s="4"/>
      <c r="PWF241" s="4"/>
      <c r="PWG241" s="4"/>
      <c r="PWH241" s="4"/>
      <c r="PWI241" s="4"/>
      <c r="PWJ241" s="4"/>
      <c r="PWK241" s="4"/>
      <c r="PWL241" s="4"/>
      <c r="PWM241" s="4"/>
      <c r="PWN241" s="4"/>
      <c r="PWO241" s="4"/>
      <c r="PWP241" s="4"/>
      <c r="PWQ241" s="4"/>
      <c r="PWR241" s="4"/>
      <c r="PWS241" s="4"/>
      <c r="PWT241" s="4"/>
      <c r="PWU241" s="4"/>
      <c r="PWV241" s="4"/>
      <c r="PWW241" s="4"/>
      <c r="PWX241" s="4"/>
      <c r="PWY241" s="4"/>
      <c r="PWZ241" s="4"/>
      <c r="PXA241" s="4"/>
      <c r="PXB241" s="4"/>
      <c r="PXC241" s="4"/>
      <c r="PXD241" s="4"/>
      <c r="PXE241" s="4"/>
      <c r="PXF241" s="4"/>
      <c r="PXG241" s="4"/>
      <c r="PXH241" s="4"/>
      <c r="PXI241" s="4"/>
      <c r="PXJ241" s="4"/>
      <c r="PXK241" s="4"/>
      <c r="PXL241" s="4"/>
      <c r="PXM241" s="4"/>
      <c r="PXN241" s="4"/>
      <c r="PXO241" s="4"/>
      <c r="PXP241" s="4"/>
      <c r="PXQ241" s="4"/>
      <c r="PXR241" s="4"/>
      <c r="PXS241" s="4"/>
      <c r="PXT241" s="4"/>
      <c r="PXU241" s="4"/>
      <c r="PXV241" s="4"/>
      <c r="PXW241" s="4"/>
      <c r="PXX241" s="4"/>
      <c r="PXY241" s="4"/>
      <c r="PXZ241" s="4"/>
      <c r="PYA241" s="4"/>
      <c r="PYB241" s="4"/>
      <c r="PYC241" s="4"/>
      <c r="PYD241" s="4"/>
      <c r="PYE241" s="4"/>
      <c r="PYF241" s="4"/>
      <c r="PYG241" s="4"/>
      <c r="PYH241" s="4"/>
      <c r="PYI241" s="4"/>
      <c r="PYJ241" s="4"/>
      <c r="PYK241" s="4"/>
      <c r="PYL241" s="4"/>
      <c r="PYM241" s="4"/>
      <c r="PYN241" s="4"/>
      <c r="PYO241" s="4"/>
      <c r="PYP241" s="4"/>
      <c r="PYQ241" s="4"/>
      <c r="PYR241" s="4"/>
      <c r="PYS241" s="4"/>
      <c r="PYT241" s="4"/>
      <c r="PYU241" s="4"/>
      <c r="PYV241" s="4"/>
      <c r="PYW241" s="4"/>
      <c r="PYX241" s="4"/>
      <c r="PYY241" s="4"/>
      <c r="PYZ241" s="4"/>
      <c r="PZA241" s="4"/>
      <c r="PZB241" s="4"/>
      <c r="PZC241" s="4"/>
      <c r="PZD241" s="4"/>
      <c r="PZE241" s="4"/>
      <c r="PZF241" s="4"/>
      <c r="PZG241" s="4"/>
      <c r="PZH241" s="4"/>
      <c r="PZI241" s="4"/>
      <c r="PZJ241" s="4"/>
      <c r="PZK241" s="4"/>
      <c r="PZL241" s="4"/>
      <c r="PZM241" s="4"/>
      <c r="PZN241" s="4"/>
      <c r="PZO241" s="4"/>
      <c r="PZP241" s="4"/>
      <c r="PZQ241" s="4"/>
      <c r="PZR241" s="4"/>
      <c r="PZS241" s="4"/>
      <c r="PZT241" s="4"/>
      <c r="PZU241" s="4"/>
      <c r="PZV241" s="4"/>
      <c r="PZW241" s="4"/>
      <c r="PZX241" s="4"/>
      <c r="PZY241" s="4"/>
      <c r="PZZ241" s="4"/>
      <c r="QAA241" s="4"/>
      <c r="QAB241" s="4"/>
      <c r="QAC241" s="4"/>
      <c r="QAD241" s="4"/>
      <c r="QAE241" s="4"/>
      <c r="QAF241" s="4"/>
      <c r="QAG241" s="4"/>
      <c r="QAH241" s="4"/>
      <c r="QAI241" s="4"/>
      <c r="QAJ241" s="4"/>
      <c r="QAK241" s="4"/>
      <c r="QAL241" s="4"/>
      <c r="QAM241" s="4"/>
      <c r="QAN241" s="4"/>
      <c r="QAO241" s="4"/>
      <c r="QAP241" s="4"/>
      <c r="QAQ241" s="4"/>
      <c r="QAR241" s="4"/>
      <c r="QAS241" s="4"/>
      <c r="QAT241" s="4"/>
      <c r="QAU241" s="4"/>
      <c r="QAV241" s="4"/>
      <c r="QAW241" s="4"/>
      <c r="QAX241" s="4"/>
      <c r="QAY241" s="4"/>
      <c r="QAZ241" s="4"/>
      <c r="QBA241" s="4"/>
      <c r="QBB241" s="4"/>
      <c r="QBC241" s="4"/>
      <c r="QBD241" s="4"/>
      <c r="QBE241" s="4"/>
      <c r="QBF241" s="4"/>
      <c r="QBG241" s="4"/>
      <c r="QBH241" s="4"/>
      <c r="QBI241" s="4"/>
      <c r="QBJ241" s="4"/>
      <c r="QBK241" s="4"/>
      <c r="QBL241" s="4"/>
      <c r="QBM241" s="4"/>
      <c r="QBN241" s="4"/>
      <c r="QBO241" s="4"/>
      <c r="QBP241" s="4"/>
      <c r="QBQ241" s="4"/>
      <c r="QBR241" s="4"/>
      <c r="QBS241" s="4"/>
      <c r="QBT241" s="4"/>
      <c r="QBU241" s="4"/>
      <c r="QBV241" s="4"/>
      <c r="QBW241" s="4"/>
      <c r="QBX241" s="4"/>
      <c r="QBY241" s="4"/>
      <c r="QBZ241" s="4"/>
      <c r="QCA241" s="4"/>
      <c r="QCB241" s="4"/>
      <c r="QCC241" s="4"/>
      <c r="QCD241" s="4"/>
      <c r="QCE241" s="4"/>
      <c r="QCF241" s="4"/>
      <c r="QCG241" s="4"/>
      <c r="QCH241" s="4"/>
      <c r="QCI241" s="4"/>
      <c r="QCJ241" s="4"/>
      <c r="QCK241" s="4"/>
      <c r="QCL241" s="4"/>
      <c r="QCM241" s="4"/>
      <c r="QCN241" s="4"/>
      <c r="QCO241" s="4"/>
      <c r="QCP241" s="4"/>
      <c r="QCQ241" s="4"/>
      <c r="QCR241" s="4"/>
      <c r="QCS241" s="4"/>
      <c r="QCT241" s="4"/>
      <c r="QCU241" s="4"/>
      <c r="QCV241" s="4"/>
      <c r="QCW241" s="4"/>
      <c r="QCX241" s="4"/>
      <c r="QCY241" s="4"/>
      <c r="QCZ241" s="4"/>
      <c r="QDA241" s="4"/>
      <c r="QDB241" s="4"/>
      <c r="QDC241" s="4"/>
      <c r="QDD241" s="4"/>
      <c r="QDE241" s="4"/>
      <c r="QDF241" s="4"/>
      <c r="QDG241" s="4"/>
      <c r="QDH241" s="4"/>
      <c r="QDI241" s="4"/>
      <c r="QDJ241" s="4"/>
      <c r="QDK241" s="4"/>
      <c r="QDL241" s="4"/>
      <c r="QDM241" s="4"/>
      <c r="QDN241" s="4"/>
      <c r="QDO241" s="4"/>
      <c r="QDP241" s="4"/>
      <c r="QDQ241" s="4"/>
      <c r="QDR241" s="4"/>
      <c r="QDS241" s="4"/>
      <c r="QDT241" s="4"/>
      <c r="QDU241" s="4"/>
      <c r="QDV241" s="4"/>
      <c r="QDW241" s="4"/>
      <c r="QDX241" s="4"/>
      <c r="QDY241" s="4"/>
      <c r="QDZ241" s="4"/>
      <c r="QEA241" s="4"/>
      <c r="QEB241" s="4"/>
      <c r="QEC241" s="4"/>
      <c r="QED241" s="4"/>
      <c r="QEE241" s="4"/>
      <c r="QEF241" s="4"/>
      <c r="QEG241" s="4"/>
      <c r="QEH241" s="4"/>
      <c r="QEI241" s="4"/>
      <c r="QEJ241" s="4"/>
      <c r="QEK241" s="4"/>
      <c r="QEL241" s="4"/>
      <c r="QEM241" s="4"/>
      <c r="QEN241" s="4"/>
      <c r="QEO241" s="4"/>
      <c r="QEP241" s="4"/>
      <c r="QEQ241" s="4"/>
      <c r="QER241" s="4"/>
      <c r="QES241" s="4"/>
      <c r="QET241" s="4"/>
      <c r="QEU241" s="4"/>
      <c r="QEV241" s="4"/>
      <c r="QEW241" s="4"/>
      <c r="QEX241" s="4"/>
      <c r="QEY241" s="4"/>
      <c r="QEZ241" s="4"/>
      <c r="QFA241" s="4"/>
      <c r="QFB241" s="4"/>
      <c r="QFC241" s="4"/>
      <c r="QFD241" s="4"/>
      <c r="QFE241" s="4"/>
      <c r="QFF241" s="4"/>
      <c r="QFG241" s="4"/>
      <c r="QFH241" s="4"/>
      <c r="QFI241" s="4"/>
      <c r="QFJ241" s="4"/>
      <c r="QFK241" s="4"/>
      <c r="QFL241" s="4"/>
      <c r="QFM241" s="4"/>
      <c r="QFN241" s="4"/>
      <c r="QFO241" s="4"/>
      <c r="QFP241" s="4"/>
      <c r="QFQ241" s="4"/>
      <c r="QFR241" s="4"/>
      <c r="QFS241" s="4"/>
      <c r="QFT241" s="4"/>
      <c r="QFU241" s="4"/>
      <c r="QFV241" s="4"/>
      <c r="QFW241" s="4"/>
      <c r="QFX241" s="4"/>
      <c r="QFY241" s="4"/>
      <c r="QFZ241" s="4"/>
      <c r="QGA241" s="4"/>
      <c r="QGB241" s="4"/>
      <c r="QGC241" s="4"/>
      <c r="QGD241" s="4"/>
      <c r="QGE241" s="4"/>
      <c r="QGF241" s="4"/>
      <c r="QGG241" s="4"/>
      <c r="QGH241" s="4"/>
      <c r="QGI241" s="4"/>
      <c r="QGJ241" s="4"/>
      <c r="QGK241" s="4"/>
      <c r="QGL241" s="4"/>
      <c r="QGM241" s="4"/>
      <c r="QGN241" s="4"/>
      <c r="QGO241" s="4"/>
      <c r="QGP241" s="4"/>
      <c r="QGQ241" s="4"/>
      <c r="QGR241" s="4"/>
      <c r="QGS241" s="4"/>
      <c r="QGT241" s="4"/>
      <c r="QGU241" s="4"/>
      <c r="QGV241" s="4"/>
      <c r="QGW241" s="4"/>
      <c r="QGX241" s="4"/>
      <c r="QGY241" s="4"/>
      <c r="QGZ241" s="4"/>
      <c r="QHA241" s="4"/>
      <c r="QHB241" s="4"/>
      <c r="QHC241" s="4"/>
      <c r="QHD241" s="4"/>
      <c r="QHE241" s="4"/>
      <c r="QHF241" s="4"/>
      <c r="QHG241" s="4"/>
      <c r="QHH241" s="4"/>
      <c r="QHI241" s="4"/>
      <c r="QHJ241" s="4"/>
      <c r="QHK241" s="4"/>
      <c r="QHL241" s="4"/>
      <c r="QHM241" s="4"/>
      <c r="QHN241" s="4"/>
      <c r="QHO241" s="4"/>
      <c r="QHP241" s="4"/>
      <c r="QHQ241" s="4"/>
      <c r="QHR241" s="4"/>
      <c r="QHS241" s="4"/>
      <c r="QHT241" s="4"/>
      <c r="QHU241" s="4"/>
      <c r="QHV241" s="4"/>
      <c r="QHW241" s="4"/>
      <c r="QHX241" s="4"/>
      <c r="QHY241" s="4"/>
      <c r="QHZ241" s="4"/>
      <c r="QIA241" s="4"/>
      <c r="QIB241" s="4"/>
      <c r="QIC241" s="4"/>
      <c r="QID241" s="4"/>
      <c r="QIE241" s="4"/>
      <c r="QIF241" s="4"/>
      <c r="QIG241" s="4"/>
      <c r="QIH241" s="4"/>
      <c r="QII241" s="4"/>
      <c r="QIJ241" s="4"/>
      <c r="QIK241" s="4"/>
      <c r="QIL241" s="4"/>
      <c r="QIM241" s="4"/>
      <c r="QIN241" s="4"/>
      <c r="QIO241" s="4"/>
      <c r="QIP241" s="4"/>
      <c r="QIQ241" s="4"/>
      <c r="QIR241" s="4"/>
      <c r="QIS241" s="4"/>
      <c r="QIT241" s="4"/>
      <c r="QIU241" s="4"/>
      <c r="QIV241" s="4"/>
      <c r="QIW241" s="4"/>
      <c r="QIX241" s="4"/>
      <c r="QIY241" s="4"/>
      <c r="QIZ241" s="4"/>
      <c r="QJA241" s="4"/>
      <c r="QJB241" s="4"/>
      <c r="QJC241" s="4"/>
      <c r="QJD241" s="4"/>
      <c r="QJE241" s="4"/>
      <c r="QJF241" s="4"/>
      <c r="QJG241" s="4"/>
      <c r="QJH241" s="4"/>
      <c r="QJI241" s="4"/>
      <c r="QJJ241" s="4"/>
      <c r="QJK241" s="4"/>
      <c r="QJL241" s="4"/>
      <c r="QJM241" s="4"/>
      <c r="QJN241" s="4"/>
      <c r="QJO241" s="4"/>
      <c r="QJP241" s="4"/>
      <c r="QJQ241" s="4"/>
      <c r="QJR241" s="4"/>
      <c r="QJS241" s="4"/>
      <c r="QJT241" s="4"/>
      <c r="QJU241" s="4"/>
      <c r="QJV241" s="4"/>
      <c r="QJW241" s="4"/>
      <c r="QJX241" s="4"/>
      <c r="QJY241" s="4"/>
      <c r="QJZ241" s="4"/>
      <c r="QKA241" s="4"/>
      <c r="QKB241" s="4"/>
      <c r="QKC241" s="4"/>
      <c r="QKD241" s="4"/>
      <c r="QKE241" s="4"/>
      <c r="QKF241" s="4"/>
      <c r="QKG241" s="4"/>
      <c r="QKH241" s="4"/>
      <c r="QKI241" s="4"/>
      <c r="QKJ241" s="4"/>
      <c r="QKK241" s="4"/>
      <c r="QKL241" s="4"/>
      <c r="QKM241" s="4"/>
      <c r="QKN241" s="4"/>
      <c r="QKO241" s="4"/>
      <c r="QKP241" s="4"/>
      <c r="QKQ241" s="4"/>
      <c r="QKR241" s="4"/>
      <c r="QKS241" s="4"/>
      <c r="QKT241" s="4"/>
      <c r="QKU241" s="4"/>
      <c r="QKV241" s="4"/>
      <c r="QKW241" s="4"/>
      <c r="QKX241" s="4"/>
      <c r="QKY241" s="4"/>
      <c r="QKZ241" s="4"/>
      <c r="QLA241" s="4"/>
      <c r="QLB241" s="4"/>
      <c r="QLC241" s="4"/>
      <c r="QLD241" s="4"/>
      <c r="QLE241" s="4"/>
      <c r="QLF241" s="4"/>
      <c r="QLG241" s="4"/>
      <c r="QLH241" s="4"/>
      <c r="QLI241" s="4"/>
      <c r="QLJ241" s="4"/>
      <c r="QLK241" s="4"/>
      <c r="QLL241" s="4"/>
      <c r="QLM241" s="4"/>
      <c r="QLN241" s="4"/>
      <c r="QLO241" s="4"/>
      <c r="QLP241" s="4"/>
      <c r="QLQ241" s="4"/>
      <c r="QLR241" s="4"/>
      <c r="QLS241" s="4"/>
      <c r="QLT241" s="4"/>
      <c r="QLU241" s="4"/>
      <c r="QLV241" s="4"/>
      <c r="QLW241" s="4"/>
      <c r="QLX241" s="4"/>
      <c r="QLY241" s="4"/>
      <c r="QLZ241" s="4"/>
      <c r="QMA241" s="4"/>
      <c r="QMB241" s="4"/>
      <c r="QMC241" s="4"/>
      <c r="QMD241" s="4"/>
      <c r="QME241" s="4"/>
      <c r="QMF241" s="4"/>
      <c r="QMG241" s="4"/>
      <c r="QMH241" s="4"/>
      <c r="QMI241" s="4"/>
      <c r="QMJ241" s="4"/>
      <c r="QMK241" s="4"/>
      <c r="QML241" s="4"/>
      <c r="QMM241" s="4"/>
      <c r="QMN241" s="4"/>
      <c r="QMO241" s="4"/>
      <c r="QMP241" s="4"/>
      <c r="QMQ241" s="4"/>
      <c r="QMR241" s="4"/>
      <c r="QMS241" s="4"/>
      <c r="QMT241" s="4"/>
      <c r="QMU241" s="4"/>
      <c r="QMV241" s="4"/>
      <c r="QMW241" s="4"/>
      <c r="QMX241" s="4"/>
      <c r="QMY241" s="4"/>
      <c r="QMZ241" s="4"/>
      <c r="QNA241" s="4"/>
      <c r="QNB241" s="4"/>
      <c r="QNC241" s="4"/>
      <c r="QND241" s="4"/>
      <c r="QNE241" s="4"/>
      <c r="QNF241" s="4"/>
      <c r="QNG241" s="4"/>
      <c r="QNH241" s="4"/>
      <c r="QNI241" s="4"/>
      <c r="QNJ241" s="4"/>
      <c r="QNK241" s="4"/>
      <c r="QNL241" s="4"/>
      <c r="QNM241" s="4"/>
      <c r="QNN241" s="4"/>
      <c r="QNO241" s="4"/>
      <c r="QNP241" s="4"/>
      <c r="QNQ241" s="4"/>
      <c r="QNR241" s="4"/>
      <c r="QNS241" s="4"/>
      <c r="QNT241" s="4"/>
      <c r="QNU241" s="4"/>
      <c r="QNV241" s="4"/>
      <c r="QNW241" s="4"/>
      <c r="QNX241" s="4"/>
      <c r="QNY241" s="4"/>
      <c r="QNZ241" s="4"/>
      <c r="QOA241" s="4"/>
      <c r="QOB241" s="4"/>
      <c r="QOC241" s="4"/>
      <c r="QOD241" s="4"/>
      <c r="QOE241" s="4"/>
      <c r="QOF241" s="4"/>
      <c r="QOG241" s="4"/>
      <c r="QOH241" s="4"/>
      <c r="QOI241" s="4"/>
      <c r="QOJ241" s="4"/>
      <c r="QOK241" s="4"/>
      <c r="QOL241" s="4"/>
      <c r="QOM241" s="4"/>
      <c r="QON241" s="4"/>
      <c r="QOO241" s="4"/>
      <c r="QOP241" s="4"/>
      <c r="QOQ241" s="4"/>
      <c r="QOR241" s="4"/>
      <c r="QOS241" s="4"/>
      <c r="QOT241" s="4"/>
      <c r="QOU241" s="4"/>
      <c r="QOV241" s="4"/>
      <c r="QOW241" s="4"/>
      <c r="QOX241" s="4"/>
      <c r="QOY241" s="4"/>
      <c r="QOZ241" s="4"/>
      <c r="QPA241" s="4"/>
      <c r="QPB241" s="4"/>
      <c r="QPC241" s="4"/>
      <c r="QPD241" s="4"/>
      <c r="QPE241" s="4"/>
      <c r="QPF241" s="4"/>
      <c r="QPG241" s="4"/>
      <c r="QPH241" s="4"/>
      <c r="QPI241" s="4"/>
      <c r="QPJ241" s="4"/>
      <c r="QPK241" s="4"/>
      <c r="QPL241" s="4"/>
      <c r="QPM241" s="4"/>
      <c r="QPN241" s="4"/>
      <c r="QPO241" s="4"/>
      <c r="QPP241" s="4"/>
      <c r="QPQ241" s="4"/>
      <c r="QPR241" s="4"/>
      <c r="QPS241" s="4"/>
      <c r="QPT241" s="4"/>
      <c r="QPU241" s="4"/>
      <c r="QPV241" s="4"/>
      <c r="QPW241" s="4"/>
      <c r="QPX241" s="4"/>
      <c r="QPY241" s="4"/>
      <c r="QPZ241" s="4"/>
      <c r="QQA241" s="4"/>
      <c r="QQB241" s="4"/>
      <c r="QQC241" s="4"/>
      <c r="QQD241" s="4"/>
      <c r="QQE241" s="4"/>
      <c r="QQF241" s="4"/>
      <c r="QQG241" s="4"/>
      <c r="QQH241" s="4"/>
      <c r="QQI241" s="4"/>
      <c r="QQJ241" s="4"/>
      <c r="QQK241" s="4"/>
      <c r="QQL241" s="4"/>
      <c r="QQM241" s="4"/>
      <c r="QQN241" s="4"/>
      <c r="QQO241" s="4"/>
      <c r="QQP241" s="4"/>
      <c r="QQQ241" s="4"/>
      <c r="QQR241" s="4"/>
      <c r="QQS241" s="4"/>
      <c r="QQT241" s="4"/>
      <c r="QQU241" s="4"/>
      <c r="QQV241" s="4"/>
      <c r="QQW241" s="4"/>
      <c r="QQX241" s="4"/>
      <c r="QQY241" s="4"/>
      <c r="QQZ241" s="4"/>
      <c r="QRA241" s="4"/>
      <c r="QRB241" s="4"/>
      <c r="QRC241" s="4"/>
      <c r="QRD241" s="4"/>
      <c r="QRE241" s="4"/>
      <c r="QRF241" s="4"/>
      <c r="QRG241" s="4"/>
      <c r="QRH241" s="4"/>
      <c r="QRI241" s="4"/>
      <c r="QRJ241" s="4"/>
      <c r="QRK241" s="4"/>
      <c r="QRL241" s="4"/>
      <c r="QRM241" s="4"/>
      <c r="QRN241" s="4"/>
      <c r="QRO241" s="4"/>
      <c r="QRP241" s="4"/>
      <c r="QRQ241" s="4"/>
      <c r="QRR241" s="4"/>
      <c r="QRS241" s="4"/>
      <c r="QRT241" s="4"/>
      <c r="QRU241" s="4"/>
      <c r="QRV241" s="4"/>
      <c r="QRW241" s="4"/>
      <c r="QRX241" s="4"/>
      <c r="QRY241" s="4"/>
      <c r="QRZ241" s="4"/>
      <c r="QSA241" s="4"/>
      <c r="QSB241" s="4"/>
      <c r="QSC241" s="4"/>
      <c r="QSD241" s="4"/>
      <c r="QSE241" s="4"/>
      <c r="QSF241" s="4"/>
      <c r="QSG241" s="4"/>
      <c r="QSH241" s="4"/>
      <c r="QSI241" s="4"/>
      <c r="QSJ241" s="4"/>
      <c r="QSK241" s="4"/>
      <c r="QSL241" s="4"/>
      <c r="QSM241" s="4"/>
      <c r="QSN241" s="4"/>
      <c r="QSO241" s="4"/>
      <c r="QSP241" s="4"/>
      <c r="QSQ241" s="4"/>
      <c r="QSR241" s="4"/>
      <c r="QSS241" s="4"/>
      <c r="QST241" s="4"/>
      <c r="QSU241" s="4"/>
      <c r="QSV241" s="4"/>
      <c r="QSW241" s="4"/>
      <c r="QSX241" s="4"/>
      <c r="QSY241" s="4"/>
      <c r="QSZ241" s="4"/>
      <c r="QTA241" s="4"/>
      <c r="QTB241" s="4"/>
      <c r="QTC241" s="4"/>
      <c r="QTD241" s="4"/>
      <c r="QTE241" s="4"/>
      <c r="QTF241" s="4"/>
      <c r="QTG241" s="4"/>
      <c r="QTH241" s="4"/>
      <c r="QTI241" s="4"/>
      <c r="QTJ241" s="4"/>
      <c r="QTK241" s="4"/>
      <c r="QTL241" s="4"/>
      <c r="QTM241" s="4"/>
      <c r="QTN241" s="4"/>
      <c r="QTO241" s="4"/>
      <c r="QTP241" s="4"/>
      <c r="QTQ241" s="4"/>
      <c r="QTR241" s="4"/>
      <c r="QTS241" s="4"/>
      <c r="QTT241" s="4"/>
      <c r="QTU241" s="4"/>
      <c r="QTV241" s="4"/>
      <c r="QTW241" s="4"/>
      <c r="QTX241" s="4"/>
      <c r="QTY241" s="4"/>
      <c r="QTZ241" s="4"/>
      <c r="QUA241" s="4"/>
      <c r="QUB241" s="4"/>
      <c r="QUC241" s="4"/>
      <c r="QUD241" s="4"/>
      <c r="QUE241" s="4"/>
      <c r="QUF241" s="4"/>
      <c r="QUG241" s="4"/>
      <c r="QUH241" s="4"/>
      <c r="QUI241" s="4"/>
      <c r="QUJ241" s="4"/>
      <c r="QUK241" s="4"/>
      <c r="QUL241" s="4"/>
      <c r="QUM241" s="4"/>
      <c r="QUN241" s="4"/>
      <c r="QUO241" s="4"/>
      <c r="QUP241" s="4"/>
      <c r="QUQ241" s="4"/>
      <c r="QUR241" s="4"/>
      <c r="QUS241" s="4"/>
      <c r="QUT241" s="4"/>
      <c r="QUU241" s="4"/>
      <c r="QUV241" s="4"/>
      <c r="QUW241" s="4"/>
      <c r="QUX241" s="4"/>
      <c r="QUY241" s="4"/>
      <c r="QUZ241" s="4"/>
      <c r="QVA241" s="4"/>
      <c r="QVB241" s="4"/>
      <c r="QVC241" s="4"/>
      <c r="QVD241" s="4"/>
      <c r="QVE241" s="4"/>
      <c r="QVF241" s="4"/>
      <c r="QVG241" s="4"/>
      <c r="QVH241" s="4"/>
      <c r="QVI241" s="4"/>
      <c r="QVJ241" s="4"/>
      <c r="QVK241" s="4"/>
      <c r="QVL241" s="4"/>
      <c r="QVM241" s="4"/>
      <c r="QVN241" s="4"/>
      <c r="QVO241" s="4"/>
      <c r="QVP241" s="4"/>
      <c r="QVQ241" s="4"/>
      <c r="QVR241" s="4"/>
      <c r="QVS241" s="4"/>
      <c r="QVT241" s="4"/>
      <c r="QVU241" s="4"/>
      <c r="QVV241" s="4"/>
      <c r="QVW241" s="4"/>
      <c r="QVX241" s="4"/>
      <c r="QVY241" s="4"/>
      <c r="QVZ241" s="4"/>
      <c r="QWA241" s="4"/>
      <c r="QWB241" s="4"/>
      <c r="QWC241" s="4"/>
      <c r="QWD241" s="4"/>
      <c r="QWE241" s="4"/>
      <c r="QWF241" s="4"/>
      <c r="QWG241" s="4"/>
      <c r="QWH241" s="4"/>
      <c r="QWI241" s="4"/>
      <c r="QWJ241" s="4"/>
      <c r="QWK241" s="4"/>
      <c r="QWL241" s="4"/>
      <c r="QWM241" s="4"/>
      <c r="QWN241" s="4"/>
      <c r="QWO241" s="4"/>
      <c r="QWP241" s="4"/>
      <c r="QWQ241" s="4"/>
      <c r="QWR241" s="4"/>
      <c r="QWS241" s="4"/>
      <c r="QWT241" s="4"/>
      <c r="QWU241" s="4"/>
      <c r="QWV241" s="4"/>
      <c r="QWW241" s="4"/>
      <c r="QWX241" s="4"/>
      <c r="QWY241" s="4"/>
      <c r="QWZ241" s="4"/>
      <c r="QXA241" s="4"/>
      <c r="QXB241" s="4"/>
      <c r="QXC241" s="4"/>
      <c r="QXD241" s="4"/>
      <c r="QXE241" s="4"/>
      <c r="QXF241" s="4"/>
      <c r="QXG241" s="4"/>
      <c r="QXH241" s="4"/>
      <c r="QXI241" s="4"/>
      <c r="QXJ241" s="4"/>
      <c r="QXK241" s="4"/>
      <c r="QXL241" s="4"/>
      <c r="QXM241" s="4"/>
      <c r="QXN241" s="4"/>
      <c r="QXO241" s="4"/>
      <c r="QXP241" s="4"/>
      <c r="QXQ241" s="4"/>
      <c r="QXR241" s="4"/>
      <c r="QXS241" s="4"/>
      <c r="QXT241" s="4"/>
      <c r="QXU241" s="4"/>
      <c r="QXV241" s="4"/>
      <c r="QXW241" s="4"/>
      <c r="QXX241" s="4"/>
      <c r="QXY241" s="4"/>
      <c r="QXZ241" s="4"/>
      <c r="QYA241" s="4"/>
      <c r="QYB241" s="4"/>
      <c r="QYC241" s="4"/>
      <c r="QYD241" s="4"/>
      <c r="QYE241" s="4"/>
      <c r="QYF241" s="4"/>
      <c r="QYG241" s="4"/>
      <c r="QYH241" s="4"/>
      <c r="QYI241" s="4"/>
      <c r="QYJ241" s="4"/>
      <c r="QYK241" s="4"/>
      <c r="QYL241" s="4"/>
      <c r="QYM241" s="4"/>
      <c r="QYN241" s="4"/>
      <c r="QYO241" s="4"/>
      <c r="QYP241" s="4"/>
      <c r="QYQ241" s="4"/>
      <c r="QYR241" s="4"/>
      <c r="QYS241" s="4"/>
      <c r="QYT241" s="4"/>
      <c r="QYU241" s="4"/>
      <c r="QYV241" s="4"/>
      <c r="QYW241" s="4"/>
      <c r="QYX241" s="4"/>
      <c r="QYY241" s="4"/>
      <c r="QYZ241" s="4"/>
      <c r="QZA241" s="4"/>
      <c r="QZB241" s="4"/>
      <c r="QZC241" s="4"/>
      <c r="QZD241" s="4"/>
      <c r="QZE241" s="4"/>
      <c r="QZF241" s="4"/>
      <c r="QZG241" s="4"/>
      <c r="QZH241" s="4"/>
      <c r="QZI241" s="4"/>
      <c r="QZJ241" s="4"/>
      <c r="QZK241" s="4"/>
      <c r="QZL241" s="4"/>
      <c r="QZM241" s="4"/>
      <c r="QZN241" s="4"/>
      <c r="QZO241" s="4"/>
      <c r="QZP241" s="4"/>
      <c r="QZQ241" s="4"/>
      <c r="QZR241" s="4"/>
      <c r="QZS241" s="4"/>
      <c r="QZT241" s="4"/>
      <c r="QZU241" s="4"/>
      <c r="QZV241" s="4"/>
      <c r="QZW241" s="4"/>
      <c r="QZX241" s="4"/>
      <c r="QZY241" s="4"/>
      <c r="QZZ241" s="4"/>
      <c r="RAA241" s="4"/>
      <c r="RAB241" s="4"/>
      <c r="RAC241" s="4"/>
      <c r="RAD241" s="4"/>
      <c r="RAE241" s="4"/>
      <c r="RAF241" s="4"/>
      <c r="RAG241" s="4"/>
      <c r="RAH241" s="4"/>
      <c r="RAI241" s="4"/>
      <c r="RAJ241" s="4"/>
      <c r="RAK241" s="4"/>
      <c r="RAL241" s="4"/>
      <c r="RAM241" s="4"/>
      <c r="RAN241" s="4"/>
      <c r="RAO241" s="4"/>
      <c r="RAP241" s="4"/>
      <c r="RAQ241" s="4"/>
      <c r="RAR241" s="4"/>
      <c r="RAS241" s="4"/>
      <c r="RAT241" s="4"/>
      <c r="RAU241" s="4"/>
      <c r="RAV241" s="4"/>
      <c r="RAW241" s="4"/>
      <c r="RAX241" s="4"/>
      <c r="RAY241" s="4"/>
      <c r="RAZ241" s="4"/>
      <c r="RBA241" s="4"/>
      <c r="RBB241" s="4"/>
      <c r="RBC241" s="4"/>
      <c r="RBD241" s="4"/>
      <c r="RBE241" s="4"/>
      <c r="RBF241" s="4"/>
      <c r="RBG241" s="4"/>
      <c r="RBH241" s="4"/>
      <c r="RBI241" s="4"/>
      <c r="RBJ241" s="4"/>
      <c r="RBK241" s="4"/>
      <c r="RBL241" s="4"/>
      <c r="RBM241" s="4"/>
      <c r="RBN241" s="4"/>
      <c r="RBO241" s="4"/>
      <c r="RBP241" s="4"/>
      <c r="RBQ241" s="4"/>
      <c r="RBR241" s="4"/>
      <c r="RBS241" s="4"/>
      <c r="RBT241" s="4"/>
      <c r="RBU241" s="4"/>
      <c r="RBV241" s="4"/>
      <c r="RBW241" s="4"/>
      <c r="RBX241" s="4"/>
      <c r="RBY241" s="4"/>
      <c r="RBZ241" s="4"/>
      <c r="RCA241" s="4"/>
      <c r="RCB241" s="4"/>
      <c r="RCC241" s="4"/>
      <c r="RCD241" s="4"/>
      <c r="RCE241" s="4"/>
      <c r="RCF241" s="4"/>
      <c r="RCG241" s="4"/>
      <c r="RCH241" s="4"/>
      <c r="RCI241" s="4"/>
      <c r="RCJ241" s="4"/>
      <c r="RCK241" s="4"/>
      <c r="RCL241" s="4"/>
      <c r="RCM241" s="4"/>
      <c r="RCN241" s="4"/>
      <c r="RCO241" s="4"/>
      <c r="RCP241" s="4"/>
      <c r="RCQ241" s="4"/>
      <c r="RCR241" s="4"/>
      <c r="RCS241" s="4"/>
      <c r="RCT241" s="4"/>
      <c r="RCU241" s="4"/>
      <c r="RCV241" s="4"/>
      <c r="RCW241" s="4"/>
      <c r="RCX241" s="4"/>
      <c r="RCY241" s="4"/>
      <c r="RCZ241" s="4"/>
      <c r="RDA241" s="4"/>
      <c r="RDB241" s="4"/>
      <c r="RDC241" s="4"/>
      <c r="RDD241" s="4"/>
      <c r="RDE241" s="4"/>
      <c r="RDF241" s="4"/>
      <c r="RDG241" s="4"/>
      <c r="RDH241" s="4"/>
      <c r="RDI241" s="4"/>
      <c r="RDJ241" s="4"/>
      <c r="RDK241" s="4"/>
      <c r="RDL241" s="4"/>
      <c r="RDM241" s="4"/>
      <c r="RDN241" s="4"/>
      <c r="RDO241" s="4"/>
      <c r="RDP241" s="4"/>
      <c r="RDQ241" s="4"/>
      <c r="RDR241" s="4"/>
      <c r="RDS241" s="4"/>
      <c r="RDT241" s="4"/>
      <c r="RDU241" s="4"/>
      <c r="RDV241" s="4"/>
      <c r="RDW241" s="4"/>
      <c r="RDX241" s="4"/>
      <c r="RDY241" s="4"/>
      <c r="RDZ241" s="4"/>
      <c r="REA241" s="4"/>
      <c r="REB241" s="4"/>
      <c r="REC241" s="4"/>
      <c r="RED241" s="4"/>
      <c r="REE241" s="4"/>
      <c r="REF241" s="4"/>
      <c r="REG241" s="4"/>
      <c r="REH241" s="4"/>
      <c r="REI241" s="4"/>
      <c r="REJ241" s="4"/>
      <c r="REK241" s="4"/>
      <c r="REL241" s="4"/>
      <c r="REM241" s="4"/>
      <c r="REN241" s="4"/>
      <c r="REO241" s="4"/>
      <c r="REP241" s="4"/>
      <c r="REQ241" s="4"/>
      <c r="RER241" s="4"/>
      <c r="RES241" s="4"/>
      <c r="RET241" s="4"/>
      <c r="REU241" s="4"/>
      <c r="REV241" s="4"/>
      <c r="REW241" s="4"/>
      <c r="REX241" s="4"/>
      <c r="REY241" s="4"/>
      <c r="REZ241" s="4"/>
      <c r="RFA241" s="4"/>
      <c r="RFB241" s="4"/>
      <c r="RFC241" s="4"/>
      <c r="RFD241" s="4"/>
      <c r="RFE241" s="4"/>
      <c r="RFF241" s="4"/>
      <c r="RFG241" s="4"/>
      <c r="RFH241" s="4"/>
      <c r="RFI241" s="4"/>
      <c r="RFJ241" s="4"/>
      <c r="RFK241" s="4"/>
      <c r="RFL241" s="4"/>
      <c r="RFM241" s="4"/>
      <c r="RFN241" s="4"/>
      <c r="RFO241" s="4"/>
      <c r="RFP241" s="4"/>
      <c r="RFQ241" s="4"/>
      <c r="RFR241" s="4"/>
      <c r="RFS241" s="4"/>
      <c r="RFT241" s="4"/>
      <c r="RFU241" s="4"/>
      <c r="RFV241" s="4"/>
      <c r="RFW241" s="4"/>
      <c r="RFX241" s="4"/>
      <c r="RFY241" s="4"/>
      <c r="RFZ241" s="4"/>
      <c r="RGA241" s="4"/>
      <c r="RGB241" s="4"/>
      <c r="RGC241" s="4"/>
      <c r="RGD241" s="4"/>
      <c r="RGE241" s="4"/>
      <c r="RGF241" s="4"/>
      <c r="RGG241" s="4"/>
      <c r="RGH241" s="4"/>
      <c r="RGI241" s="4"/>
      <c r="RGJ241" s="4"/>
      <c r="RGK241" s="4"/>
      <c r="RGL241" s="4"/>
      <c r="RGM241" s="4"/>
      <c r="RGN241" s="4"/>
      <c r="RGO241" s="4"/>
      <c r="RGP241" s="4"/>
      <c r="RGQ241" s="4"/>
      <c r="RGR241" s="4"/>
      <c r="RGS241" s="4"/>
      <c r="RGT241" s="4"/>
      <c r="RGU241" s="4"/>
      <c r="RGV241" s="4"/>
      <c r="RGW241" s="4"/>
      <c r="RGX241" s="4"/>
      <c r="RGY241" s="4"/>
      <c r="RGZ241" s="4"/>
      <c r="RHA241" s="4"/>
      <c r="RHB241" s="4"/>
      <c r="RHC241" s="4"/>
      <c r="RHD241" s="4"/>
      <c r="RHE241" s="4"/>
      <c r="RHF241" s="4"/>
      <c r="RHG241" s="4"/>
      <c r="RHH241" s="4"/>
      <c r="RHI241" s="4"/>
      <c r="RHJ241" s="4"/>
      <c r="RHK241" s="4"/>
      <c r="RHL241" s="4"/>
      <c r="RHM241" s="4"/>
      <c r="RHN241" s="4"/>
      <c r="RHO241" s="4"/>
      <c r="RHP241" s="4"/>
      <c r="RHQ241" s="4"/>
      <c r="RHR241" s="4"/>
      <c r="RHS241" s="4"/>
      <c r="RHT241" s="4"/>
      <c r="RHU241" s="4"/>
      <c r="RHV241" s="4"/>
      <c r="RHW241" s="4"/>
      <c r="RHX241" s="4"/>
      <c r="RHY241" s="4"/>
      <c r="RHZ241" s="4"/>
      <c r="RIA241" s="4"/>
      <c r="RIB241" s="4"/>
      <c r="RIC241" s="4"/>
      <c r="RID241" s="4"/>
      <c r="RIE241" s="4"/>
      <c r="RIF241" s="4"/>
      <c r="RIG241" s="4"/>
      <c r="RIH241" s="4"/>
      <c r="RII241" s="4"/>
      <c r="RIJ241" s="4"/>
      <c r="RIK241" s="4"/>
      <c r="RIL241" s="4"/>
      <c r="RIM241" s="4"/>
      <c r="RIN241" s="4"/>
      <c r="RIO241" s="4"/>
      <c r="RIP241" s="4"/>
      <c r="RIQ241" s="4"/>
      <c r="RIR241" s="4"/>
      <c r="RIS241" s="4"/>
      <c r="RIT241" s="4"/>
      <c r="RIU241" s="4"/>
      <c r="RIV241" s="4"/>
      <c r="RIW241" s="4"/>
      <c r="RIX241" s="4"/>
      <c r="RIY241" s="4"/>
      <c r="RIZ241" s="4"/>
      <c r="RJA241" s="4"/>
      <c r="RJB241" s="4"/>
      <c r="RJC241" s="4"/>
      <c r="RJD241" s="4"/>
      <c r="RJE241" s="4"/>
      <c r="RJF241" s="4"/>
      <c r="RJG241" s="4"/>
      <c r="RJH241" s="4"/>
      <c r="RJI241" s="4"/>
      <c r="RJJ241" s="4"/>
      <c r="RJK241" s="4"/>
      <c r="RJL241" s="4"/>
      <c r="RJM241" s="4"/>
      <c r="RJN241" s="4"/>
      <c r="RJO241" s="4"/>
      <c r="RJP241" s="4"/>
      <c r="RJQ241" s="4"/>
      <c r="RJR241" s="4"/>
      <c r="RJS241" s="4"/>
      <c r="RJT241" s="4"/>
      <c r="RJU241" s="4"/>
      <c r="RJV241" s="4"/>
      <c r="RJW241" s="4"/>
      <c r="RJX241" s="4"/>
      <c r="RJY241" s="4"/>
      <c r="RJZ241" s="4"/>
      <c r="RKA241" s="4"/>
      <c r="RKB241" s="4"/>
      <c r="RKC241" s="4"/>
      <c r="RKD241" s="4"/>
      <c r="RKE241" s="4"/>
      <c r="RKF241" s="4"/>
      <c r="RKG241" s="4"/>
      <c r="RKH241" s="4"/>
      <c r="RKI241" s="4"/>
      <c r="RKJ241" s="4"/>
      <c r="RKK241" s="4"/>
      <c r="RKL241" s="4"/>
      <c r="RKM241" s="4"/>
      <c r="RKN241" s="4"/>
      <c r="RKO241" s="4"/>
      <c r="RKP241" s="4"/>
      <c r="RKQ241" s="4"/>
      <c r="RKR241" s="4"/>
      <c r="RKS241" s="4"/>
      <c r="RKT241" s="4"/>
      <c r="RKU241" s="4"/>
      <c r="RKV241" s="4"/>
      <c r="RKW241" s="4"/>
      <c r="RKX241" s="4"/>
      <c r="RKY241" s="4"/>
      <c r="RKZ241" s="4"/>
      <c r="RLA241" s="4"/>
      <c r="RLB241" s="4"/>
      <c r="RLC241" s="4"/>
      <c r="RLD241" s="4"/>
      <c r="RLE241" s="4"/>
      <c r="RLF241" s="4"/>
      <c r="RLG241" s="4"/>
      <c r="RLH241" s="4"/>
      <c r="RLI241" s="4"/>
      <c r="RLJ241" s="4"/>
      <c r="RLK241" s="4"/>
      <c r="RLL241" s="4"/>
      <c r="RLM241" s="4"/>
      <c r="RLN241" s="4"/>
      <c r="RLO241" s="4"/>
      <c r="RLP241" s="4"/>
      <c r="RLQ241" s="4"/>
      <c r="RLR241" s="4"/>
      <c r="RLS241" s="4"/>
      <c r="RLT241" s="4"/>
      <c r="RLU241" s="4"/>
      <c r="RLV241" s="4"/>
      <c r="RLW241" s="4"/>
      <c r="RLX241" s="4"/>
      <c r="RLY241" s="4"/>
      <c r="RLZ241" s="4"/>
      <c r="RMA241" s="4"/>
      <c r="RMB241" s="4"/>
      <c r="RMC241" s="4"/>
      <c r="RMD241" s="4"/>
      <c r="RME241" s="4"/>
      <c r="RMF241" s="4"/>
      <c r="RMG241" s="4"/>
      <c r="RMH241" s="4"/>
      <c r="RMI241" s="4"/>
      <c r="RMJ241" s="4"/>
      <c r="RMK241" s="4"/>
      <c r="RML241" s="4"/>
      <c r="RMM241" s="4"/>
      <c r="RMN241" s="4"/>
      <c r="RMO241" s="4"/>
      <c r="RMP241" s="4"/>
      <c r="RMQ241" s="4"/>
      <c r="RMR241" s="4"/>
      <c r="RMS241" s="4"/>
      <c r="RMT241" s="4"/>
      <c r="RMU241" s="4"/>
      <c r="RMV241" s="4"/>
      <c r="RMW241" s="4"/>
      <c r="RMX241" s="4"/>
      <c r="RMY241" s="4"/>
      <c r="RMZ241" s="4"/>
      <c r="RNA241" s="4"/>
      <c r="RNB241" s="4"/>
      <c r="RNC241" s="4"/>
      <c r="RND241" s="4"/>
      <c r="RNE241" s="4"/>
      <c r="RNF241" s="4"/>
      <c r="RNG241" s="4"/>
      <c r="RNH241" s="4"/>
      <c r="RNI241" s="4"/>
      <c r="RNJ241" s="4"/>
      <c r="RNK241" s="4"/>
      <c r="RNL241" s="4"/>
      <c r="RNM241" s="4"/>
      <c r="RNN241" s="4"/>
      <c r="RNO241" s="4"/>
      <c r="RNP241" s="4"/>
      <c r="RNQ241" s="4"/>
      <c r="RNR241" s="4"/>
      <c r="RNS241" s="4"/>
      <c r="RNT241" s="4"/>
      <c r="RNU241" s="4"/>
      <c r="RNV241" s="4"/>
      <c r="RNW241" s="4"/>
      <c r="RNX241" s="4"/>
      <c r="RNY241" s="4"/>
      <c r="RNZ241" s="4"/>
      <c r="ROA241" s="4"/>
      <c r="ROB241" s="4"/>
      <c r="ROC241" s="4"/>
      <c r="ROD241" s="4"/>
      <c r="ROE241" s="4"/>
      <c r="ROF241" s="4"/>
      <c r="ROG241" s="4"/>
      <c r="ROH241" s="4"/>
      <c r="ROI241" s="4"/>
      <c r="ROJ241" s="4"/>
      <c r="ROK241" s="4"/>
      <c r="ROL241" s="4"/>
      <c r="ROM241" s="4"/>
      <c r="RON241" s="4"/>
      <c r="ROO241" s="4"/>
      <c r="ROP241" s="4"/>
      <c r="ROQ241" s="4"/>
      <c r="ROR241" s="4"/>
      <c r="ROS241" s="4"/>
      <c r="ROT241" s="4"/>
      <c r="ROU241" s="4"/>
      <c r="ROV241" s="4"/>
      <c r="ROW241" s="4"/>
      <c r="ROX241" s="4"/>
      <c r="ROY241" s="4"/>
      <c r="ROZ241" s="4"/>
      <c r="RPA241" s="4"/>
      <c r="RPB241" s="4"/>
      <c r="RPC241" s="4"/>
      <c r="RPD241" s="4"/>
      <c r="RPE241" s="4"/>
      <c r="RPF241" s="4"/>
      <c r="RPG241" s="4"/>
      <c r="RPH241" s="4"/>
      <c r="RPI241" s="4"/>
      <c r="RPJ241" s="4"/>
      <c r="RPK241" s="4"/>
      <c r="RPL241" s="4"/>
      <c r="RPM241" s="4"/>
      <c r="RPN241" s="4"/>
      <c r="RPO241" s="4"/>
      <c r="RPP241" s="4"/>
      <c r="RPQ241" s="4"/>
      <c r="RPR241" s="4"/>
      <c r="RPS241" s="4"/>
      <c r="RPT241" s="4"/>
      <c r="RPU241" s="4"/>
      <c r="RPV241" s="4"/>
      <c r="RPW241" s="4"/>
      <c r="RPX241" s="4"/>
      <c r="RPY241" s="4"/>
      <c r="RPZ241" s="4"/>
      <c r="RQA241" s="4"/>
      <c r="RQB241" s="4"/>
      <c r="RQC241" s="4"/>
      <c r="RQD241" s="4"/>
      <c r="RQE241" s="4"/>
      <c r="RQF241" s="4"/>
      <c r="RQG241" s="4"/>
      <c r="RQH241" s="4"/>
      <c r="RQI241" s="4"/>
      <c r="RQJ241" s="4"/>
      <c r="RQK241" s="4"/>
      <c r="RQL241" s="4"/>
      <c r="RQM241" s="4"/>
      <c r="RQN241" s="4"/>
      <c r="RQO241" s="4"/>
      <c r="RQP241" s="4"/>
      <c r="RQQ241" s="4"/>
      <c r="RQR241" s="4"/>
      <c r="RQS241" s="4"/>
      <c r="RQT241" s="4"/>
      <c r="RQU241" s="4"/>
      <c r="RQV241" s="4"/>
      <c r="RQW241" s="4"/>
      <c r="RQX241" s="4"/>
      <c r="RQY241" s="4"/>
      <c r="RQZ241" s="4"/>
      <c r="RRA241" s="4"/>
      <c r="RRB241" s="4"/>
      <c r="RRC241" s="4"/>
      <c r="RRD241" s="4"/>
      <c r="RRE241" s="4"/>
      <c r="RRF241" s="4"/>
      <c r="RRG241" s="4"/>
      <c r="RRH241" s="4"/>
      <c r="RRI241" s="4"/>
      <c r="RRJ241" s="4"/>
      <c r="RRK241" s="4"/>
      <c r="RRL241" s="4"/>
      <c r="RRM241" s="4"/>
      <c r="RRN241" s="4"/>
      <c r="RRO241" s="4"/>
      <c r="RRP241" s="4"/>
      <c r="RRQ241" s="4"/>
      <c r="RRR241" s="4"/>
      <c r="RRS241" s="4"/>
      <c r="RRT241" s="4"/>
      <c r="RRU241" s="4"/>
      <c r="RRV241" s="4"/>
      <c r="RRW241" s="4"/>
      <c r="RRX241" s="4"/>
      <c r="RRY241" s="4"/>
      <c r="RRZ241" s="4"/>
      <c r="RSA241" s="4"/>
      <c r="RSB241" s="4"/>
      <c r="RSC241" s="4"/>
      <c r="RSD241" s="4"/>
      <c r="RSE241" s="4"/>
      <c r="RSF241" s="4"/>
      <c r="RSG241" s="4"/>
      <c r="RSH241" s="4"/>
      <c r="RSI241" s="4"/>
      <c r="RSJ241" s="4"/>
      <c r="RSK241" s="4"/>
      <c r="RSL241" s="4"/>
      <c r="RSM241" s="4"/>
      <c r="RSN241" s="4"/>
      <c r="RSO241" s="4"/>
      <c r="RSP241" s="4"/>
      <c r="RSQ241" s="4"/>
      <c r="RSR241" s="4"/>
      <c r="RSS241" s="4"/>
      <c r="RST241" s="4"/>
      <c r="RSU241" s="4"/>
      <c r="RSV241" s="4"/>
      <c r="RSW241" s="4"/>
      <c r="RSX241" s="4"/>
      <c r="RSY241" s="4"/>
      <c r="RSZ241" s="4"/>
      <c r="RTA241" s="4"/>
      <c r="RTB241" s="4"/>
      <c r="RTC241" s="4"/>
      <c r="RTD241" s="4"/>
      <c r="RTE241" s="4"/>
      <c r="RTF241" s="4"/>
      <c r="RTG241" s="4"/>
      <c r="RTH241" s="4"/>
      <c r="RTI241" s="4"/>
      <c r="RTJ241" s="4"/>
      <c r="RTK241" s="4"/>
      <c r="RTL241" s="4"/>
      <c r="RTM241" s="4"/>
      <c r="RTN241" s="4"/>
      <c r="RTO241" s="4"/>
      <c r="RTP241" s="4"/>
      <c r="RTQ241" s="4"/>
      <c r="RTR241" s="4"/>
      <c r="RTS241" s="4"/>
      <c r="RTT241" s="4"/>
      <c r="RTU241" s="4"/>
      <c r="RTV241" s="4"/>
      <c r="RTW241" s="4"/>
      <c r="RTX241" s="4"/>
      <c r="RTY241" s="4"/>
      <c r="RTZ241" s="4"/>
      <c r="RUA241" s="4"/>
      <c r="RUB241" s="4"/>
      <c r="RUC241" s="4"/>
      <c r="RUD241" s="4"/>
      <c r="RUE241" s="4"/>
      <c r="RUF241" s="4"/>
      <c r="RUG241" s="4"/>
      <c r="RUH241" s="4"/>
      <c r="RUI241" s="4"/>
      <c r="RUJ241" s="4"/>
      <c r="RUK241" s="4"/>
      <c r="RUL241" s="4"/>
      <c r="RUM241" s="4"/>
      <c r="RUN241" s="4"/>
      <c r="RUO241" s="4"/>
      <c r="RUP241" s="4"/>
      <c r="RUQ241" s="4"/>
      <c r="RUR241" s="4"/>
      <c r="RUS241" s="4"/>
      <c r="RUT241" s="4"/>
      <c r="RUU241" s="4"/>
      <c r="RUV241" s="4"/>
      <c r="RUW241" s="4"/>
      <c r="RUX241" s="4"/>
      <c r="RUY241" s="4"/>
      <c r="RUZ241" s="4"/>
      <c r="RVA241" s="4"/>
      <c r="RVB241" s="4"/>
      <c r="RVC241" s="4"/>
      <c r="RVD241" s="4"/>
      <c r="RVE241" s="4"/>
      <c r="RVF241" s="4"/>
      <c r="RVG241" s="4"/>
      <c r="RVH241" s="4"/>
      <c r="RVI241" s="4"/>
      <c r="RVJ241" s="4"/>
      <c r="RVK241" s="4"/>
      <c r="RVL241" s="4"/>
      <c r="RVM241" s="4"/>
      <c r="RVN241" s="4"/>
      <c r="RVO241" s="4"/>
      <c r="RVP241" s="4"/>
      <c r="RVQ241" s="4"/>
      <c r="RVR241" s="4"/>
      <c r="RVS241" s="4"/>
      <c r="RVT241" s="4"/>
      <c r="RVU241" s="4"/>
      <c r="RVV241" s="4"/>
      <c r="RVW241" s="4"/>
      <c r="RVX241" s="4"/>
      <c r="RVY241" s="4"/>
      <c r="RVZ241" s="4"/>
      <c r="RWA241" s="4"/>
      <c r="RWB241" s="4"/>
      <c r="RWC241" s="4"/>
      <c r="RWD241" s="4"/>
      <c r="RWE241" s="4"/>
      <c r="RWF241" s="4"/>
      <c r="RWG241" s="4"/>
      <c r="RWH241" s="4"/>
      <c r="RWI241" s="4"/>
      <c r="RWJ241" s="4"/>
      <c r="RWK241" s="4"/>
      <c r="RWL241" s="4"/>
      <c r="RWM241" s="4"/>
      <c r="RWN241" s="4"/>
      <c r="RWO241" s="4"/>
      <c r="RWP241" s="4"/>
      <c r="RWQ241" s="4"/>
      <c r="RWR241" s="4"/>
      <c r="RWS241" s="4"/>
      <c r="RWT241" s="4"/>
      <c r="RWU241" s="4"/>
      <c r="RWV241" s="4"/>
      <c r="RWW241" s="4"/>
      <c r="RWX241" s="4"/>
      <c r="RWY241" s="4"/>
      <c r="RWZ241" s="4"/>
      <c r="RXA241" s="4"/>
      <c r="RXB241" s="4"/>
      <c r="RXC241" s="4"/>
      <c r="RXD241" s="4"/>
      <c r="RXE241" s="4"/>
      <c r="RXF241" s="4"/>
      <c r="RXG241" s="4"/>
      <c r="RXH241" s="4"/>
      <c r="RXI241" s="4"/>
      <c r="RXJ241" s="4"/>
      <c r="RXK241" s="4"/>
      <c r="RXL241" s="4"/>
      <c r="RXM241" s="4"/>
      <c r="RXN241" s="4"/>
      <c r="RXO241" s="4"/>
      <c r="RXP241" s="4"/>
      <c r="RXQ241" s="4"/>
      <c r="RXR241" s="4"/>
      <c r="RXS241" s="4"/>
      <c r="RXT241" s="4"/>
      <c r="RXU241" s="4"/>
      <c r="RXV241" s="4"/>
      <c r="RXW241" s="4"/>
      <c r="RXX241" s="4"/>
      <c r="RXY241" s="4"/>
      <c r="RXZ241" s="4"/>
      <c r="RYA241" s="4"/>
      <c r="RYB241" s="4"/>
      <c r="RYC241" s="4"/>
      <c r="RYD241" s="4"/>
      <c r="RYE241" s="4"/>
      <c r="RYF241" s="4"/>
      <c r="RYG241" s="4"/>
      <c r="RYH241" s="4"/>
      <c r="RYI241" s="4"/>
      <c r="RYJ241" s="4"/>
      <c r="RYK241" s="4"/>
      <c r="RYL241" s="4"/>
      <c r="RYM241" s="4"/>
      <c r="RYN241" s="4"/>
      <c r="RYO241" s="4"/>
      <c r="RYP241" s="4"/>
      <c r="RYQ241" s="4"/>
      <c r="RYR241" s="4"/>
      <c r="RYS241" s="4"/>
      <c r="RYT241" s="4"/>
      <c r="RYU241" s="4"/>
      <c r="RYV241" s="4"/>
      <c r="RYW241" s="4"/>
      <c r="RYX241" s="4"/>
      <c r="RYY241" s="4"/>
      <c r="RYZ241" s="4"/>
      <c r="RZA241" s="4"/>
      <c r="RZB241" s="4"/>
      <c r="RZC241" s="4"/>
      <c r="RZD241" s="4"/>
      <c r="RZE241" s="4"/>
      <c r="RZF241" s="4"/>
      <c r="RZG241" s="4"/>
      <c r="RZH241" s="4"/>
      <c r="RZI241" s="4"/>
      <c r="RZJ241" s="4"/>
      <c r="RZK241" s="4"/>
      <c r="RZL241" s="4"/>
      <c r="RZM241" s="4"/>
      <c r="RZN241" s="4"/>
      <c r="RZO241" s="4"/>
      <c r="RZP241" s="4"/>
      <c r="RZQ241" s="4"/>
      <c r="RZR241" s="4"/>
      <c r="RZS241" s="4"/>
      <c r="RZT241" s="4"/>
      <c r="RZU241" s="4"/>
      <c r="RZV241" s="4"/>
      <c r="RZW241" s="4"/>
      <c r="RZX241" s="4"/>
      <c r="RZY241" s="4"/>
      <c r="RZZ241" s="4"/>
      <c r="SAA241" s="4"/>
      <c r="SAB241" s="4"/>
      <c r="SAC241" s="4"/>
      <c r="SAD241" s="4"/>
      <c r="SAE241" s="4"/>
      <c r="SAF241" s="4"/>
      <c r="SAG241" s="4"/>
      <c r="SAH241" s="4"/>
      <c r="SAI241" s="4"/>
      <c r="SAJ241" s="4"/>
      <c r="SAK241" s="4"/>
      <c r="SAL241" s="4"/>
      <c r="SAM241" s="4"/>
      <c r="SAN241" s="4"/>
      <c r="SAO241" s="4"/>
      <c r="SAP241" s="4"/>
      <c r="SAQ241" s="4"/>
      <c r="SAR241" s="4"/>
      <c r="SAS241" s="4"/>
      <c r="SAT241" s="4"/>
      <c r="SAU241" s="4"/>
      <c r="SAV241" s="4"/>
      <c r="SAW241" s="4"/>
      <c r="SAX241" s="4"/>
      <c r="SAY241" s="4"/>
      <c r="SAZ241" s="4"/>
      <c r="SBA241" s="4"/>
      <c r="SBB241" s="4"/>
      <c r="SBC241" s="4"/>
      <c r="SBD241" s="4"/>
      <c r="SBE241" s="4"/>
      <c r="SBF241" s="4"/>
      <c r="SBG241" s="4"/>
      <c r="SBH241" s="4"/>
      <c r="SBI241" s="4"/>
      <c r="SBJ241" s="4"/>
      <c r="SBK241" s="4"/>
      <c r="SBL241" s="4"/>
      <c r="SBM241" s="4"/>
      <c r="SBN241" s="4"/>
      <c r="SBO241" s="4"/>
      <c r="SBP241" s="4"/>
      <c r="SBQ241" s="4"/>
      <c r="SBR241" s="4"/>
      <c r="SBS241" s="4"/>
      <c r="SBT241" s="4"/>
      <c r="SBU241" s="4"/>
      <c r="SBV241" s="4"/>
      <c r="SBW241" s="4"/>
      <c r="SBX241" s="4"/>
      <c r="SBY241" s="4"/>
      <c r="SBZ241" s="4"/>
      <c r="SCA241" s="4"/>
      <c r="SCB241" s="4"/>
      <c r="SCC241" s="4"/>
      <c r="SCD241" s="4"/>
      <c r="SCE241" s="4"/>
      <c r="SCF241" s="4"/>
      <c r="SCG241" s="4"/>
      <c r="SCH241" s="4"/>
      <c r="SCI241" s="4"/>
      <c r="SCJ241" s="4"/>
      <c r="SCK241" s="4"/>
      <c r="SCL241" s="4"/>
      <c r="SCM241" s="4"/>
      <c r="SCN241" s="4"/>
      <c r="SCO241" s="4"/>
      <c r="SCP241" s="4"/>
      <c r="SCQ241" s="4"/>
      <c r="SCR241" s="4"/>
      <c r="SCS241" s="4"/>
      <c r="SCT241" s="4"/>
      <c r="SCU241" s="4"/>
      <c r="SCV241" s="4"/>
      <c r="SCW241" s="4"/>
      <c r="SCX241" s="4"/>
      <c r="SCY241" s="4"/>
      <c r="SCZ241" s="4"/>
      <c r="SDA241" s="4"/>
      <c r="SDB241" s="4"/>
      <c r="SDC241" s="4"/>
      <c r="SDD241" s="4"/>
      <c r="SDE241" s="4"/>
      <c r="SDF241" s="4"/>
      <c r="SDG241" s="4"/>
      <c r="SDH241" s="4"/>
      <c r="SDI241" s="4"/>
      <c r="SDJ241" s="4"/>
      <c r="SDK241" s="4"/>
      <c r="SDL241" s="4"/>
      <c r="SDM241" s="4"/>
      <c r="SDN241" s="4"/>
      <c r="SDO241" s="4"/>
      <c r="SDP241" s="4"/>
      <c r="SDQ241" s="4"/>
      <c r="SDR241" s="4"/>
      <c r="SDS241" s="4"/>
      <c r="SDT241" s="4"/>
      <c r="SDU241" s="4"/>
      <c r="SDV241" s="4"/>
      <c r="SDW241" s="4"/>
      <c r="SDX241" s="4"/>
      <c r="SDY241" s="4"/>
      <c r="SDZ241" s="4"/>
      <c r="SEA241" s="4"/>
      <c r="SEB241" s="4"/>
      <c r="SEC241" s="4"/>
      <c r="SED241" s="4"/>
      <c r="SEE241" s="4"/>
      <c r="SEF241" s="4"/>
      <c r="SEG241" s="4"/>
      <c r="SEH241" s="4"/>
      <c r="SEI241" s="4"/>
      <c r="SEJ241" s="4"/>
      <c r="SEK241" s="4"/>
      <c r="SEL241" s="4"/>
      <c r="SEM241" s="4"/>
      <c r="SEN241" s="4"/>
      <c r="SEO241" s="4"/>
      <c r="SEP241" s="4"/>
      <c r="SEQ241" s="4"/>
      <c r="SER241" s="4"/>
      <c r="SES241" s="4"/>
      <c r="SET241" s="4"/>
      <c r="SEU241" s="4"/>
      <c r="SEV241" s="4"/>
      <c r="SEW241" s="4"/>
      <c r="SEX241" s="4"/>
      <c r="SEY241" s="4"/>
      <c r="SEZ241" s="4"/>
      <c r="SFA241" s="4"/>
      <c r="SFB241" s="4"/>
      <c r="SFC241" s="4"/>
      <c r="SFD241" s="4"/>
      <c r="SFE241" s="4"/>
      <c r="SFF241" s="4"/>
      <c r="SFG241" s="4"/>
      <c r="SFH241" s="4"/>
      <c r="SFI241" s="4"/>
      <c r="SFJ241" s="4"/>
      <c r="SFK241" s="4"/>
      <c r="SFL241" s="4"/>
      <c r="SFM241" s="4"/>
      <c r="SFN241" s="4"/>
      <c r="SFO241" s="4"/>
      <c r="SFP241" s="4"/>
      <c r="SFQ241" s="4"/>
      <c r="SFR241" s="4"/>
      <c r="SFS241" s="4"/>
      <c r="SFT241" s="4"/>
      <c r="SFU241" s="4"/>
      <c r="SFV241" s="4"/>
      <c r="SFW241" s="4"/>
      <c r="SFX241" s="4"/>
      <c r="SFY241" s="4"/>
      <c r="SFZ241" s="4"/>
      <c r="SGA241" s="4"/>
      <c r="SGB241" s="4"/>
      <c r="SGC241" s="4"/>
      <c r="SGD241" s="4"/>
      <c r="SGE241" s="4"/>
      <c r="SGF241" s="4"/>
      <c r="SGG241" s="4"/>
      <c r="SGH241" s="4"/>
      <c r="SGI241" s="4"/>
      <c r="SGJ241" s="4"/>
      <c r="SGK241" s="4"/>
      <c r="SGL241" s="4"/>
      <c r="SGM241" s="4"/>
      <c r="SGN241" s="4"/>
      <c r="SGO241" s="4"/>
      <c r="SGP241" s="4"/>
      <c r="SGQ241" s="4"/>
      <c r="SGR241" s="4"/>
      <c r="SGS241" s="4"/>
      <c r="SGT241" s="4"/>
      <c r="SGU241" s="4"/>
      <c r="SGV241" s="4"/>
      <c r="SGW241" s="4"/>
      <c r="SGX241" s="4"/>
      <c r="SGY241" s="4"/>
      <c r="SGZ241" s="4"/>
      <c r="SHA241" s="4"/>
      <c r="SHB241" s="4"/>
      <c r="SHC241" s="4"/>
      <c r="SHD241" s="4"/>
      <c r="SHE241" s="4"/>
      <c r="SHF241" s="4"/>
      <c r="SHG241" s="4"/>
      <c r="SHH241" s="4"/>
      <c r="SHI241" s="4"/>
      <c r="SHJ241" s="4"/>
      <c r="SHK241" s="4"/>
      <c r="SHL241" s="4"/>
      <c r="SHM241" s="4"/>
      <c r="SHN241" s="4"/>
      <c r="SHO241" s="4"/>
      <c r="SHP241" s="4"/>
      <c r="SHQ241" s="4"/>
      <c r="SHR241" s="4"/>
      <c r="SHS241" s="4"/>
      <c r="SHT241" s="4"/>
      <c r="SHU241" s="4"/>
      <c r="SHV241" s="4"/>
      <c r="SHW241" s="4"/>
      <c r="SHX241" s="4"/>
      <c r="SHY241" s="4"/>
      <c r="SHZ241" s="4"/>
      <c r="SIA241" s="4"/>
      <c r="SIB241" s="4"/>
      <c r="SIC241" s="4"/>
      <c r="SID241" s="4"/>
      <c r="SIE241" s="4"/>
      <c r="SIF241" s="4"/>
      <c r="SIG241" s="4"/>
      <c r="SIH241" s="4"/>
      <c r="SII241" s="4"/>
      <c r="SIJ241" s="4"/>
      <c r="SIK241" s="4"/>
      <c r="SIL241" s="4"/>
      <c r="SIM241" s="4"/>
      <c r="SIN241" s="4"/>
      <c r="SIO241" s="4"/>
      <c r="SIP241" s="4"/>
      <c r="SIQ241" s="4"/>
      <c r="SIR241" s="4"/>
      <c r="SIS241" s="4"/>
      <c r="SIT241" s="4"/>
      <c r="SIU241" s="4"/>
      <c r="SIV241" s="4"/>
      <c r="SIW241" s="4"/>
      <c r="SIX241" s="4"/>
      <c r="SIY241" s="4"/>
      <c r="SIZ241" s="4"/>
      <c r="SJA241" s="4"/>
      <c r="SJB241" s="4"/>
      <c r="SJC241" s="4"/>
      <c r="SJD241" s="4"/>
      <c r="SJE241" s="4"/>
      <c r="SJF241" s="4"/>
      <c r="SJG241" s="4"/>
      <c r="SJH241" s="4"/>
      <c r="SJI241" s="4"/>
      <c r="SJJ241" s="4"/>
      <c r="SJK241" s="4"/>
      <c r="SJL241" s="4"/>
      <c r="SJM241" s="4"/>
      <c r="SJN241" s="4"/>
      <c r="SJO241" s="4"/>
      <c r="SJP241" s="4"/>
      <c r="SJQ241" s="4"/>
      <c r="SJR241" s="4"/>
      <c r="SJS241" s="4"/>
      <c r="SJT241" s="4"/>
      <c r="SJU241" s="4"/>
      <c r="SJV241" s="4"/>
      <c r="SJW241" s="4"/>
      <c r="SJX241" s="4"/>
      <c r="SJY241" s="4"/>
      <c r="SJZ241" s="4"/>
      <c r="SKA241" s="4"/>
      <c r="SKB241" s="4"/>
      <c r="SKC241" s="4"/>
      <c r="SKD241" s="4"/>
      <c r="SKE241" s="4"/>
      <c r="SKF241" s="4"/>
      <c r="SKG241" s="4"/>
      <c r="SKH241" s="4"/>
      <c r="SKI241" s="4"/>
      <c r="SKJ241" s="4"/>
      <c r="SKK241" s="4"/>
      <c r="SKL241" s="4"/>
      <c r="SKM241" s="4"/>
      <c r="SKN241" s="4"/>
      <c r="SKO241" s="4"/>
      <c r="SKP241" s="4"/>
      <c r="SKQ241" s="4"/>
      <c r="SKR241" s="4"/>
      <c r="SKS241" s="4"/>
      <c r="SKT241" s="4"/>
      <c r="SKU241" s="4"/>
      <c r="SKV241" s="4"/>
      <c r="SKW241" s="4"/>
      <c r="SKX241" s="4"/>
      <c r="SKY241" s="4"/>
      <c r="SKZ241" s="4"/>
      <c r="SLA241" s="4"/>
      <c r="SLB241" s="4"/>
      <c r="SLC241" s="4"/>
      <c r="SLD241" s="4"/>
      <c r="SLE241" s="4"/>
      <c r="SLF241" s="4"/>
      <c r="SLG241" s="4"/>
      <c r="SLH241" s="4"/>
      <c r="SLI241" s="4"/>
      <c r="SLJ241" s="4"/>
      <c r="SLK241" s="4"/>
      <c r="SLL241" s="4"/>
      <c r="SLM241" s="4"/>
      <c r="SLN241" s="4"/>
      <c r="SLO241" s="4"/>
      <c r="SLP241" s="4"/>
      <c r="SLQ241" s="4"/>
      <c r="SLR241" s="4"/>
      <c r="SLS241" s="4"/>
      <c r="SLT241" s="4"/>
      <c r="SLU241" s="4"/>
      <c r="SLV241" s="4"/>
      <c r="SLW241" s="4"/>
      <c r="SLX241" s="4"/>
      <c r="SLY241" s="4"/>
      <c r="SLZ241" s="4"/>
      <c r="SMA241" s="4"/>
      <c r="SMB241" s="4"/>
      <c r="SMC241" s="4"/>
      <c r="SMD241" s="4"/>
      <c r="SME241" s="4"/>
      <c r="SMF241" s="4"/>
      <c r="SMG241" s="4"/>
      <c r="SMH241" s="4"/>
      <c r="SMI241" s="4"/>
      <c r="SMJ241" s="4"/>
      <c r="SMK241" s="4"/>
      <c r="SML241" s="4"/>
      <c r="SMM241" s="4"/>
      <c r="SMN241" s="4"/>
      <c r="SMO241" s="4"/>
      <c r="SMP241" s="4"/>
      <c r="SMQ241" s="4"/>
      <c r="SMR241" s="4"/>
      <c r="SMS241" s="4"/>
      <c r="SMT241" s="4"/>
      <c r="SMU241" s="4"/>
      <c r="SMV241" s="4"/>
      <c r="SMW241" s="4"/>
      <c r="SMX241" s="4"/>
      <c r="SMY241" s="4"/>
      <c r="SMZ241" s="4"/>
      <c r="SNA241" s="4"/>
      <c r="SNB241" s="4"/>
      <c r="SNC241" s="4"/>
      <c r="SND241" s="4"/>
      <c r="SNE241" s="4"/>
      <c r="SNF241" s="4"/>
      <c r="SNG241" s="4"/>
      <c r="SNH241" s="4"/>
      <c r="SNI241" s="4"/>
      <c r="SNJ241" s="4"/>
      <c r="SNK241" s="4"/>
      <c r="SNL241" s="4"/>
      <c r="SNM241" s="4"/>
      <c r="SNN241" s="4"/>
      <c r="SNO241" s="4"/>
      <c r="SNP241" s="4"/>
      <c r="SNQ241" s="4"/>
      <c r="SNR241" s="4"/>
      <c r="SNS241" s="4"/>
      <c r="SNT241" s="4"/>
      <c r="SNU241" s="4"/>
      <c r="SNV241" s="4"/>
      <c r="SNW241" s="4"/>
      <c r="SNX241" s="4"/>
      <c r="SNY241" s="4"/>
      <c r="SNZ241" s="4"/>
      <c r="SOA241" s="4"/>
      <c r="SOB241" s="4"/>
      <c r="SOC241" s="4"/>
      <c r="SOD241" s="4"/>
      <c r="SOE241" s="4"/>
      <c r="SOF241" s="4"/>
      <c r="SOG241" s="4"/>
      <c r="SOH241" s="4"/>
      <c r="SOI241" s="4"/>
      <c r="SOJ241" s="4"/>
      <c r="SOK241" s="4"/>
      <c r="SOL241" s="4"/>
      <c r="SOM241" s="4"/>
      <c r="SON241" s="4"/>
      <c r="SOO241" s="4"/>
      <c r="SOP241" s="4"/>
      <c r="SOQ241" s="4"/>
      <c r="SOR241" s="4"/>
      <c r="SOS241" s="4"/>
      <c r="SOT241" s="4"/>
      <c r="SOU241" s="4"/>
      <c r="SOV241" s="4"/>
      <c r="SOW241" s="4"/>
      <c r="SOX241" s="4"/>
      <c r="SOY241" s="4"/>
      <c r="SOZ241" s="4"/>
      <c r="SPA241" s="4"/>
      <c r="SPB241" s="4"/>
      <c r="SPC241" s="4"/>
      <c r="SPD241" s="4"/>
      <c r="SPE241" s="4"/>
      <c r="SPF241" s="4"/>
      <c r="SPG241" s="4"/>
      <c r="SPH241" s="4"/>
      <c r="SPI241" s="4"/>
      <c r="SPJ241" s="4"/>
      <c r="SPK241" s="4"/>
      <c r="SPL241" s="4"/>
      <c r="SPM241" s="4"/>
      <c r="SPN241" s="4"/>
      <c r="SPO241" s="4"/>
      <c r="SPP241" s="4"/>
      <c r="SPQ241" s="4"/>
      <c r="SPR241" s="4"/>
      <c r="SPS241" s="4"/>
      <c r="SPT241" s="4"/>
      <c r="SPU241" s="4"/>
      <c r="SPV241" s="4"/>
      <c r="SPW241" s="4"/>
      <c r="SPX241" s="4"/>
      <c r="SPY241" s="4"/>
      <c r="SPZ241" s="4"/>
      <c r="SQA241" s="4"/>
      <c r="SQB241" s="4"/>
      <c r="SQC241" s="4"/>
      <c r="SQD241" s="4"/>
      <c r="SQE241" s="4"/>
      <c r="SQF241" s="4"/>
      <c r="SQG241" s="4"/>
      <c r="SQH241" s="4"/>
      <c r="SQI241" s="4"/>
      <c r="SQJ241" s="4"/>
      <c r="SQK241" s="4"/>
      <c r="SQL241" s="4"/>
      <c r="SQM241" s="4"/>
      <c r="SQN241" s="4"/>
      <c r="SQO241" s="4"/>
      <c r="SQP241" s="4"/>
      <c r="SQQ241" s="4"/>
      <c r="SQR241" s="4"/>
      <c r="SQS241" s="4"/>
      <c r="SQT241" s="4"/>
      <c r="SQU241" s="4"/>
      <c r="SQV241" s="4"/>
      <c r="SQW241" s="4"/>
      <c r="SQX241" s="4"/>
      <c r="SQY241" s="4"/>
      <c r="SQZ241" s="4"/>
      <c r="SRA241" s="4"/>
      <c r="SRB241" s="4"/>
      <c r="SRC241" s="4"/>
      <c r="SRD241" s="4"/>
      <c r="SRE241" s="4"/>
      <c r="SRF241" s="4"/>
      <c r="SRG241" s="4"/>
      <c r="SRH241" s="4"/>
      <c r="SRI241" s="4"/>
      <c r="SRJ241" s="4"/>
      <c r="SRK241" s="4"/>
      <c r="SRL241" s="4"/>
      <c r="SRM241" s="4"/>
      <c r="SRN241" s="4"/>
      <c r="SRO241" s="4"/>
      <c r="SRP241" s="4"/>
      <c r="SRQ241" s="4"/>
      <c r="SRR241" s="4"/>
      <c r="SRS241" s="4"/>
      <c r="SRT241" s="4"/>
      <c r="SRU241" s="4"/>
      <c r="SRV241" s="4"/>
      <c r="SRW241" s="4"/>
      <c r="SRX241" s="4"/>
      <c r="SRY241" s="4"/>
      <c r="SRZ241" s="4"/>
      <c r="SSA241" s="4"/>
      <c r="SSB241" s="4"/>
      <c r="SSC241" s="4"/>
      <c r="SSD241" s="4"/>
      <c r="SSE241" s="4"/>
      <c r="SSF241" s="4"/>
      <c r="SSG241" s="4"/>
      <c r="SSH241" s="4"/>
      <c r="SSI241" s="4"/>
      <c r="SSJ241" s="4"/>
      <c r="SSK241" s="4"/>
      <c r="SSL241" s="4"/>
      <c r="SSM241" s="4"/>
      <c r="SSN241" s="4"/>
      <c r="SSO241" s="4"/>
      <c r="SSP241" s="4"/>
      <c r="SSQ241" s="4"/>
      <c r="SSR241" s="4"/>
      <c r="SSS241" s="4"/>
      <c r="SST241" s="4"/>
      <c r="SSU241" s="4"/>
      <c r="SSV241" s="4"/>
      <c r="SSW241" s="4"/>
      <c r="SSX241" s="4"/>
      <c r="SSY241" s="4"/>
      <c r="SSZ241" s="4"/>
      <c r="STA241" s="4"/>
      <c r="STB241" s="4"/>
      <c r="STC241" s="4"/>
      <c r="STD241" s="4"/>
      <c r="STE241" s="4"/>
      <c r="STF241" s="4"/>
      <c r="STG241" s="4"/>
      <c r="STH241" s="4"/>
      <c r="STI241" s="4"/>
      <c r="STJ241" s="4"/>
      <c r="STK241" s="4"/>
      <c r="STL241" s="4"/>
      <c r="STM241" s="4"/>
      <c r="STN241" s="4"/>
      <c r="STO241" s="4"/>
      <c r="STP241" s="4"/>
      <c r="STQ241" s="4"/>
      <c r="STR241" s="4"/>
      <c r="STS241" s="4"/>
      <c r="STT241" s="4"/>
      <c r="STU241" s="4"/>
      <c r="STV241" s="4"/>
      <c r="STW241" s="4"/>
      <c r="STX241" s="4"/>
      <c r="STY241" s="4"/>
      <c r="STZ241" s="4"/>
      <c r="SUA241" s="4"/>
      <c r="SUB241" s="4"/>
      <c r="SUC241" s="4"/>
      <c r="SUD241" s="4"/>
      <c r="SUE241" s="4"/>
      <c r="SUF241" s="4"/>
      <c r="SUG241" s="4"/>
      <c r="SUH241" s="4"/>
      <c r="SUI241" s="4"/>
      <c r="SUJ241" s="4"/>
      <c r="SUK241" s="4"/>
      <c r="SUL241" s="4"/>
      <c r="SUM241" s="4"/>
      <c r="SUN241" s="4"/>
      <c r="SUO241" s="4"/>
      <c r="SUP241" s="4"/>
      <c r="SUQ241" s="4"/>
      <c r="SUR241" s="4"/>
      <c r="SUS241" s="4"/>
      <c r="SUT241" s="4"/>
      <c r="SUU241" s="4"/>
      <c r="SUV241" s="4"/>
      <c r="SUW241" s="4"/>
      <c r="SUX241" s="4"/>
      <c r="SUY241" s="4"/>
      <c r="SUZ241" s="4"/>
      <c r="SVA241" s="4"/>
      <c r="SVB241" s="4"/>
      <c r="SVC241" s="4"/>
      <c r="SVD241" s="4"/>
      <c r="SVE241" s="4"/>
      <c r="SVF241" s="4"/>
      <c r="SVG241" s="4"/>
      <c r="SVH241" s="4"/>
      <c r="SVI241" s="4"/>
      <c r="SVJ241" s="4"/>
      <c r="SVK241" s="4"/>
      <c r="SVL241" s="4"/>
      <c r="SVM241" s="4"/>
      <c r="SVN241" s="4"/>
      <c r="SVO241" s="4"/>
      <c r="SVP241" s="4"/>
      <c r="SVQ241" s="4"/>
      <c r="SVR241" s="4"/>
      <c r="SVS241" s="4"/>
      <c r="SVT241" s="4"/>
      <c r="SVU241" s="4"/>
      <c r="SVV241" s="4"/>
      <c r="SVW241" s="4"/>
      <c r="SVX241" s="4"/>
      <c r="SVY241" s="4"/>
      <c r="SVZ241" s="4"/>
      <c r="SWA241" s="4"/>
      <c r="SWB241" s="4"/>
      <c r="SWC241" s="4"/>
      <c r="SWD241" s="4"/>
      <c r="SWE241" s="4"/>
      <c r="SWF241" s="4"/>
      <c r="SWG241" s="4"/>
      <c r="SWH241" s="4"/>
      <c r="SWI241" s="4"/>
      <c r="SWJ241" s="4"/>
      <c r="SWK241" s="4"/>
      <c r="SWL241" s="4"/>
      <c r="SWM241" s="4"/>
      <c r="SWN241" s="4"/>
      <c r="SWO241" s="4"/>
      <c r="SWP241" s="4"/>
      <c r="SWQ241" s="4"/>
      <c r="SWR241" s="4"/>
      <c r="SWS241" s="4"/>
      <c r="SWT241" s="4"/>
      <c r="SWU241" s="4"/>
      <c r="SWV241" s="4"/>
      <c r="SWW241" s="4"/>
      <c r="SWX241" s="4"/>
      <c r="SWY241" s="4"/>
      <c r="SWZ241" s="4"/>
      <c r="SXA241" s="4"/>
      <c r="SXB241" s="4"/>
      <c r="SXC241" s="4"/>
      <c r="SXD241" s="4"/>
      <c r="SXE241" s="4"/>
      <c r="SXF241" s="4"/>
      <c r="SXG241" s="4"/>
      <c r="SXH241" s="4"/>
      <c r="SXI241" s="4"/>
      <c r="SXJ241" s="4"/>
      <c r="SXK241" s="4"/>
      <c r="SXL241" s="4"/>
      <c r="SXM241" s="4"/>
      <c r="SXN241" s="4"/>
      <c r="SXO241" s="4"/>
      <c r="SXP241" s="4"/>
      <c r="SXQ241" s="4"/>
      <c r="SXR241" s="4"/>
      <c r="SXS241" s="4"/>
      <c r="SXT241" s="4"/>
      <c r="SXU241" s="4"/>
      <c r="SXV241" s="4"/>
      <c r="SXW241" s="4"/>
      <c r="SXX241" s="4"/>
      <c r="SXY241" s="4"/>
      <c r="SXZ241" s="4"/>
      <c r="SYA241" s="4"/>
      <c r="SYB241" s="4"/>
      <c r="SYC241" s="4"/>
      <c r="SYD241" s="4"/>
      <c r="SYE241" s="4"/>
      <c r="SYF241" s="4"/>
      <c r="SYG241" s="4"/>
      <c r="SYH241" s="4"/>
      <c r="SYI241" s="4"/>
      <c r="SYJ241" s="4"/>
      <c r="SYK241" s="4"/>
      <c r="SYL241" s="4"/>
      <c r="SYM241" s="4"/>
      <c r="SYN241" s="4"/>
      <c r="SYO241" s="4"/>
      <c r="SYP241" s="4"/>
      <c r="SYQ241" s="4"/>
      <c r="SYR241" s="4"/>
      <c r="SYS241" s="4"/>
      <c r="SYT241" s="4"/>
      <c r="SYU241" s="4"/>
      <c r="SYV241" s="4"/>
      <c r="SYW241" s="4"/>
      <c r="SYX241" s="4"/>
      <c r="SYY241" s="4"/>
      <c r="SYZ241" s="4"/>
      <c r="SZA241" s="4"/>
      <c r="SZB241" s="4"/>
      <c r="SZC241" s="4"/>
      <c r="SZD241" s="4"/>
      <c r="SZE241" s="4"/>
      <c r="SZF241" s="4"/>
      <c r="SZG241" s="4"/>
      <c r="SZH241" s="4"/>
      <c r="SZI241" s="4"/>
      <c r="SZJ241" s="4"/>
      <c r="SZK241" s="4"/>
      <c r="SZL241" s="4"/>
      <c r="SZM241" s="4"/>
      <c r="SZN241" s="4"/>
      <c r="SZO241" s="4"/>
      <c r="SZP241" s="4"/>
      <c r="SZQ241" s="4"/>
      <c r="SZR241" s="4"/>
      <c r="SZS241" s="4"/>
      <c r="SZT241" s="4"/>
      <c r="SZU241" s="4"/>
      <c r="SZV241" s="4"/>
      <c r="SZW241" s="4"/>
      <c r="SZX241" s="4"/>
      <c r="SZY241" s="4"/>
      <c r="SZZ241" s="4"/>
      <c r="TAA241" s="4"/>
      <c r="TAB241" s="4"/>
      <c r="TAC241" s="4"/>
      <c r="TAD241" s="4"/>
      <c r="TAE241" s="4"/>
      <c r="TAF241" s="4"/>
      <c r="TAG241" s="4"/>
      <c r="TAH241" s="4"/>
      <c r="TAI241" s="4"/>
      <c r="TAJ241" s="4"/>
      <c r="TAK241" s="4"/>
      <c r="TAL241" s="4"/>
      <c r="TAM241" s="4"/>
      <c r="TAN241" s="4"/>
      <c r="TAO241" s="4"/>
      <c r="TAP241" s="4"/>
      <c r="TAQ241" s="4"/>
      <c r="TAR241" s="4"/>
      <c r="TAS241" s="4"/>
      <c r="TAT241" s="4"/>
      <c r="TAU241" s="4"/>
      <c r="TAV241" s="4"/>
      <c r="TAW241" s="4"/>
      <c r="TAX241" s="4"/>
      <c r="TAY241" s="4"/>
      <c r="TAZ241" s="4"/>
      <c r="TBA241" s="4"/>
      <c r="TBB241" s="4"/>
      <c r="TBC241" s="4"/>
      <c r="TBD241" s="4"/>
      <c r="TBE241" s="4"/>
      <c r="TBF241" s="4"/>
      <c r="TBG241" s="4"/>
      <c r="TBH241" s="4"/>
      <c r="TBI241" s="4"/>
      <c r="TBJ241" s="4"/>
      <c r="TBK241" s="4"/>
      <c r="TBL241" s="4"/>
      <c r="TBM241" s="4"/>
      <c r="TBN241" s="4"/>
      <c r="TBO241" s="4"/>
      <c r="TBP241" s="4"/>
      <c r="TBQ241" s="4"/>
      <c r="TBR241" s="4"/>
      <c r="TBS241" s="4"/>
      <c r="TBT241" s="4"/>
      <c r="TBU241" s="4"/>
      <c r="TBV241" s="4"/>
      <c r="TBW241" s="4"/>
      <c r="TBX241" s="4"/>
      <c r="TBY241" s="4"/>
      <c r="TBZ241" s="4"/>
      <c r="TCA241" s="4"/>
      <c r="TCB241" s="4"/>
      <c r="TCC241" s="4"/>
      <c r="TCD241" s="4"/>
      <c r="TCE241" s="4"/>
      <c r="TCF241" s="4"/>
      <c r="TCG241" s="4"/>
      <c r="TCH241" s="4"/>
      <c r="TCI241" s="4"/>
      <c r="TCJ241" s="4"/>
      <c r="TCK241" s="4"/>
      <c r="TCL241" s="4"/>
      <c r="TCM241" s="4"/>
      <c r="TCN241" s="4"/>
      <c r="TCO241" s="4"/>
      <c r="TCP241" s="4"/>
      <c r="TCQ241" s="4"/>
      <c r="TCR241" s="4"/>
      <c r="TCS241" s="4"/>
      <c r="TCT241" s="4"/>
      <c r="TCU241" s="4"/>
      <c r="TCV241" s="4"/>
      <c r="TCW241" s="4"/>
      <c r="TCX241" s="4"/>
      <c r="TCY241" s="4"/>
      <c r="TCZ241" s="4"/>
      <c r="TDA241" s="4"/>
      <c r="TDB241" s="4"/>
      <c r="TDC241" s="4"/>
      <c r="TDD241" s="4"/>
      <c r="TDE241" s="4"/>
      <c r="TDF241" s="4"/>
      <c r="TDG241" s="4"/>
      <c r="TDH241" s="4"/>
      <c r="TDI241" s="4"/>
      <c r="TDJ241" s="4"/>
      <c r="TDK241" s="4"/>
      <c r="TDL241" s="4"/>
      <c r="TDM241" s="4"/>
      <c r="TDN241" s="4"/>
      <c r="TDO241" s="4"/>
      <c r="TDP241" s="4"/>
      <c r="TDQ241" s="4"/>
      <c r="TDR241" s="4"/>
      <c r="TDS241" s="4"/>
      <c r="TDT241" s="4"/>
      <c r="TDU241" s="4"/>
      <c r="TDV241" s="4"/>
      <c r="TDW241" s="4"/>
      <c r="TDX241" s="4"/>
      <c r="TDY241" s="4"/>
      <c r="TDZ241" s="4"/>
      <c r="TEA241" s="4"/>
      <c r="TEB241" s="4"/>
      <c r="TEC241" s="4"/>
      <c r="TED241" s="4"/>
      <c r="TEE241" s="4"/>
      <c r="TEF241" s="4"/>
      <c r="TEG241" s="4"/>
      <c r="TEH241" s="4"/>
      <c r="TEI241" s="4"/>
      <c r="TEJ241" s="4"/>
      <c r="TEK241" s="4"/>
      <c r="TEL241" s="4"/>
      <c r="TEM241" s="4"/>
      <c r="TEN241" s="4"/>
      <c r="TEO241" s="4"/>
      <c r="TEP241" s="4"/>
      <c r="TEQ241" s="4"/>
      <c r="TER241" s="4"/>
      <c r="TES241" s="4"/>
      <c r="TET241" s="4"/>
      <c r="TEU241" s="4"/>
      <c r="TEV241" s="4"/>
      <c r="TEW241" s="4"/>
      <c r="TEX241" s="4"/>
      <c r="TEY241" s="4"/>
      <c r="TEZ241" s="4"/>
      <c r="TFA241" s="4"/>
      <c r="TFB241" s="4"/>
      <c r="TFC241" s="4"/>
      <c r="TFD241" s="4"/>
      <c r="TFE241" s="4"/>
      <c r="TFF241" s="4"/>
      <c r="TFG241" s="4"/>
      <c r="TFH241" s="4"/>
      <c r="TFI241" s="4"/>
      <c r="TFJ241" s="4"/>
      <c r="TFK241" s="4"/>
      <c r="TFL241" s="4"/>
      <c r="TFM241" s="4"/>
      <c r="TFN241" s="4"/>
      <c r="TFO241" s="4"/>
      <c r="TFP241" s="4"/>
      <c r="TFQ241" s="4"/>
      <c r="TFR241" s="4"/>
      <c r="TFS241" s="4"/>
      <c r="TFT241" s="4"/>
      <c r="TFU241" s="4"/>
      <c r="TFV241" s="4"/>
      <c r="TFW241" s="4"/>
      <c r="TFX241" s="4"/>
      <c r="TFY241" s="4"/>
      <c r="TFZ241" s="4"/>
      <c r="TGA241" s="4"/>
      <c r="TGB241" s="4"/>
      <c r="TGC241" s="4"/>
      <c r="TGD241" s="4"/>
      <c r="TGE241" s="4"/>
      <c r="TGF241" s="4"/>
      <c r="TGG241" s="4"/>
      <c r="TGH241" s="4"/>
      <c r="TGI241" s="4"/>
      <c r="TGJ241" s="4"/>
      <c r="TGK241" s="4"/>
      <c r="TGL241" s="4"/>
      <c r="TGM241" s="4"/>
      <c r="TGN241" s="4"/>
      <c r="TGO241" s="4"/>
      <c r="TGP241" s="4"/>
      <c r="TGQ241" s="4"/>
      <c r="TGR241" s="4"/>
      <c r="TGS241" s="4"/>
      <c r="TGT241" s="4"/>
      <c r="TGU241" s="4"/>
      <c r="TGV241" s="4"/>
      <c r="TGW241" s="4"/>
      <c r="TGX241" s="4"/>
      <c r="TGY241" s="4"/>
      <c r="TGZ241" s="4"/>
      <c r="THA241" s="4"/>
      <c r="THB241" s="4"/>
      <c r="THC241" s="4"/>
      <c r="THD241" s="4"/>
      <c r="THE241" s="4"/>
      <c r="THF241" s="4"/>
      <c r="THG241" s="4"/>
      <c r="THH241" s="4"/>
      <c r="THI241" s="4"/>
      <c r="THJ241" s="4"/>
      <c r="THK241" s="4"/>
      <c r="THL241" s="4"/>
      <c r="THM241" s="4"/>
      <c r="THN241" s="4"/>
      <c r="THO241" s="4"/>
      <c r="THP241" s="4"/>
      <c r="THQ241" s="4"/>
      <c r="THR241" s="4"/>
      <c r="THS241" s="4"/>
      <c r="THT241" s="4"/>
      <c r="THU241" s="4"/>
      <c r="THV241" s="4"/>
      <c r="THW241" s="4"/>
      <c r="THX241" s="4"/>
      <c r="THY241" s="4"/>
      <c r="THZ241" s="4"/>
      <c r="TIA241" s="4"/>
      <c r="TIB241" s="4"/>
      <c r="TIC241" s="4"/>
      <c r="TID241" s="4"/>
      <c r="TIE241" s="4"/>
      <c r="TIF241" s="4"/>
      <c r="TIG241" s="4"/>
      <c r="TIH241" s="4"/>
      <c r="TII241" s="4"/>
      <c r="TIJ241" s="4"/>
      <c r="TIK241" s="4"/>
      <c r="TIL241" s="4"/>
      <c r="TIM241" s="4"/>
      <c r="TIN241" s="4"/>
      <c r="TIO241" s="4"/>
      <c r="TIP241" s="4"/>
      <c r="TIQ241" s="4"/>
      <c r="TIR241" s="4"/>
      <c r="TIS241" s="4"/>
      <c r="TIT241" s="4"/>
      <c r="TIU241" s="4"/>
      <c r="TIV241" s="4"/>
      <c r="TIW241" s="4"/>
      <c r="TIX241" s="4"/>
      <c r="TIY241" s="4"/>
      <c r="TIZ241" s="4"/>
      <c r="TJA241" s="4"/>
      <c r="TJB241" s="4"/>
      <c r="TJC241" s="4"/>
      <c r="TJD241" s="4"/>
      <c r="TJE241" s="4"/>
      <c r="TJF241" s="4"/>
      <c r="TJG241" s="4"/>
      <c r="TJH241" s="4"/>
      <c r="TJI241" s="4"/>
      <c r="TJJ241" s="4"/>
      <c r="TJK241" s="4"/>
      <c r="TJL241" s="4"/>
      <c r="TJM241" s="4"/>
      <c r="TJN241" s="4"/>
      <c r="TJO241" s="4"/>
      <c r="TJP241" s="4"/>
      <c r="TJQ241" s="4"/>
      <c r="TJR241" s="4"/>
      <c r="TJS241" s="4"/>
      <c r="TJT241" s="4"/>
      <c r="TJU241" s="4"/>
      <c r="TJV241" s="4"/>
      <c r="TJW241" s="4"/>
      <c r="TJX241" s="4"/>
      <c r="TJY241" s="4"/>
      <c r="TJZ241" s="4"/>
      <c r="TKA241" s="4"/>
      <c r="TKB241" s="4"/>
      <c r="TKC241" s="4"/>
      <c r="TKD241" s="4"/>
      <c r="TKE241" s="4"/>
      <c r="TKF241" s="4"/>
      <c r="TKG241" s="4"/>
      <c r="TKH241" s="4"/>
      <c r="TKI241" s="4"/>
      <c r="TKJ241" s="4"/>
      <c r="TKK241" s="4"/>
      <c r="TKL241" s="4"/>
      <c r="TKM241" s="4"/>
      <c r="TKN241" s="4"/>
      <c r="TKO241" s="4"/>
      <c r="TKP241" s="4"/>
      <c r="TKQ241" s="4"/>
      <c r="TKR241" s="4"/>
      <c r="TKS241" s="4"/>
      <c r="TKT241" s="4"/>
      <c r="TKU241" s="4"/>
      <c r="TKV241" s="4"/>
      <c r="TKW241" s="4"/>
      <c r="TKX241" s="4"/>
      <c r="TKY241" s="4"/>
      <c r="TKZ241" s="4"/>
      <c r="TLA241" s="4"/>
      <c r="TLB241" s="4"/>
      <c r="TLC241" s="4"/>
      <c r="TLD241" s="4"/>
      <c r="TLE241" s="4"/>
      <c r="TLF241" s="4"/>
      <c r="TLG241" s="4"/>
      <c r="TLH241" s="4"/>
      <c r="TLI241" s="4"/>
      <c r="TLJ241" s="4"/>
      <c r="TLK241" s="4"/>
      <c r="TLL241" s="4"/>
      <c r="TLM241" s="4"/>
      <c r="TLN241" s="4"/>
      <c r="TLO241" s="4"/>
      <c r="TLP241" s="4"/>
      <c r="TLQ241" s="4"/>
      <c r="TLR241" s="4"/>
      <c r="TLS241" s="4"/>
      <c r="TLT241" s="4"/>
      <c r="TLU241" s="4"/>
      <c r="TLV241" s="4"/>
      <c r="TLW241" s="4"/>
      <c r="TLX241" s="4"/>
      <c r="TLY241" s="4"/>
      <c r="TLZ241" s="4"/>
      <c r="TMA241" s="4"/>
      <c r="TMB241" s="4"/>
      <c r="TMC241" s="4"/>
      <c r="TMD241" s="4"/>
      <c r="TME241" s="4"/>
      <c r="TMF241" s="4"/>
      <c r="TMG241" s="4"/>
      <c r="TMH241" s="4"/>
      <c r="TMI241" s="4"/>
      <c r="TMJ241" s="4"/>
      <c r="TMK241" s="4"/>
      <c r="TML241" s="4"/>
      <c r="TMM241" s="4"/>
      <c r="TMN241" s="4"/>
      <c r="TMO241" s="4"/>
      <c r="TMP241" s="4"/>
      <c r="TMQ241" s="4"/>
      <c r="TMR241" s="4"/>
      <c r="TMS241" s="4"/>
      <c r="TMT241" s="4"/>
      <c r="TMU241" s="4"/>
      <c r="TMV241" s="4"/>
      <c r="TMW241" s="4"/>
      <c r="TMX241" s="4"/>
      <c r="TMY241" s="4"/>
      <c r="TMZ241" s="4"/>
      <c r="TNA241" s="4"/>
      <c r="TNB241" s="4"/>
      <c r="TNC241" s="4"/>
      <c r="TND241" s="4"/>
      <c r="TNE241" s="4"/>
      <c r="TNF241" s="4"/>
      <c r="TNG241" s="4"/>
      <c r="TNH241" s="4"/>
      <c r="TNI241" s="4"/>
      <c r="TNJ241" s="4"/>
      <c r="TNK241" s="4"/>
      <c r="TNL241" s="4"/>
      <c r="TNM241" s="4"/>
      <c r="TNN241" s="4"/>
      <c r="TNO241" s="4"/>
      <c r="TNP241" s="4"/>
      <c r="TNQ241" s="4"/>
      <c r="TNR241" s="4"/>
      <c r="TNS241" s="4"/>
      <c r="TNT241" s="4"/>
      <c r="TNU241" s="4"/>
      <c r="TNV241" s="4"/>
      <c r="TNW241" s="4"/>
      <c r="TNX241" s="4"/>
      <c r="TNY241" s="4"/>
      <c r="TNZ241" s="4"/>
      <c r="TOA241" s="4"/>
      <c r="TOB241" s="4"/>
      <c r="TOC241" s="4"/>
      <c r="TOD241" s="4"/>
      <c r="TOE241" s="4"/>
      <c r="TOF241" s="4"/>
      <c r="TOG241" s="4"/>
      <c r="TOH241" s="4"/>
      <c r="TOI241" s="4"/>
      <c r="TOJ241" s="4"/>
      <c r="TOK241" s="4"/>
      <c r="TOL241" s="4"/>
      <c r="TOM241" s="4"/>
      <c r="TON241" s="4"/>
      <c r="TOO241" s="4"/>
      <c r="TOP241" s="4"/>
      <c r="TOQ241" s="4"/>
      <c r="TOR241" s="4"/>
      <c r="TOS241" s="4"/>
      <c r="TOT241" s="4"/>
      <c r="TOU241" s="4"/>
      <c r="TOV241" s="4"/>
      <c r="TOW241" s="4"/>
      <c r="TOX241" s="4"/>
      <c r="TOY241" s="4"/>
      <c r="TOZ241" s="4"/>
      <c r="TPA241" s="4"/>
      <c r="TPB241" s="4"/>
      <c r="TPC241" s="4"/>
      <c r="TPD241" s="4"/>
      <c r="TPE241" s="4"/>
      <c r="TPF241" s="4"/>
      <c r="TPG241" s="4"/>
      <c r="TPH241" s="4"/>
      <c r="TPI241" s="4"/>
      <c r="TPJ241" s="4"/>
      <c r="TPK241" s="4"/>
      <c r="TPL241" s="4"/>
      <c r="TPM241" s="4"/>
      <c r="TPN241" s="4"/>
      <c r="TPO241" s="4"/>
      <c r="TPP241" s="4"/>
      <c r="TPQ241" s="4"/>
      <c r="TPR241" s="4"/>
      <c r="TPS241" s="4"/>
      <c r="TPT241" s="4"/>
      <c r="TPU241" s="4"/>
      <c r="TPV241" s="4"/>
      <c r="TPW241" s="4"/>
      <c r="TPX241" s="4"/>
      <c r="TPY241" s="4"/>
      <c r="TPZ241" s="4"/>
      <c r="TQA241" s="4"/>
      <c r="TQB241" s="4"/>
      <c r="TQC241" s="4"/>
      <c r="TQD241" s="4"/>
      <c r="TQE241" s="4"/>
      <c r="TQF241" s="4"/>
      <c r="TQG241" s="4"/>
      <c r="TQH241" s="4"/>
      <c r="TQI241" s="4"/>
      <c r="TQJ241" s="4"/>
      <c r="TQK241" s="4"/>
      <c r="TQL241" s="4"/>
      <c r="TQM241" s="4"/>
      <c r="TQN241" s="4"/>
      <c r="TQO241" s="4"/>
      <c r="TQP241" s="4"/>
      <c r="TQQ241" s="4"/>
      <c r="TQR241" s="4"/>
      <c r="TQS241" s="4"/>
      <c r="TQT241" s="4"/>
      <c r="TQU241" s="4"/>
      <c r="TQV241" s="4"/>
      <c r="TQW241" s="4"/>
      <c r="TQX241" s="4"/>
      <c r="TQY241" s="4"/>
      <c r="TQZ241" s="4"/>
      <c r="TRA241" s="4"/>
      <c r="TRB241" s="4"/>
      <c r="TRC241" s="4"/>
      <c r="TRD241" s="4"/>
      <c r="TRE241" s="4"/>
      <c r="TRF241" s="4"/>
      <c r="TRG241" s="4"/>
      <c r="TRH241" s="4"/>
      <c r="TRI241" s="4"/>
      <c r="TRJ241" s="4"/>
      <c r="TRK241" s="4"/>
      <c r="TRL241" s="4"/>
      <c r="TRM241" s="4"/>
      <c r="TRN241" s="4"/>
      <c r="TRO241" s="4"/>
      <c r="TRP241" s="4"/>
      <c r="TRQ241" s="4"/>
      <c r="TRR241" s="4"/>
      <c r="TRS241" s="4"/>
      <c r="TRT241" s="4"/>
      <c r="TRU241" s="4"/>
      <c r="TRV241" s="4"/>
      <c r="TRW241" s="4"/>
      <c r="TRX241" s="4"/>
      <c r="TRY241" s="4"/>
      <c r="TRZ241" s="4"/>
      <c r="TSA241" s="4"/>
      <c r="TSB241" s="4"/>
      <c r="TSC241" s="4"/>
      <c r="TSD241" s="4"/>
      <c r="TSE241" s="4"/>
      <c r="TSF241" s="4"/>
      <c r="TSG241" s="4"/>
      <c r="TSH241" s="4"/>
      <c r="TSI241" s="4"/>
      <c r="TSJ241" s="4"/>
      <c r="TSK241" s="4"/>
      <c r="TSL241" s="4"/>
      <c r="TSM241" s="4"/>
      <c r="TSN241" s="4"/>
      <c r="TSO241" s="4"/>
      <c r="TSP241" s="4"/>
      <c r="TSQ241" s="4"/>
      <c r="TSR241" s="4"/>
      <c r="TSS241" s="4"/>
      <c r="TST241" s="4"/>
      <c r="TSU241" s="4"/>
      <c r="TSV241" s="4"/>
      <c r="TSW241" s="4"/>
      <c r="TSX241" s="4"/>
      <c r="TSY241" s="4"/>
      <c r="TSZ241" s="4"/>
      <c r="TTA241" s="4"/>
      <c r="TTB241" s="4"/>
      <c r="TTC241" s="4"/>
      <c r="TTD241" s="4"/>
      <c r="TTE241" s="4"/>
      <c r="TTF241" s="4"/>
      <c r="TTG241" s="4"/>
      <c r="TTH241" s="4"/>
      <c r="TTI241" s="4"/>
      <c r="TTJ241" s="4"/>
      <c r="TTK241" s="4"/>
      <c r="TTL241" s="4"/>
      <c r="TTM241" s="4"/>
      <c r="TTN241" s="4"/>
      <c r="TTO241" s="4"/>
      <c r="TTP241" s="4"/>
      <c r="TTQ241" s="4"/>
      <c r="TTR241" s="4"/>
      <c r="TTS241" s="4"/>
      <c r="TTT241" s="4"/>
      <c r="TTU241" s="4"/>
      <c r="TTV241" s="4"/>
      <c r="TTW241" s="4"/>
      <c r="TTX241" s="4"/>
      <c r="TTY241" s="4"/>
      <c r="TTZ241" s="4"/>
      <c r="TUA241" s="4"/>
      <c r="TUB241" s="4"/>
      <c r="TUC241" s="4"/>
      <c r="TUD241" s="4"/>
      <c r="TUE241" s="4"/>
      <c r="TUF241" s="4"/>
      <c r="TUG241" s="4"/>
      <c r="TUH241" s="4"/>
      <c r="TUI241" s="4"/>
      <c r="TUJ241" s="4"/>
      <c r="TUK241" s="4"/>
      <c r="TUL241" s="4"/>
      <c r="TUM241" s="4"/>
      <c r="TUN241" s="4"/>
      <c r="TUO241" s="4"/>
      <c r="TUP241" s="4"/>
      <c r="TUQ241" s="4"/>
      <c r="TUR241" s="4"/>
      <c r="TUS241" s="4"/>
      <c r="TUT241" s="4"/>
      <c r="TUU241" s="4"/>
      <c r="TUV241" s="4"/>
      <c r="TUW241" s="4"/>
      <c r="TUX241" s="4"/>
      <c r="TUY241" s="4"/>
      <c r="TUZ241" s="4"/>
      <c r="TVA241" s="4"/>
      <c r="TVB241" s="4"/>
      <c r="TVC241" s="4"/>
      <c r="TVD241" s="4"/>
      <c r="TVE241" s="4"/>
      <c r="TVF241" s="4"/>
      <c r="TVG241" s="4"/>
      <c r="TVH241" s="4"/>
      <c r="TVI241" s="4"/>
      <c r="TVJ241" s="4"/>
      <c r="TVK241" s="4"/>
      <c r="TVL241" s="4"/>
      <c r="TVM241" s="4"/>
      <c r="TVN241" s="4"/>
      <c r="TVO241" s="4"/>
      <c r="TVP241" s="4"/>
      <c r="TVQ241" s="4"/>
      <c r="TVR241" s="4"/>
      <c r="TVS241" s="4"/>
      <c r="TVT241" s="4"/>
      <c r="TVU241" s="4"/>
      <c r="TVV241" s="4"/>
      <c r="TVW241" s="4"/>
      <c r="TVX241" s="4"/>
      <c r="TVY241" s="4"/>
      <c r="TVZ241" s="4"/>
      <c r="TWA241" s="4"/>
      <c r="TWB241" s="4"/>
      <c r="TWC241" s="4"/>
      <c r="TWD241" s="4"/>
      <c r="TWE241" s="4"/>
      <c r="TWF241" s="4"/>
      <c r="TWG241" s="4"/>
      <c r="TWH241" s="4"/>
      <c r="TWI241" s="4"/>
      <c r="TWJ241" s="4"/>
      <c r="TWK241" s="4"/>
      <c r="TWL241" s="4"/>
      <c r="TWM241" s="4"/>
      <c r="TWN241" s="4"/>
      <c r="TWO241" s="4"/>
      <c r="TWP241" s="4"/>
      <c r="TWQ241" s="4"/>
      <c r="TWR241" s="4"/>
      <c r="TWS241" s="4"/>
      <c r="TWT241" s="4"/>
      <c r="TWU241" s="4"/>
      <c r="TWV241" s="4"/>
      <c r="TWW241" s="4"/>
      <c r="TWX241" s="4"/>
      <c r="TWY241" s="4"/>
      <c r="TWZ241" s="4"/>
      <c r="TXA241" s="4"/>
      <c r="TXB241" s="4"/>
      <c r="TXC241" s="4"/>
      <c r="TXD241" s="4"/>
      <c r="TXE241" s="4"/>
      <c r="TXF241" s="4"/>
      <c r="TXG241" s="4"/>
      <c r="TXH241" s="4"/>
      <c r="TXI241" s="4"/>
      <c r="TXJ241" s="4"/>
      <c r="TXK241" s="4"/>
      <c r="TXL241" s="4"/>
      <c r="TXM241" s="4"/>
      <c r="TXN241" s="4"/>
      <c r="TXO241" s="4"/>
      <c r="TXP241" s="4"/>
      <c r="TXQ241" s="4"/>
      <c r="TXR241" s="4"/>
      <c r="TXS241" s="4"/>
      <c r="TXT241" s="4"/>
      <c r="TXU241" s="4"/>
      <c r="TXV241" s="4"/>
      <c r="TXW241" s="4"/>
      <c r="TXX241" s="4"/>
      <c r="TXY241" s="4"/>
      <c r="TXZ241" s="4"/>
      <c r="TYA241" s="4"/>
      <c r="TYB241" s="4"/>
      <c r="TYC241" s="4"/>
      <c r="TYD241" s="4"/>
      <c r="TYE241" s="4"/>
      <c r="TYF241" s="4"/>
      <c r="TYG241" s="4"/>
      <c r="TYH241" s="4"/>
      <c r="TYI241" s="4"/>
      <c r="TYJ241" s="4"/>
      <c r="TYK241" s="4"/>
      <c r="TYL241" s="4"/>
      <c r="TYM241" s="4"/>
      <c r="TYN241" s="4"/>
      <c r="TYO241" s="4"/>
      <c r="TYP241" s="4"/>
      <c r="TYQ241" s="4"/>
      <c r="TYR241" s="4"/>
      <c r="TYS241" s="4"/>
      <c r="TYT241" s="4"/>
      <c r="TYU241" s="4"/>
      <c r="TYV241" s="4"/>
      <c r="TYW241" s="4"/>
      <c r="TYX241" s="4"/>
      <c r="TYY241" s="4"/>
      <c r="TYZ241" s="4"/>
      <c r="TZA241" s="4"/>
      <c r="TZB241" s="4"/>
      <c r="TZC241" s="4"/>
      <c r="TZD241" s="4"/>
      <c r="TZE241" s="4"/>
      <c r="TZF241" s="4"/>
      <c r="TZG241" s="4"/>
      <c r="TZH241" s="4"/>
      <c r="TZI241" s="4"/>
      <c r="TZJ241" s="4"/>
      <c r="TZK241" s="4"/>
      <c r="TZL241" s="4"/>
      <c r="TZM241" s="4"/>
      <c r="TZN241" s="4"/>
      <c r="TZO241" s="4"/>
      <c r="TZP241" s="4"/>
      <c r="TZQ241" s="4"/>
      <c r="TZR241" s="4"/>
      <c r="TZS241" s="4"/>
      <c r="TZT241" s="4"/>
      <c r="TZU241" s="4"/>
      <c r="TZV241" s="4"/>
      <c r="TZW241" s="4"/>
      <c r="TZX241" s="4"/>
      <c r="TZY241" s="4"/>
      <c r="TZZ241" s="4"/>
      <c r="UAA241" s="4"/>
      <c r="UAB241" s="4"/>
      <c r="UAC241" s="4"/>
      <c r="UAD241" s="4"/>
      <c r="UAE241" s="4"/>
      <c r="UAF241" s="4"/>
      <c r="UAG241" s="4"/>
      <c r="UAH241" s="4"/>
      <c r="UAI241" s="4"/>
      <c r="UAJ241" s="4"/>
      <c r="UAK241" s="4"/>
      <c r="UAL241" s="4"/>
      <c r="UAM241" s="4"/>
      <c r="UAN241" s="4"/>
      <c r="UAO241" s="4"/>
      <c r="UAP241" s="4"/>
      <c r="UAQ241" s="4"/>
      <c r="UAR241" s="4"/>
      <c r="UAS241" s="4"/>
      <c r="UAT241" s="4"/>
      <c r="UAU241" s="4"/>
      <c r="UAV241" s="4"/>
      <c r="UAW241" s="4"/>
      <c r="UAX241" s="4"/>
      <c r="UAY241" s="4"/>
      <c r="UAZ241" s="4"/>
      <c r="UBA241" s="4"/>
      <c r="UBB241" s="4"/>
      <c r="UBC241" s="4"/>
      <c r="UBD241" s="4"/>
      <c r="UBE241" s="4"/>
      <c r="UBF241" s="4"/>
      <c r="UBG241" s="4"/>
      <c r="UBH241" s="4"/>
      <c r="UBI241" s="4"/>
      <c r="UBJ241" s="4"/>
      <c r="UBK241" s="4"/>
      <c r="UBL241" s="4"/>
      <c r="UBM241" s="4"/>
      <c r="UBN241" s="4"/>
      <c r="UBO241" s="4"/>
      <c r="UBP241" s="4"/>
      <c r="UBQ241" s="4"/>
      <c r="UBR241" s="4"/>
      <c r="UBS241" s="4"/>
      <c r="UBT241" s="4"/>
      <c r="UBU241" s="4"/>
      <c r="UBV241" s="4"/>
      <c r="UBW241" s="4"/>
      <c r="UBX241" s="4"/>
      <c r="UBY241" s="4"/>
      <c r="UBZ241" s="4"/>
      <c r="UCA241" s="4"/>
      <c r="UCB241" s="4"/>
      <c r="UCC241" s="4"/>
      <c r="UCD241" s="4"/>
      <c r="UCE241" s="4"/>
      <c r="UCF241" s="4"/>
      <c r="UCG241" s="4"/>
      <c r="UCH241" s="4"/>
      <c r="UCI241" s="4"/>
      <c r="UCJ241" s="4"/>
      <c r="UCK241" s="4"/>
      <c r="UCL241" s="4"/>
      <c r="UCM241" s="4"/>
      <c r="UCN241" s="4"/>
      <c r="UCO241" s="4"/>
      <c r="UCP241" s="4"/>
      <c r="UCQ241" s="4"/>
      <c r="UCR241" s="4"/>
      <c r="UCS241" s="4"/>
      <c r="UCT241" s="4"/>
      <c r="UCU241" s="4"/>
      <c r="UCV241" s="4"/>
      <c r="UCW241" s="4"/>
      <c r="UCX241" s="4"/>
      <c r="UCY241" s="4"/>
      <c r="UCZ241" s="4"/>
      <c r="UDA241" s="4"/>
      <c r="UDB241" s="4"/>
      <c r="UDC241" s="4"/>
      <c r="UDD241" s="4"/>
      <c r="UDE241" s="4"/>
      <c r="UDF241" s="4"/>
      <c r="UDG241" s="4"/>
      <c r="UDH241" s="4"/>
      <c r="UDI241" s="4"/>
      <c r="UDJ241" s="4"/>
      <c r="UDK241" s="4"/>
      <c r="UDL241" s="4"/>
      <c r="UDM241" s="4"/>
      <c r="UDN241" s="4"/>
      <c r="UDO241" s="4"/>
      <c r="UDP241" s="4"/>
      <c r="UDQ241" s="4"/>
      <c r="UDR241" s="4"/>
      <c r="UDS241" s="4"/>
      <c r="UDT241" s="4"/>
      <c r="UDU241" s="4"/>
      <c r="UDV241" s="4"/>
      <c r="UDW241" s="4"/>
      <c r="UDX241" s="4"/>
      <c r="UDY241" s="4"/>
      <c r="UDZ241" s="4"/>
      <c r="UEA241" s="4"/>
      <c r="UEB241" s="4"/>
      <c r="UEC241" s="4"/>
      <c r="UED241" s="4"/>
      <c r="UEE241" s="4"/>
      <c r="UEF241" s="4"/>
      <c r="UEG241" s="4"/>
      <c r="UEH241" s="4"/>
      <c r="UEI241" s="4"/>
      <c r="UEJ241" s="4"/>
      <c r="UEK241" s="4"/>
      <c r="UEL241" s="4"/>
      <c r="UEM241" s="4"/>
      <c r="UEN241" s="4"/>
      <c r="UEO241" s="4"/>
      <c r="UEP241" s="4"/>
      <c r="UEQ241" s="4"/>
      <c r="UER241" s="4"/>
      <c r="UES241" s="4"/>
      <c r="UET241" s="4"/>
      <c r="UEU241" s="4"/>
      <c r="UEV241" s="4"/>
      <c r="UEW241" s="4"/>
      <c r="UEX241" s="4"/>
      <c r="UEY241" s="4"/>
      <c r="UEZ241" s="4"/>
      <c r="UFA241" s="4"/>
      <c r="UFB241" s="4"/>
      <c r="UFC241" s="4"/>
      <c r="UFD241" s="4"/>
      <c r="UFE241" s="4"/>
      <c r="UFF241" s="4"/>
      <c r="UFG241" s="4"/>
      <c r="UFH241" s="4"/>
      <c r="UFI241" s="4"/>
      <c r="UFJ241" s="4"/>
      <c r="UFK241" s="4"/>
      <c r="UFL241" s="4"/>
      <c r="UFM241" s="4"/>
      <c r="UFN241" s="4"/>
      <c r="UFO241" s="4"/>
      <c r="UFP241" s="4"/>
      <c r="UFQ241" s="4"/>
      <c r="UFR241" s="4"/>
      <c r="UFS241" s="4"/>
      <c r="UFT241" s="4"/>
      <c r="UFU241" s="4"/>
      <c r="UFV241" s="4"/>
      <c r="UFW241" s="4"/>
      <c r="UFX241" s="4"/>
      <c r="UFY241" s="4"/>
      <c r="UFZ241" s="4"/>
      <c r="UGA241" s="4"/>
      <c r="UGB241" s="4"/>
      <c r="UGC241" s="4"/>
      <c r="UGD241" s="4"/>
      <c r="UGE241" s="4"/>
      <c r="UGF241" s="4"/>
      <c r="UGG241" s="4"/>
      <c r="UGH241" s="4"/>
      <c r="UGI241" s="4"/>
      <c r="UGJ241" s="4"/>
      <c r="UGK241" s="4"/>
      <c r="UGL241" s="4"/>
      <c r="UGM241" s="4"/>
      <c r="UGN241" s="4"/>
      <c r="UGO241" s="4"/>
      <c r="UGP241" s="4"/>
      <c r="UGQ241" s="4"/>
      <c r="UGR241" s="4"/>
      <c r="UGS241" s="4"/>
      <c r="UGT241" s="4"/>
      <c r="UGU241" s="4"/>
      <c r="UGV241" s="4"/>
      <c r="UGW241" s="4"/>
      <c r="UGX241" s="4"/>
      <c r="UGY241" s="4"/>
      <c r="UGZ241" s="4"/>
      <c r="UHA241" s="4"/>
      <c r="UHB241" s="4"/>
      <c r="UHC241" s="4"/>
      <c r="UHD241" s="4"/>
      <c r="UHE241" s="4"/>
      <c r="UHF241" s="4"/>
      <c r="UHG241" s="4"/>
      <c r="UHH241" s="4"/>
      <c r="UHI241" s="4"/>
      <c r="UHJ241" s="4"/>
      <c r="UHK241" s="4"/>
      <c r="UHL241" s="4"/>
      <c r="UHM241" s="4"/>
      <c r="UHN241" s="4"/>
      <c r="UHO241" s="4"/>
      <c r="UHP241" s="4"/>
      <c r="UHQ241" s="4"/>
      <c r="UHR241" s="4"/>
      <c r="UHS241" s="4"/>
      <c r="UHT241" s="4"/>
      <c r="UHU241" s="4"/>
      <c r="UHV241" s="4"/>
      <c r="UHW241" s="4"/>
      <c r="UHX241" s="4"/>
      <c r="UHY241" s="4"/>
      <c r="UHZ241" s="4"/>
      <c r="UIA241" s="4"/>
      <c r="UIB241" s="4"/>
      <c r="UIC241" s="4"/>
      <c r="UID241" s="4"/>
      <c r="UIE241" s="4"/>
      <c r="UIF241" s="4"/>
      <c r="UIG241" s="4"/>
      <c r="UIH241" s="4"/>
      <c r="UII241" s="4"/>
      <c r="UIJ241" s="4"/>
      <c r="UIK241" s="4"/>
      <c r="UIL241" s="4"/>
      <c r="UIM241" s="4"/>
      <c r="UIN241" s="4"/>
      <c r="UIO241" s="4"/>
      <c r="UIP241" s="4"/>
      <c r="UIQ241" s="4"/>
      <c r="UIR241" s="4"/>
      <c r="UIS241" s="4"/>
      <c r="UIT241" s="4"/>
      <c r="UIU241" s="4"/>
      <c r="UIV241" s="4"/>
      <c r="UIW241" s="4"/>
      <c r="UIX241" s="4"/>
      <c r="UIY241" s="4"/>
      <c r="UIZ241" s="4"/>
      <c r="UJA241" s="4"/>
      <c r="UJB241" s="4"/>
      <c r="UJC241" s="4"/>
      <c r="UJD241" s="4"/>
      <c r="UJE241" s="4"/>
      <c r="UJF241" s="4"/>
      <c r="UJG241" s="4"/>
      <c r="UJH241" s="4"/>
      <c r="UJI241" s="4"/>
      <c r="UJJ241" s="4"/>
      <c r="UJK241" s="4"/>
      <c r="UJL241" s="4"/>
      <c r="UJM241" s="4"/>
      <c r="UJN241" s="4"/>
      <c r="UJO241" s="4"/>
      <c r="UJP241" s="4"/>
      <c r="UJQ241" s="4"/>
      <c r="UJR241" s="4"/>
      <c r="UJS241" s="4"/>
      <c r="UJT241" s="4"/>
      <c r="UJU241" s="4"/>
      <c r="UJV241" s="4"/>
      <c r="UJW241" s="4"/>
      <c r="UJX241" s="4"/>
      <c r="UJY241" s="4"/>
      <c r="UJZ241" s="4"/>
      <c r="UKA241" s="4"/>
      <c r="UKB241" s="4"/>
      <c r="UKC241" s="4"/>
      <c r="UKD241" s="4"/>
      <c r="UKE241" s="4"/>
      <c r="UKF241" s="4"/>
      <c r="UKG241" s="4"/>
      <c r="UKH241" s="4"/>
      <c r="UKI241" s="4"/>
      <c r="UKJ241" s="4"/>
      <c r="UKK241" s="4"/>
      <c r="UKL241" s="4"/>
      <c r="UKM241" s="4"/>
      <c r="UKN241" s="4"/>
      <c r="UKO241" s="4"/>
      <c r="UKP241" s="4"/>
      <c r="UKQ241" s="4"/>
      <c r="UKR241" s="4"/>
      <c r="UKS241" s="4"/>
      <c r="UKT241" s="4"/>
      <c r="UKU241" s="4"/>
      <c r="UKV241" s="4"/>
      <c r="UKW241" s="4"/>
      <c r="UKX241" s="4"/>
      <c r="UKY241" s="4"/>
      <c r="UKZ241" s="4"/>
      <c r="ULA241" s="4"/>
      <c r="ULB241" s="4"/>
      <c r="ULC241" s="4"/>
      <c r="ULD241" s="4"/>
      <c r="ULE241" s="4"/>
      <c r="ULF241" s="4"/>
      <c r="ULG241" s="4"/>
      <c r="ULH241" s="4"/>
      <c r="ULI241" s="4"/>
      <c r="ULJ241" s="4"/>
      <c r="ULK241" s="4"/>
      <c r="ULL241" s="4"/>
      <c r="ULM241" s="4"/>
      <c r="ULN241" s="4"/>
      <c r="ULO241" s="4"/>
      <c r="ULP241" s="4"/>
      <c r="ULQ241" s="4"/>
      <c r="ULR241" s="4"/>
      <c r="ULS241" s="4"/>
      <c r="ULT241" s="4"/>
      <c r="ULU241" s="4"/>
      <c r="ULV241" s="4"/>
      <c r="ULW241" s="4"/>
      <c r="ULX241" s="4"/>
      <c r="ULY241" s="4"/>
      <c r="ULZ241" s="4"/>
      <c r="UMA241" s="4"/>
      <c r="UMB241" s="4"/>
      <c r="UMC241" s="4"/>
      <c r="UMD241" s="4"/>
      <c r="UME241" s="4"/>
      <c r="UMF241" s="4"/>
      <c r="UMG241" s="4"/>
      <c r="UMH241" s="4"/>
      <c r="UMI241" s="4"/>
      <c r="UMJ241" s="4"/>
      <c r="UMK241" s="4"/>
      <c r="UML241" s="4"/>
      <c r="UMM241" s="4"/>
      <c r="UMN241" s="4"/>
      <c r="UMO241" s="4"/>
      <c r="UMP241" s="4"/>
      <c r="UMQ241" s="4"/>
      <c r="UMR241" s="4"/>
      <c r="UMS241" s="4"/>
      <c r="UMT241" s="4"/>
      <c r="UMU241" s="4"/>
      <c r="UMV241" s="4"/>
      <c r="UMW241" s="4"/>
      <c r="UMX241" s="4"/>
      <c r="UMY241" s="4"/>
      <c r="UMZ241" s="4"/>
      <c r="UNA241" s="4"/>
      <c r="UNB241" s="4"/>
      <c r="UNC241" s="4"/>
      <c r="UND241" s="4"/>
      <c r="UNE241" s="4"/>
      <c r="UNF241" s="4"/>
      <c r="UNG241" s="4"/>
      <c r="UNH241" s="4"/>
      <c r="UNI241" s="4"/>
      <c r="UNJ241" s="4"/>
      <c r="UNK241" s="4"/>
      <c r="UNL241" s="4"/>
      <c r="UNM241" s="4"/>
      <c r="UNN241" s="4"/>
      <c r="UNO241" s="4"/>
      <c r="UNP241" s="4"/>
      <c r="UNQ241" s="4"/>
      <c r="UNR241" s="4"/>
      <c r="UNS241" s="4"/>
      <c r="UNT241" s="4"/>
      <c r="UNU241" s="4"/>
      <c r="UNV241" s="4"/>
      <c r="UNW241" s="4"/>
      <c r="UNX241" s="4"/>
      <c r="UNY241" s="4"/>
      <c r="UNZ241" s="4"/>
      <c r="UOA241" s="4"/>
      <c r="UOB241" s="4"/>
      <c r="UOC241" s="4"/>
      <c r="UOD241" s="4"/>
      <c r="UOE241" s="4"/>
      <c r="UOF241" s="4"/>
      <c r="UOG241" s="4"/>
      <c r="UOH241" s="4"/>
      <c r="UOI241" s="4"/>
      <c r="UOJ241" s="4"/>
      <c r="UOK241" s="4"/>
      <c r="UOL241" s="4"/>
      <c r="UOM241" s="4"/>
      <c r="UON241" s="4"/>
      <c r="UOO241" s="4"/>
      <c r="UOP241" s="4"/>
      <c r="UOQ241" s="4"/>
      <c r="UOR241" s="4"/>
      <c r="UOS241" s="4"/>
      <c r="UOT241" s="4"/>
      <c r="UOU241" s="4"/>
      <c r="UOV241" s="4"/>
      <c r="UOW241" s="4"/>
      <c r="UOX241" s="4"/>
      <c r="UOY241" s="4"/>
      <c r="UOZ241" s="4"/>
      <c r="UPA241" s="4"/>
      <c r="UPB241" s="4"/>
      <c r="UPC241" s="4"/>
      <c r="UPD241" s="4"/>
      <c r="UPE241" s="4"/>
      <c r="UPF241" s="4"/>
      <c r="UPG241" s="4"/>
      <c r="UPH241" s="4"/>
      <c r="UPI241" s="4"/>
      <c r="UPJ241" s="4"/>
      <c r="UPK241" s="4"/>
      <c r="UPL241" s="4"/>
      <c r="UPM241" s="4"/>
      <c r="UPN241" s="4"/>
      <c r="UPO241" s="4"/>
      <c r="UPP241" s="4"/>
      <c r="UPQ241" s="4"/>
      <c r="UPR241" s="4"/>
      <c r="UPS241" s="4"/>
      <c r="UPT241" s="4"/>
      <c r="UPU241" s="4"/>
      <c r="UPV241" s="4"/>
      <c r="UPW241" s="4"/>
      <c r="UPX241" s="4"/>
      <c r="UPY241" s="4"/>
      <c r="UPZ241" s="4"/>
      <c r="UQA241" s="4"/>
      <c r="UQB241" s="4"/>
      <c r="UQC241" s="4"/>
      <c r="UQD241" s="4"/>
      <c r="UQE241" s="4"/>
      <c r="UQF241" s="4"/>
      <c r="UQG241" s="4"/>
      <c r="UQH241" s="4"/>
      <c r="UQI241" s="4"/>
      <c r="UQJ241" s="4"/>
      <c r="UQK241" s="4"/>
      <c r="UQL241" s="4"/>
      <c r="UQM241" s="4"/>
      <c r="UQN241" s="4"/>
      <c r="UQO241" s="4"/>
      <c r="UQP241" s="4"/>
      <c r="UQQ241" s="4"/>
      <c r="UQR241" s="4"/>
      <c r="UQS241" s="4"/>
      <c r="UQT241" s="4"/>
      <c r="UQU241" s="4"/>
      <c r="UQV241" s="4"/>
      <c r="UQW241" s="4"/>
      <c r="UQX241" s="4"/>
      <c r="UQY241" s="4"/>
      <c r="UQZ241" s="4"/>
      <c r="URA241" s="4"/>
      <c r="URB241" s="4"/>
      <c r="URC241" s="4"/>
      <c r="URD241" s="4"/>
      <c r="URE241" s="4"/>
      <c r="URF241" s="4"/>
      <c r="URG241" s="4"/>
      <c r="URH241" s="4"/>
      <c r="URI241" s="4"/>
      <c r="URJ241" s="4"/>
      <c r="URK241" s="4"/>
      <c r="URL241" s="4"/>
      <c r="URM241" s="4"/>
      <c r="URN241" s="4"/>
      <c r="URO241" s="4"/>
      <c r="URP241" s="4"/>
      <c r="URQ241" s="4"/>
      <c r="URR241" s="4"/>
      <c r="URS241" s="4"/>
      <c r="URT241" s="4"/>
      <c r="URU241" s="4"/>
      <c r="URV241" s="4"/>
      <c r="URW241" s="4"/>
      <c r="URX241" s="4"/>
      <c r="URY241" s="4"/>
      <c r="URZ241" s="4"/>
      <c r="USA241" s="4"/>
      <c r="USB241" s="4"/>
      <c r="USC241" s="4"/>
      <c r="USD241" s="4"/>
      <c r="USE241" s="4"/>
      <c r="USF241" s="4"/>
      <c r="USG241" s="4"/>
      <c r="USH241" s="4"/>
      <c r="USI241" s="4"/>
      <c r="USJ241" s="4"/>
      <c r="USK241" s="4"/>
      <c r="USL241" s="4"/>
      <c r="USM241" s="4"/>
      <c r="USN241" s="4"/>
      <c r="USO241" s="4"/>
      <c r="USP241" s="4"/>
      <c r="USQ241" s="4"/>
      <c r="USR241" s="4"/>
      <c r="USS241" s="4"/>
      <c r="UST241" s="4"/>
      <c r="USU241" s="4"/>
      <c r="USV241" s="4"/>
      <c r="USW241" s="4"/>
      <c r="USX241" s="4"/>
      <c r="USY241" s="4"/>
      <c r="USZ241" s="4"/>
      <c r="UTA241" s="4"/>
      <c r="UTB241" s="4"/>
      <c r="UTC241" s="4"/>
      <c r="UTD241" s="4"/>
      <c r="UTE241" s="4"/>
      <c r="UTF241" s="4"/>
      <c r="UTG241" s="4"/>
      <c r="UTH241" s="4"/>
      <c r="UTI241" s="4"/>
      <c r="UTJ241" s="4"/>
      <c r="UTK241" s="4"/>
      <c r="UTL241" s="4"/>
      <c r="UTM241" s="4"/>
      <c r="UTN241" s="4"/>
      <c r="UTO241" s="4"/>
      <c r="UTP241" s="4"/>
      <c r="UTQ241" s="4"/>
      <c r="UTR241" s="4"/>
      <c r="UTS241" s="4"/>
      <c r="UTT241" s="4"/>
      <c r="UTU241" s="4"/>
      <c r="UTV241" s="4"/>
      <c r="UTW241" s="4"/>
      <c r="UTX241" s="4"/>
      <c r="UTY241" s="4"/>
      <c r="UTZ241" s="4"/>
      <c r="UUA241" s="4"/>
      <c r="UUB241" s="4"/>
      <c r="UUC241" s="4"/>
      <c r="UUD241" s="4"/>
      <c r="UUE241" s="4"/>
      <c r="UUF241" s="4"/>
      <c r="UUG241" s="4"/>
      <c r="UUH241" s="4"/>
      <c r="UUI241" s="4"/>
      <c r="UUJ241" s="4"/>
      <c r="UUK241" s="4"/>
      <c r="UUL241" s="4"/>
      <c r="UUM241" s="4"/>
      <c r="UUN241" s="4"/>
      <c r="UUO241" s="4"/>
      <c r="UUP241" s="4"/>
      <c r="UUQ241" s="4"/>
      <c r="UUR241" s="4"/>
      <c r="UUS241" s="4"/>
      <c r="UUT241" s="4"/>
      <c r="UUU241" s="4"/>
      <c r="UUV241" s="4"/>
      <c r="UUW241" s="4"/>
      <c r="UUX241" s="4"/>
      <c r="UUY241" s="4"/>
      <c r="UUZ241" s="4"/>
      <c r="UVA241" s="4"/>
      <c r="UVB241" s="4"/>
      <c r="UVC241" s="4"/>
      <c r="UVD241" s="4"/>
      <c r="UVE241" s="4"/>
      <c r="UVF241" s="4"/>
      <c r="UVG241" s="4"/>
      <c r="UVH241" s="4"/>
      <c r="UVI241" s="4"/>
      <c r="UVJ241" s="4"/>
      <c r="UVK241" s="4"/>
      <c r="UVL241" s="4"/>
      <c r="UVM241" s="4"/>
      <c r="UVN241" s="4"/>
      <c r="UVO241" s="4"/>
      <c r="UVP241" s="4"/>
      <c r="UVQ241" s="4"/>
      <c r="UVR241" s="4"/>
      <c r="UVS241" s="4"/>
      <c r="UVT241" s="4"/>
      <c r="UVU241" s="4"/>
      <c r="UVV241" s="4"/>
      <c r="UVW241" s="4"/>
      <c r="UVX241" s="4"/>
      <c r="UVY241" s="4"/>
      <c r="UVZ241" s="4"/>
      <c r="UWA241" s="4"/>
      <c r="UWB241" s="4"/>
      <c r="UWC241" s="4"/>
      <c r="UWD241" s="4"/>
      <c r="UWE241" s="4"/>
      <c r="UWF241" s="4"/>
      <c r="UWG241" s="4"/>
      <c r="UWH241" s="4"/>
      <c r="UWI241" s="4"/>
      <c r="UWJ241" s="4"/>
      <c r="UWK241" s="4"/>
      <c r="UWL241" s="4"/>
      <c r="UWM241" s="4"/>
      <c r="UWN241" s="4"/>
      <c r="UWO241" s="4"/>
      <c r="UWP241" s="4"/>
      <c r="UWQ241" s="4"/>
      <c r="UWR241" s="4"/>
      <c r="UWS241" s="4"/>
      <c r="UWT241" s="4"/>
      <c r="UWU241" s="4"/>
      <c r="UWV241" s="4"/>
      <c r="UWW241" s="4"/>
      <c r="UWX241" s="4"/>
      <c r="UWY241" s="4"/>
      <c r="UWZ241" s="4"/>
      <c r="UXA241" s="4"/>
      <c r="UXB241" s="4"/>
      <c r="UXC241" s="4"/>
      <c r="UXD241" s="4"/>
      <c r="UXE241" s="4"/>
      <c r="UXF241" s="4"/>
      <c r="UXG241" s="4"/>
      <c r="UXH241" s="4"/>
      <c r="UXI241" s="4"/>
      <c r="UXJ241" s="4"/>
      <c r="UXK241" s="4"/>
      <c r="UXL241" s="4"/>
      <c r="UXM241" s="4"/>
      <c r="UXN241" s="4"/>
      <c r="UXO241" s="4"/>
      <c r="UXP241" s="4"/>
      <c r="UXQ241" s="4"/>
      <c r="UXR241" s="4"/>
      <c r="UXS241" s="4"/>
      <c r="UXT241" s="4"/>
      <c r="UXU241" s="4"/>
      <c r="UXV241" s="4"/>
      <c r="UXW241" s="4"/>
      <c r="UXX241" s="4"/>
      <c r="UXY241" s="4"/>
      <c r="UXZ241" s="4"/>
      <c r="UYA241" s="4"/>
      <c r="UYB241" s="4"/>
      <c r="UYC241" s="4"/>
      <c r="UYD241" s="4"/>
      <c r="UYE241" s="4"/>
      <c r="UYF241" s="4"/>
      <c r="UYG241" s="4"/>
      <c r="UYH241" s="4"/>
      <c r="UYI241" s="4"/>
      <c r="UYJ241" s="4"/>
      <c r="UYK241" s="4"/>
      <c r="UYL241" s="4"/>
      <c r="UYM241" s="4"/>
      <c r="UYN241" s="4"/>
      <c r="UYO241" s="4"/>
      <c r="UYP241" s="4"/>
      <c r="UYQ241" s="4"/>
      <c r="UYR241" s="4"/>
      <c r="UYS241" s="4"/>
      <c r="UYT241" s="4"/>
      <c r="UYU241" s="4"/>
      <c r="UYV241" s="4"/>
      <c r="UYW241" s="4"/>
      <c r="UYX241" s="4"/>
      <c r="UYY241" s="4"/>
      <c r="UYZ241" s="4"/>
      <c r="UZA241" s="4"/>
      <c r="UZB241" s="4"/>
      <c r="UZC241" s="4"/>
      <c r="UZD241" s="4"/>
      <c r="UZE241" s="4"/>
      <c r="UZF241" s="4"/>
      <c r="UZG241" s="4"/>
      <c r="UZH241" s="4"/>
      <c r="UZI241" s="4"/>
      <c r="UZJ241" s="4"/>
      <c r="UZK241" s="4"/>
      <c r="UZL241" s="4"/>
      <c r="UZM241" s="4"/>
      <c r="UZN241" s="4"/>
      <c r="UZO241" s="4"/>
      <c r="UZP241" s="4"/>
      <c r="UZQ241" s="4"/>
      <c r="UZR241" s="4"/>
      <c r="UZS241" s="4"/>
      <c r="UZT241" s="4"/>
      <c r="UZU241" s="4"/>
      <c r="UZV241" s="4"/>
      <c r="UZW241" s="4"/>
      <c r="UZX241" s="4"/>
      <c r="UZY241" s="4"/>
      <c r="UZZ241" s="4"/>
      <c r="VAA241" s="4"/>
      <c r="VAB241" s="4"/>
      <c r="VAC241" s="4"/>
      <c r="VAD241" s="4"/>
      <c r="VAE241" s="4"/>
      <c r="VAF241" s="4"/>
      <c r="VAG241" s="4"/>
      <c r="VAH241" s="4"/>
      <c r="VAI241" s="4"/>
      <c r="VAJ241" s="4"/>
      <c r="VAK241" s="4"/>
      <c r="VAL241" s="4"/>
      <c r="VAM241" s="4"/>
      <c r="VAN241" s="4"/>
      <c r="VAO241" s="4"/>
      <c r="VAP241" s="4"/>
      <c r="VAQ241" s="4"/>
      <c r="VAR241" s="4"/>
      <c r="VAS241" s="4"/>
      <c r="VAT241" s="4"/>
      <c r="VAU241" s="4"/>
      <c r="VAV241" s="4"/>
      <c r="VAW241" s="4"/>
      <c r="VAX241" s="4"/>
      <c r="VAY241" s="4"/>
      <c r="VAZ241" s="4"/>
      <c r="VBA241" s="4"/>
      <c r="VBB241" s="4"/>
      <c r="VBC241" s="4"/>
      <c r="VBD241" s="4"/>
      <c r="VBE241" s="4"/>
      <c r="VBF241" s="4"/>
      <c r="VBG241" s="4"/>
      <c r="VBH241" s="4"/>
      <c r="VBI241" s="4"/>
      <c r="VBJ241" s="4"/>
      <c r="VBK241" s="4"/>
      <c r="VBL241" s="4"/>
      <c r="VBM241" s="4"/>
      <c r="VBN241" s="4"/>
      <c r="VBO241" s="4"/>
      <c r="VBP241" s="4"/>
      <c r="VBQ241" s="4"/>
      <c r="VBR241" s="4"/>
      <c r="VBS241" s="4"/>
      <c r="VBT241" s="4"/>
      <c r="VBU241" s="4"/>
      <c r="VBV241" s="4"/>
      <c r="VBW241" s="4"/>
      <c r="VBX241" s="4"/>
      <c r="VBY241" s="4"/>
      <c r="VBZ241" s="4"/>
      <c r="VCA241" s="4"/>
      <c r="VCB241" s="4"/>
      <c r="VCC241" s="4"/>
      <c r="VCD241" s="4"/>
      <c r="VCE241" s="4"/>
      <c r="VCF241" s="4"/>
      <c r="VCG241" s="4"/>
      <c r="VCH241" s="4"/>
      <c r="VCI241" s="4"/>
      <c r="VCJ241" s="4"/>
      <c r="VCK241" s="4"/>
      <c r="VCL241" s="4"/>
      <c r="VCM241" s="4"/>
      <c r="VCN241" s="4"/>
      <c r="VCO241" s="4"/>
      <c r="VCP241" s="4"/>
      <c r="VCQ241" s="4"/>
      <c r="VCR241" s="4"/>
      <c r="VCS241" s="4"/>
      <c r="VCT241" s="4"/>
      <c r="VCU241" s="4"/>
      <c r="VCV241" s="4"/>
      <c r="VCW241" s="4"/>
      <c r="VCX241" s="4"/>
      <c r="VCY241" s="4"/>
      <c r="VCZ241" s="4"/>
      <c r="VDA241" s="4"/>
      <c r="VDB241" s="4"/>
      <c r="VDC241" s="4"/>
      <c r="VDD241" s="4"/>
      <c r="VDE241" s="4"/>
      <c r="VDF241" s="4"/>
      <c r="VDG241" s="4"/>
      <c r="VDH241" s="4"/>
      <c r="VDI241" s="4"/>
      <c r="VDJ241" s="4"/>
      <c r="VDK241" s="4"/>
      <c r="VDL241" s="4"/>
      <c r="VDM241" s="4"/>
      <c r="VDN241" s="4"/>
      <c r="VDO241" s="4"/>
      <c r="VDP241" s="4"/>
      <c r="VDQ241" s="4"/>
      <c r="VDR241" s="4"/>
      <c r="VDS241" s="4"/>
      <c r="VDT241" s="4"/>
      <c r="VDU241" s="4"/>
      <c r="VDV241" s="4"/>
      <c r="VDW241" s="4"/>
      <c r="VDX241" s="4"/>
      <c r="VDY241" s="4"/>
      <c r="VDZ241" s="4"/>
      <c r="VEA241" s="4"/>
      <c r="VEB241" s="4"/>
      <c r="VEC241" s="4"/>
      <c r="VED241" s="4"/>
      <c r="VEE241" s="4"/>
      <c r="VEF241" s="4"/>
      <c r="VEG241" s="4"/>
      <c r="VEH241" s="4"/>
      <c r="VEI241" s="4"/>
      <c r="VEJ241" s="4"/>
      <c r="VEK241" s="4"/>
      <c r="VEL241" s="4"/>
      <c r="VEM241" s="4"/>
      <c r="VEN241" s="4"/>
      <c r="VEO241" s="4"/>
      <c r="VEP241" s="4"/>
      <c r="VEQ241" s="4"/>
      <c r="VER241" s="4"/>
      <c r="VES241" s="4"/>
      <c r="VET241" s="4"/>
      <c r="VEU241" s="4"/>
      <c r="VEV241" s="4"/>
      <c r="VEW241" s="4"/>
      <c r="VEX241" s="4"/>
      <c r="VEY241" s="4"/>
      <c r="VEZ241" s="4"/>
      <c r="VFA241" s="4"/>
      <c r="VFB241" s="4"/>
      <c r="VFC241" s="4"/>
      <c r="VFD241" s="4"/>
      <c r="VFE241" s="4"/>
      <c r="VFF241" s="4"/>
      <c r="VFG241" s="4"/>
      <c r="VFH241" s="4"/>
      <c r="VFI241" s="4"/>
      <c r="VFJ241" s="4"/>
      <c r="VFK241" s="4"/>
      <c r="VFL241" s="4"/>
      <c r="VFM241" s="4"/>
      <c r="VFN241" s="4"/>
      <c r="VFO241" s="4"/>
      <c r="VFP241" s="4"/>
      <c r="VFQ241" s="4"/>
      <c r="VFR241" s="4"/>
      <c r="VFS241" s="4"/>
      <c r="VFT241" s="4"/>
      <c r="VFU241" s="4"/>
      <c r="VFV241" s="4"/>
      <c r="VFW241" s="4"/>
      <c r="VFX241" s="4"/>
      <c r="VFY241" s="4"/>
      <c r="VFZ241" s="4"/>
      <c r="VGA241" s="4"/>
      <c r="VGB241" s="4"/>
      <c r="VGC241" s="4"/>
      <c r="VGD241" s="4"/>
      <c r="VGE241" s="4"/>
      <c r="VGF241" s="4"/>
      <c r="VGG241" s="4"/>
      <c r="VGH241" s="4"/>
      <c r="VGI241" s="4"/>
      <c r="VGJ241" s="4"/>
      <c r="VGK241" s="4"/>
      <c r="VGL241" s="4"/>
      <c r="VGM241" s="4"/>
      <c r="VGN241" s="4"/>
      <c r="VGO241" s="4"/>
      <c r="VGP241" s="4"/>
      <c r="VGQ241" s="4"/>
      <c r="VGR241" s="4"/>
      <c r="VGS241" s="4"/>
      <c r="VGT241" s="4"/>
      <c r="VGU241" s="4"/>
      <c r="VGV241" s="4"/>
      <c r="VGW241" s="4"/>
      <c r="VGX241" s="4"/>
      <c r="VGY241" s="4"/>
      <c r="VGZ241" s="4"/>
      <c r="VHA241" s="4"/>
      <c r="VHB241" s="4"/>
      <c r="VHC241" s="4"/>
      <c r="VHD241" s="4"/>
      <c r="VHE241" s="4"/>
      <c r="VHF241" s="4"/>
      <c r="VHG241" s="4"/>
      <c r="VHH241" s="4"/>
      <c r="VHI241" s="4"/>
      <c r="VHJ241" s="4"/>
      <c r="VHK241" s="4"/>
      <c r="VHL241" s="4"/>
      <c r="VHM241" s="4"/>
      <c r="VHN241" s="4"/>
      <c r="VHO241" s="4"/>
      <c r="VHP241" s="4"/>
      <c r="VHQ241" s="4"/>
      <c r="VHR241" s="4"/>
      <c r="VHS241" s="4"/>
      <c r="VHT241" s="4"/>
      <c r="VHU241" s="4"/>
      <c r="VHV241" s="4"/>
      <c r="VHW241" s="4"/>
      <c r="VHX241" s="4"/>
      <c r="VHY241" s="4"/>
      <c r="VHZ241" s="4"/>
      <c r="VIA241" s="4"/>
      <c r="VIB241" s="4"/>
      <c r="VIC241" s="4"/>
      <c r="VID241" s="4"/>
      <c r="VIE241" s="4"/>
      <c r="VIF241" s="4"/>
      <c r="VIG241" s="4"/>
      <c r="VIH241" s="4"/>
      <c r="VII241" s="4"/>
      <c r="VIJ241" s="4"/>
      <c r="VIK241" s="4"/>
      <c r="VIL241" s="4"/>
      <c r="VIM241" s="4"/>
      <c r="VIN241" s="4"/>
      <c r="VIO241" s="4"/>
      <c r="VIP241" s="4"/>
      <c r="VIQ241" s="4"/>
      <c r="VIR241" s="4"/>
      <c r="VIS241" s="4"/>
      <c r="VIT241" s="4"/>
      <c r="VIU241" s="4"/>
      <c r="VIV241" s="4"/>
      <c r="VIW241" s="4"/>
      <c r="VIX241" s="4"/>
      <c r="VIY241" s="4"/>
      <c r="VIZ241" s="4"/>
      <c r="VJA241" s="4"/>
      <c r="VJB241" s="4"/>
      <c r="VJC241" s="4"/>
      <c r="VJD241" s="4"/>
      <c r="VJE241" s="4"/>
      <c r="VJF241" s="4"/>
      <c r="VJG241" s="4"/>
      <c r="VJH241" s="4"/>
      <c r="VJI241" s="4"/>
      <c r="VJJ241" s="4"/>
      <c r="VJK241" s="4"/>
      <c r="VJL241" s="4"/>
      <c r="VJM241" s="4"/>
      <c r="VJN241" s="4"/>
      <c r="VJO241" s="4"/>
      <c r="VJP241" s="4"/>
      <c r="VJQ241" s="4"/>
      <c r="VJR241" s="4"/>
      <c r="VJS241" s="4"/>
      <c r="VJT241" s="4"/>
      <c r="VJU241" s="4"/>
      <c r="VJV241" s="4"/>
      <c r="VJW241" s="4"/>
      <c r="VJX241" s="4"/>
      <c r="VJY241" s="4"/>
      <c r="VJZ241" s="4"/>
      <c r="VKA241" s="4"/>
      <c r="VKB241" s="4"/>
      <c r="VKC241" s="4"/>
      <c r="VKD241" s="4"/>
      <c r="VKE241" s="4"/>
      <c r="VKF241" s="4"/>
      <c r="VKG241" s="4"/>
      <c r="VKH241" s="4"/>
      <c r="VKI241" s="4"/>
      <c r="VKJ241" s="4"/>
      <c r="VKK241" s="4"/>
      <c r="VKL241" s="4"/>
      <c r="VKM241" s="4"/>
      <c r="VKN241" s="4"/>
      <c r="VKO241" s="4"/>
      <c r="VKP241" s="4"/>
      <c r="VKQ241" s="4"/>
      <c r="VKR241" s="4"/>
      <c r="VKS241" s="4"/>
      <c r="VKT241" s="4"/>
      <c r="VKU241" s="4"/>
      <c r="VKV241" s="4"/>
      <c r="VKW241" s="4"/>
      <c r="VKX241" s="4"/>
      <c r="VKY241" s="4"/>
      <c r="VKZ241" s="4"/>
      <c r="VLA241" s="4"/>
      <c r="VLB241" s="4"/>
      <c r="VLC241" s="4"/>
      <c r="VLD241" s="4"/>
      <c r="VLE241" s="4"/>
      <c r="VLF241" s="4"/>
      <c r="VLG241" s="4"/>
      <c r="VLH241" s="4"/>
      <c r="VLI241" s="4"/>
      <c r="VLJ241" s="4"/>
      <c r="VLK241" s="4"/>
      <c r="VLL241" s="4"/>
      <c r="VLM241" s="4"/>
      <c r="VLN241" s="4"/>
      <c r="VLO241" s="4"/>
      <c r="VLP241" s="4"/>
      <c r="VLQ241" s="4"/>
      <c r="VLR241" s="4"/>
      <c r="VLS241" s="4"/>
      <c r="VLT241" s="4"/>
      <c r="VLU241" s="4"/>
      <c r="VLV241" s="4"/>
      <c r="VLW241" s="4"/>
      <c r="VLX241" s="4"/>
      <c r="VLY241" s="4"/>
      <c r="VLZ241" s="4"/>
      <c r="VMA241" s="4"/>
      <c r="VMB241" s="4"/>
      <c r="VMC241" s="4"/>
      <c r="VMD241" s="4"/>
      <c r="VME241" s="4"/>
      <c r="VMF241" s="4"/>
      <c r="VMG241" s="4"/>
      <c r="VMH241" s="4"/>
      <c r="VMI241" s="4"/>
      <c r="VMJ241" s="4"/>
      <c r="VMK241" s="4"/>
      <c r="VML241" s="4"/>
      <c r="VMM241" s="4"/>
      <c r="VMN241" s="4"/>
      <c r="VMO241" s="4"/>
      <c r="VMP241" s="4"/>
      <c r="VMQ241" s="4"/>
      <c r="VMR241" s="4"/>
      <c r="VMS241" s="4"/>
      <c r="VMT241" s="4"/>
      <c r="VMU241" s="4"/>
      <c r="VMV241" s="4"/>
      <c r="VMW241" s="4"/>
      <c r="VMX241" s="4"/>
      <c r="VMY241" s="4"/>
      <c r="VMZ241" s="4"/>
      <c r="VNA241" s="4"/>
      <c r="VNB241" s="4"/>
      <c r="VNC241" s="4"/>
      <c r="VND241" s="4"/>
      <c r="VNE241" s="4"/>
      <c r="VNF241" s="4"/>
      <c r="VNG241" s="4"/>
      <c r="VNH241" s="4"/>
      <c r="VNI241" s="4"/>
      <c r="VNJ241" s="4"/>
      <c r="VNK241" s="4"/>
      <c r="VNL241" s="4"/>
      <c r="VNM241" s="4"/>
      <c r="VNN241" s="4"/>
      <c r="VNO241" s="4"/>
      <c r="VNP241" s="4"/>
      <c r="VNQ241" s="4"/>
      <c r="VNR241" s="4"/>
      <c r="VNS241" s="4"/>
      <c r="VNT241" s="4"/>
      <c r="VNU241" s="4"/>
      <c r="VNV241" s="4"/>
      <c r="VNW241" s="4"/>
      <c r="VNX241" s="4"/>
      <c r="VNY241" s="4"/>
      <c r="VNZ241" s="4"/>
      <c r="VOA241" s="4"/>
      <c r="VOB241" s="4"/>
      <c r="VOC241" s="4"/>
      <c r="VOD241" s="4"/>
      <c r="VOE241" s="4"/>
      <c r="VOF241" s="4"/>
      <c r="VOG241" s="4"/>
      <c r="VOH241" s="4"/>
      <c r="VOI241" s="4"/>
      <c r="VOJ241" s="4"/>
      <c r="VOK241" s="4"/>
      <c r="VOL241" s="4"/>
      <c r="VOM241" s="4"/>
      <c r="VON241" s="4"/>
      <c r="VOO241" s="4"/>
      <c r="VOP241" s="4"/>
      <c r="VOQ241" s="4"/>
      <c r="VOR241" s="4"/>
      <c r="VOS241" s="4"/>
      <c r="VOT241" s="4"/>
      <c r="VOU241" s="4"/>
      <c r="VOV241" s="4"/>
      <c r="VOW241" s="4"/>
      <c r="VOX241" s="4"/>
      <c r="VOY241" s="4"/>
      <c r="VOZ241" s="4"/>
      <c r="VPA241" s="4"/>
      <c r="VPB241" s="4"/>
      <c r="VPC241" s="4"/>
      <c r="VPD241" s="4"/>
      <c r="VPE241" s="4"/>
      <c r="VPF241" s="4"/>
      <c r="VPG241" s="4"/>
      <c r="VPH241" s="4"/>
      <c r="VPI241" s="4"/>
      <c r="VPJ241" s="4"/>
      <c r="VPK241" s="4"/>
      <c r="VPL241" s="4"/>
      <c r="VPM241" s="4"/>
      <c r="VPN241" s="4"/>
      <c r="VPO241" s="4"/>
      <c r="VPP241" s="4"/>
      <c r="VPQ241" s="4"/>
      <c r="VPR241" s="4"/>
      <c r="VPS241" s="4"/>
      <c r="VPT241" s="4"/>
      <c r="VPU241" s="4"/>
      <c r="VPV241" s="4"/>
      <c r="VPW241" s="4"/>
      <c r="VPX241" s="4"/>
      <c r="VPY241" s="4"/>
      <c r="VPZ241" s="4"/>
      <c r="VQA241" s="4"/>
      <c r="VQB241" s="4"/>
      <c r="VQC241" s="4"/>
      <c r="VQD241" s="4"/>
      <c r="VQE241" s="4"/>
      <c r="VQF241" s="4"/>
      <c r="VQG241" s="4"/>
      <c r="VQH241" s="4"/>
      <c r="VQI241" s="4"/>
      <c r="VQJ241" s="4"/>
      <c r="VQK241" s="4"/>
      <c r="VQL241" s="4"/>
      <c r="VQM241" s="4"/>
      <c r="VQN241" s="4"/>
      <c r="VQO241" s="4"/>
      <c r="VQP241" s="4"/>
      <c r="VQQ241" s="4"/>
      <c r="VQR241" s="4"/>
      <c r="VQS241" s="4"/>
      <c r="VQT241" s="4"/>
      <c r="VQU241" s="4"/>
      <c r="VQV241" s="4"/>
      <c r="VQW241" s="4"/>
      <c r="VQX241" s="4"/>
      <c r="VQY241" s="4"/>
      <c r="VQZ241" s="4"/>
      <c r="VRA241" s="4"/>
      <c r="VRB241" s="4"/>
      <c r="VRC241" s="4"/>
      <c r="VRD241" s="4"/>
      <c r="VRE241" s="4"/>
      <c r="VRF241" s="4"/>
      <c r="VRG241" s="4"/>
      <c r="VRH241" s="4"/>
      <c r="VRI241" s="4"/>
      <c r="VRJ241" s="4"/>
      <c r="VRK241" s="4"/>
      <c r="VRL241" s="4"/>
      <c r="VRM241" s="4"/>
      <c r="VRN241" s="4"/>
      <c r="VRO241" s="4"/>
      <c r="VRP241" s="4"/>
      <c r="VRQ241" s="4"/>
      <c r="VRR241" s="4"/>
      <c r="VRS241" s="4"/>
      <c r="VRT241" s="4"/>
      <c r="VRU241" s="4"/>
      <c r="VRV241" s="4"/>
      <c r="VRW241" s="4"/>
      <c r="VRX241" s="4"/>
      <c r="VRY241" s="4"/>
      <c r="VRZ241" s="4"/>
      <c r="VSA241" s="4"/>
      <c r="VSB241" s="4"/>
      <c r="VSC241" s="4"/>
      <c r="VSD241" s="4"/>
      <c r="VSE241" s="4"/>
      <c r="VSF241" s="4"/>
      <c r="VSG241" s="4"/>
      <c r="VSH241" s="4"/>
      <c r="VSI241" s="4"/>
      <c r="VSJ241" s="4"/>
      <c r="VSK241" s="4"/>
      <c r="VSL241" s="4"/>
      <c r="VSM241" s="4"/>
      <c r="VSN241" s="4"/>
      <c r="VSO241" s="4"/>
      <c r="VSP241" s="4"/>
      <c r="VSQ241" s="4"/>
      <c r="VSR241" s="4"/>
      <c r="VSS241" s="4"/>
      <c r="VST241" s="4"/>
      <c r="VSU241" s="4"/>
      <c r="VSV241" s="4"/>
      <c r="VSW241" s="4"/>
      <c r="VSX241" s="4"/>
      <c r="VSY241" s="4"/>
      <c r="VSZ241" s="4"/>
      <c r="VTA241" s="4"/>
      <c r="VTB241" s="4"/>
      <c r="VTC241" s="4"/>
      <c r="VTD241" s="4"/>
      <c r="VTE241" s="4"/>
      <c r="VTF241" s="4"/>
      <c r="VTG241" s="4"/>
      <c r="VTH241" s="4"/>
      <c r="VTI241" s="4"/>
      <c r="VTJ241" s="4"/>
      <c r="VTK241" s="4"/>
      <c r="VTL241" s="4"/>
      <c r="VTM241" s="4"/>
      <c r="VTN241" s="4"/>
      <c r="VTO241" s="4"/>
      <c r="VTP241" s="4"/>
      <c r="VTQ241" s="4"/>
      <c r="VTR241" s="4"/>
      <c r="VTS241" s="4"/>
      <c r="VTT241" s="4"/>
      <c r="VTU241" s="4"/>
      <c r="VTV241" s="4"/>
      <c r="VTW241" s="4"/>
      <c r="VTX241" s="4"/>
      <c r="VTY241" s="4"/>
      <c r="VTZ241" s="4"/>
      <c r="VUA241" s="4"/>
      <c r="VUB241" s="4"/>
      <c r="VUC241" s="4"/>
      <c r="VUD241" s="4"/>
      <c r="VUE241" s="4"/>
      <c r="VUF241" s="4"/>
      <c r="VUG241" s="4"/>
      <c r="VUH241" s="4"/>
      <c r="VUI241" s="4"/>
      <c r="VUJ241" s="4"/>
      <c r="VUK241" s="4"/>
      <c r="VUL241" s="4"/>
      <c r="VUM241" s="4"/>
      <c r="VUN241" s="4"/>
      <c r="VUO241" s="4"/>
      <c r="VUP241" s="4"/>
      <c r="VUQ241" s="4"/>
      <c r="VUR241" s="4"/>
      <c r="VUS241" s="4"/>
      <c r="VUT241" s="4"/>
      <c r="VUU241" s="4"/>
      <c r="VUV241" s="4"/>
      <c r="VUW241" s="4"/>
      <c r="VUX241" s="4"/>
      <c r="VUY241" s="4"/>
      <c r="VUZ241" s="4"/>
      <c r="VVA241" s="4"/>
      <c r="VVB241" s="4"/>
      <c r="VVC241" s="4"/>
      <c r="VVD241" s="4"/>
      <c r="VVE241" s="4"/>
      <c r="VVF241" s="4"/>
      <c r="VVG241" s="4"/>
      <c r="VVH241" s="4"/>
      <c r="VVI241" s="4"/>
      <c r="VVJ241" s="4"/>
      <c r="VVK241" s="4"/>
      <c r="VVL241" s="4"/>
      <c r="VVM241" s="4"/>
      <c r="VVN241" s="4"/>
      <c r="VVO241" s="4"/>
      <c r="VVP241" s="4"/>
      <c r="VVQ241" s="4"/>
      <c r="VVR241" s="4"/>
      <c r="VVS241" s="4"/>
      <c r="VVT241" s="4"/>
      <c r="VVU241" s="4"/>
      <c r="VVV241" s="4"/>
      <c r="VVW241" s="4"/>
      <c r="VVX241" s="4"/>
      <c r="VVY241" s="4"/>
      <c r="VVZ241" s="4"/>
      <c r="VWA241" s="4"/>
      <c r="VWB241" s="4"/>
      <c r="VWC241" s="4"/>
      <c r="VWD241" s="4"/>
      <c r="VWE241" s="4"/>
      <c r="VWF241" s="4"/>
      <c r="VWG241" s="4"/>
      <c r="VWH241" s="4"/>
      <c r="VWI241" s="4"/>
      <c r="VWJ241" s="4"/>
      <c r="VWK241" s="4"/>
      <c r="VWL241" s="4"/>
      <c r="VWM241" s="4"/>
      <c r="VWN241" s="4"/>
      <c r="VWO241" s="4"/>
      <c r="VWP241" s="4"/>
      <c r="VWQ241" s="4"/>
      <c r="VWR241" s="4"/>
      <c r="VWS241" s="4"/>
      <c r="VWT241" s="4"/>
      <c r="VWU241" s="4"/>
      <c r="VWV241" s="4"/>
      <c r="VWW241" s="4"/>
      <c r="VWX241" s="4"/>
      <c r="VWY241" s="4"/>
      <c r="VWZ241" s="4"/>
      <c r="VXA241" s="4"/>
      <c r="VXB241" s="4"/>
      <c r="VXC241" s="4"/>
      <c r="VXD241" s="4"/>
      <c r="VXE241" s="4"/>
      <c r="VXF241" s="4"/>
      <c r="VXG241" s="4"/>
      <c r="VXH241" s="4"/>
      <c r="VXI241" s="4"/>
      <c r="VXJ241" s="4"/>
      <c r="VXK241" s="4"/>
      <c r="VXL241" s="4"/>
      <c r="VXM241" s="4"/>
      <c r="VXN241" s="4"/>
      <c r="VXO241" s="4"/>
      <c r="VXP241" s="4"/>
      <c r="VXQ241" s="4"/>
      <c r="VXR241" s="4"/>
      <c r="VXS241" s="4"/>
      <c r="VXT241" s="4"/>
      <c r="VXU241" s="4"/>
      <c r="VXV241" s="4"/>
      <c r="VXW241" s="4"/>
      <c r="VXX241" s="4"/>
      <c r="VXY241" s="4"/>
      <c r="VXZ241" s="4"/>
      <c r="VYA241" s="4"/>
      <c r="VYB241" s="4"/>
      <c r="VYC241" s="4"/>
      <c r="VYD241" s="4"/>
      <c r="VYE241" s="4"/>
      <c r="VYF241" s="4"/>
      <c r="VYG241" s="4"/>
      <c r="VYH241" s="4"/>
      <c r="VYI241" s="4"/>
      <c r="VYJ241" s="4"/>
      <c r="VYK241" s="4"/>
      <c r="VYL241" s="4"/>
      <c r="VYM241" s="4"/>
      <c r="VYN241" s="4"/>
      <c r="VYO241" s="4"/>
      <c r="VYP241" s="4"/>
      <c r="VYQ241" s="4"/>
      <c r="VYR241" s="4"/>
      <c r="VYS241" s="4"/>
      <c r="VYT241" s="4"/>
      <c r="VYU241" s="4"/>
      <c r="VYV241" s="4"/>
      <c r="VYW241" s="4"/>
      <c r="VYX241" s="4"/>
      <c r="VYY241" s="4"/>
      <c r="VYZ241" s="4"/>
      <c r="VZA241" s="4"/>
      <c r="VZB241" s="4"/>
      <c r="VZC241" s="4"/>
      <c r="VZD241" s="4"/>
      <c r="VZE241" s="4"/>
      <c r="VZF241" s="4"/>
      <c r="VZG241" s="4"/>
      <c r="VZH241" s="4"/>
      <c r="VZI241" s="4"/>
      <c r="VZJ241" s="4"/>
      <c r="VZK241" s="4"/>
      <c r="VZL241" s="4"/>
      <c r="VZM241" s="4"/>
      <c r="VZN241" s="4"/>
      <c r="VZO241" s="4"/>
      <c r="VZP241" s="4"/>
      <c r="VZQ241" s="4"/>
      <c r="VZR241" s="4"/>
      <c r="VZS241" s="4"/>
      <c r="VZT241" s="4"/>
      <c r="VZU241" s="4"/>
      <c r="VZV241" s="4"/>
      <c r="VZW241" s="4"/>
      <c r="VZX241" s="4"/>
      <c r="VZY241" s="4"/>
      <c r="VZZ241" s="4"/>
      <c r="WAA241" s="4"/>
      <c r="WAB241" s="4"/>
      <c r="WAC241" s="4"/>
      <c r="WAD241" s="4"/>
      <c r="WAE241" s="4"/>
      <c r="WAF241" s="4"/>
      <c r="WAG241" s="4"/>
      <c r="WAH241" s="4"/>
      <c r="WAI241" s="4"/>
      <c r="WAJ241" s="4"/>
      <c r="WAK241" s="4"/>
      <c r="WAL241" s="4"/>
      <c r="WAM241" s="4"/>
      <c r="WAN241" s="4"/>
      <c r="WAO241" s="4"/>
      <c r="WAP241" s="4"/>
      <c r="WAQ241" s="4"/>
      <c r="WAR241" s="4"/>
      <c r="WAS241" s="4"/>
      <c r="WAT241" s="4"/>
      <c r="WAU241" s="4"/>
      <c r="WAV241" s="4"/>
      <c r="WAW241" s="4"/>
      <c r="WAX241" s="4"/>
      <c r="WAY241" s="4"/>
      <c r="WAZ241" s="4"/>
      <c r="WBA241" s="4"/>
      <c r="WBB241" s="4"/>
      <c r="WBC241" s="4"/>
      <c r="WBD241" s="4"/>
      <c r="WBE241" s="4"/>
      <c r="WBF241" s="4"/>
      <c r="WBG241" s="4"/>
      <c r="WBH241" s="4"/>
      <c r="WBI241" s="4"/>
      <c r="WBJ241" s="4"/>
      <c r="WBK241" s="4"/>
      <c r="WBL241" s="4"/>
      <c r="WBM241" s="4"/>
      <c r="WBN241" s="4"/>
      <c r="WBO241" s="4"/>
      <c r="WBP241" s="4"/>
      <c r="WBQ241" s="4"/>
      <c r="WBR241" s="4"/>
      <c r="WBS241" s="4"/>
      <c r="WBT241" s="4"/>
      <c r="WBU241" s="4"/>
      <c r="WBV241" s="4"/>
      <c r="WBW241" s="4"/>
      <c r="WBX241" s="4"/>
      <c r="WBY241" s="4"/>
      <c r="WBZ241" s="4"/>
      <c r="WCA241" s="4"/>
      <c r="WCB241" s="4"/>
      <c r="WCC241" s="4"/>
      <c r="WCD241" s="4"/>
      <c r="WCE241" s="4"/>
      <c r="WCF241" s="4"/>
      <c r="WCG241" s="4"/>
      <c r="WCH241" s="4"/>
      <c r="WCI241" s="4"/>
      <c r="WCJ241" s="4"/>
      <c r="WCK241" s="4"/>
      <c r="WCL241" s="4"/>
      <c r="WCM241" s="4"/>
      <c r="WCN241" s="4"/>
      <c r="WCO241" s="4"/>
      <c r="WCP241" s="4"/>
      <c r="WCQ241" s="4"/>
      <c r="WCR241" s="4"/>
      <c r="WCS241" s="4"/>
      <c r="WCT241" s="4"/>
      <c r="WCU241" s="4"/>
      <c r="WCV241" s="4"/>
      <c r="WCW241" s="4"/>
      <c r="WCX241" s="4"/>
      <c r="WCY241" s="4"/>
      <c r="WCZ241" s="4"/>
      <c r="WDA241" s="4"/>
      <c r="WDB241" s="4"/>
      <c r="WDC241" s="4"/>
      <c r="WDD241" s="4"/>
      <c r="WDE241" s="4"/>
      <c r="WDF241" s="4"/>
      <c r="WDG241" s="4"/>
      <c r="WDH241" s="4"/>
      <c r="WDI241" s="4"/>
      <c r="WDJ241" s="4"/>
      <c r="WDK241" s="4"/>
      <c r="WDL241" s="4"/>
      <c r="WDM241" s="4"/>
      <c r="WDN241" s="4"/>
      <c r="WDO241" s="4"/>
      <c r="WDP241" s="4"/>
      <c r="WDQ241" s="4"/>
      <c r="WDR241" s="4"/>
      <c r="WDS241" s="4"/>
      <c r="WDT241" s="4"/>
      <c r="WDU241" s="4"/>
      <c r="WDV241" s="4"/>
      <c r="WDW241" s="4"/>
      <c r="WDX241" s="4"/>
      <c r="WDY241" s="4"/>
      <c r="WDZ241" s="4"/>
      <c r="WEA241" s="4"/>
      <c r="WEB241" s="4"/>
      <c r="WEC241" s="4"/>
      <c r="WED241" s="4"/>
      <c r="WEE241" s="4"/>
      <c r="WEF241" s="4"/>
      <c r="WEG241" s="4"/>
      <c r="WEH241" s="4"/>
      <c r="WEI241" s="4"/>
      <c r="WEJ241" s="4"/>
      <c r="WEK241" s="4"/>
      <c r="WEL241" s="4"/>
      <c r="WEM241" s="4"/>
      <c r="WEN241" s="4"/>
      <c r="WEO241" s="4"/>
      <c r="WEP241" s="4"/>
      <c r="WEQ241" s="4"/>
      <c r="WER241" s="4"/>
      <c r="WES241" s="4"/>
      <c r="WET241" s="4"/>
      <c r="WEU241" s="4"/>
      <c r="WEV241" s="4"/>
      <c r="WEW241" s="4"/>
      <c r="WEX241" s="4"/>
      <c r="WEY241" s="4"/>
      <c r="WEZ241" s="4"/>
      <c r="WFA241" s="4"/>
      <c r="WFB241" s="4"/>
      <c r="WFC241" s="4"/>
      <c r="WFD241" s="4"/>
      <c r="WFE241" s="4"/>
      <c r="WFF241" s="4"/>
      <c r="WFG241" s="4"/>
      <c r="WFH241" s="4"/>
      <c r="WFI241" s="4"/>
      <c r="WFJ241" s="4"/>
      <c r="WFK241" s="4"/>
      <c r="WFL241" s="4"/>
      <c r="WFM241" s="4"/>
      <c r="WFN241" s="4"/>
      <c r="WFO241" s="4"/>
      <c r="WFP241" s="4"/>
      <c r="WFQ241" s="4"/>
      <c r="WFR241" s="4"/>
      <c r="WFS241" s="4"/>
      <c r="WFT241" s="4"/>
      <c r="WFU241" s="4"/>
      <c r="WFV241" s="4"/>
      <c r="WFW241" s="4"/>
      <c r="WFX241" s="4"/>
      <c r="WFY241" s="4"/>
      <c r="WFZ241" s="4"/>
      <c r="WGA241" s="4"/>
      <c r="WGB241" s="4"/>
      <c r="WGC241" s="4"/>
      <c r="WGD241" s="4"/>
      <c r="WGE241" s="4"/>
      <c r="WGF241" s="4"/>
      <c r="WGG241" s="4"/>
      <c r="WGH241" s="4"/>
      <c r="WGI241" s="4"/>
      <c r="WGJ241" s="4"/>
      <c r="WGK241" s="4"/>
      <c r="WGL241" s="4"/>
      <c r="WGM241" s="4"/>
      <c r="WGN241" s="4"/>
      <c r="WGO241" s="4"/>
      <c r="WGP241" s="4"/>
      <c r="WGQ241" s="4"/>
      <c r="WGR241" s="4"/>
      <c r="WGS241" s="4"/>
      <c r="WGT241" s="4"/>
      <c r="WGU241" s="4"/>
      <c r="WGV241" s="4"/>
      <c r="WGW241" s="4"/>
      <c r="WGX241" s="4"/>
      <c r="WGY241" s="4"/>
      <c r="WGZ241" s="4"/>
      <c r="WHA241" s="4"/>
      <c r="WHB241" s="4"/>
      <c r="WHC241" s="4"/>
      <c r="WHD241" s="4"/>
      <c r="WHE241" s="4"/>
      <c r="WHF241" s="4"/>
      <c r="WHG241" s="4"/>
      <c r="WHH241" s="4"/>
      <c r="WHI241" s="4"/>
      <c r="WHJ241" s="4"/>
      <c r="WHK241" s="4"/>
      <c r="WHL241" s="4"/>
      <c r="WHM241" s="4"/>
      <c r="WHN241" s="4"/>
      <c r="WHO241" s="4"/>
      <c r="WHP241" s="4"/>
      <c r="WHQ241" s="4"/>
      <c r="WHR241" s="4"/>
      <c r="WHS241" s="4"/>
      <c r="WHT241" s="4"/>
      <c r="WHU241" s="4"/>
      <c r="WHV241" s="4"/>
      <c r="WHW241" s="4"/>
      <c r="WHX241" s="4"/>
      <c r="WHY241" s="4"/>
      <c r="WHZ241" s="4"/>
      <c r="WIA241" s="4"/>
      <c r="WIB241" s="4"/>
      <c r="WIC241" s="4"/>
      <c r="WID241" s="4"/>
      <c r="WIE241" s="4"/>
      <c r="WIF241" s="4"/>
      <c r="WIG241" s="4"/>
      <c r="WIH241" s="4"/>
      <c r="WII241" s="4"/>
      <c r="WIJ241" s="4"/>
      <c r="WIK241" s="4"/>
      <c r="WIL241" s="4"/>
      <c r="WIM241" s="4"/>
      <c r="WIN241" s="4"/>
      <c r="WIO241" s="4"/>
      <c r="WIP241" s="4"/>
      <c r="WIQ241" s="4"/>
      <c r="WIR241" s="4"/>
      <c r="WIS241" s="4"/>
      <c r="WIT241" s="4"/>
      <c r="WIU241" s="4"/>
      <c r="WIV241" s="4"/>
      <c r="WIW241" s="4"/>
      <c r="WIX241" s="4"/>
      <c r="WIY241" s="4"/>
      <c r="WIZ241" s="4"/>
      <c r="WJA241" s="4"/>
      <c r="WJB241" s="4"/>
      <c r="WJC241" s="4"/>
      <c r="WJD241" s="4"/>
      <c r="WJE241" s="4"/>
      <c r="WJF241" s="4"/>
      <c r="WJG241" s="4"/>
      <c r="WJH241" s="4"/>
      <c r="WJI241" s="4"/>
      <c r="WJJ241" s="4"/>
      <c r="WJK241" s="4"/>
      <c r="WJL241" s="4"/>
      <c r="WJM241" s="4"/>
      <c r="WJN241" s="4"/>
      <c r="WJO241" s="4"/>
      <c r="WJP241" s="4"/>
      <c r="WJQ241" s="4"/>
      <c r="WJR241" s="4"/>
      <c r="WJS241" s="4"/>
      <c r="WJT241" s="4"/>
      <c r="WJU241" s="4"/>
      <c r="WJV241" s="4"/>
      <c r="WJW241" s="4"/>
      <c r="WJX241" s="4"/>
      <c r="WJY241" s="4"/>
      <c r="WJZ241" s="4"/>
      <c r="WKA241" s="4"/>
      <c r="WKB241" s="4"/>
      <c r="WKC241" s="4"/>
      <c r="WKD241" s="4"/>
      <c r="WKE241" s="4"/>
      <c r="WKF241" s="4"/>
      <c r="WKG241" s="4"/>
      <c r="WKH241" s="4"/>
      <c r="WKI241" s="4"/>
      <c r="WKJ241" s="4"/>
      <c r="WKK241" s="4"/>
      <c r="WKL241" s="4"/>
      <c r="WKM241" s="4"/>
      <c r="WKN241" s="4"/>
      <c r="WKO241" s="4"/>
      <c r="WKP241" s="4"/>
      <c r="WKQ241" s="4"/>
      <c r="WKR241" s="4"/>
      <c r="WKS241" s="4"/>
      <c r="WKT241" s="4"/>
      <c r="WKU241" s="4"/>
      <c r="WKV241" s="4"/>
      <c r="WKW241" s="4"/>
      <c r="WKX241" s="4"/>
      <c r="WKY241" s="4"/>
      <c r="WKZ241" s="4"/>
      <c r="WLA241" s="4"/>
      <c r="WLB241" s="4"/>
      <c r="WLC241" s="4"/>
      <c r="WLD241" s="4"/>
      <c r="WLE241" s="4"/>
      <c r="WLF241" s="4"/>
      <c r="WLG241" s="4"/>
      <c r="WLH241" s="4"/>
      <c r="WLI241" s="4"/>
      <c r="WLJ241" s="4"/>
      <c r="WLK241" s="4"/>
      <c r="WLL241" s="4"/>
      <c r="WLM241" s="4"/>
      <c r="WLN241" s="4"/>
      <c r="WLO241" s="4"/>
      <c r="WLP241" s="4"/>
      <c r="WLQ241" s="4"/>
      <c r="WLR241" s="4"/>
      <c r="WLS241" s="4"/>
      <c r="WLT241" s="4"/>
      <c r="WLU241" s="4"/>
      <c r="WLV241" s="4"/>
      <c r="WLW241" s="4"/>
      <c r="WLX241" s="4"/>
      <c r="WLY241" s="4"/>
      <c r="WLZ241" s="4"/>
      <c r="WMA241" s="4"/>
      <c r="WMB241" s="4"/>
      <c r="WMC241" s="4"/>
      <c r="WMD241" s="4"/>
      <c r="WME241" s="4"/>
      <c r="WMF241" s="4"/>
      <c r="WMG241" s="4"/>
      <c r="WMH241" s="4"/>
      <c r="WMI241" s="4"/>
      <c r="WMJ241" s="4"/>
      <c r="WMK241" s="4"/>
      <c r="WML241" s="4"/>
      <c r="WMM241" s="4"/>
      <c r="WMN241" s="4"/>
      <c r="WMO241" s="4"/>
      <c r="WMP241" s="4"/>
      <c r="WMQ241" s="4"/>
      <c r="WMR241" s="4"/>
      <c r="WMS241" s="4"/>
      <c r="WMT241" s="4"/>
      <c r="WMU241" s="4"/>
      <c r="WMV241" s="4"/>
      <c r="WMW241" s="4"/>
      <c r="WMX241" s="4"/>
      <c r="WMY241" s="4"/>
      <c r="WMZ241" s="4"/>
      <c r="WNA241" s="4"/>
      <c r="WNB241" s="4"/>
      <c r="WNC241" s="4"/>
      <c r="WND241" s="4"/>
      <c r="WNE241" s="4"/>
      <c r="WNF241" s="4"/>
      <c r="WNG241" s="4"/>
      <c r="WNH241" s="4"/>
      <c r="WNI241" s="4"/>
      <c r="WNJ241" s="4"/>
      <c r="WNK241" s="4"/>
      <c r="WNL241" s="4"/>
      <c r="WNM241" s="4"/>
      <c r="WNN241" s="4"/>
      <c r="WNO241" s="4"/>
      <c r="WNP241" s="4"/>
      <c r="WNQ241" s="4"/>
      <c r="WNR241" s="4"/>
      <c r="WNS241" s="4"/>
      <c r="WNT241" s="4"/>
      <c r="WNU241" s="4"/>
      <c r="WNV241" s="4"/>
      <c r="WNW241" s="4"/>
      <c r="WNX241" s="4"/>
      <c r="WNY241" s="4"/>
      <c r="WNZ241" s="4"/>
      <c r="WOA241" s="4"/>
      <c r="WOB241" s="4"/>
      <c r="WOC241" s="4"/>
      <c r="WOD241" s="4"/>
      <c r="WOE241" s="4"/>
      <c r="WOF241" s="4"/>
      <c r="WOG241" s="4"/>
      <c r="WOH241" s="4"/>
      <c r="WOI241" s="4"/>
      <c r="WOJ241" s="4"/>
      <c r="WOK241" s="4"/>
      <c r="WOL241" s="4"/>
      <c r="WOM241" s="4"/>
      <c r="WON241" s="4"/>
      <c r="WOO241" s="4"/>
      <c r="WOP241" s="4"/>
      <c r="WOQ241" s="4"/>
      <c r="WOR241" s="4"/>
      <c r="WOS241" s="4"/>
      <c r="WOT241" s="4"/>
      <c r="WOU241" s="4"/>
      <c r="WOV241" s="4"/>
      <c r="WOW241" s="4"/>
      <c r="WOX241" s="4"/>
      <c r="WOY241" s="4"/>
      <c r="WOZ241" s="4"/>
      <c r="WPA241" s="4"/>
      <c r="WPB241" s="4"/>
      <c r="WPC241" s="4"/>
      <c r="WPD241" s="4"/>
      <c r="WPE241" s="4"/>
      <c r="WPF241" s="4"/>
      <c r="WPG241" s="4"/>
      <c r="WPH241" s="4"/>
      <c r="WPI241" s="4"/>
      <c r="WPJ241" s="4"/>
      <c r="WPK241" s="4"/>
      <c r="WPL241" s="4"/>
      <c r="WPM241" s="4"/>
      <c r="WPN241" s="4"/>
      <c r="WPO241" s="4"/>
      <c r="WPP241" s="4"/>
      <c r="WPQ241" s="4"/>
      <c r="WPR241" s="4"/>
      <c r="WPS241" s="4"/>
      <c r="WPT241" s="4"/>
      <c r="WPU241" s="4"/>
      <c r="WPV241" s="4"/>
      <c r="WPW241" s="4"/>
      <c r="WPX241" s="4"/>
      <c r="WPY241" s="4"/>
      <c r="WPZ241" s="4"/>
      <c r="WQA241" s="4"/>
      <c r="WQB241" s="4"/>
      <c r="WQC241" s="4"/>
      <c r="WQD241" s="4"/>
      <c r="WQE241" s="4"/>
      <c r="WQF241" s="4"/>
      <c r="WQG241" s="4"/>
      <c r="WQH241" s="4"/>
      <c r="WQI241" s="4"/>
      <c r="WQJ241" s="4"/>
      <c r="WQK241" s="4"/>
      <c r="WQL241" s="4"/>
      <c r="WQM241" s="4"/>
      <c r="WQN241" s="4"/>
      <c r="WQO241" s="4"/>
      <c r="WQP241" s="4"/>
      <c r="WQQ241" s="4"/>
      <c r="WQR241" s="4"/>
      <c r="WQS241" s="4"/>
      <c r="WQT241" s="4"/>
      <c r="WQU241" s="4"/>
      <c r="WQV241" s="4"/>
      <c r="WQW241" s="4"/>
      <c r="WQX241" s="4"/>
      <c r="WQY241" s="4"/>
      <c r="WQZ241" s="4"/>
      <c r="WRA241" s="4"/>
      <c r="WRB241" s="4"/>
      <c r="WRC241" s="4"/>
      <c r="WRD241" s="4"/>
      <c r="WRE241" s="4"/>
      <c r="WRF241" s="4"/>
      <c r="WRG241" s="4"/>
      <c r="WRH241" s="4"/>
      <c r="WRI241" s="4"/>
      <c r="WRJ241" s="4"/>
      <c r="WRK241" s="4"/>
      <c r="WRL241" s="4"/>
      <c r="WRM241" s="4"/>
      <c r="WRN241" s="4"/>
      <c r="WRO241" s="4"/>
      <c r="WRP241" s="4"/>
      <c r="WRQ241" s="4"/>
      <c r="WRR241" s="4"/>
      <c r="WRS241" s="4"/>
      <c r="WRT241" s="4"/>
      <c r="WRU241" s="4"/>
      <c r="WRV241" s="4"/>
      <c r="WRW241" s="4"/>
      <c r="WRX241" s="4"/>
      <c r="WRY241" s="4"/>
      <c r="WRZ241" s="4"/>
      <c r="WSA241" s="4"/>
      <c r="WSB241" s="4"/>
      <c r="WSC241" s="4"/>
      <c r="WSD241" s="4"/>
      <c r="WSE241" s="4"/>
      <c r="WSF241" s="4"/>
      <c r="WSG241" s="4"/>
      <c r="WSH241" s="4"/>
      <c r="WSI241" s="4"/>
      <c r="WSJ241" s="4"/>
      <c r="WSK241" s="4"/>
      <c r="WSL241" s="4"/>
      <c r="WSM241" s="4"/>
      <c r="WSN241" s="4"/>
      <c r="WSO241" s="4"/>
      <c r="WSP241" s="4"/>
      <c r="WSQ241" s="4"/>
      <c r="WSR241" s="4"/>
      <c r="WSS241" s="4"/>
      <c r="WST241" s="4"/>
      <c r="WSU241" s="4"/>
      <c r="WSV241" s="4"/>
      <c r="WSW241" s="4"/>
      <c r="WSX241" s="4"/>
      <c r="WSY241" s="4"/>
      <c r="WSZ241" s="4"/>
      <c r="WTA241" s="4"/>
      <c r="WTB241" s="4"/>
      <c r="WTC241" s="4"/>
      <c r="WTD241" s="4"/>
      <c r="WTE241" s="4"/>
      <c r="WTF241" s="4"/>
      <c r="WTG241" s="4"/>
      <c r="WTH241" s="4"/>
      <c r="WTI241" s="4"/>
      <c r="WTJ241" s="4"/>
      <c r="WTK241" s="4"/>
      <c r="WTL241" s="4"/>
      <c r="WTM241" s="4"/>
      <c r="WTN241" s="4"/>
      <c r="WTO241" s="4"/>
      <c r="WTP241" s="4"/>
      <c r="WTQ241" s="4"/>
      <c r="WTR241" s="4"/>
      <c r="WTS241" s="4"/>
      <c r="WTT241" s="4"/>
      <c r="WTU241" s="4"/>
      <c r="WTV241" s="4"/>
      <c r="WTW241" s="4"/>
      <c r="WTX241" s="4"/>
      <c r="WTY241" s="4"/>
      <c r="WTZ241" s="4"/>
      <c r="WUA241" s="4"/>
      <c r="WUB241" s="4"/>
      <c r="WUC241" s="4"/>
      <c r="WUD241" s="4"/>
      <c r="WUE241" s="4"/>
      <c r="WUF241" s="4"/>
      <c r="WUG241" s="4"/>
      <c r="WUH241" s="4"/>
      <c r="WUI241" s="4"/>
      <c r="WUJ241" s="4"/>
      <c r="WUK241" s="4"/>
      <c r="WUL241" s="4"/>
      <c r="WUM241" s="4"/>
      <c r="WUN241" s="4"/>
      <c r="WUO241" s="4"/>
      <c r="WUP241" s="4"/>
      <c r="WUQ241" s="4"/>
      <c r="WUR241" s="4"/>
      <c r="WUS241" s="4"/>
      <c r="WUT241" s="4"/>
      <c r="WUU241" s="4"/>
      <c r="WUV241" s="4"/>
      <c r="WUW241" s="4"/>
      <c r="WUX241" s="4"/>
      <c r="WUY241" s="4"/>
      <c r="WUZ241" s="4"/>
      <c r="WVA241" s="4"/>
      <c r="WVB241" s="4"/>
      <c r="WVC241" s="4"/>
      <c r="WVD241" s="4"/>
      <c r="WVE241" s="4"/>
      <c r="WVF241" s="4"/>
      <c r="WVG241" s="4"/>
      <c r="WVH241" s="4"/>
      <c r="WVI241" s="4"/>
      <c r="WVJ241" s="4"/>
      <c r="WVK241" s="4"/>
      <c r="WVL241" s="4"/>
      <c r="WVM241" s="4"/>
      <c r="WVN241" s="4"/>
      <c r="WVO241" s="4"/>
      <c r="WVP241" s="4"/>
      <c r="WVQ241" s="4"/>
      <c r="WVR241" s="4"/>
      <c r="WVS241" s="4"/>
      <c r="WVT241" s="4"/>
      <c r="WVU241" s="4"/>
      <c r="WVV241" s="4"/>
      <c r="WVW241" s="4"/>
      <c r="WVX241" s="4"/>
      <c r="WVY241" s="4"/>
      <c r="WVZ241" s="4"/>
      <c r="WWA241" s="4"/>
      <c r="WWB241" s="4"/>
      <c r="WWC241" s="4"/>
      <c r="WWD241" s="4"/>
      <c r="WWE241" s="4"/>
      <c r="WWF241" s="4"/>
      <c r="WWG241" s="4"/>
      <c r="WWH241" s="4"/>
      <c r="WWI241" s="4"/>
      <c r="WWJ241" s="4"/>
      <c r="WWK241" s="4"/>
      <c r="WWL241" s="4"/>
      <c r="WWM241" s="4"/>
      <c r="WWN241" s="4"/>
      <c r="WWO241" s="4"/>
      <c r="WWP241" s="4"/>
      <c r="WWQ241" s="4"/>
      <c r="WWR241" s="4"/>
      <c r="WWS241" s="4"/>
      <c r="WWT241" s="4"/>
      <c r="WWU241" s="4"/>
      <c r="WWV241" s="4"/>
      <c r="WWW241" s="4"/>
      <c r="WWX241" s="4"/>
      <c r="WWY241" s="4"/>
      <c r="WWZ241" s="4"/>
      <c r="WXA241" s="4"/>
      <c r="WXB241" s="4"/>
      <c r="WXC241" s="4"/>
      <c r="WXD241" s="4"/>
      <c r="WXE241" s="4"/>
      <c r="WXF241" s="4"/>
      <c r="WXG241" s="4"/>
      <c r="WXH241" s="4"/>
      <c r="WXI241" s="4"/>
      <c r="WXJ241" s="4"/>
      <c r="WXK241" s="4"/>
      <c r="WXL241" s="4"/>
      <c r="WXM241" s="4"/>
      <c r="WXN241" s="4"/>
      <c r="WXO241" s="4"/>
      <c r="WXP241" s="4"/>
      <c r="WXQ241" s="4"/>
      <c r="WXR241" s="4"/>
      <c r="WXS241" s="4"/>
      <c r="WXT241" s="4"/>
      <c r="WXU241" s="4"/>
      <c r="WXV241" s="4"/>
      <c r="WXW241" s="4"/>
      <c r="WXX241" s="4"/>
      <c r="WXY241" s="4"/>
      <c r="WXZ241" s="4"/>
      <c r="WYA241" s="4"/>
      <c r="WYB241" s="4"/>
      <c r="WYC241" s="4"/>
      <c r="WYD241" s="4"/>
      <c r="WYE241" s="4"/>
      <c r="WYF241" s="4"/>
      <c r="WYG241" s="4"/>
      <c r="WYH241" s="4"/>
      <c r="WYI241" s="4"/>
      <c r="WYJ241" s="4"/>
      <c r="WYK241" s="4"/>
      <c r="WYL241" s="4"/>
      <c r="WYM241" s="4"/>
      <c r="WYN241" s="4"/>
      <c r="WYO241" s="4"/>
      <c r="WYP241" s="4"/>
      <c r="WYQ241" s="4"/>
      <c r="WYR241" s="4"/>
      <c r="WYS241" s="4"/>
      <c r="WYT241" s="4"/>
      <c r="WYU241" s="4"/>
      <c r="WYV241" s="4"/>
      <c r="WYW241" s="4"/>
      <c r="WYX241" s="4"/>
      <c r="WYY241" s="4"/>
      <c r="WYZ241" s="4"/>
      <c r="WZA241" s="4"/>
      <c r="WZB241" s="4"/>
      <c r="WZC241" s="4"/>
      <c r="WZD241" s="4"/>
      <c r="WZE241" s="4"/>
      <c r="WZF241" s="4"/>
      <c r="WZG241" s="4"/>
      <c r="WZH241" s="4"/>
      <c r="WZI241" s="4"/>
      <c r="WZJ241" s="4"/>
      <c r="WZK241" s="4"/>
      <c r="WZL241" s="4"/>
      <c r="WZM241" s="4"/>
      <c r="WZN241" s="4"/>
      <c r="WZO241" s="4"/>
      <c r="WZP241" s="4"/>
      <c r="WZQ241" s="4"/>
      <c r="WZR241" s="4"/>
      <c r="WZS241" s="4"/>
      <c r="WZT241" s="4"/>
      <c r="WZU241" s="4"/>
      <c r="WZV241" s="4"/>
      <c r="WZW241" s="4"/>
      <c r="WZX241" s="4"/>
      <c r="WZY241" s="4"/>
      <c r="WZZ241" s="4"/>
      <c r="XAA241" s="4"/>
      <c r="XAB241" s="4"/>
      <c r="XAC241" s="4"/>
      <c r="XAD241" s="4"/>
      <c r="XAE241" s="4"/>
      <c r="XAF241" s="4"/>
      <c r="XAG241" s="4"/>
      <c r="XAH241" s="4"/>
      <c r="XAI241" s="4"/>
      <c r="XAJ241" s="4"/>
      <c r="XAK241" s="4"/>
      <c r="XAL241" s="4"/>
      <c r="XAM241" s="4"/>
      <c r="XAN241" s="4"/>
      <c r="XAO241" s="4"/>
      <c r="XAP241" s="4"/>
      <c r="XAQ241" s="4"/>
      <c r="XAR241" s="4"/>
      <c r="XAS241" s="4"/>
      <c r="XAT241" s="4"/>
      <c r="XAU241" s="4"/>
      <c r="XAV241" s="4"/>
      <c r="XAW241" s="4"/>
      <c r="XAX241" s="4"/>
      <c r="XAY241" s="4"/>
      <c r="XAZ241" s="4"/>
      <c r="XBA241" s="4"/>
      <c r="XBB241" s="4"/>
      <c r="XBC241" s="4"/>
      <c r="XBD241" s="4"/>
      <c r="XBE241" s="4"/>
      <c r="XBF241" s="4"/>
      <c r="XBG241" s="4"/>
      <c r="XBH241" s="4"/>
      <c r="XBI241" s="4"/>
      <c r="XBJ241" s="4"/>
      <c r="XBK241" s="4"/>
      <c r="XBL241" s="4"/>
      <c r="XBM241" s="4"/>
      <c r="XBN241" s="4"/>
      <c r="XBO241" s="4"/>
      <c r="XBP241" s="4"/>
      <c r="XBQ241" s="4"/>
      <c r="XBR241" s="4"/>
      <c r="XBS241" s="4"/>
      <c r="XBT241" s="4"/>
      <c r="XBU241" s="4"/>
      <c r="XBV241" s="4"/>
      <c r="XBW241" s="4"/>
      <c r="XBX241" s="4"/>
      <c r="XBY241" s="4"/>
      <c r="XBZ241" s="4"/>
      <c r="XCA241" s="4"/>
      <c r="XCB241" s="4"/>
      <c r="XCC241" s="4"/>
      <c r="XCD241" s="4"/>
      <c r="XCE241" s="4"/>
      <c r="XCF241" s="4"/>
      <c r="XCG241" s="4"/>
      <c r="XCH241" s="4"/>
      <c r="XCI241" s="4"/>
      <c r="XCJ241" s="4"/>
      <c r="XCK241" s="4"/>
      <c r="XCL241" s="4"/>
      <c r="XCM241" s="4"/>
      <c r="XCN241" s="4"/>
      <c r="XCO241" s="4"/>
      <c r="XCP241" s="4"/>
      <c r="XCQ241" s="4"/>
      <c r="XCR241" s="4"/>
      <c r="XCS241" s="4"/>
      <c r="XCT241" s="4"/>
      <c r="XCU241" s="4"/>
      <c r="XCV241" s="4"/>
      <c r="XCW241" s="4"/>
      <c r="XCX241" s="4"/>
      <c r="XCY241" s="4"/>
      <c r="XCZ241" s="4"/>
      <c r="XDA241" s="4"/>
      <c r="XDB241" s="4"/>
      <c r="XDC241" s="4"/>
      <c r="XDD241" s="4"/>
      <c r="XDE241" s="4"/>
      <c r="XDF241" s="4"/>
      <c r="XDG241" s="4"/>
      <c r="XDH241" s="4"/>
      <c r="XDI241" s="4"/>
      <c r="XDJ241" s="4"/>
      <c r="XDK241" s="4"/>
      <c r="XDL241" s="4"/>
      <c r="XDM241" s="4"/>
      <c r="XDN241" s="4"/>
      <c r="XDO241" s="4"/>
      <c r="XDP241" s="4"/>
      <c r="XDQ241" s="4"/>
      <c r="XDR241" s="4"/>
      <c r="XDS241" s="4"/>
      <c r="XDT241" s="4"/>
      <c r="XDU241" s="4"/>
      <c r="XDV241" s="4"/>
      <c r="XDW241" s="4"/>
      <c r="XDX241" s="4"/>
      <c r="XDY241" s="4"/>
      <c r="XDZ241" s="4"/>
      <c r="XEA241" s="4"/>
      <c r="XEB241" s="4"/>
      <c r="XEC241" s="4"/>
      <c r="XED241" s="4"/>
      <c r="XEE241" s="4"/>
      <c r="XEF241" s="4"/>
      <c r="XEG241" s="4"/>
      <c r="XEH241" s="4"/>
      <c r="XEI241" s="4"/>
      <c r="XEJ241" s="4"/>
      <c r="XEK241" s="4"/>
      <c r="XEL241" s="4"/>
      <c r="XEM241" s="4"/>
      <c r="XEN241" s="4"/>
      <c r="XEO241" s="4"/>
      <c r="XEP241" s="4"/>
      <c r="XEQ241" s="4"/>
      <c r="XER241" s="4"/>
      <c r="XES241" s="4"/>
    </row>
    <row r="242" spans="1:16373" x14ac:dyDescent="0.2">
      <c r="A242" s="4">
        <v>1</v>
      </c>
      <c r="B242" s="4" t="s">
        <v>13</v>
      </c>
      <c r="C242" s="4">
        <v>356.4</v>
      </c>
      <c r="D242" s="4">
        <v>3.64</v>
      </c>
      <c r="E242" s="4">
        <v>0</v>
      </c>
      <c r="F242" s="4">
        <v>0.23</v>
      </c>
      <c r="G242" s="4">
        <v>32.590000000000003</v>
      </c>
      <c r="H242" s="4">
        <v>22.5</v>
      </c>
      <c r="I242" s="4">
        <v>0</v>
      </c>
      <c r="J242" s="4" t="s">
        <v>14</v>
      </c>
      <c r="K242" s="4">
        <v>380497.41</v>
      </c>
      <c r="L242" s="4" t="s">
        <v>375</v>
      </c>
      <c r="M242" s="4" t="s">
        <v>16</v>
      </c>
    </row>
    <row r="243" spans="1:16373" x14ac:dyDescent="0.2">
      <c r="A243" s="4">
        <v>2</v>
      </c>
      <c r="B243" s="4" t="s">
        <v>21</v>
      </c>
      <c r="C243" s="4">
        <v>0</v>
      </c>
      <c r="D243" s="4">
        <v>0</v>
      </c>
      <c r="E243" s="4">
        <v>0</v>
      </c>
      <c r="F243" s="4">
        <v>0</v>
      </c>
      <c r="G243" s="4">
        <v>2.87</v>
      </c>
      <c r="H243" s="4">
        <v>0</v>
      </c>
      <c r="I243" s="4">
        <v>0</v>
      </c>
      <c r="J243" s="4" t="s">
        <v>14</v>
      </c>
      <c r="K243" s="4">
        <v>380217.5</v>
      </c>
      <c r="L243" s="4" t="s">
        <v>22</v>
      </c>
      <c r="M243" s="4" t="s">
        <v>16</v>
      </c>
    </row>
    <row r="244" spans="1:16373" x14ac:dyDescent="0.2">
      <c r="A244" s="4">
        <v>3</v>
      </c>
      <c r="B244" s="4" t="s">
        <v>27</v>
      </c>
      <c r="C244" s="4">
        <v>432.3</v>
      </c>
      <c r="D244" s="4">
        <v>4.45</v>
      </c>
      <c r="E244" s="4">
        <v>88.5</v>
      </c>
      <c r="F244" s="4">
        <v>0.28000000000000003</v>
      </c>
      <c r="G244" s="4">
        <v>12.36</v>
      </c>
      <c r="H244" s="4">
        <v>27.4</v>
      </c>
      <c r="I244" s="4">
        <v>91.9</v>
      </c>
      <c r="J244" s="4">
        <v>69.400000000000006</v>
      </c>
      <c r="K244" s="4">
        <v>17619.25</v>
      </c>
      <c r="L244" s="4" t="s">
        <v>376</v>
      </c>
      <c r="M244" s="4" t="s">
        <v>16</v>
      </c>
    </row>
    <row r="245" spans="1:16373" x14ac:dyDescent="0.2">
      <c r="A245" s="4">
        <v>4</v>
      </c>
      <c r="B245" s="4" t="s">
        <v>32</v>
      </c>
      <c r="C245" s="4">
        <v>417.1</v>
      </c>
      <c r="D245" s="4">
        <v>4.29</v>
      </c>
      <c r="E245" s="4">
        <v>86.4</v>
      </c>
      <c r="F245" s="4">
        <v>0.27</v>
      </c>
      <c r="G245" s="4">
        <v>11.97</v>
      </c>
      <c r="H245" s="4">
        <v>25.8</v>
      </c>
      <c r="I245" s="4">
        <v>89.9</v>
      </c>
      <c r="J245" s="4">
        <v>68.5</v>
      </c>
      <c r="K245" s="4">
        <v>17517.77</v>
      </c>
      <c r="L245" s="4" t="s">
        <v>376</v>
      </c>
      <c r="M245" s="4" t="s">
        <v>16</v>
      </c>
    </row>
    <row r="246" spans="1:16373" x14ac:dyDescent="0.2">
      <c r="A246" s="4">
        <v>5</v>
      </c>
      <c r="B246" s="4" t="s">
        <v>37</v>
      </c>
      <c r="C246" s="4">
        <v>371.1</v>
      </c>
      <c r="D246" s="4">
        <v>3.79</v>
      </c>
      <c r="E246" s="4">
        <v>0</v>
      </c>
      <c r="F246" s="4">
        <v>0.27</v>
      </c>
      <c r="G246" s="4">
        <v>17.71</v>
      </c>
      <c r="H246" s="4">
        <v>26.7</v>
      </c>
      <c r="I246" s="4">
        <v>0</v>
      </c>
      <c r="J246" s="4" t="s">
        <v>14</v>
      </c>
      <c r="K246" s="4">
        <v>425072.94</v>
      </c>
      <c r="L246" s="4" t="s">
        <v>375</v>
      </c>
      <c r="M246" s="4" t="s">
        <v>38</v>
      </c>
    </row>
    <row r="247" spans="1:16373" x14ac:dyDescent="0.2">
      <c r="A247" s="4">
        <v>6</v>
      </c>
      <c r="B247" s="4" t="s">
        <v>43</v>
      </c>
      <c r="C247" s="4">
        <v>999.3</v>
      </c>
      <c r="D247" s="4">
        <v>3.56</v>
      </c>
      <c r="E247" s="4">
        <v>0</v>
      </c>
      <c r="F247" s="4">
        <v>0.25</v>
      </c>
      <c r="G247" s="4">
        <v>38.200000000000003</v>
      </c>
      <c r="H247" s="4">
        <v>71.2</v>
      </c>
      <c r="I247" s="4">
        <v>0</v>
      </c>
      <c r="J247" s="4" t="s">
        <v>14</v>
      </c>
      <c r="K247" s="4">
        <v>1025442.36</v>
      </c>
      <c r="L247" s="4" t="s">
        <v>376</v>
      </c>
      <c r="M247" s="4" t="s">
        <v>38</v>
      </c>
    </row>
    <row r="248" spans="1:16373" x14ac:dyDescent="0.2">
      <c r="A248" s="4">
        <v>7</v>
      </c>
      <c r="B248" s="4" t="s">
        <v>49</v>
      </c>
      <c r="C248" s="4">
        <v>824.5</v>
      </c>
      <c r="D248" s="4">
        <v>4.43</v>
      </c>
      <c r="E248" s="4">
        <v>88.7</v>
      </c>
      <c r="F248" s="4">
        <v>0.41</v>
      </c>
      <c r="G248" s="4">
        <v>68.430000000000007</v>
      </c>
      <c r="H248" s="4">
        <v>76</v>
      </c>
      <c r="I248" s="4">
        <v>81</v>
      </c>
      <c r="J248" s="4">
        <v>70.8</v>
      </c>
      <c r="K248" s="4">
        <v>73379.94</v>
      </c>
      <c r="L248" s="4" t="s">
        <v>376</v>
      </c>
      <c r="M248" s="4" t="s">
        <v>16</v>
      </c>
    </row>
    <row r="249" spans="1:16373" x14ac:dyDescent="0.2">
      <c r="A249" s="4">
        <v>8</v>
      </c>
      <c r="B249" s="4" t="s">
        <v>54</v>
      </c>
      <c r="C249" s="4">
        <v>1174.3</v>
      </c>
      <c r="D249" s="4">
        <v>3.49</v>
      </c>
      <c r="E249" s="4">
        <v>67.7</v>
      </c>
      <c r="F249" s="4">
        <v>0.34</v>
      </c>
      <c r="G249" s="4">
        <v>158.80000000000001</v>
      </c>
      <c r="H249" s="4">
        <v>114.4</v>
      </c>
      <c r="I249" s="4">
        <v>60.3</v>
      </c>
      <c r="J249" s="4">
        <v>67.3</v>
      </c>
      <c r="K249" s="4">
        <v>1242677</v>
      </c>
      <c r="L249" s="4" t="s">
        <v>376</v>
      </c>
      <c r="M249" s="4" t="s">
        <v>55</v>
      </c>
    </row>
    <row r="250" spans="1:16373" x14ac:dyDescent="0.2">
      <c r="A250" s="4">
        <v>9</v>
      </c>
      <c r="B250" s="4" t="s">
        <v>60</v>
      </c>
      <c r="C250" s="4">
        <v>363.6</v>
      </c>
      <c r="D250" s="4">
        <v>3.69</v>
      </c>
      <c r="E250" s="4">
        <v>79.5</v>
      </c>
      <c r="F250" s="4">
        <v>0.24</v>
      </c>
      <c r="G250" s="4">
        <v>16.34</v>
      </c>
      <c r="H250" s="4">
        <v>23.5</v>
      </c>
      <c r="I250" s="4">
        <v>75.099999999999994</v>
      </c>
      <c r="J250" s="4">
        <v>70.8</v>
      </c>
      <c r="K250" s="4">
        <v>352263.82</v>
      </c>
      <c r="L250" s="4" t="s">
        <v>375</v>
      </c>
      <c r="M250" s="4" t="s">
        <v>55</v>
      </c>
    </row>
    <row r="251" spans="1:16373" x14ac:dyDescent="0.2">
      <c r="A251" s="4">
        <v>10</v>
      </c>
      <c r="B251" s="4" t="s">
        <v>63</v>
      </c>
      <c r="C251" s="4">
        <v>829</v>
      </c>
      <c r="D251" s="4">
        <v>2.98</v>
      </c>
      <c r="E251" s="4">
        <v>75.7</v>
      </c>
      <c r="F251" s="4">
        <v>0.17</v>
      </c>
      <c r="G251" s="4">
        <v>73.72</v>
      </c>
      <c r="H251" s="4">
        <v>48</v>
      </c>
      <c r="I251" s="4">
        <v>72.7</v>
      </c>
      <c r="J251" s="4">
        <v>70.8</v>
      </c>
      <c r="K251" s="4">
        <v>963564.1</v>
      </c>
      <c r="L251" s="4" t="s">
        <v>375</v>
      </c>
      <c r="M251" s="4" t="s">
        <v>55</v>
      </c>
    </row>
    <row r="252" spans="1:16373" x14ac:dyDescent="0.2">
      <c r="A252" s="4">
        <v>11</v>
      </c>
      <c r="B252" s="4" t="s">
        <v>66</v>
      </c>
      <c r="C252" s="4">
        <v>1213.4000000000001</v>
      </c>
      <c r="D252" s="4">
        <v>3.16</v>
      </c>
      <c r="E252" s="4">
        <v>78.900000000000006</v>
      </c>
      <c r="F252" s="4">
        <v>0.22</v>
      </c>
      <c r="G252" s="4">
        <v>64.75</v>
      </c>
      <c r="H252" s="4">
        <v>85.5</v>
      </c>
      <c r="I252" s="4">
        <v>82.5</v>
      </c>
      <c r="J252" s="4">
        <v>72</v>
      </c>
      <c r="K252" s="4">
        <v>1242420.27</v>
      </c>
      <c r="L252" s="4" t="s">
        <v>376</v>
      </c>
      <c r="M252" s="4" t="s">
        <v>38</v>
      </c>
    </row>
    <row r="253" spans="1:16373" x14ac:dyDescent="0.2">
      <c r="A253" s="4">
        <v>12</v>
      </c>
      <c r="B253" s="4" t="s">
        <v>69</v>
      </c>
      <c r="C253" s="4">
        <v>569.4</v>
      </c>
      <c r="D253" s="4">
        <v>3.21</v>
      </c>
      <c r="E253" s="4">
        <v>70</v>
      </c>
      <c r="F253" s="4">
        <v>0.23</v>
      </c>
      <c r="G253" s="4">
        <v>14.98</v>
      </c>
      <c r="H253" s="4">
        <v>40.1</v>
      </c>
      <c r="I253" s="4">
        <v>66.900000000000006</v>
      </c>
      <c r="J253" s="4">
        <v>65.5</v>
      </c>
      <c r="K253" s="4">
        <v>653835.05000000005</v>
      </c>
      <c r="L253" s="4" t="s">
        <v>376</v>
      </c>
      <c r="M253" s="4" t="s">
        <v>55</v>
      </c>
    </row>
    <row r="254" spans="1:16373" x14ac:dyDescent="0.2">
      <c r="A254" s="4">
        <v>13</v>
      </c>
      <c r="B254" s="6" t="s">
        <v>72</v>
      </c>
      <c r="C254" s="4">
        <v>1415.4</v>
      </c>
      <c r="D254" s="4">
        <v>2.83</v>
      </c>
      <c r="E254" s="4">
        <v>73.099999999999994</v>
      </c>
      <c r="F254" s="4">
        <v>0.16</v>
      </c>
      <c r="G254" s="4">
        <v>46.9</v>
      </c>
      <c r="H254" s="4">
        <v>80.599999999999994</v>
      </c>
      <c r="I254" s="4">
        <v>70.599999999999994</v>
      </c>
      <c r="J254" s="4">
        <v>68.5</v>
      </c>
      <c r="K254" s="4">
        <v>1691931.37</v>
      </c>
      <c r="L254" s="4" t="s">
        <v>375</v>
      </c>
      <c r="M254" s="4" t="s">
        <v>55</v>
      </c>
    </row>
    <row r="255" spans="1:16373" x14ac:dyDescent="0.2">
      <c r="A255" s="4">
        <v>14</v>
      </c>
      <c r="B255" s="6" t="s">
        <v>75</v>
      </c>
      <c r="C255" s="4">
        <v>1824.1</v>
      </c>
      <c r="D255" s="4">
        <v>3.65</v>
      </c>
      <c r="E255" s="4">
        <v>94.2</v>
      </c>
      <c r="F255" s="4">
        <v>0.2</v>
      </c>
      <c r="G255" s="4">
        <v>52.12</v>
      </c>
      <c r="H255" s="4">
        <v>102.2</v>
      </c>
      <c r="I255" s="4">
        <v>89.6</v>
      </c>
      <c r="J255" s="4">
        <v>84.6</v>
      </c>
      <c r="K255" s="4">
        <v>1589111.56</v>
      </c>
      <c r="L255" s="4" t="s">
        <v>375</v>
      </c>
      <c r="M255" s="4" t="s">
        <v>55</v>
      </c>
    </row>
    <row r="256" spans="1:16373" x14ac:dyDescent="0.2">
      <c r="A256" s="4">
        <v>15</v>
      </c>
      <c r="B256" s="6" t="s">
        <v>78</v>
      </c>
      <c r="C256" s="4">
        <v>1602.4</v>
      </c>
      <c r="D256" s="4">
        <v>3.21</v>
      </c>
      <c r="E256" s="4">
        <v>82.7</v>
      </c>
      <c r="F256" s="4">
        <v>0.19</v>
      </c>
      <c r="G256" s="4">
        <v>36.869999999999997</v>
      </c>
      <c r="H256" s="4">
        <v>93</v>
      </c>
      <c r="I256" s="4">
        <v>84</v>
      </c>
      <c r="J256" s="4">
        <v>76.5</v>
      </c>
      <c r="K256" s="4">
        <v>1911986.58</v>
      </c>
      <c r="L256" s="4" t="s">
        <v>375</v>
      </c>
      <c r="M256" s="4" t="s">
        <v>55</v>
      </c>
    </row>
    <row r="257" spans="1:13" x14ac:dyDescent="0.2">
      <c r="A257" s="4">
        <v>16</v>
      </c>
      <c r="B257" s="4" t="s">
        <v>81</v>
      </c>
      <c r="C257" s="4">
        <v>663.4</v>
      </c>
      <c r="D257" s="4">
        <v>3.18</v>
      </c>
      <c r="E257" s="4">
        <v>66.900000000000006</v>
      </c>
      <c r="F257" s="4">
        <v>0.23</v>
      </c>
      <c r="G257" s="4">
        <v>52.21</v>
      </c>
      <c r="H257" s="4">
        <v>49</v>
      </c>
      <c r="I257" s="4">
        <v>48.2</v>
      </c>
      <c r="J257" s="4">
        <v>66</v>
      </c>
      <c r="K257" s="4">
        <v>689266.65</v>
      </c>
      <c r="L257" s="4" t="s">
        <v>375</v>
      </c>
      <c r="M257" s="4" t="s">
        <v>38</v>
      </c>
    </row>
    <row r="258" spans="1:13" x14ac:dyDescent="0.2">
      <c r="A258" s="4">
        <v>17</v>
      </c>
      <c r="B258" s="4" t="s">
        <v>84</v>
      </c>
      <c r="C258" s="4">
        <v>1934.3</v>
      </c>
      <c r="D258" s="4">
        <v>3.88</v>
      </c>
      <c r="E258" s="4">
        <v>76.099999999999994</v>
      </c>
      <c r="F258" s="4">
        <v>0.28000000000000003</v>
      </c>
      <c r="G258" s="4">
        <v>116.28</v>
      </c>
      <c r="H258" s="4">
        <v>137.30000000000001</v>
      </c>
      <c r="I258" s="4">
        <v>76</v>
      </c>
      <c r="J258" s="4">
        <v>68.599999999999994</v>
      </c>
      <c r="K258" s="4">
        <v>1565486.58</v>
      </c>
      <c r="L258" s="4" t="s">
        <v>375</v>
      </c>
      <c r="M258" s="4" t="s">
        <v>55</v>
      </c>
    </row>
    <row r="259" spans="1:13" x14ac:dyDescent="0.2">
      <c r="A259" s="4">
        <v>18</v>
      </c>
      <c r="B259" s="4" t="s">
        <v>87</v>
      </c>
      <c r="C259" s="4">
        <v>909.3</v>
      </c>
      <c r="D259" s="4">
        <v>3.92</v>
      </c>
      <c r="E259" s="4">
        <v>76.900000000000006</v>
      </c>
      <c r="F259" s="4">
        <v>0.28000000000000003</v>
      </c>
      <c r="G259" s="4">
        <v>57.84</v>
      </c>
      <c r="H259" s="4">
        <v>64.599999999999994</v>
      </c>
      <c r="I259" s="4">
        <v>77.599999999999994</v>
      </c>
      <c r="J259" s="4">
        <v>68.8</v>
      </c>
      <c r="K259" s="4">
        <v>812701.88</v>
      </c>
      <c r="L259" s="4" t="s">
        <v>375</v>
      </c>
      <c r="M259" s="4" t="s">
        <v>55</v>
      </c>
    </row>
    <row r="260" spans="1:13" x14ac:dyDescent="0.2">
      <c r="A260" s="4">
        <v>19</v>
      </c>
      <c r="B260" s="4" t="s">
        <v>90</v>
      </c>
      <c r="C260" s="4">
        <v>881.6</v>
      </c>
      <c r="D260" s="4">
        <v>3.45</v>
      </c>
      <c r="E260" s="4">
        <v>63.6</v>
      </c>
      <c r="F260" s="4">
        <v>0.2</v>
      </c>
      <c r="G260" s="4">
        <v>44.98</v>
      </c>
      <c r="H260" s="4">
        <v>50.1</v>
      </c>
      <c r="I260" s="4">
        <v>49.5</v>
      </c>
      <c r="J260" s="4">
        <v>61.7</v>
      </c>
      <c r="K260" s="4">
        <v>831966.87</v>
      </c>
      <c r="L260" s="4" t="s">
        <v>375</v>
      </c>
      <c r="M260" s="4" t="s">
        <v>91</v>
      </c>
    </row>
    <row r="261" spans="1:13" x14ac:dyDescent="0.2">
      <c r="A261" s="4">
        <v>20</v>
      </c>
      <c r="B261" s="4" t="s">
        <v>94</v>
      </c>
      <c r="C261" s="4">
        <v>694.9</v>
      </c>
      <c r="D261" s="4">
        <v>2.85</v>
      </c>
      <c r="E261" s="4">
        <v>57.6</v>
      </c>
      <c r="F261" s="4">
        <v>0.13</v>
      </c>
      <c r="G261" s="4">
        <v>33.32</v>
      </c>
      <c r="H261" s="4">
        <v>32.200000000000003</v>
      </c>
      <c r="I261" s="4">
        <v>56.6</v>
      </c>
      <c r="J261" s="4">
        <v>58.3</v>
      </c>
      <c r="K261" s="4">
        <v>646897.46</v>
      </c>
      <c r="L261" s="4" t="s">
        <v>375</v>
      </c>
      <c r="M261" s="4" t="s">
        <v>55</v>
      </c>
    </row>
    <row r="262" spans="1:13" x14ac:dyDescent="0.2">
      <c r="A262" s="4">
        <v>21</v>
      </c>
      <c r="B262" s="4" t="s">
        <v>97</v>
      </c>
      <c r="C262" s="4">
        <v>1058.9000000000001</v>
      </c>
      <c r="D262" s="4">
        <v>3.49</v>
      </c>
      <c r="E262" s="4">
        <v>77.900000000000006</v>
      </c>
      <c r="F262" s="4">
        <v>0.18</v>
      </c>
      <c r="G262" s="4">
        <v>99.64</v>
      </c>
      <c r="H262" s="4">
        <v>56</v>
      </c>
      <c r="I262" s="4">
        <v>0</v>
      </c>
      <c r="J262" s="4">
        <v>79</v>
      </c>
      <c r="K262" s="4">
        <v>925748.15</v>
      </c>
      <c r="L262" s="4" t="s">
        <v>376</v>
      </c>
      <c r="M262" s="4" t="s">
        <v>16</v>
      </c>
    </row>
    <row r="263" spans="1:13" x14ac:dyDescent="0.2">
      <c r="A263" s="4">
        <v>22</v>
      </c>
      <c r="B263" s="4" t="s">
        <v>100</v>
      </c>
      <c r="C263" s="4">
        <v>1368.1</v>
      </c>
      <c r="D263" s="4">
        <v>3.24</v>
      </c>
      <c r="E263" s="4">
        <v>73.5</v>
      </c>
      <c r="F263" s="4">
        <v>0.27</v>
      </c>
      <c r="G263" s="4">
        <v>170.65</v>
      </c>
      <c r="H263" s="4">
        <v>116.2</v>
      </c>
      <c r="I263" s="4">
        <v>64.5</v>
      </c>
      <c r="J263" s="4">
        <v>71.400000000000006</v>
      </c>
      <c r="K263" s="4">
        <v>1570908.23</v>
      </c>
      <c r="L263" s="4" t="s">
        <v>376</v>
      </c>
      <c r="M263" s="4" t="s">
        <v>38</v>
      </c>
    </row>
    <row r="264" spans="1:13" x14ac:dyDescent="0.2">
      <c r="A264" s="4">
        <v>23</v>
      </c>
      <c r="B264" s="4" t="s">
        <v>103</v>
      </c>
      <c r="C264" s="4">
        <v>664.2</v>
      </c>
      <c r="D264" s="4">
        <v>3.82</v>
      </c>
      <c r="E264" s="4">
        <v>77.8</v>
      </c>
      <c r="F264" s="4">
        <v>0.22</v>
      </c>
      <c r="G264" s="4">
        <v>28.57</v>
      </c>
      <c r="H264" s="4">
        <v>38</v>
      </c>
      <c r="I264" s="4">
        <v>62.1</v>
      </c>
      <c r="J264" s="4">
        <v>68</v>
      </c>
      <c r="K264" s="4">
        <v>573313.96</v>
      </c>
      <c r="L264" s="4" t="s">
        <v>376</v>
      </c>
      <c r="M264" s="4" t="s">
        <v>55</v>
      </c>
    </row>
    <row r="265" spans="1:13" x14ac:dyDescent="0.2">
      <c r="A265" s="4">
        <v>24</v>
      </c>
      <c r="B265" s="4" t="s">
        <v>106</v>
      </c>
      <c r="C265" s="4">
        <v>1249.3</v>
      </c>
      <c r="D265" s="4">
        <v>3.65</v>
      </c>
      <c r="E265" s="4">
        <v>75.3</v>
      </c>
      <c r="F265" s="4">
        <v>0.28000000000000003</v>
      </c>
      <c r="G265" s="4">
        <v>70.180000000000007</v>
      </c>
      <c r="H265" s="4">
        <v>97.4</v>
      </c>
      <c r="I265" s="4">
        <v>75.8</v>
      </c>
      <c r="J265" s="4">
        <v>71.3</v>
      </c>
      <c r="K265" s="4">
        <v>1291578.1499999999</v>
      </c>
      <c r="L265" s="4" t="s">
        <v>375</v>
      </c>
      <c r="M265" s="4" t="s">
        <v>38</v>
      </c>
    </row>
    <row r="266" spans="1:13" x14ac:dyDescent="0.2">
      <c r="A266" s="4">
        <v>25</v>
      </c>
      <c r="B266" s="4" t="s">
        <v>109</v>
      </c>
      <c r="C266" s="4">
        <v>1576.8</v>
      </c>
      <c r="D266" s="4">
        <v>3.24</v>
      </c>
      <c r="E266" s="4">
        <v>62.9</v>
      </c>
      <c r="F266" s="4">
        <v>0.26</v>
      </c>
      <c r="G266" s="4">
        <v>54.43</v>
      </c>
      <c r="H266" s="4">
        <v>128</v>
      </c>
      <c r="I266" s="4">
        <v>91.7</v>
      </c>
      <c r="J266" s="4">
        <v>57.5</v>
      </c>
      <c r="K266" s="4">
        <v>1545088.67</v>
      </c>
      <c r="L266" s="4" t="s">
        <v>376</v>
      </c>
      <c r="M266" s="4" t="s">
        <v>55</v>
      </c>
    </row>
    <row r="267" spans="1:13" x14ac:dyDescent="0.2">
      <c r="A267" s="4">
        <v>26</v>
      </c>
      <c r="B267" s="4" t="s">
        <v>112</v>
      </c>
      <c r="C267" s="4">
        <v>1544.1</v>
      </c>
      <c r="D267" s="4">
        <v>3.17</v>
      </c>
      <c r="E267" s="4">
        <v>61.6</v>
      </c>
      <c r="F267" s="4">
        <v>0.27</v>
      </c>
      <c r="G267" s="4">
        <v>56</v>
      </c>
      <c r="H267" s="4">
        <v>131.9</v>
      </c>
      <c r="I267" s="4">
        <v>94.4</v>
      </c>
      <c r="J267" s="4">
        <v>57.3</v>
      </c>
      <c r="K267" s="4">
        <v>1650167.3</v>
      </c>
      <c r="L267" s="4" t="s">
        <v>376</v>
      </c>
      <c r="M267" s="4" t="s">
        <v>55</v>
      </c>
    </row>
    <row r="268" spans="1:13" x14ac:dyDescent="0.2">
      <c r="A268" s="4">
        <v>27</v>
      </c>
      <c r="B268" s="4" t="s">
        <v>115</v>
      </c>
      <c r="C268" s="4">
        <v>633.6</v>
      </c>
      <c r="D268" s="4">
        <v>3.14</v>
      </c>
      <c r="E268" s="4">
        <v>85.3</v>
      </c>
      <c r="F268" s="4">
        <v>0.24</v>
      </c>
      <c r="G268" s="4">
        <v>26.62</v>
      </c>
      <c r="H268" s="4">
        <v>48.6</v>
      </c>
      <c r="I268" s="4">
        <v>100</v>
      </c>
      <c r="J268" s="4">
        <v>69</v>
      </c>
      <c r="K268" s="4">
        <v>698258.21</v>
      </c>
      <c r="L268" s="4" t="s">
        <v>376</v>
      </c>
      <c r="M268" s="4" t="s">
        <v>55</v>
      </c>
    </row>
    <row r="269" spans="1:13" x14ac:dyDescent="0.2">
      <c r="A269" s="4">
        <v>28</v>
      </c>
      <c r="B269" s="4" t="s">
        <v>118</v>
      </c>
      <c r="C269" s="4">
        <v>1109.0999999999999</v>
      </c>
      <c r="D269" s="4">
        <v>3.35</v>
      </c>
      <c r="E269" s="4">
        <v>91.2</v>
      </c>
      <c r="F269" s="4">
        <v>0.25</v>
      </c>
      <c r="G269" s="4">
        <v>43.8</v>
      </c>
      <c r="H269" s="4">
        <v>82.2</v>
      </c>
      <c r="I269" s="4">
        <v>100</v>
      </c>
      <c r="J269" s="4">
        <v>73</v>
      </c>
      <c r="K269" s="4">
        <v>1164322.56</v>
      </c>
      <c r="L269" s="4" t="s">
        <v>376</v>
      </c>
      <c r="M269" s="4" t="s">
        <v>55</v>
      </c>
    </row>
    <row r="270" spans="1:13" x14ac:dyDescent="0.2">
      <c r="A270" s="4">
        <v>29</v>
      </c>
      <c r="B270" s="4" t="s">
        <v>121</v>
      </c>
      <c r="C270" s="4">
        <v>1760.9</v>
      </c>
      <c r="D270" s="4">
        <v>3.53</v>
      </c>
      <c r="E270" s="4">
        <v>78</v>
      </c>
      <c r="F270" s="4">
        <v>0.25</v>
      </c>
      <c r="G270" s="4">
        <v>62.88</v>
      </c>
      <c r="H270" s="4">
        <v>123.2</v>
      </c>
      <c r="I270" s="4">
        <v>75.900000000000006</v>
      </c>
      <c r="J270" s="4">
        <v>71.099999999999994</v>
      </c>
      <c r="K270" s="4">
        <v>1729260.87</v>
      </c>
      <c r="L270" s="4" t="s">
        <v>375</v>
      </c>
      <c r="M270" s="4" t="s">
        <v>38</v>
      </c>
    </row>
    <row r="271" spans="1:13" x14ac:dyDescent="0.2">
      <c r="A271" s="4">
        <v>30</v>
      </c>
      <c r="B271" s="4" t="s">
        <v>124</v>
      </c>
      <c r="C271" s="4">
        <v>366.4</v>
      </c>
      <c r="D271" s="4">
        <v>3.51</v>
      </c>
      <c r="E271" s="4">
        <v>77.400000000000006</v>
      </c>
      <c r="F271" s="4">
        <v>0.24</v>
      </c>
      <c r="G271" s="4">
        <v>12.43</v>
      </c>
      <c r="H271" s="4">
        <v>25</v>
      </c>
      <c r="I271" s="4">
        <v>73.5</v>
      </c>
      <c r="J271" s="4">
        <v>71.3</v>
      </c>
      <c r="K271" s="4">
        <v>355071.21</v>
      </c>
      <c r="L271" s="4" t="s">
        <v>375</v>
      </c>
      <c r="M271" s="4" t="s">
        <v>38</v>
      </c>
    </row>
    <row r="272" spans="1:13" x14ac:dyDescent="0.2">
      <c r="A272" s="4">
        <v>31</v>
      </c>
      <c r="B272" s="4" t="s">
        <v>127</v>
      </c>
      <c r="C272" s="4">
        <v>407</v>
      </c>
      <c r="D272" s="4">
        <v>4.09</v>
      </c>
      <c r="E272" s="4">
        <v>100</v>
      </c>
      <c r="F272" s="4">
        <v>0.25</v>
      </c>
      <c r="G272" s="4">
        <v>22.64</v>
      </c>
      <c r="H272" s="4">
        <v>25.3</v>
      </c>
      <c r="I272" s="4">
        <v>81.599999999999994</v>
      </c>
      <c r="J272" s="4">
        <v>89.6</v>
      </c>
      <c r="K272" s="4">
        <v>279943.61</v>
      </c>
      <c r="L272" s="4" t="s">
        <v>376</v>
      </c>
      <c r="M272" s="4" t="s">
        <v>91</v>
      </c>
    </row>
    <row r="273" spans="1:13" x14ac:dyDescent="0.2">
      <c r="A273" s="4">
        <v>32</v>
      </c>
      <c r="B273" s="4" t="s">
        <v>130</v>
      </c>
      <c r="C273" s="4">
        <v>193.3</v>
      </c>
      <c r="D273" s="4">
        <v>3.68</v>
      </c>
      <c r="E273" s="4">
        <v>100</v>
      </c>
      <c r="F273" s="4">
        <v>0.17</v>
      </c>
      <c r="G273" s="4">
        <v>11.64</v>
      </c>
      <c r="H273" s="4">
        <v>8.6999999999999993</v>
      </c>
      <c r="I273" s="4">
        <v>45.3</v>
      </c>
      <c r="J273" s="4">
        <v>89.1</v>
      </c>
      <c r="K273" s="4">
        <v>141693.45000000001</v>
      </c>
      <c r="L273" s="4" t="s">
        <v>376</v>
      </c>
      <c r="M273" s="4" t="s">
        <v>91</v>
      </c>
    </row>
    <row r="274" spans="1:13" x14ac:dyDescent="0.2">
      <c r="A274" s="4">
        <v>33</v>
      </c>
      <c r="B274" s="4" t="s">
        <v>133</v>
      </c>
      <c r="C274" s="4">
        <v>231.8</v>
      </c>
      <c r="D274" s="4">
        <v>3.33</v>
      </c>
      <c r="E274" s="4">
        <v>100</v>
      </c>
      <c r="F274" s="4">
        <v>0.2</v>
      </c>
      <c r="G274" s="4">
        <v>26.08</v>
      </c>
      <c r="H274" s="4">
        <v>13.6</v>
      </c>
      <c r="I274" s="4">
        <v>100</v>
      </c>
      <c r="J274" s="4">
        <v>90</v>
      </c>
      <c r="K274" s="4">
        <v>211308.89</v>
      </c>
      <c r="L274" s="4" t="s">
        <v>376</v>
      </c>
      <c r="M274" s="4" t="s">
        <v>55</v>
      </c>
    </row>
    <row r="275" spans="1:13" x14ac:dyDescent="0.2">
      <c r="A275" s="4">
        <v>34</v>
      </c>
      <c r="B275" s="4" t="s">
        <v>136</v>
      </c>
      <c r="C275" s="4">
        <v>387.9</v>
      </c>
      <c r="D275" s="4">
        <v>3.93</v>
      </c>
      <c r="E275" s="4">
        <v>100</v>
      </c>
      <c r="F275" s="4">
        <v>0.26</v>
      </c>
      <c r="G275" s="4">
        <v>12.2</v>
      </c>
      <c r="H275" s="4">
        <v>25.5</v>
      </c>
      <c r="I275" s="4">
        <v>59.5</v>
      </c>
      <c r="J275" s="4">
        <v>89.2</v>
      </c>
      <c r="K275" s="4">
        <v>313170.65999999997</v>
      </c>
      <c r="L275" s="4" t="s">
        <v>375</v>
      </c>
      <c r="M275" s="4" t="s">
        <v>38</v>
      </c>
    </row>
    <row r="276" spans="1:13" x14ac:dyDescent="0.2">
      <c r="A276" s="4">
        <v>35</v>
      </c>
      <c r="B276" s="4" t="s">
        <v>140</v>
      </c>
      <c r="C276" s="4">
        <v>10363.299999999999</v>
      </c>
      <c r="D276" s="4">
        <v>0</v>
      </c>
      <c r="E276" s="4">
        <v>0</v>
      </c>
      <c r="F276" s="4">
        <v>-446.75</v>
      </c>
      <c r="G276" s="4">
        <v>0</v>
      </c>
      <c r="H276" s="4">
        <v>-13402.4</v>
      </c>
      <c r="I276" s="4">
        <v>0</v>
      </c>
      <c r="J276" s="4" t="s">
        <v>14</v>
      </c>
      <c r="K276" s="4">
        <v>0</v>
      </c>
      <c r="L276" s="4" t="s">
        <v>375</v>
      </c>
      <c r="M276" s="4" t="s">
        <v>141</v>
      </c>
    </row>
    <row r="277" spans="1:13" x14ac:dyDescent="0.2">
      <c r="A277" s="4">
        <v>36</v>
      </c>
      <c r="B277" s="4" t="s">
        <v>144</v>
      </c>
      <c r="C277" s="4">
        <v>44.6</v>
      </c>
      <c r="D277" s="4">
        <v>1.49</v>
      </c>
      <c r="E277" s="4">
        <v>0</v>
      </c>
      <c r="F277" s="4">
        <v>0.09</v>
      </c>
      <c r="G277" s="4">
        <v>4.1399999999999997</v>
      </c>
      <c r="H277" s="4">
        <v>2.7</v>
      </c>
      <c r="I277" s="4">
        <v>0</v>
      </c>
      <c r="J277" s="4" t="s">
        <v>14</v>
      </c>
      <c r="K277" s="4">
        <v>42961.4</v>
      </c>
      <c r="L277" s="4" t="s">
        <v>376</v>
      </c>
      <c r="M277" s="4" t="s">
        <v>141</v>
      </c>
    </row>
    <row r="278" spans="1:13" x14ac:dyDescent="0.2">
      <c r="A278" s="4">
        <v>37</v>
      </c>
      <c r="B278" s="4" t="s">
        <v>147</v>
      </c>
      <c r="C278" s="4">
        <v>26.7</v>
      </c>
      <c r="D278" s="4">
        <v>2.97</v>
      </c>
      <c r="E278" s="4">
        <v>0</v>
      </c>
      <c r="F278" s="4">
        <v>0.16</v>
      </c>
      <c r="G278" s="4">
        <v>1.33</v>
      </c>
      <c r="H278" s="4">
        <v>1.4</v>
      </c>
      <c r="I278" s="4">
        <v>0</v>
      </c>
      <c r="J278" s="4" t="s">
        <v>14</v>
      </c>
      <c r="K278" s="4">
        <v>32149.5</v>
      </c>
      <c r="L278" s="4" t="s">
        <v>376</v>
      </c>
      <c r="M278" s="4" t="s">
        <v>55</v>
      </c>
    </row>
    <row r="279" spans="1:13" x14ac:dyDescent="0.2">
      <c r="A279" s="4">
        <v>38</v>
      </c>
      <c r="B279" s="4" t="s">
        <v>150</v>
      </c>
      <c r="C279" s="4">
        <v>16.7</v>
      </c>
      <c r="D279" s="4">
        <v>3.04</v>
      </c>
      <c r="E279" s="4">
        <v>0</v>
      </c>
      <c r="F279" s="4">
        <v>0.13</v>
      </c>
      <c r="G279" s="4">
        <v>0.73</v>
      </c>
      <c r="H279" s="4">
        <v>0.7</v>
      </c>
      <c r="I279" s="4">
        <v>0</v>
      </c>
      <c r="J279" s="4" t="s">
        <v>14</v>
      </c>
      <c r="K279" s="4">
        <v>20160.599999999999</v>
      </c>
      <c r="L279" s="4" t="s">
        <v>376</v>
      </c>
      <c r="M279" s="4" t="s">
        <v>55</v>
      </c>
    </row>
    <row r="280" spans="1:13" x14ac:dyDescent="0.2">
      <c r="A280" s="4">
        <v>39</v>
      </c>
      <c r="B280" s="4" t="s">
        <v>153</v>
      </c>
      <c r="C280" s="4">
        <v>65.099999999999994</v>
      </c>
      <c r="D280" s="4">
        <v>3.47</v>
      </c>
      <c r="E280" s="4">
        <v>0</v>
      </c>
      <c r="F280" s="4">
        <v>0.23</v>
      </c>
      <c r="G280" s="4">
        <v>6.29</v>
      </c>
      <c r="H280" s="4">
        <v>4.4000000000000004</v>
      </c>
      <c r="I280" s="4">
        <v>0</v>
      </c>
      <c r="J280" s="4" t="s">
        <v>14</v>
      </c>
      <c r="K280" s="4">
        <v>37817.5</v>
      </c>
      <c r="L280" s="4" t="s">
        <v>375</v>
      </c>
      <c r="M280" s="4" t="s">
        <v>55</v>
      </c>
    </row>
    <row r="281" spans="1:13" x14ac:dyDescent="0.2">
      <c r="A281" s="4">
        <v>40</v>
      </c>
      <c r="B281" s="4" t="s">
        <v>156</v>
      </c>
      <c r="C281" s="4">
        <v>60.1</v>
      </c>
      <c r="D281" s="4">
        <v>3.7</v>
      </c>
      <c r="E281" s="4">
        <v>0</v>
      </c>
      <c r="F281" s="4">
        <v>0.26</v>
      </c>
      <c r="G281" s="4">
        <v>1.42</v>
      </c>
      <c r="H281" s="4">
        <v>4.3</v>
      </c>
      <c r="I281" s="4">
        <v>0</v>
      </c>
      <c r="J281" s="4" t="s">
        <v>14</v>
      </c>
      <c r="K281" s="4">
        <v>20312.099999999999</v>
      </c>
      <c r="L281" s="4" t="s">
        <v>375</v>
      </c>
      <c r="M281" s="4" t="s">
        <v>55</v>
      </c>
    </row>
    <row r="282" spans="1:13" x14ac:dyDescent="0.2">
      <c r="A282" s="4">
        <v>41</v>
      </c>
      <c r="B282" s="4" t="s">
        <v>159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 t="s">
        <v>160</v>
      </c>
      <c r="J282" s="4" t="s">
        <v>14</v>
      </c>
      <c r="K282" s="4">
        <v>0</v>
      </c>
      <c r="L282" s="4" t="s">
        <v>161</v>
      </c>
      <c r="M282" s="4" t="s">
        <v>141</v>
      </c>
    </row>
    <row r="283" spans="1:13" x14ac:dyDescent="0.2">
      <c r="A283" s="4">
        <v>42</v>
      </c>
      <c r="B283" s="4" t="s">
        <v>164</v>
      </c>
      <c r="C283" s="4">
        <v>137</v>
      </c>
      <c r="D283" s="4">
        <v>4.57</v>
      </c>
      <c r="E283" s="4">
        <v>0</v>
      </c>
      <c r="F283" s="4">
        <v>0.32</v>
      </c>
      <c r="G283" s="4">
        <v>11.38</v>
      </c>
      <c r="H283" s="4">
        <v>9.5</v>
      </c>
      <c r="I283" s="4">
        <v>0</v>
      </c>
      <c r="J283" s="4" t="s">
        <v>14</v>
      </c>
      <c r="K283" s="4">
        <v>88177.18</v>
      </c>
      <c r="L283" s="4" t="s">
        <v>376</v>
      </c>
      <c r="M283" s="4" t="s">
        <v>141</v>
      </c>
    </row>
    <row r="284" spans="1:13" x14ac:dyDescent="0.2">
      <c r="A284" s="4">
        <v>43</v>
      </c>
      <c r="B284" s="4" t="s">
        <v>167</v>
      </c>
      <c r="C284" s="4">
        <v>33.4</v>
      </c>
      <c r="D284" s="4">
        <v>1.1100000000000001</v>
      </c>
      <c r="E284" s="4">
        <v>0</v>
      </c>
      <c r="F284" s="4">
        <v>0.04</v>
      </c>
      <c r="G284" s="4">
        <v>1.3</v>
      </c>
      <c r="H284" s="4">
        <v>1.2</v>
      </c>
      <c r="I284" s="4">
        <v>0</v>
      </c>
      <c r="J284" s="4" t="s">
        <v>14</v>
      </c>
      <c r="K284" s="4">
        <v>21793.9</v>
      </c>
      <c r="L284" s="4" t="s">
        <v>375</v>
      </c>
      <c r="M284" s="4" t="s">
        <v>168</v>
      </c>
    </row>
    <row r="285" spans="1:13" x14ac:dyDescent="0.2">
      <c r="A285" s="4">
        <v>44</v>
      </c>
      <c r="B285" s="4" t="s">
        <v>171</v>
      </c>
      <c r="C285" s="4">
        <v>93.2</v>
      </c>
      <c r="D285" s="4">
        <v>3.11</v>
      </c>
      <c r="E285" s="4">
        <v>0</v>
      </c>
      <c r="F285" s="4">
        <v>0.18</v>
      </c>
      <c r="G285" s="4">
        <v>3.35</v>
      </c>
      <c r="H285" s="4">
        <v>5.3</v>
      </c>
      <c r="I285" s="4">
        <v>0</v>
      </c>
      <c r="J285" s="4" t="s">
        <v>14</v>
      </c>
      <c r="K285" s="4">
        <v>35164.9</v>
      </c>
      <c r="L285" s="4" t="s">
        <v>375</v>
      </c>
      <c r="M285" s="4" t="s">
        <v>55</v>
      </c>
    </row>
    <row r="286" spans="1:13" x14ac:dyDescent="0.2">
      <c r="A286" s="4">
        <v>45</v>
      </c>
      <c r="B286" s="4" t="s">
        <v>172</v>
      </c>
      <c r="C286" s="4">
        <v>1022.1</v>
      </c>
      <c r="D286" s="4">
        <v>3.52</v>
      </c>
      <c r="E286" s="4">
        <v>74.099999999999994</v>
      </c>
      <c r="F286" s="4">
        <v>0.24</v>
      </c>
      <c r="G286" s="4">
        <v>33.340000000000003</v>
      </c>
      <c r="H286" s="4">
        <v>68.5</v>
      </c>
      <c r="I286" s="4">
        <v>72.8</v>
      </c>
      <c r="J286" s="4">
        <v>71</v>
      </c>
      <c r="K286" s="4">
        <v>826505.06</v>
      </c>
      <c r="L286" s="4" t="s">
        <v>375</v>
      </c>
      <c r="M286" s="4" t="s">
        <v>38</v>
      </c>
    </row>
    <row r="287" spans="1:13" x14ac:dyDescent="0.2">
      <c r="A287" s="4">
        <v>46</v>
      </c>
      <c r="B287" s="4" t="s">
        <v>173</v>
      </c>
      <c r="C287" s="4">
        <v>700.1</v>
      </c>
      <c r="D287" s="4">
        <v>3.6</v>
      </c>
      <c r="E287" s="4">
        <v>74.900000000000006</v>
      </c>
      <c r="F287" s="4">
        <v>0.25</v>
      </c>
      <c r="G287" s="4">
        <v>36.31</v>
      </c>
      <c r="H287" s="4">
        <v>49.1</v>
      </c>
      <c r="I287" s="4">
        <v>72.8</v>
      </c>
      <c r="J287" s="4">
        <v>69.7</v>
      </c>
      <c r="K287" s="4">
        <v>604571.96</v>
      </c>
      <c r="L287" s="4" t="s">
        <v>375</v>
      </c>
      <c r="M287" s="4" t="s">
        <v>38</v>
      </c>
    </row>
    <row r="288" spans="1:13" x14ac:dyDescent="0.2">
      <c r="A288" s="4">
        <v>47</v>
      </c>
      <c r="B288" s="4" t="s">
        <v>174</v>
      </c>
      <c r="C288" s="4">
        <v>910.7</v>
      </c>
      <c r="D288" s="4">
        <v>3.67</v>
      </c>
      <c r="E288" s="4">
        <v>74.099999999999994</v>
      </c>
      <c r="F288" s="4">
        <v>0.26</v>
      </c>
      <c r="G288" s="4">
        <v>28.59</v>
      </c>
      <c r="H288" s="4">
        <v>65.400000000000006</v>
      </c>
      <c r="I288" s="4">
        <v>73.5</v>
      </c>
      <c r="J288" s="4">
        <v>70</v>
      </c>
      <c r="K288" s="4">
        <v>811642.66</v>
      </c>
      <c r="L288" s="4" t="s">
        <v>376</v>
      </c>
      <c r="M288" s="4" t="s">
        <v>38</v>
      </c>
    </row>
    <row r="289" spans="1:13" x14ac:dyDescent="0.2">
      <c r="A289" s="4">
        <v>48</v>
      </c>
      <c r="B289" s="4" t="s">
        <v>175</v>
      </c>
      <c r="C289" s="4">
        <v>1205.8</v>
      </c>
      <c r="D289" s="4">
        <v>3.46</v>
      </c>
      <c r="E289" s="4">
        <v>72.900000000000006</v>
      </c>
      <c r="F289" s="4">
        <v>0.24</v>
      </c>
      <c r="G289" s="4">
        <v>45.56</v>
      </c>
      <c r="H289" s="4">
        <v>82.2</v>
      </c>
      <c r="I289" s="4">
        <v>69.8</v>
      </c>
      <c r="J289" s="4">
        <v>67.400000000000006</v>
      </c>
      <c r="K289" s="4">
        <v>1139500.6499999999</v>
      </c>
      <c r="L289" s="4" t="s">
        <v>375</v>
      </c>
      <c r="M289" s="4" t="s">
        <v>38</v>
      </c>
    </row>
    <row r="290" spans="1:13" x14ac:dyDescent="0.2">
      <c r="A290" s="4">
        <v>49</v>
      </c>
      <c r="B290" s="4" t="s">
        <v>176</v>
      </c>
      <c r="C290" s="4">
        <v>1691</v>
      </c>
      <c r="D290" s="4">
        <v>3.41</v>
      </c>
      <c r="E290" s="4">
        <v>71.599999999999994</v>
      </c>
      <c r="F290" s="4">
        <v>0.24</v>
      </c>
      <c r="G290" s="4">
        <v>63.19</v>
      </c>
      <c r="H290" s="4">
        <v>117.8</v>
      </c>
      <c r="I290" s="4">
        <v>69.900000000000006</v>
      </c>
      <c r="J290" s="4">
        <v>66.099999999999994</v>
      </c>
      <c r="K290" s="4">
        <v>1566885.43</v>
      </c>
      <c r="L290" s="4" t="s">
        <v>375</v>
      </c>
      <c r="M290" s="4" t="s">
        <v>38</v>
      </c>
    </row>
    <row r="291" spans="1:13" x14ac:dyDescent="0.2">
      <c r="A291" s="4">
        <v>50</v>
      </c>
      <c r="B291" s="4" t="s">
        <v>177</v>
      </c>
      <c r="C291" s="4">
        <v>1855.6</v>
      </c>
      <c r="D291" s="4">
        <v>3.72</v>
      </c>
      <c r="E291" s="4">
        <v>75</v>
      </c>
      <c r="F291" s="4">
        <v>0.25</v>
      </c>
      <c r="G291" s="4">
        <v>152.41999999999999</v>
      </c>
      <c r="H291" s="4">
        <v>124.9</v>
      </c>
      <c r="I291" s="4">
        <v>56.1</v>
      </c>
      <c r="J291" s="4">
        <v>69.3</v>
      </c>
      <c r="K291" s="4">
        <v>1376010.98</v>
      </c>
      <c r="L291" s="4" t="s">
        <v>375</v>
      </c>
      <c r="M291" s="4" t="s">
        <v>38</v>
      </c>
    </row>
    <row r="292" spans="1:13" x14ac:dyDescent="0.2">
      <c r="A292" s="4">
        <v>51</v>
      </c>
      <c r="B292" s="4" t="s">
        <v>178</v>
      </c>
      <c r="C292" s="4">
        <v>813</v>
      </c>
      <c r="D292" s="4">
        <v>3.72</v>
      </c>
      <c r="E292" s="4">
        <v>75.099999999999994</v>
      </c>
      <c r="F292" s="4">
        <v>0.3</v>
      </c>
      <c r="G292" s="4">
        <v>77.94</v>
      </c>
      <c r="H292" s="4">
        <v>64.900000000000006</v>
      </c>
      <c r="I292" s="4">
        <v>65.900000000000006</v>
      </c>
      <c r="J292" s="4">
        <v>69.099999999999994</v>
      </c>
      <c r="K292" s="4">
        <v>458888.5</v>
      </c>
      <c r="L292" s="4" t="s">
        <v>376</v>
      </c>
      <c r="M292" s="4" t="s">
        <v>38</v>
      </c>
    </row>
    <row r="293" spans="1:13" x14ac:dyDescent="0.2">
      <c r="A293" s="4">
        <v>52</v>
      </c>
      <c r="B293" s="4" t="s">
        <v>179</v>
      </c>
      <c r="C293" s="4">
        <v>1818.2</v>
      </c>
      <c r="D293" s="4">
        <v>3.64</v>
      </c>
      <c r="E293" s="4">
        <v>100</v>
      </c>
      <c r="F293" s="4">
        <v>0.32</v>
      </c>
      <c r="G293" s="4">
        <v>193.52</v>
      </c>
      <c r="H293" s="4">
        <v>157.80000000000001</v>
      </c>
      <c r="I293" s="4">
        <v>100</v>
      </c>
      <c r="J293" s="4">
        <v>86.4</v>
      </c>
      <c r="K293" s="4">
        <v>1241732.06</v>
      </c>
      <c r="L293" s="4" t="s">
        <v>376</v>
      </c>
      <c r="M293" s="4" t="s">
        <v>38</v>
      </c>
    </row>
    <row r="294" spans="1:13" x14ac:dyDescent="0.2">
      <c r="A294" s="4">
        <v>53</v>
      </c>
      <c r="B294" s="4" t="s">
        <v>180</v>
      </c>
      <c r="C294" s="4">
        <v>571.1</v>
      </c>
      <c r="D294" s="4">
        <v>3.05</v>
      </c>
      <c r="E294" s="4">
        <v>75.599999999999994</v>
      </c>
      <c r="F294" s="4">
        <v>0.2</v>
      </c>
      <c r="G294" s="4">
        <v>70.06</v>
      </c>
      <c r="H294" s="4">
        <v>36.6</v>
      </c>
      <c r="I294" s="4">
        <v>65.7</v>
      </c>
      <c r="J294" s="4">
        <v>73.2</v>
      </c>
      <c r="K294" s="4">
        <v>567601.36</v>
      </c>
      <c r="L294" s="4" t="s">
        <v>376</v>
      </c>
      <c r="M294" s="4" t="s">
        <v>55</v>
      </c>
    </row>
    <row r="295" spans="1:13" x14ac:dyDescent="0.2">
      <c r="A295" s="4">
        <v>54</v>
      </c>
      <c r="B295" s="4" t="s">
        <v>181</v>
      </c>
      <c r="C295" s="4">
        <v>1100.3</v>
      </c>
      <c r="D295" s="4">
        <v>3.67</v>
      </c>
      <c r="E295" s="4">
        <v>84.1</v>
      </c>
      <c r="F295" s="4">
        <v>0.22</v>
      </c>
      <c r="G295" s="4">
        <v>93.4</v>
      </c>
      <c r="H295" s="4">
        <v>66.3</v>
      </c>
      <c r="I295" s="4">
        <v>72.400000000000006</v>
      </c>
      <c r="J295" s="4">
        <v>75.599999999999994</v>
      </c>
      <c r="K295" s="4">
        <v>831235.57</v>
      </c>
      <c r="L295" s="4" t="s">
        <v>375</v>
      </c>
      <c r="M295" s="4" t="s">
        <v>16</v>
      </c>
    </row>
    <row r="296" spans="1:13" x14ac:dyDescent="0.2">
      <c r="A296" s="4">
        <v>55</v>
      </c>
      <c r="B296" s="4" t="s">
        <v>182</v>
      </c>
      <c r="C296" s="4">
        <v>333.6</v>
      </c>
      <c r="D296" s="4">
        <v>3.75</v>
      </c>
      <c r="E296" s="4">
        <v>100</v>
      </c>
      <c r="F296" s="4">
        <v>0.26</v>
      </c>
      <c r="G296" s="4">
        <v>23.97</v>
      </c>
      <c r="H296" s="4">
        <v>23.2</v>
      </c>
      <c r="I296" s="4">
        <v>100</v>
      </c>
      <c r="J296" s="4">
        <v>90</v>
      </c>
      <c r="K296" s="4">
        <v>267320.03999999998</v>
      </c>
      <c r="L296" s="4" t="s">
        <v>375</v>
      </c>
      <c r="M296" s="4" t="s">
        <v>38</v>
      </c>
    </row>
    <row r="297" spans="1:13" x14ac:dyDescent="0.2">
      <c r="A297" s="4">
        <v>56</v>
      </c>
      <c r="B297" s="4" t="s">
        <v>183</v>
      </c>
      <c r="C297" s="4">
        <v>1803.8</v>
      </c>
      <c r="D297" s="4">
        <v>3.62</v>
      </c>
      <c r="E297" s="4">
        <v>76.099999999999994</v>
      </c>
      <c r="F297" s="4">
        <v>0.24</v>
      </c>
      <c r="G297" s="4">
        <v>136.22</v>
      </c>
      <c r="H297" s="4">
        <v>117.8</v>
      </c>
      <c r="I297" s="4">
        <v>63.9</v>
      </c>
      <c r="J297" s="4">
        <v>71.7</v>
      </c>
      <c r="K297" s="4">
        <v>1134035.24</v>
      </c>
      <c r="L297" s="4" t="s">
        <v>376</v>
      </c>
      <c r="M297" s="4" t="s">
        <v>141</v>
      </c>
    </row>
    <row r="298" spans="1:13" x14ac:dyDescent="0.2">
      <c r="A298" s="4">
        <v>57</v>
      </c>
      <c r="B298" s="4" t="s">
        <v>184</v>
      </c>
      <c r="C298" s="4">
        <v>1974.9</v>
      </c>
      <c r="D298" s="4">
        <v>3.96</v>
      </c>
      <c r="E298" s="4">
        <v>83.8</v>
      </c>
      <c r="F298" s="4">
        <v>0.27</v>
      </c>
      <c r="G298" s="4">
        <v>162.32</v>
      </c>
      <c r="H298" s="4">
        <v>132.6</v>
      </c>
      <c r="I298" s="4">
        <v>66.900000000000006</v>
      </c>
      <c r="J298" s="4">
        <v>78.599999999999994</v>
      </c>
      <c r="K298" s="4">
        <v>1285618.8500000001</v>
      </c>
      <c r="L298" s="4" t="s">
        <v>376</v>
      </c>
      <c r="M298" s="4" t="s">
        <v>141</v>
      </c>
    </row>
    <row r="299" spans="1:13" x14ac:dyDescent="0.2">
      <c r="A299" s="4">
        <v>58</v>
      </c>
      <c r="B299" s="4" t="s">
        <v>185</v>
      </c>
      <c r="C299" s="4">
        <v>386.6</v>
      </c>
      <c r="D299" s="4">
        <v>4.17</v>
      </c>
      <c r="E299" s="4">
        <v>100</v>
      </c>
      <c r="F299" s="4">
        <v>0.37</v>
      </c>
      <c r="G299" s="4">
        <v>31.93</v>
      </c>
      <c r="H299" s="4">
        <v>34.299999999999997</v>
      </c>
      <c r="I299" s="4">
        <v>100</v>
      </c>
      <c r="J299" s="4">
        <v>90</v>
      </c>
      <c r="K299" s="4">
        <v>259835.5</v>
      </c>
      <c r="L299" s="4" t="s">
        <v>376</v>
      </c>
      <c r="M299" s="4" t="s">
        <v>141</v>
      </c>
    </row>
    <row r="300" spans="1:13" x14ac:dyDescent="0.2">
      <c r="A300" s="4">
        <v>59</v>
      </c>
      <c r="B300" s="4" t="s">
        <v>186</v>
      </c>
      <c r="C300" s="4">
        <v>853.2</v>
      </c>
      <c r="D300" s="4">
        <v>3.21</v>
      </c>
      <c r="E300" s="4">
        <v>65.599999999999994</v>
      </c>
      <c r="F300" s="4">
        <v>0.23</v>
      </c>
      <c r="G300" s="4">
        <v>69.760000000000005</v>
      </c>
      <c r="H300" s="4">
        <v>61.6</v>
      </c>
      <c r="I300" s="4">
        <v>87.2</v>
      </c>
      <c r="J300" s="4">
        <v>65.099999999999994</v>
      </c>
      <c r="K300" s="4">
        <v>715141.61</v>
      </c>
      <c r="L300" s="4" t="s">
        <v>375</v>
      </c>
      <c r="M300" s="4" t="s">
        <v>141</v>
      </c>
    </row>
    <row r="301" spans="1:13" x14ac:dyDescent="0.2">
      <c r="A301" s="4">
        <v>60</v>
      </c>
      <c r="B301" s="4" t="s">
        <v>187</v>
      </c>
      <c r="C301" s="4">
        <v>461</v>
      </c>
      <c r="D301" s="4">
        <v>3.23</v>
      </c>
      <c r="E301" s="4">
        <v>73.7</v>
      </c>
      <c r="F301" s="4">
        <v>0.22</v>
      </c>
      <c r="G301" s="4">
        <v>37.770000000000003</v>
      </c>
      <c r="H301" s="4">
        <v>31.8</v>
      </c>
      <c r="I301" s="4">
        <v>65.3</v>
      </c>
      <c r="J301" s="4">
        <v>69.099999999999994</v>
      </c>
      <c r="K301" s="4">
        <v>348910.49</v>
      </c>
      <c r="L301" s="4" t="s">
        <v>375</v>
      </c>
      <c r="M301" s="4" t="s">
        <v>188</v>
      </c>
    </row>
    <row r="302" spans="1:13" x14ac:dyDescent="0.2">
      <c r="A302" s="4">
        <v>61</v>
      </c>
      <c r="B302" s="4" t="s">
        <v>189</v>
      </c>
      <c r="C302" s="4">
        <v>755.5</v>
      </c>
      <c r="D302" s="4">
        <v>2.91</v>
      </c>
      <c r="E302" s="4">
        <v>61.9</v>
      </c>
      <c r="F302" s="4">
        <v>0.21</v>
      </c>
      <c r="G302" s="4">
        <v>34.65</v>
      </c>
      <c r="H302" s="4">
        <v>54.9</v>
      </c>
      <c r="I302" s="4">
        <v>47.4</v>
      </c>
      <c r="J302" s="4">
        <v>61</v>
      </c>
      <c r="K302" s="4">
        <v>580234.23</v>
      </c>
      <c r="L302" s="4" t="s">
        <v>376</v>
      </c>
      <c r="M302" s="4" t="s">
        <v>38</v>
      </c>
    </row>
    <row r="303" spans="1:13" x14ac:dyDescent="0.2">
      <c r="A303" s="4">
        <v>62</v>
      </c>
      <c r="B303" s="4" t="s">
        <v>190</v>
      </c>
      <c r="C303" s="4">
        <v>1147.5</v>
      </c>
      <c r="D303" s="4">
        <v>3.77</v>
      </c>
      <c r="E303" s="4">
        <v>80.400000000000006</v>
      </c>
      <c r="F303" s="4">
        <v>0.3</v>
      </c>
      <c r="G303" s="4">
        <v>95.13</v>
      </c>
      <c r="H303" s="4">
        <v>90.7</v>
      </c>
      <c r="I303" s="4">
        <v>72.400000000000006</v>
      </c>
      <c r="J303" s="4">
        <v>74.8</v>
      </c>
      <c r="K303" s="4">
        <v>726954.71</v>
      </c>
      <c r="L303" s="4" t="s">
        <v>376</v>
      </c>
      <c r="M303" s="4" t="s">
        <v>141</v>
      </c>
    </row>
    <row r="304" spans="1:13" x14ac:dyDescent="0.2">
      <c r="A304" s="4">
        <v>63</v>
      </c>
      <c r="B304" s="4" t="s">
        <v>191</v>
      </c>
      <c r="C304" s="4">
        <v>735</v>
      </c>
      <c r="D304" s="4">
        <v>3.68</v>
      </c>
      <c r="E304" s="4">
        <v>78.5</v>
      </c>
      <c r="F304" s="4">
        <v>0.28999999999999998</v>
      </c>
      <c r="G304" s="4">
        <v>59.46</v>
      </c>
      <c r="H304" s="4">
        <v>58</v>
      </c>
      <c r="I304" s="4">
        <v>70</v>
      </c>
      <c r="J304" s="4">
        <v>74</v>
      </c>
      <c r="K304" s="4">
        <v>516904.08</v>
      </c>
      <c r="L304" s="4" t="s">
        <v>376</v>
      </c>
      <c r="M304" s="4" t="s">
        <v>141</v>
      </c>
    </row>
    <row r="305" spans="1:13" x14ac:dyDescent="0.2">
      <c r="A305" s="4">
        <v>64</v>
      </c>
      <c r="B305" s="4" t="s">
        <v>192</v>
      </c>
      <c r="C305" s="4">
        <v>1492.4</v>
      </c>
      <c r="D305" s="4">
        <v>3.71</v>
      </c>
      <c r="E305" s="4">
        <v>98.7</v>
      </c>
      <c r="F305" s="4">
        <v>0.26</v>
      </c>
      <c r="G305" s="4">
        <v>113.32</v>
      </c>
      <c r="H305" s="4">
        <v>103.1</v>
      </c>
      <c r="I305" s="4">
        <v>17</v>
      </c>
      <c r="J305" s="4">
        <v>81.599999999999994</v>
      </c>
      <c r="K305" s="4">
        <v>1012396.51</v>
      </c>
      <c r="L305" s="4" t="s">
        <v>375</v>
      </c>
      <c r="M305" s="4" t="s">
        <v>141</v>
      </c>
    </row>
    <row r="306" spans="1:13" x14ac:dyDescent="0.2">
      <c r="A306" s="4">
        <v>65</v>
      </c>
      <c r="B306" s="4" t="s">
        <v>193</v>
      </c>
      <c r="C306" s="4">
        <v>1085.3</v>
      </c>
      <c r="D306" s="4">
        <v>3.71</v>
      </c>
      <c r="E306" s="4">
        <v>98.7</v>
      </c>
      <c r="F306" s="4">
        <v>0.21</v>
      </c>
      <c r="G306" s="4">
        <v>69.73</v>
      </c>
      <c r="H306" s="4">
        <v>62.1</v>
      </c>
      <c r="I306" s="4">
        <v>14.2</v>
      </c>
      <c r="J306" s="4">
        <v>81.599999999999994</v>
      </c>
      <c r="K306" s="4">
        <v>747824.31</v>
      </c>
      <c r="L306" s="4" t="s">
        <v>375</v>
      </c>
      <c r="M306" s="4" t="s">
        <v>141</v>
      </c>
    </row>
    <row r="307" spans="1:13" x14ac:dyDescent="0.2">
      <c r="A307" s="4">
        <v>66</v>
      </c>
      <c r="B307" s="4" t="s">
        <v>194</v>
      </c>
      <c r="C307" s="4">
        <v>699.4</v>
      </c>
      <c r="D307" s="4">
        <v>3.35</v>
      </c>
      <c r="E307" s="4">
        <v>74.3</v>
      </c>
      <c r="F307" s="4">
        <v>0.23</v>
      </c>
      <c r="G307" s="4">
        <v>47.32</v>
      </c>
      <c r="H307" s="4">
        <v>47.8</v>
      </c>
      <c r="I307" s="4">
        <v>67.599999999999994</v>
      </c>
      <c r="J307" s="4">
        <v>71.2</v>
      </c>
      <c r="K307" s="4">
        <v>504798.06</v>
      </c>
      <c r="L307" s="4" t="s">
        <v>376</v>
      </c>
      <c r="M307" s="4" t="s">
        <v>141</v>
      </c>
    </row>
    <row r="308" spans="1:13" x14ac:dyDescent="0.2">
      <c r="A308" s="4">
        <v>67</v>
      </c>
      <c r="B308" s="4" t="s">
        <v>195</v>
      </c>
      <c r="C308" s="4">
        <v>203.4</v>
      </c>
      <c r="D308" s="4">
        <v>3.08</v>
      </c>
      <c r="E308" s="4">
        <v>70.2</v>
      </c>
      <c r="F308" s="4">
        <v>0.24</v>
      </c>
      <c r="G308" s="4">
        <v>17.899999999999999</v>
      </c>
      <c r="H308" s="4">
        <v>15.6</v>
      </c>
      <c r="I308" s="4">
        <v>67.5</v>
      </c>
      <c r="J308" s="4">
        <v>66.599999999999994</v>
      </c>
      <c r="K308" s="4">
        <v>135015.76</v>
      </c>
      <c r="L308" s="4" t="s">
        <v>376</v>
      </c>
      <c r="M308" s="4" t="s">
        <v>188</v>
      </c>
    </row>
    <row r="309" spans="1:13" x14ac:dyDescent="0.2">
      <c r="A309" s="4">
        <v>68</v>
      </c>
      <c r="B309" s="4" t="s">
        <v>196</v>
      </c>
      <c r="C309" s="4">
        <v>766.8</v>
      </c>
      <c r="D309" s="4">
        <v>3.73</v>
      </c>
      <c r="E309" s="4">
        <v>79.7</v>
      </c>
      <c r="F309" s="4">
        <v>0.17</v>
      </c>
      <c r="G309" s="4">
        <v>57.2</v>
      </c>
      <c r="H309" s="4">
        <v>34.5</v>
      </c>
      <c r="I309" s="4">
        <v>70</v>
      </c>
      <c r="J309" s="4">
        <v>71.400000000000006</v>
      </c>
      <c r="K309" s="4">
        <v>422040.02</v>
      </c>
      <c r="L309" s="4" t="s">
        <v>376</v>
      </c>
      <c r="M309" s="4" t="s">
        <v>16</v>
      </c>
    </row>
    <row r="310" spans="1:13" x14ac:dyDescent="0.2">
      <c r="A310" s="4">
        <v>69</v>
      </c>
      <c r="B310" s="4" t="s">
        <v>197</v>
      </c>
      <c r="C310" s="4">
        <v>286.60000000000002</v>
      </c>
      <c r="D310" s="4">
        <v>3.8</v>
      </c>
      <c r="E310" s="4">
        <v>81.099999999999994</v>
      </c>
      <c r="F310" s="4">
        <v>0.18</v>
      </c>
      <c r="G310" s="4">
        <v>23.74</v>
      </c>
      <c r="H310" s="4">
        <v>13.9</v>
      </c>
      <c r="I310" s="4">
        <v>75.400000000000006</v>
      </c>
      <c r="J310" s="4">
        <v>72.7</v>
      </c>
      <c r="K310" s="4">
        <v>166067.59</v>
      </c>
      <c r="L310" s="4" t="s">
        <v>376</v>
      </c>
      <c r="M310" s="4" t="s">
        <v>16</v>
      </c>
    </row>
    <row r="311" spans="1:13" x14ac:dyDescent="0.2">
      <c r="A311" s="4">
        <v>70</v>
      </c>
      <c r="B311" s="4" t="s">
        <v>198</v>
      </c>
      <c r="C311" s="4">
        <v>616.6</v>
      </c>
      <c r="D311" s="4">
        <v>3.39</v>
      </c>
      <c r="E311" s="4">
        <v>78.099999999999994</v>
      </c>
      <c r="F311" s="4">
        <v>0.2</v>
      </c>
      <c r="G311" s="4">
        <v>22.58</v>
      </c>
      <c r="H311" s="4">
        <v>36.700000000000003</v>
      </c>
      <c r="I311" s="4">
        <v>55.3</v>
      </c>
      <c r="J311" s="4">
        <v>73</v>
      </c>
      <c r="K311" s="4">
        <v>400872.26</v>
      </c>
      <c r="L311" s="4" t="s">
        <v>376</v>
      </c>
      <c r="M311" s="4" t="s">
        <v>55</v>
      </c>
    </row>
    <row r="312" spans="1:13" x14ac:dyDescent="0.2">
      <c r="A312" s="4">
        <v>71</v>
      </c>
      <c r="B312" s="4" t="s">
        <v>199</v>
      </c>
      <c r="C312" s="4">
        <v>508.7</v>
      </c>
      <c r="D312" s="4">
        <v>3.25</v>
      </c>
      <c r="E312" s="4">
        <v>74.900000000000006</v>
      </c>
      <c r="F312" s="4">
        <v>0.1</v>
      </c>
      <c r="G312" s="4">
        <v>10.63</v>
      </c>
      <c r="H312" s="4">
        <v>15</v>
      </c>
      <c r="I312" s="4">
        <v>25</v>
      </c>
      <c r="J312" s="4">
        <v>73.099999999999994</v>
      </c>
      <c r="K312" s="4">
        <v>326897.36</v>
      </c>
      <c r="L312" s="4" t="s">
        <v>376</v>
      </c>
      <c r="M312" s="4" t="s">
        <v>55</v>
      </c>
    </row>
    <row r="313" spans="1:13" x14ac:dyDescent="0.2">
      <c r="A313" s="4">
        <v>72</v>
      </c>
      <c r="B313" s="4" t="s">
        <v>200</v>
      </c>
      <c r="C313" s="4">
        <v>264.7</v>
      </c>
      <c r="D313" s="4">
        <v>3.62</v>
      </c>
      <c r="E313" s="4">
        <v>100</v>
      </c>
      <c r="F313" s="4">
        <v>0.32</v>
      </c>
      <c r="G313" s="4">
        <v>23.59</v>
      </c>
      <c r="H313" s="4">
        <v>23.7</v>
      </c>
      <c r="I313" s="4">
        <v>100</v>
      </c>
      <c r="J313" s="4">
        <v>86.7</v>
      </c>
      <c r="K313" s="4">
        <v>142985.78</v>
      </c>
      <c r="L313" s="4" t="s">
        <v>376</v>
      </c>
      <c r="M313" s="4" t="s">
        <v>38</v>
      </c>
    </row>
    <row r="314" spans="1:13" x14ac:dyDescent="0.2">
      <c r="A314" s="4">
        <v>73</v>
      </c>
      <c r="B314" s="4" t="s">
        <v>201</v>
      </c>
      <c r="C314" s="4">
        <v>918.5</v>
      </c>
      <c r="D314" s="4">
        <v>3.77</v>
      </c>
      <c r="E314" s="4">
        <v>86.6</v>
      </c>
      <c r="F314" s="4">
        <v>0.26</v>
      </c>
      <c r="G314" s="4">
        <v>81.25</v>
      </c>
      <c r="H314" s="4">
        <v>63.5</v>
      </c>
      <c r="I314" s="4">
        <v>77.3</v>
      </c>
      <c r="J314" s="4">
        <v>69.7</v>
      </c>
      <c r="K314" s="4">
        <v>492544.24</v>
      </c>
      <c r="L314" s="4" t="s">
        <v>376</v>
      </c>
      <c r="M314" s="4" t="s">
        <v>16</v>
      </c>
    </row>
    <row r="315" spans="1:13" x14ac:dyDescent="0.2">
      <c r="A315" s="4">
        <v>74</v>
      </c>
      <c r="B315" s="4" t="s">
        <v>202</v>
      </c>
      <c r="C315" s="4">
        <v>1696.5</v>
      </c>
      <c r="D315" s="4">
        <v>3.4</v>
      </c>
      <c r="E315" s="4">
        <v>80.8</v>
      </c>
      <c r="F315" s="4">
        <v>0.21</v>
      </c>
      <c r="G315" s="4">
        <v>36.479999999999997</v>
      </c>
      <c r="H315" s="4">
        <v>105.6</v>
      </c>
      <c r="I315" s="4">
        <v>93.1</v>
      </c>
      <c r="J315" s="4">
        <v>75.599999999999994</v>
      </c>
      <c r="K315" s="4">
        <v>1262228.24</v>
      </c>
      <c r="L315" s="4" t="s">
        <v>375</v>
      </c>
      <c r="M315" s="4" t="s">
        <v>55</v>
      </c>
    </row>
    <row r="316" spans="1:13" x14ac:dyDescent="0.2">
      <c r="A316" s="4">
        <v>75</v>
      </c>
      <c r="B316" s="4" t="s">
        <v>203</v>
      </c>
      <c r="C316" s="4">
        <v>1724.9</v>
      </c>
      <c r="D316" s="4">
        <v>3.45</v>
      </c>
      <c r="E316" s="4">
        <v>82.2</v>
      </c>
      <c r="F316" s="4">
        <v>0.17</v>
      </c>
      <c r="G316" s="4">
        <v>34.270000000000003</v>
      </c>
      <c r="H316" s="4">
        <v>84.4</v>
      </c>
      <c r="I316" s="4">
        <v>74</v>
      </c>
      <c r="J316" s="4">
        <v>78</v>
      </c>
      <c r="K316" s="4">
        <v>1195591.77</v>
      </c>
      <c r="L316" s="4" t="s">
        <v>375</v>
      </c>
      <c r="M316" s="4" t="s">
        <v>55</v>
      </c>
    </row>
    <row r="317" spans="1:13" x14ac:dyDescent="0.2">
      <c r="A317" s="4">
        <v>76</v>
      </c>
      <c r="B317" s="4" t="s">
        <v>204</v>
      </c>
      <c r="C317" s="4">
        <v>1834.6</v>
      </c>
      <c r="D317" s="4">
        <v>3.69</v>
      </c>
      <c r="E317" s="4">
        <v>87.7</v>
      </c>
      <c r="F317" s="4">
        <v>0.23</v>
      </c>
      <c r="G317" s="4">
        <v>19.079999999999998</v>
      </c>
      <c r="H317" s="4">
        <v>115</v>
      </c>
      <c r="I317" s="4">
        <v>100</v>
      </c>
      <c r="J317" s="4">
        <v>81.5</v>
      </c>
      <c r="K317" s="4">
        <v>1320580.8700000001</v>
      </c>
      <c r="L317" s="4" t="s">
        <v>376</v>
      </c>
      <c r="M317" s="4" t="s">
        <v>55</v>
      </c>
    </row>
    <row r="318" spans="1:13" x14ac:dyDescent="0.2">
      <c r="A318" s="4">
        <v>77</v>
      </c>
      <c r="B318" s="4" t="s">
        <v>205</v>
      </c>
      <c r="C318" s="4">
        <v>1421</v>
      </c>
      <c r="D318" s="4">
        <v>3.71</v>
      </c>
      <c r="E318" s="4">
        <v>77.3</v>
      </c>
      <c r="F318" s="4">
        <v>0.22</v>
      </c>
      <c r="G318" s="4">
        <v>97.63</v>
      </c>
      <c r="H318" s="4">
        <v>85.9</v>
      </c>
      <c r="I318" s="4">
        <v>64.8</v>
      </c>
      <c r="J318" s="4">
        <v>74.400000000000006</v>
      </c>
      <c r="K318" s="4">
        <v>974591.36</v>
      </c>
      <c r="L318" s="4" t="s">
        <v>376</v>
      </c>
      <c r="M318" s="4" t="s">
        <v>141</v>
      </c>
    </row>
    <row r="319" spans="1:13" x14ac:dyDescent="0.2">
      <c r="A319" s="4">
        <v>78</v>
      </c>
      <c r="B319" s="4" t="s">
        <v>206</v>
      </c>
      <c r="C319" s="4">
        <v>303</v>
      </c>
      <c r="D319" s="4">
        <v>3.73</v>
      </c>
      <c r="E319" s="4">
        <v>77.7</v>
      </c>
      <c r="F319" s="4">
        <v>0.22</v>
      </c>
      <c r="G319" s="4">
        <v>13.84</v>
      </c>
      <c r="H319" s="4">
        <v>17.600000000000001</v>
      </c>
      <c r="I319" s="4">
        <v>62.5</v>
      </c>
      <c r="J319" s="4">
        <v>74.400000000000006</v>
      </c>
      <c r="K319" s="4">
        <v>188244.62</v>
      </c>
      <c r="L319" s="4" t="s">
        <v>376</v>
      </c>
      <c r="M319" s="4" t="s">
        <v>141</v>
      </c>
    </row>
    <row r="320" spans="1:13" x14ac:dyDescent="0.2">
      <c r="A320" s="4">
        <v>79</v>
      </c>
      <c r="B320" s="4" t="s">
        <v>207</v>
      </c>
      <c r="C320" s="4">
        <v>1040.3</v>
      </c>
      <c r="D320" s="4">
        <v>2.1800000000000002</v>
      </c>
      <c r="E320" s="4">
        <v>84.3</v>
      </c>
      <c r="F320" s="4">
        <v>7.0000000000000007E-2</v>
      </c>
      <c r="G320" s="4">
        <v>28.07</v>
      </c>
      <c r="H320" s="4">
        <v>34.700000000000003</v>
      </c>
      <c r="I320" s="4">
        <v>80.3</v>
      </c>
      <c r="J320" s="4">
        <v>75.099999999999994</v>
      </c>
      <c r="K320" s="4">
        <v>1015877.9</v>
      </c>
      <c r="L320" s="4" t="s">
        <v>375</v>
      </c>
      <c r="M320" s="4" t="s">
        <v>208</v>
      </c>
    </row>
    <row r="321" spans="1:13" x14ac:dyDescent="0.2">
      <c r="A321" s="4">
        <v>80</v>
      </c>
      <c r="B321" s="4" t="s">
        <v>209</v>
      </c>
      <c r="C321" s="4">
        <v>1017.2</v>
      </c>
      <c r="D321" s="4">
        <v>2.3199999999999998</v>
      </c>
      <c r="E321" s="4">
        <v>89.9</v>
      </c>
      <c r="F321" s="4">
        <v>7.0000000000000007E-2</v>
      </c>
      <c r="G321" s="4">
        <v>25.46</v>
      </c>
      <c r="H321" s="4">
        <v>31.4</v>
      </c>
      <c r="I321" s="4">
        <v>79.5</v>
      </c>
      <c r="J321" s="4">
        <v>78.7</v>
      </c>
      <c r="K321" s="4">
        <v>1045891.7</v>
      </c>
      <c r="L321" s="4" t="s">
        <v>375</v>
      </c>
      <c r="M321" s="4" t="s">
        <v>208</v>
      </c>
    </row>
    <row r="322" spans="1:13" x14ac:dyDescent="0.2">
      <c r="A322" s="4">
        <v>81</v>
      </c>
      <c r="B322" s="4" t="s">
        <v>210</v>
      </c>
      <c r="C322" s="4">
        <v>1451.1</v>
      </c>
      <c r="D322" s="4">
        <v>2.92</v>
      </c>
      <c r="E322" s="4">
        <v>60.9</v>
      </c>
      <c r="F322" s="4">
        <v>0.21</v>
      </c>
      <c r="G322" s="4">
        <v>111.85</v>
      </c>
      <c r="H322" s="4">
        <v>103.5</v>
      </c>
      <c r="I322" s="4">
        <v>60.7</v>
      </c>
      <c r="J322" s="4">
        <v>20.7</v>
      </c>
      <c r="K322" s="4">
        <v>1030102.76</v>
      </c>
      <c r="L322" s="4" t="s">
        <v>376</v>
      </c>
      <c r="M322" s="4" t="s">
        <v>141</v>
      </c>
    </row>
    <row r="323" spans="1:13" x14ac:dyDescent="0.2">
      <c r="A323" s="4">
        <v>82</v>
      </c>
      <c r="B323" s="4" t="s">
        <v>211</v>
      </c>
      <c r="C323" s="4">
        <v>1382.7</v>
      </c>
      <c r="D323" s="4">
        <v>2.77</v>
      </c>
      <c r="E323" s="4">
        <v>57.9</v>
      </c>
      <c r="F323" s="4">
        <v>0.19</v>
      </c>
      <c r="G323" s="4">
        <v>102.54</v>
      </c>
      <c r="H323" s="4">
        <v>92.9</v>
      </c>
      <c r="I323" s="4">
        <v>53</v>
      </c>
      <c r="J323" s="4">
        <v>19.399999999999999</v>
      </c>
      <c r="K323" s="4">
        <v>1012797.18</v>
      </c>
      <c r="L323" s="4" t="s">
        <v>376</v>
      </c>
      <c r="M323" s="4" t="s">
        <v>141</v>
      </c>
    </row>
    <row r="324" spans="1:13" x14ac:dyDescent="0.2">
      <c r="A324" s="4">
        <v>83</v>
      </c>
      <c r="B324" s="4" t="s">
        <v>212</v>
      </c>
      <c r="C324" s="4">
        <v>1443.4</v>
      </c>
      <c r="D324" s="4">
        <v>2.9</v>
      </c>
      <c r="E324" s="4">
        <v>60.5</v>
      </c>
      <c r="F324" s="4">
        <v>0.21</v>
      </c>
      <c r="G324" s="4">
        <v>111.74</v>
      </c>
      <c r="H324" s="4">
        <v>106.4</v>
      </c>
      <c r="I324" s="4">
        <v>61.8</v>
      </c>
      <c r="J324" s="4">
        <v>20.5</v>
      </c>
      <c r="K324" s="4">
        <v>1016977.67</v>
      </c>
      <c r="L324" s="4" t="s">
        <v>376</v>
      </c>
      <c r="M324" s="4" t="s">
        <v>141</v>
      </c>
    </row>
    <row r="325" spans="1:13" x14ac:dyDescent="0.2">
      <c r="A325" s="4">
        <v>84</v>
      </c>
      <c r="B325" s="4" t="s">
        <v>213</v>
      </c>
      <c r="C325" s="4">
        <v>1289.5</v>
      </c>
      <c r="D325" s="4">
        <v>2.6</v>
      </c>
      <c r="E325" s="4">
        <v>54.2</v>
      </c>
      <c r="F325" s="4">
        <v>0.16</v>
      </c>
      <c r="G325" s="4">
        <v>83.72</v>
      </c>
      <c r="H325" s="4">
        <v>77.2</v>
      </c>
      <c r="I325" s="4">
        <v>46.2</v>
      </c>
      <c r="J325" s="4">
        <v>18.2</v>
      </c>
      <c r="K325" s="4">
        <v>1014683.97</v>
      </c>
      <c r="L325" s="4" t="s">
        <v>375</v>
      </c>
      <c r="M325" s="4" t="s">
        <v>141</v>
      </c>
    </row>
    <row r="326" spans="1:13" x14ac:dyDescent="0.2">
      <c r="A326" s="4">
        <v>85</v>
      </c>
      <c r="B326" s="4" t="s">
        <v>214</v>
      </c>
      <c r="C326" s="4">
        <v>1243.8</v>
      </c>
      <c r="D326" s="4">
        <v>3.15</v>
      </c>
      <c r="E326" s="4">
        <v>64.5</v>
      </c>
      <c r="F326" s="4">
        <v>0.21</v>
      </c>
      <c r="G326" s="4">
        <v>79.430000000000007</v>
      </c>
      <c r="H326" s="4">
        <v>82.1</v>
      </c>
      <c r="I326" s="4">
        <v>63.3</v>
      </c>
      <c r="J326" s="4">
        <v>22</v>
      </c>
      <c r="K326" s="4">
        <v>744171.02</v>
      </c>
      <c r="L326" s="4" t="s">
        <v>375</v>
      </c>
      <c r="M326" s="4" t="s">
        <v>141</v>
      </c>
    </row>
    <row r="327" spans="1:13" x14ac:dyDescent="0.2">
      <c r="A327" s="4">
        <v>86</v>
      </c>
      <c r="B327" s="4" t="s">
        <v>215</v>
      </c>
      <c r="C327" s="4">
        <v>278.5</v>
      </c>
      <c r="D327" s="4">
        <v>2.67</v>
      </c>
      <c r="E327" s="4">
        <v>55.8</v>
      </c>
      <c r="F327" s="4">
        <v>0.18</v>
      </c>
      <c r="G327" s="4">
        <v>17.399999999999999</v>
      </c>
      <c r="H327" s="4">
        <v>18.600000000000001</v>
      </c>
      <c r="I327" s="4">
        <v>51.5</v>
      </c>
      <c r="J327" s="4">
        <v>18.7</v>
      </c>
      <c r="K327" s="4">
        <v>199961.63</v>
      </c>
      <c r="L327" s="4" t="s">
        <v>376</v>
      </c>
      <c r="M327" s="4" t="s">
        <v>141</v>
      </c>
    </row>
    <row r="328" spans="1:13" x14ac:dyDescent="0.2">
      <c r="A328" s="4">
        <v>87</v>
      </c>
      <c r="B328" s="4" t="s">
        <v>216</v>
      </c>
      <c r="C328" s="4">
        <v>1603.8</v>
      </c>
      <c r="D328" s="4">
        <v>3.21</v>
      </c>
      <c r="E328" s="4">
        <v>65.7</v>
      </c>
      <c r="F328" s="4">
        <v>0.23</v>
      </c>
      <c r="G328" s="4">
        <v>125.51</v>
      </c>
      <c r="H328" s="4">
        <v>115.7</v>
      </c>
      <c r="I328" s="4">
        <v>64.8</v>
      </c>
      <c r="J328" s="4">
        <v>22.4</v>
      </c>
      <c r="K328" s="4">
        <v>1018127.35</v>
      </c>
      <c r="L328" s="4" t="s">
        <v>376</v>
      </c>
      <c r="M328" s="4" t="s">
        <v>141</v>
      </c>
    </row>
    <row r="329" spans="1:13" x14ac:dyDescent="0.2">
      <c r="A329" s="4">
        <v>88</v>
      </c>
      <c r="B329" s="4" t="s">
        <v>217</v>
      </c>
      <c r="C329" s="4">
        <v>1646.6</v>
      </c>
      <c r="D329" s="4">
        <v>3.3</v>
      </c>
      <c r="E329" s="4">
        <v>67.5</v>
      </c>
      <c r="F329" s="4">
        <v>0.24</v>
      </c>
      <c r="G329" s="4">
        <v>120.12</v>
      </c>
      <c r="H329" s="4">
        <v>118</v>
      </c>
      <c r="I329" s="4">
        <v>64.900000000000006</v>
      </c>
      <c r="J329" s="4">
        <v>23</v>
      </c>
      <c r="K329" s="4">
        <v>1045410.4</v>
      </c>
      <c r="L329" s="4" t="s">
        <v>376</v>
      </c>
      <c r="M329" s="4" t="s">
        <v>141</v>
      </c>
    </row>
    <row r="330" spans="1:13" x14ac:dyDescent="0.2">
      <c r="A330" s="4">
        <v>89</v>
      </c>
      <c r="B330" s="4" t="s">
        <v>218</v>
      </c>
      <c r="C330" s="4">
        <v>1671.7</v>
      </c>
      <c r="D330" s="4">
        <v>3.39</v>
      </c>
      <c r="E330" s="4">
        <v>76.599999999999994</v>
      </c>
      <c r="F330" s="4">
        <v>0.22</v>
      </c>
      <c r="G330" s="4">
        <v>122.38</v>
      </c>
      <c r="H330" s="4">
        <v>106.7</v>
      </c>
      <c r="I330" s="4">
        <v>74.7</v>
      </c>
      <c r="J330" s="4">
        <v>29.1</v>
      </c>
      <c r="K330" s="4">
        <v>1069528.52</v>
      </c>
      <c r="L330" s="4" t="s">
        <v>375</v>
      </c>
      <c r="M330" s="4" t="s">
        <v>141</v>
      </c>
    </row>
    <row r="331" spans="1:13" x14ac:dyDescent="0.2">
      <c r="A331" s="4">
        <v>90</v>
      </c>
      <c r="B331" s="4" t="s">
        <v>219</v>
      </c>
      <c r="C331" s="4">
        <v>1625.2</v>
      </c>
      <c r="D331" s="4">
        <v>3.3</v>
      </c>
      <c r="E331" s="4">
        <v>74.400000000000006</v>
      </c>
      <c r="F331" s="4">
        <v>0.22</v>
      </c>
      <c r="G331" s="4">
        <v>123.56</v>
      </c>
      <c r="H331" s="4">
        <v>110.8</v>
      </c>
      <c r="I331" s="4">
        <v>79.599999999999994</v>
      </c>
      <c r="J331" s="4">
        <v>25</v>
      </c>
      <c r="K331" s="4">
        <v>1040651.08</v>
      </c>
      <c r="L331" s="4" t="s">
        <v>375</v>
      </c>
      <c r="M331" s="4" t="s">
        <v>141</v>
      </c>
    </row>
    <row r="332" spans="1:13" x14ac:dyDescent="0.2">
      <c r="A332" s="4">
        <v>91</v>
      </c>
      <c r="B332" s="4" t="s">
        <v>220</v>
      </c>
      <c r="C332" s="4">
        <v>0</v>
      </c>
      <c r="D332" s="4">
        <v>0</v>
      </c>
      <c r="E332" s="4">
        <v>0</v>
      </c>
      <c r="F332" s="4">
        <v>0</v>
      </c>
      <c r="G332" s="4">
        <v>277.63</v>
      </c>
      <c r="H332" s="4">
        <v>0</v>
      </c>
      <c r="I332" s="4">
        <v>79.2</v>
      </c>
      <c r="J332" s="4">
        <v>3.3</v>
      </c>
      <c r="K332" s="4">
        <v>1061695.23</v>
      </c>
      <c r="L332" s="4" t="s">
        <v>221</v>
      </c>
      <c r="M332" s="4" t="s">
        <v>141</v>
      </c>
    </row>
    <row r="333" spans="1:13" x14ac:dyDescent="0.2">
      <c r="A333" s="4">
        <v>92</v>
      </c>
      <c r="B333" s="4" t="s">
        <v>222</v>
      </c>
      <c r="C333" s="4">
        <v>969.5</v>
      </c>
      <c r="D333" s="4">
        <v>1.94</v>
      </c>
      <c r="E333" s="4">
        <v>88.3</v>
      </c>
      <c r="F333" s="4">
        <v>0.05</v>
      </c>
      <c r="G333" s="4">
        <v>23.27</v>
      </c>
      <c r="H333" s="4">
        <v>25.3</v>
      </c>
      <c r="I333" s="4">
        <v>67.8</v>
      </c>
      <c r="J333" s="4">
        <v>74.900000000000006</v>
      </c>
      <c r="K333" s="4">
        <v>1150406.77</v>
      </c>
      <c r="L333" s="4" t="s">
        <v>376</v>
      </c>
      <c r="M333" s="4" t="s">
        <v>208</v>
      </c>
    </row>
    <row r="334" spans="1:13" x14ac:dyDescent="0.2">
      <c r="A334" s="4">
        <v>93</v>
      </c>
      <c r="B334" s="4" t="s">
        <v>223</v>
      </c>
      <c r="C334" s="4">
        <v>886.4</v>
      </c>
      <c r="D334" s="4">
        <v>1.78</v>
      </c>
      <c r="E334" s="4">
        <v>80.7</v>
      </c>
      <c r="F334" s="4">
        <v>0.05</v>
      </c>
      <c r="G334" s="4">
        <v>20.05</v>
      </c>
      <c r="H334" s="4">
        <v>23</v>
      </c>
      <c r="I334" s="4">
        <v>61.6</v>
      </c>
      <c r="J334" s="4">
        <v>67.7</v>
      </c>
      <c r="K334" s="4">
        <v>1012748.4</v>
      </c>
      <c r="L334" s="4" t="s">
        <v>376</v>
      </c>
      <c r="M334" s="4" t="s">
        <v>208</v>
      </c>
    </row>
    <row r="335" spans="1:13" x14ac:dyDescent="0.2">
      <c r="A335" s="4">
        <v>94</v>
      </c>
      <c r="B335" s="4" t="s">
        <v>225</v>
      </c>
      <c r="C335" s="4">
        <v>855.3</v>
      </c>
      <c r="D335" s="4">
        <v>1.71</v>
      </c>
      <c r="E335" s="4">
        <v>77.900000000000006</v>
      </c>
      <c r="F335" s="4">
        <v>0.04</v>
      </c>
      <c r="G335" s="4">
        <v>20.29</v>
      </c>
      <c r="H335" s="4">
        <v>21.3</v>
      </c>
      <c r="I335" s="4">
        <v>61</v>
      </c>
      <c r="J335" s="4">
        <v>71.900000000000006</v>
      </c>
      <c r="K335" s="4">
        <v>1005595.1</v>
      </c>
      <c r="L335" s="4" t="s">
        <v>375</v>
      </c>
      <c r="M335" s="4" t="s">
        <v>208</v>
      </c>
    </row>
    <row r="336" spans="1:13" x14ac:dyDescent="0.2">
      <c r="A336" s="4">
        <v>95</v>
      </c>
      <c r="B336" s="4" t="s">
        <v>226</v>
      </c>
      <c r="C336" s="4">
        <v>918.8</v>
      </c>
      <c r="D336" s="4">
        <v>1.84</v>
      </c>
      <c r="E336" s="4">
        <v>87.7</v>
      </c>
      <c r="F336" s="4">
        <v>0.05</v>
      </c>
      <c r="G336" s="4">
        <v>21.93</v>
      </c>
      <c r="H336" s="4">
        <v>22.5</v>
      </c>
      <c r="I336" s="4">
        <v>64.3</v>
      </c>
      <c r="J336" s="4">
        <v>78.900000000000006</v>
      </c>
      <c r="K336" s="4">
        <v>1124373.08</v>
      </c>
      <c r="L336" s="4" t="s">
        <v>375</v>
      </c>
      <c r="M336" s="4" t="s">
        <v>208</v>
      </c>
    </row>
    <row r="337" spans="1:13" x14ac:dyDescent="0.2">
      <c r="A337" s="4">
        <v>96</v>
      </c>
      <c r="B337" s="4" t="s">
        <v>227</v>
      </c>
      <c r="C337" s="4">
        <v>914.9</v>
      </c>
      <c r="D337" s="4">
        <v>1.83</v>
      </c>
      <c r="E337" s="4">
        <v>87.3</v>
      </c>
      <c r="F337" s="4">
        <v>0.05</v>
      </c>
      <c r="G337" s="4">
        <v>22.84</v>
      </c>
      <c r="H337" s="4">
        <v>24.2</v>
      </c>
      <c r="I337" s="4">
        <v>66.900000000000006</v>
      </c>
      <c r="J337" s="4">
        <v>72.900000000000006</v>
      </c>
      <c r="K337" s="4">
        <v>1065250.2</v>
      </c>
      <c r="L337" s="4" t="s">
        <v>376</v>
      </c>
      <c r="M337" s="4" t="s">
        <v>208</v>
      </c>
    </row>
    <row r="338" spans="1:13" x14ac:dyDescent="0.2">
      <c r="A338" s="4">
        <v>97</v>
      </c>
      <c r="B338" s="4" t="s">
        <v>228</v>
      </c>
      <c r="C338" s="4">
        <v>793.8</v>
      </c>
      <c r="D338" s="4">
        <v>1.59</v>
      </c>
      <c r="E338" s="4">
        <v>75.7</v>
      </c>
      <c r="F338" s="4">
        <v>0.04</v>
      </c>
      <c r="G338" s="4">
        <v>17.02</v>
      </c>
      <c r="H338" s="4">
        <v>20.3</v>
      </c>
      <c r="I338" s="4">
        <v>56.9</v>
      </c>
      <c r="J338" s="4">
        <v>67.8</v>
      </c>
      <c r="K338" s="4">
        <v>1022245.61</v>
      </c>
      <c r="L338" s="4" t="s">
        <v>376</v>
      </c>
      <c r="M338" s="4" t="s">
        <v>208</v>
      </c>
    </row>
    <row r="339" spans="1:13" x14ac:dyDescent="0.2">
      <c r="A339" s="4">
        <v>98</v>
      </c>
      <c r="B339" s="4" t="s">
        <v>229</v>
      </c>
      <c r="C339" s="4">
        <v>1609.7</v>
      </c>
      <c r="D339" s="4">
        <v>3.82</v>
      </c>
      <c r="E339" s="4">
        <v>78.599999999999994</v>
      </c>
      <c r="F339" s="4">
        <v>0.3</v>
      </c>
      <c r="G339" s="4">
        <v>139.85</v>
      </c>
      <c r="H339" s="4">
        <v>124.5</v>
      </c>
      <c r="I339" s="4">
        <v>77.900000000000006</v>
      </c>
      <c r="J339" s="4">
        <v>73.5</v>
      </c>
      <c r="K339" s="4">
        <v>1017474.9</v>
      </c>
      <c r="L339" s="4" t="s">
        <v>376</v>
      </c>
      <c r="M339" s="4" t="s">
        <v>141</v>
      </c>
    </row>
    <row r="340" spans="1:13" x14ac:dyDescent="0.2">
      <c r="A340" s="4">
        <v>99</v>
      </c>
      <c r="B340" s="4" t="s">
        <v>230</v>
      </c>
      <c r="C340" s="4">
        <v>746.7</v>
      </c>
      <c r="D340" s="4">
        <v>4.09</v>
      </c>
      <c r="E340" s="4">
        <v>84.1</v>
      </c>
      <c r="F340" s="4">
        <v>0.31</v>
      </c>
      <c r="G340" s="4">
        <v>67.95</v>
      </c>
      <c r="H340" s="4">
        <v>55.9</v>
      </c>
      <c r="I340" s="4">
        <v>74.599999999999994</v>
      </c>
      <c r="J340" s="4">
        <v>78.099999999999994</v>
      </c>
      <c r="K340" s="4">
        <v>500563.6</v>
      </c>
      <c r="L340" s="4" t="s">
        <v>375</v>
      </c>
      <c r="M340" s="4" t="s">
        <v>141</v>
      </c>
    </row>
    <row r="341" spans="1:13" x14ac:dyDescent="0.2">
      <c r="A341" s="4">
        <v>100</v>
      </c>
      <c r="B341" s="4" t="s">
        <v>231</v>
      </c>
      <c r="C341" s="4">
        <v>996.3</v>
      </c>
      <c r="D341" s="4">
        <v>3.18</v>
      </c>
      <c r="E341" s="4">
        <v>69.900000000000006</v>
      </c>
      <c r="F341" s="4">
        <v>0.2</v>
      </c>
      <c r="G341" s="4">
        <v>29</v>
      </c>
      <c r="H341" s="4">
        <v>61.8</v>
      </c>
      <c r="I341" s="4">
        <v>72.599999999999994</v>
      </c>
      <c r="J341" s="4">
        <v>53.7</v>
      </c>
      <c r="K341" s="4">
        <v>735845.72</v>
      </c>
      <c r="L341" s="4" t="s">
        <v>375</v>
      </c>
      <c r="M341" s="4" t="s">
        <v>55</v>
      </c>
    </row>
    <row r="342" spans="1:13" x14ac:dyDescent="0.2">
      <c r="A342" s="4">
        <v>101</v>
      </c>
      <c r="B342" s="4" t="s">
        <v>233</v>
      </c>
      <c r="C342" s="4">
        <v>1111.9000000000001</v>
      </c>
      <c r="D342" s="4">
        <v>3.27</v>
      </c>
      <c r="E342" s="4">
        <v>71.8</v>
      </c>
      <c r="F342" s="4">
        <v>0.21</v>
      </c>
      <c r="G342" s="4">
        <v>27.52</v>
      </c>
      <c r="H342" s="4">
        <v>70.3</v>
      </c>
      <c r="I342" s="4">
        <v>71</v>
      </c>
      <c r="J342" s="4">
        <v>69.7</v>
      </c>
      <c r="K342" s="4">
        <v>789336.09</v>
      </c>
      <c r="L342" s="4" t="s">
        <v>376</v>
      </c>
      <c r="M342" s="4" t="s">
        <v>55</v>
      </c>
    </row>
    <row r="343" spans="1:13" x14ac:dyDescent="0.2">
      <c r="A343" s="4">
        <v>102</v>
      </c>
      <c r="B343" s="4" t="s">
        <v>234</v>
      </c>
      <c r="C343" s="4">
        <v>1035.2</v>
      </c>
      <c r="D343" s="4">
        <v>3.43</v>
      </c>
      <c r="E343" s="4">
        <v>84.9</v>
      </c>
      <c r="F343" s="4">
        <v>0.28999999999999998</v>
      </c>
      <c r="G343" s="4">
        <v>73.19</v>
      </c>
      <c r="H343" s="4">
        <v>87.6</v>
      </c>
      <c r="I343" s="4">
        <v>93.2</v>
      </c>
      <c r="J343" s="4">
        <v>82.8</v>
      </c>
      <c r="K343" s="4">
        <v>736097.48</v>
      </c>
      <c r="L343" s="4" t="s">
        <v>376</v>
      </c>
      <c r="M343" s="4" t="s">
        <v>55</v>
      </c>
    </row>
    <row r="344" spans="1:13" x14ac:dyDescent="0.2">
      <c r="A344" s="4">
        <v>103</v>
      </c>
      <c r="B344" s="4" t="s">
        <v>235</v>
      </c>
      <c r="C344" s="4">
        <v>1145.3</v>
      </c>
      <c r="D344" s="4">
        <v>3.66</v>
      </c>
      <c r="E344" s="4">
        <v>90.5</v>
      </c>
      <c r="F344" s="4">
        <v>0.28999999999999998</v>
      </c>
      <c r="G344" s="4">
        <v>66.86</v>
      </c>
      <c r="H344" s="4">
        <v>90.7</v>
      </c>
      <c r="I344" s="4">
        <v>89.7</v>
      </c>
      <c r="J344" s="4">
        <v>84.1</v>
      </c>
      <c r="K344" s="4">
        <v>775704.66</v>
      </c>
      <c r="L344" s="4" t="s">
        <v>376</v>
      </c>
      <c r="M344" s="4" t="s">
        <v>55</v>
      </c>
    </row>
    <row r="345" spans="1:13" x14ac:dyDescent="0.2">
      <c r="A345" s="4">
        <v>104</v>
      </c>
      <c r="B345" s="4" t="s">
        <v>236</v>
      </c>
      <c r="C345" s="4">
        <v>411.5</v>
      </c>
      <c r="D345" s="4">
        <v>2.96</v>
      </c>
      <c r="E345" s="4">
        <v>75</v>
      </c>
      <c r="F345" s="4">
        <v>0.2</v>
      </c>
      <c r="G345" s="4">
        <v>31.62</v>
      </c>
      <c r="H345" s="4">
        <v>27.6</v>
      </c>
      <c r="I345" s="4">
        <v>0</v>
      </c>
      <c r="J345" s="4">
        <v>71.099999999999994</v>
      </c>
      <c r="K345" s="4">
        <v>350193.08</v>
      </c>
      <c r="L345" s="4" t="s">
        <v>375</v>
      </c>
      <c r="M345" s="4" t="s">
        <v>141</v>
      </c>
    </row>
    <row r="346" spans="1:13" x14ac:dyDescent="0.2">
      <c r="A346" s="4">
        <v>105</v>
      </c>
      <c r="B346" s="4" t="s">
        <v>237</v>
      </c>
      <c r="C346" s="4">
        <v>580.4</v>
      </c>
      <c r="D346" s="4">
        <v>3.13</v>
      </c>
      <c r="E346" s="4">
        <v>79.400000000000006</v>
      </c>
      <c r="F346" s="4">
        <v>0</v>
      </c>
      <c r="G346" s="4">
        <v>74.72</v>
      </c>
      <c r="H346" s="4">
        <v>0</v>
      </c>
      <c r="I346" s="4">
        <v>79.400000000000006</v>
      </c>
      <c r="J346" s="4">
        <v>70.900000000000006</v>
      </c>
      <c r="K346" s="4">
        <v>372063.42</v>
      </c>
      <c r="L346" s="4" t="s">
        <v>377</v>
      </c>
      <c r="M346" s="4" t="s">
        <v>141</v>
      </c>
    </row>
    <row r="347" spans="1:13" x14ac:dyDescent="0.2">
      <c r="A347" s="4">
        <v>106</v>
      </c>
      <c r="B347" s="4" t="s">
        <v>238</v>
      </c>
      <c r="C347" s="4">
        <v>753.3</v>
      </c>
      <c r="D347" s="4">
        <v>3.73</v>
      </c>
      <c r="E347" s="4">
        <v>73.400000000000006</v>
      </c>
      <c r="F347" s="4">
        <v>0.2</v>
      </c>
      <c r="G347" s="4">
        <v>61.03</v>
      </c>
      <c r="H347" s="4">
        <v>39.4</v>
      </c>
      <c r="I347" s="4">
        <v>34</v>
      </c>
      <c r="J347" s="4">
        <v>68.3</v>
      </c>
      <c r="K347" s="4">
        <v>494357.42</v>
      </c>
      <c r="L347" s="4" t="s">
        <v>376</v>
      </c>
      <c r="M347" s="4" t="s">
        <v>141</v>
      </c>
    </row>
    <row r="348" spans="1:13" x14ac:dyDescent="0.2">
      <c r="A348" s="4">
        <v>107</v>
      </c>
      <c r="B348" s="4" t="s">
        <v>239</v>
      </c>
      <c r="C348" s="4">
        <v>588</v>
      </c>
      <c r="D348" s="4">
        <v>1.95</v>
      </c>
      <c r="E348" s="4">
        <v>92.9</v>
      </c>
      <c r="F348" s="4">
        <v>0.05</v>
      </c>
      <c r="G348" s="4">
        <v>13.05</v>
      </c>
      <c r="H348" s="4">
        <v>16.399999999999999</v>
      </c>
      <c r="I348" s="4">
        <v>73.900000000000006</v>
      </c>
      <c r="J348" s="4">
        <v>80.5</v>
      </c>
      <c r="K348" s="4">
        <v>693030.35</v>
      </c>
      <c r="L348" s="4" t="s">
        <v>376</v>
      </c>
      <c r="M348" s="4" t="s">
        <v>208</v>
      </c>
    </row>
    <row r="349" spans="1:13" x14ac:dyDescent="0.2">
      <c r="A349" s="4">
        <v>108</v>
      </c>
      <c r="B349" s="4" t="s">
        <v>240</v>
      </c>
      <c r="C349" s="4">
        <v>849.3</v>
      </c>
      <c r="D349" s="4">
        <v>1.7</v>
      </c>
      <c r="E349" s="4">
        <v>81</v>
      </c>
      <c r="F349" s="4">
        <v>0.04</v>
      </c>
      <c r="G349" s="4">
        <v>19.71</v>
      </c>
      <c r="H349" s="4">
        <v>20.7</v>
      </c>
      <c r="I349" s="4">
        <v>59.9</v>
      </c>
      <c r="J349" s="4">
        <v>72.900000000000006</v>
      </c>
      <c r="K349" s="4">
        <v>1063050.8799999999</v>
      </c>
      <c r="L349" s="4" t="s">
        <v>375</v>
      </c>
      <c r="M349" s="4" t="s">
        <v>208</v>
      </c>
    </row>
    <row r="350" spans="1:13" x14ac:dyDescent="0.2">
      <c r="A350" s="4">
        <v>109</v>
      </c>
      <c r="B350" s="4" t="s">
        <v>241</v>
      </c>
      <c r="C350" s="4">
        <v>1620.8</v>
      </c>
      <c r="D350" s="4">
        <v>3.25</v>
      </c>
      <c r="E350" s="4">
        <v>66.400000000000006</v>
      </c>
      <c r="F350" s="4">
        <v>0.22</v>
      </c>
      <c r="G350" s="4">
        <v>101.03</v>
      </c>
      <c r="H350" s="4">
        <v>108.7</v>
      </c>
      <c r="I350" s="4">
        <v>66.400000000000006</v>
      </c>
      <c r="J350" s="4">
        <v>22.6</v>
      </c>
      <c r="K350" s="4">
        <v>1036287.57</v>
      </c>
      <c r="L350" s="4" t="s">
        <v>375</v>
      </c>
      <c r="M350" s="4" t="s">
        <v>141</v>
      </c>
    </row>
    <row r="351" spans="1:13" x14ac:dyDescent="0.2">
      <c r="A351" s="4">
        <v>110</v>
      </c>
      <c r="B351" s="4" t="s">
        <v>242</v>
      </c>
      <c r="C351" s="4">
        <v>1766.3</v>
      </c>
      <c r="D351" s="4">
        <v>3.54</v>
      </c>
      <c r="E351" s="4">
        <v>72.400000000000006</v>
      </c>
      <c r="F351" s="4">
        <v>0.22</v>
      </c>
      <c r="G351" s="4">
        <v>97.16</v>
      </c>
      <c r="H351" s="4">
        <v>109.7</v>
      </c>
      <c r="I351" s="4">
        <v>66.8</v>
      </c>
      <c r="J351" s="4">
        <v>24.6</v>
      </c>
      <c r="K351" s="4">
        <v>1064613.3400000001</v>
      </c>
      <c r="L351" s="4" t="s">
        <v>375</v>
      </c>
      <c r="M351" s="4" t="s">
        <v>141</v>
      </c>
    </row>
    <row r="352" spans="1:13" x14ac:dyDescent="0.2">
      <c r="A352" s="4">
        <v>111</v>
      </c>
      <c r="B352" s="4" t="s">
        <v>243</v>
      </c>
      <c r="C352" s="4">
        <v>1728.1</v>
      </c>
      <c r="D352" s="4">
        <v>3.46</v>
      </c>
      <c r="E352" s="4">
        <v>70.8</v>
      </c>
      <c r="F352" s="4">
        <v>0.25</v>
      </c>
      <c r="G352" s="4">
        <v>130.52000000000001</v>
      </c>
      <c r="H352" s="4">
        <v>126.7</v>
      </c>
      <c r="I352" s="4">
        <v>70.8</v>
      </c>
      <c r="J352" s="4">
        <v>9.6999999999999993</v>
      </c>
      <c r="K352" s="4">
        <v>1028540.28</v>
      </c>
      <c r="L352" s="4" t="s">
        <v>376</v>
      </c>
      <c r="M352" s="4" t="s">
        <v>141</v>
      </c>
    </row>
    <row r="353" spans="1:13" x14ac:dyDescent="0.2">
      <c r="A353" s="4">
        <v>112</v>
      </c>
      <c r="B353" s="4" t="s">
        <v>244</v>
      </c>
      <c r="C353" s="4">
        <v>1733.6</v>
      </c>
      <c r="D353" s="4">
        <v>3.48</v>
      </c>
      <c r="E353" s="4">
        <v>71.099999999999994</v>
      </c>
      <c r="F353" s="4">
        <v>0.26</v>
      </c>
      <c r="G353" s="4">
        <v>125.66</v>
      </c>
      <c r="H353" s="4">
        <v>131.1</v>
      </c>
      <c r="I353" s="4">
        <v>72.400000000000006</v>
      </c>
      <c r="J353" s="4">
        <v>24.1</v>
      </c>
      <c r="K353" s="4">
        <v>1038874.45</v>
      </c>
      <c r="L353" s="4" t="s">
        <v>376</v>
      </c>
      <c r="M353" s="4" t="s">
        <v>141</v>
      </c>
    </row>
    <row r="354" spans="1:13" x14ac:dyDescent="0.2">
      <c r="A354" s="4">
        <v>113</v>
      </c>
      <c r="B354" s="4" t="s">
        <v>245</v>
      </c>
      <c r="C354" s="4">
        <v>1607.2</v>
      </c>
      <c r="D354" s="4">
        <v>3.22</v>
      </c>
      <c r="E354" s="4">
        <v>65.8</v>
      </c>
      <c r="F354" s="4">
        <v>0</v>
      </c>
      <c r="G354" s="4">
        <v>0</v>
      </c>
      <c r="H354" s="4">
        <v>0</v>
      </c>
      <c r="I354" s="4">
        <v>65.8</v>
      </c>
      <c r="J354" s="4">
        <v>22.3</v>
      </c>
      <c r="K354" s="4">
        <v>1011121.99</v>
      </c>
      <c r="L354" s="4" t="s">
        <v>378</v>
      </c>
      <c r="M354" s="4" t="s">
        <v>141</v>
      </c>
    </row>
    <row r="355" spans="1:13" x14ac:dyDescent="0.2">
      <c r="A355" s="4">
        <v>114</v>
      </c>
      <c r="B355" s="4" t="s">
        <v>246</v>
      </c>
      <c r="C355" s="4">
        <v>618.9</v>
      </c>
      <c r="D355" s="4">
        <v>4.21</v>
      </c>
      <c r="E355" s="4">
        <v>0</v>
      </c>
      <c r="F355" s="4">
        <v>0.28000000000000003</v>
      </c>
      <c r="G355" s="4">
        <v>54.09</v>
      </c>
      <c r="H355" s="4">
        <v>41.9</v>
      </c>
      <c r="I355" s="4">
        <v>0</v>
      </c>
      <c r="J355" s="4" t="s">
        <v>14</v>
      </c>
      <c r="K355" s="4">
        <v>331011.32</v>
      </c>
      <c r="L355" s="4" t="s">
        <v>375</v>
      </c>
      <c r="M355" s="4" t="s">
        <v>16</v>
      </c>
    </row>
    <row r="356" spans="1:13" x14ac:dyDescent="0.2">
      <c r="A356" s="4">
        <v>115</v>
      </c>
      <c r="B356" s="4" t="s">
        <v>247</v>
      </c>
      <c r="C356" s="4">
        <v>1240.0999999999999</v>
      </c>
      <c r="D356" s="4">
        <v>3.64</v>
      </c>
      <c r="E356" s="4">
        <v>0</v>
      </c>
      <c r="F356" s="4">
        <v>0.21</v>
      </c>
      <c r="G356" s="4">
        <v>32.869999999999997</v>
      </c>
      <c r="H356" s="4">
        <v>73</v>
      </c>
      <c r="I356" s="4">
        <v>0</v>
      </c>
      <c r="J356" s="4" t="s">
        <v>14</v>
      </c>
      <c r="K356" s="4">
        <v>934962.21</v>
      </c>
      <c r="L356" s="4" t="s">
        <v>375</v>
      </c>
      <c r="M356" s="4" t="s">
        <v>38</v>
      </c>
    </row>
    <row r="357" spans="1:13" x14ac:dyDescent="0.2">
      <c r="A357" s="4">
        <v>116</v>
      </c>
      <c r="B357" s="4" t="s">
        <v>248</v>
      </c>
      <c r="C357" s="4">
        <v>591.29999999999995</v>
      </c>
      <c r="D357" s="4">
        <v>3</v>
      </c>
      <c r="E357" s="4">
        <v>0</v>
      </c>
      <c r="F357" s="4">
        <v>0.2</v>
      </c>
      <c r="G357" s="4">
        <v>11.93</v>
      </c>
      <c r="H357" s="4">
        <v>38.799999999999997</v>
      </c>
      <c r="I357" s="4">
        <v>0</v>
      </c>
      <c r="J357" s="4" t="s">
        <v>14</v>
      </c>
      <c r="K357" s="4">
        <v>429177.12</v>
      </c>
      <c r="L357" s="4" t="s">
        <v>376</v>
      </c>
      <c r="M357" s="4" t="s">
        <v>38</v>
      </c>
    </row>
    <row r="358" spans="1:13" x14ac:dyDescent="0.2">
      <c r="A358" s="4">
        <v>117</v>
      </c>
      <c r="B358" s="4" t="s">
        <v>249</v>
      </c>
      <c r="C358" s="4">
        <v>1571.4</v>
      </c>
      <c r="D358" s="4">
        <v>3.54</v>
      </c>
      <c r="E358" s="4">
        <v>75.7</v>
      </c>
      <c r="F358" s="4">
        <v>0.21</v>
      </c>
      <c r="G358" s="4">
        <v>34.9</v>
      </c>
      <c r="H358" s="4">
        <v>95.2</v>
      </c>
      <c r="I358" s="4">
        <v>79.599999999999994</v>
      </c>
      <c r="J358" s="4">
        <v>73.099999999999994</v>
      </c>
      <c r="K358" s="4">
        <v>1169542.57</v>
      </c>
      <c r="L358" s="4" t="s">
        <v>376</v>
      </c>
      <c r="M358" s="4" t="s">
        <v>38</v>
      </c>
    </row>
    <row r="359" spans="1:13" x14ac:dyDescent="0.2">
      <c r="A359" s="4">
        <v>118</v>
      </c>
      <c r="B359" s="4" t="s">
        <v>250</v>
      </c>
      <c r="C359" s="4">
        <v>1194.5999999999999</v>
      </c>
      <c r="D359" s="4">
        <v>4.29</v>
      </c>
      <c r="E359" s="4">
        <v>0</v>
      </c>
      <c r="F359" s="4">
        <v>0.36</v>
      </c>
      <c r="G359" s="4">
        <v>147.05000000000001</v>
      </c>
      <c r="H359" s="4">
        <v>100.1</v>
      </c>
      <c r="I359" s="4">
        <v>0</v>
      </c>
      <c r="J359" s="4" t="s">
        <v>14</v>
      </c>
      <c r="K359" s="4">
        <v>789435.32</v>
      </c>
      <c r="L359" s="4" t="s">
        <v>376</v>
      </c>
      <c r="M359" s="4" t="s">
        <v>38</v>
      </c>
    </row>
    <row r="360" spans="1:13" x14ac:dyDescent="0.2">
      <c r="A360" s="4">
        <v>119</v>
      </c>
      <c r="B360" s="4" t="s">
        <v>251</v>
      </c>
      <c r="C360" s="4">
        <v>1317.7</v>
      </c>
      <c r="D360" s="4">
        <v>4.37</v>
      </c>
      <c r="E360" s="4">
        <v>0</v>
      </c>
      <c r="F360" s="4">
        <v>0.33</v>
      </c>
      <c r="G360" s="4">
        <v>93.94</v>
      </c>
      <c r="H360" s="4">
        <v>99.6</v>
      </c>
      <c r="I360" s="4">
        <v>0</v>
      </c>
      <c r="J360" s="4" t="s">
        <v>14</v>
      </c>
      <c r="K360" s="4">
        <v>859172.74</v>
      </c>
      <c r="L360" s="4" t="s">
        <v>375</v>
      </c>
      <c r="M360" s="4" t="s">
        <v>38</v>
      </c>
    </row>
    <row r="361" spans="1:13" x14ac:dyDescent="0.2">
      <c r="A361" s="4">
        <v>120</v>
      </c>
      <c r="B361" s="4" t="s">
        <v>252</v>
      </c>
      <c r="C361" s="4">
        <v>1281.0999999999999</v>
      </c>
      <c r="D361" s="4">
        <v>4.37</v>
      </c>
      <c r="E361" s="4">
        <v>0</v>
      </c>
      <c r="F361" s="4">
        <v>0.35</v>
      </c>
      <c r="G361" s="4">
        <v>59.91</v>
      </c>
      <c r="H361" s="4">
        <v>103.2</v>
      </c>
      <c r="I361" s="4">
        <v>0</v>
      </c>
      <c r="J361" s="4" t="s">
        <v>14</v>
      </c>
      <c r="K361" s="4">
        <v>822667.54</v>
      </c>
      <c r="L361" s="4" t="s">
        <v>375</v>
      </c>
      <c r="M361" s="4" t="s">
        <v>38</v>
      </c>
    </row>
    <row r="362" spans="1:13" x14ac:dyDescent="0.2">
      <c r="A362" s="4">
        <v>121</v>
      </c>
      <c r="B362" s="4" t="s">
        <v>253</v>
      </c>
      <c r="C362" s="4">
        <v>458.8</v>
      </c>
      <c r="D362" s="4">
        <v>3.6</v>
      </c>
      <c r="E362" s="4">
        <v>0</v>
      </c>
      <c r="F362" s="4">
        <v>0.23</v>
      </c>
      <c r="G362" s="4">
        <v>9.6</v>
      </c>
      <c r="H362" s="4">
        <v>29.1</v>
      </c>
      <c r="I362" s="4">
        <v>0</v>
      </c>
      <c r="J362" s="4" t="s">
        <v>14</v>
      </c>
      <c r="K362" s="4">
        <v>324662.21999999997</v>
      </c>
      <c r="L362" s="4" t="s">
        <v>376</v>
      </c>
      <c r="M362" s="4" t="s">
        <v>38</v>
      </c>
    </row>
    <row r="363" spans="1:13" x14ac:dyDescent="0.2">
      <c r="A363" s="4">
        <v>122</v>
      </c>
      <c r="B363" s="4" t="s">
        <v>254</v>
      </c>
      <c r="C363" s="4">
        <v>400.8</v>
      </c>
      <c r="D363" s="4">
        <v>3.84</v>
      </c>
      <c r="E363" s="4">
        <v>0</v>
      </c>
      <c r="F363" s="4">
        <v>0.17</v>
      </c>
      <c r="G363" s="4">
        <v>6.14</v>
      </c>
      <c r="H363" s="4">
        <v>17.8</v>
      </c>
      <c r="I363" s="4">
        <v>0</v>
      </c>
      <c r="J363" s="4" t="s">
        <v>14</v>
      </c>
      <c r="K363" s="4">
        <v>239606.9</v>
      </c>
      <c r="L363" s="4" t="s">
        <v>376</v>
      </c>
      <c r="M363" s="4" t="s">
        <v>38</v>
      </c>
    </row>
    <row r="364" spans="1:13" x14ac:dyDescent="0.2">
      <c r="A364" s="4">
        <v>123</v>
      </c>
      <c r="B364" s="4" t="s">
        <v>255</v>
      </c>
      <c r="C364" s="4">
        <v>882.4</v>
      </c>
      <c r="D364" s="4">
        <v>3.31</v>
      </c>
      <c r="E364" s="4">
        <v>0</v>
      </c>
      <c r="F364" s="4">
        <v>0.2</v>
      </c>
      <c r="G364" s="4">
        <v>19.68</v>
      </c>
      <c r="H364" s="4">
        <v>52.8</v>
      </c>
      <c r="I364" s="4">
        <v>0</v>
      </c>
      <c r="J364" s="4" t="s">
        <v>14</v>
      </c>
      <c r="K364" s="4">
        <v>629710.9</v>
      </c>
      <c r="L364" s="4" t="s">
        <v>376</v>
      </c>
      <c r="M364" s="4" t="s">
        <v>38</v>
      </c>
    </row>
    <row r="365" spans="1:13" x14ac:dyDescent="0.2">
      <c r="A365" s="4">
        <v>124</v>
      </c>
      <c r="B365" s="4" t="s">
        <v>256</v>
      </c>
      <c r="C365" s="4">
        <v>1449.2</v>
      </c>
      <c r="D365" s="4">
        <v>3.2</v>
      </c>
      <c r="E365" s="4">
        <v>0</v>
      </c>
      <c r="F365" s="4">
        <v>0.19</v>
      </c>
      <c r="G365" s="4">
        <v>31.29</v>
      </c>
      <c r="H365" s="4">
        <v>86.4</v>
      </c>
      <c r="I365" s="4">
        <v>0</v>
      </c>
      <c r="J365" s="4" t="s">
        <v>14</v>
      </c>
      <c r="K365" s="4">
        <v>1192110.94</v>
      </c>
      <c r="L365" s="4" t="s">
        <v>375</v>
      </c>
      <c r="M365" s="4" t="s">
        <v>38</v>
      </c>
    </row>
    <row r="366" spans="1:13" x14ac:dyDescent="0.2">
      <c r="A366" s="4">
        <v>125</v>
      </c>
      <c r="B366" s="4" t="s">
        <v>257</v>
      </c>
      <c r="C366" s="4">
        <v>1092.2</v>
      </c>
      <c r="D366" s="4">
        <v>3.32</v>
      </c>
      <c r="E366" s="4">
        <v>0</v>
      </c>
      <c r="F366" s="4">
        <v>0.22</v>
      </c>
      <c r="G366" s="4">
        <v>84.91</v>
      </c>
      <c r="H366" s="4">
        <v>73.7</v>
      </c>
      <c r="I366" s="4">
        <v>0</v>
      </c>
      <c r="J366" s="4" t="s">
        <v>14</v>
      </c>
      <c r="K366" s="4">
        <v>534187.69999999995</v>
      </c>
      <c r="L366" s="4" t="s">
        <v>375</v>
      </c>
      <c r="M366" s="4" t="s">
        <v>141</v>
      </c>
    </row>
    <row r="367" spans="1:13" x14ac:dyDescent="0.2">
      <c r="A367" s="4">
        <v>126</v>
      </c>
      <c r="B367" s="4" t="s">
        <v>258</v>
      </c>
      <c r="C367" s="4">
        <v>1711.7</v>
      </c>
      <c r="D367" s="4">
        <v>3.43</v>
      </c>
      <c r="E367" s="4">
        <v>0</v>
      </c>
      <c r="F367" s="4">
        <v>0.22</v>
      </c>
      <c r="G367" s="4">
        <v>138.28</v>
      </c>
      <c r="H367" s="4">
        <v>111.5</v>
      </c>
      <c r="I367" s="4">
        <v>0</v>
      </c>
      <c r="J367" s="4" t="s">
        <v>14</v>
      </c>
      <c r="K367" s="4">
        <v>823820.25</v>
      </c>
      <c r="L367" s="4" t="s">
        <v>376</v>
      </c>
      <c r="M367" s="4" t="s">
        <v>141</v>
      </c>
    </row>
    <row r="368" spans="1:13" x14ac:dyDescent="0.2">
      <c r="A368" s="4">
        <v>127</v>
      </c>
      <c r="B368" s="4" t="s">
        <v>259</v>
      </c>
      <c r="C368" s="4">
        <v>1592.9</v>
      </c>
      <c r="D368" s="4">
        <v>3.47</v>
      </c>
      <c r="E368" s="4">
        <v>0</v>
      </c>
      <c r="F368" s="4">
        <v>0.36</v>
      </c>
      <c r="G368" s="4">
        <v>182.27</v>
      </c>
      <c r="H368" s="4">
        <v>165.6</v>
      </c>
      <c r="I368" s="4">
        <v>0</v>
      </c>
      <c r="J368" s="4" t="s">
        <v>14</v>
      </c>
      <c r="K368" s="4">
        <v>719912.59</v>
      </c>
      <c r="L368" s="4" t="s">
        <v>376</v>
      </c>
      <c r="M368" s="4" t="s">
        <v>260</v>
      </c>
    </row>
    <row r="369" spans="1:13" x14ac:dyDescent="0.2">
      <c r="A369" s="4">
        <v>128</v>
      </c>
      <c r="B369" s="4" t="s">
        <v>261</v>
      </c>
      <c r="C369" s="4">
        <v>1697.5</v>
      </c>
      <c r="D369" s="4">
        <v>3.6</v>
      </c>
      <c r="E369" s="4">
        <v>86.1</v>
      </c>
      <c r="F369" s="4">
        <v>0.37</v>
      </c>
      <c r="G369" s="4">
        <v>177.22</v>
      </c>
      <c r="H369" s="4">
        <v>174.8</v>
      </c>
      <c r="I369" s="4">
        <v>80.7</v>
      </c>
      <c r="J369" s="4">
        <v>77.8</v>
      </c>
      <c r="K369" s="4">
        <v>861409.87</v>
      </c>
      <c r="L369" s="4" t="s">
        <v>376</v>
      </c>
      <c r="M369" s="4" t="s">
        <v>260</v>
      </c>
    </row>
    <row r="370" spans="1:13" x14ac:dyDescent="0.2">
      <c r="A370" s="4">
        <v>129</v>
      </c>
      <c r="B370" s="4" t="s">
        <v>262</v>
      </c>
      <c r="C370" s="4">
        <v>64.900000000000006</v>
      </c>
      <c r="D370" s="4">
        <v>4.07</v>
      </c>
      <c r="E370" s="4">
        <v>86.9</v>
      </c>
      <c r="F370" s="4">
        <v>0.13</v>
      </c>
      <c r="G370" s="4">
        <v>1.18</v>
      </c>
      <c r="H370" s="4">
        <v>2</v>
      </c>
      <c r="I370" s="4">
        <v>46</v>
      </c>
      <c r="J370" s="4">
        <v>81.900000000000006</v>
      </c>
      <c r="K370" s="4">
        <v>33880.43</v>
      </c>
      <c r="L370" s="4" t="s">
        <v>375</v>
      </c>
      <c r="M370" s="4" t="s">
        <v>55</v>
      </c>
    </row>
    <row r="371" spans="1:13" x14ac:dyDescent="0.2">
      <c r="A371" s="4">
        <v>130</v>
      </c>
      <c r="B371" s="4" t="s">
        <v>263</v>
      </c>
      <c r="C371" s="4">
        <v>47.8</v>
      </c>
      <c r="D371" s="4">
        <v>3.92</v>
      </c>
      <c r="E371" s="4">
        <v>79.599999999999994</v>
      </c>
      <c r="F371" s="4">
        <v>0.26</v>
      </c>
      <c r="G371" s="4">
        <v>1.51</v>
      </c>
      <c r="H371" s="4">
        <v>3.2</v>
      </c>
      <c r="I371" s="4">
        <v>68</v>
      </c>
      <c r="J371" s="4">
        <v>73</v>
      </c>
      <c r="K371" s="4">
        <v>24424.07</v>
      </c>
      <c r="L371" s="4" t="s">
        <v>375</v>
      </c>
      <c r="M371" s="4" t="s">
        <v>141</v>
      </c>
    </row>
    <row r="372" spans="1:13" x14ac:dyDescent="0.2">
      <c r="A372" s="4">
        <v>131</v>
      </c>
      <c r="B372" s="4" t="s">
        <v>146</v>
      </c>
      <c r="C372" s="4">
        <v>435.5</v>
      </c>
      <c r="D372" s="4">
        <v>3.63</v>
      </c>
      <c r="E372" s="4">
        <v>0</v>
      </c>
      <c r="F372" s="4">
        <v>0.24</v>
      </c>
      <c r="G372" s="4">
        <v>34.130000000000003</v>
      </c>
      <c r="H372" s="4">
        <v>28.7</v>
      </c>
      <c r="I372" s="4">
        <v>0</v>
      </c>
      <c r="J372" s="4" t="s">
        <v>14</v>
      </c>
      <c r="K372" s="4">
        <v>40092.300000000003</v>
      </c>
      <c r="L372" s="4" t="s">
        <v>376</v>
      </c>
      <c r="M372" s="4" t="s">
        <v>141</v>
      </c>
    </row>
    <row r="373" spans="1:13" x14ac:dyDescent="0.2">
      <c r="A373" s="4">
        <v>132</v>
      </c>
      <c r="B373" s="4" t="s">
        <v>264</v>
      </c>
      <c r="C373" s="4">
        <v>176.4</v>
      </c>
      <c r="D373" s="4">
        <v>4.03</v>
      </c>
      <c r="E373" s="4">
        <v>0</v>
      </c>
      <c r="F373" s="4">
        <v>0.23</v>
      </c>
      <c r="G373" s="4">
        <v>6.36</v>
      </c>
      <c r="H373" s="4">
        <v>10</v>
      </c>
      <c r="I373" s="4">
        <v>0</v>
      </c>
      <c r="J373" s="4" t="s">
        <v>14</v>
      </c>
      <c r="K373" s="4">
        <v>87270.42</v>
      </c>
      <c r="L373" s="4" t="s">
        <v>376</v>
      </c>
      <c r="M373" s="4" t="s">
        <v>265</v>
      </c>
    </row>
    <row r="374" spans="1:13" x14ac:dyDescent="0.2">
      <c r="A374" s="4">
        <v>133</v>
      </c>
      <c r="B374" s="4" t="s">
        <v>266</v>
      </c>
      <c r="C374" s="4">
        <v>272.89999999999998</v>
      </c>
      <c r="D374" s="4">
        <v>3.82</v>
      </c>
      <c r="E374" s="4">
        <v>75.099999999999994</v>
      </c>
      <c r="F374" s="4">
        <v>0.27</v>
      </c>
      <c r="G374" s="4">
        <v>22.49</v>
      </c>
      <c r="H374" s="4">
        <v>19.2</v>
      </c>
      <c r="I374" s="4">
        <v>65.2</v>
      </c>
      <c r="J374" s="4">
        <v>70.3</v>
      </c>
      <c r="K374" s="4">
        <v>130535.54</v>
      </c>
      <c r="L374" s="4" t="s">
        <v>376</v>
      </c>
      <c r="M374" s="4" t="s">
        <v>141</v>
      </c>
    </row>
    <row r="375" spans="1:13" x14ac:dyDescent="0.2">
      <c r="A375" s="4">
        <v>134</v>
      </c>
      <c r="B375" s="4" t="s">
        <v>267</v>
      </c>
      <c r="C375" s="4">
        <v>101.9</v>
      </c>
      <c r="D375" s="4">
        <v>3.15</v>
      </c>
      <c r="E375" s="4">
        <v>71.099999999999994</v>
      </c>
      <c r="F375" s="4">
        <v>0.19</v>
      </c>
      <c r="G375" s="4">
        <v>8.1300000000000008</v>
      </c>
      <c r="H375" s="4">
        <v>6.2</v>
      </c>
      <c r="I375" s="4">
        <v>82.1</v>
      </c>
      <c r="J375" s="4">
        <v>68.5</v>
      </c>
      <c r="K375" s="4">
        <v>54461.31</v>
      </c>
      <c r="L375" s="4" t="s">
        <v>375</v>
      </c>
      <c r="M375" s="4" t="s">
        <v>141</v>
      </c>
    </row>
    <row r="376" spans="1:13" x14ac:dyDescent="0.2">
      <c r="A376" s="4">
        <v>135</v>
      </c>
      <c r="B376" s="4" t="s">
        <v>268</v>
      </c>
      <c r="C376" s="4">
        <v>523.5</v>
      </c>
      <c r="D376" s="4">
        <v>3.83</v>
      </c>
      <c r="E376" s="4">
        <v>0</v>
      </c>
      <c r="F376" s="4">
        <v>0.23</v>
      </c>
      <c r="G376" s="4">
        <v>41.74</v>
      </c>
      <c r="H376" s="4">
        <v>31.2</v>
      </c>
      <c r="I376" s="4">
        <v>0</v>
      </c>
      <c r="J376" s="4" t="s">
        <v>14</v>
      </c>
      <c r="K376" s="4">
        <v>258047.97</v>
      </c>
      <c r="L376" s="4" t="s">
        <v>375</v>
      </c>
      <c r="M376" s="4" t="s">
        <v>141</v>
      </c>
    </row>
    <row r="377" spans="1:13" x14ac:dyDescent="0.2">
      <c r="A377" s="4">
        <v>136</v>
      </c>
      <c r="B377" s="4" t="s">
        <v>269</v>
      </c>
      <c r="C377" s="4">
        <v>334.5</v>
      </c>
      <c r="D377" s="4">
        <v>3.64</v>
      </c>
      <c r="E377" s="4">
        <v>0</v>
      </c>
      <c r="F377" s="4">
        <v>0.25</v>
      </c>
      <c r="G377" s="4">
        <v>25.26</v>
      </c>
      <c r="H377" s="4">
        <v>23</v>
      </c>
      <c r="I377" s="4">
        <v>0</v>
      </c>
      <c r="J377" s="4" t="s">
        <v>14</v>
      </c>
      <c r="K377" s="4">
        <v>156035.57</v>
      </c>
      <c r="L377" s="4" t="s">
        <v>376</v>
      </c>
      <c r="M377" s="4" t="s">
        <v>91</v>
      </c>
    </row>
    <row r="378" spans="1:13" x14ac:dyDescent="0.2">
      <c r="A378" s="4">
        <v>137</v>
      </c>
      <c r="B378" s="4" t="s">
        <v>270</v>
      </c>
      <c r="C378" s="4">
        <v>1085.5999999999999</v>
      </c>
      <c r="D378" s="4">
        <v>3.23</v>
      </c>
      <c r="E378" s="4">
        <v>65.599999999999994</v>
      </c>
      <c r="F378" s="4">
        <v>0.24</v>
      </c>
      <c r="G378" s="4">
        <v>87.05</v>
      </c>
      <c r="H378" s="4">
        <v>79.8</v>
      </c>
      <c r="I378" s="4">
        <v>61.6</v>
      </c>
      <c r="J378" s="4">
        <v>63.8</v>
      </c>
      <c r="K378" s="4">
        <v>538931.16</v>
      </c>
      <c r="L378" s="4" t="s">
        <v>376</v>
      </c>
      <c r="M378" s="4" t="s">
        <v>141</v>
      </c>
    </row>
    <row r="379" spans="1:13" x14ac:dyDescent="0.2">
      <c r="A379" s="4">
        <v>138</v>
      </c>
      <c r="B379" s="4" t="s">
        <v>271</v>
      </c>
      <c r="C379" s="4">
        <v>1428.5</v>
      </c>
      <c r="D379" s="4">
        <v>2.87</v>
      </c>
      <c r="E379" s="4">
        <v>73.400000000000006</v>
      </c>
      <c r="F379" s="4">
        <v>0.18</v>
      </c>
      <c r="G379" s="4">
        <v>45.53</v>
      </c>
      <c r="H379" s="4">
        <v>91.2</v>
      </c>
      <c r="I379" s="4">
        <v>52.4</v>
      </c>
      <c r="J379" s="4">
        <v>71.2</v>
      </c>
      <c r="K379" s="4">
        <v>903303.11</v>
      </c>
      <c r="L379" s="4" t="s">
        <v>376</v>
      </c>
      <c r="M379" s="4" t="s">
        <v>55</v>
      </c>
    </row>
    <row r="380" spans="1:13" x14ac:dyDescent="0.2">
      <c r="A380" s="4">
        <v>139</v>
      </c>
      <c r="B380" s="4" t="s">
        <v>272</v>
      </c>
      <c r="C380" s="4">
        <v>1030.9000000000001</v>
      </c>
      <c r="D380" s="4">
        <v>2.9</v>
      </c>
      <c r="E380" s="4">
        <v>69.3</v>
      </c>
      <c r="F380" s="4">
        <v>0.15</v>
      </c>
      <c r="G380" s="4">
        <v>14.99</v>
      </c>
      <c r="H380" s="4">
        <v>53.6</v>
      </c>
      <c r="I380" s="4">
        <v>61.5</v>
      </c>
      <c r="J380" s="4">
        <v>69.099999999999994</v>
      </c>
      <c r="K380" s="4">
        <v>650047.66</v>
      </c>
      <c r="L380" s="4" t="s">
        <v>375</v>
      </c>
      <c r="M380" s="4" t="s">
        <v>55</v>
      </c>
    </row>
    <row r="381" spans="1:13" x14ac:dyDescent="0.2">
      <c r="A381" s="4">
        <v>140</v>
      </c>
      <c r="B381" s="4" t="s">
        <v>273</v>
      </c>
      <c r="C381" s="4">
        <v>618.79999999999995</v>
      </c>
      <c r="D381" s="4">
        <v>2.46</v>
      </c>
      <c r="E381" s="4">
        <v>0</v>
      </c>
      <c r="F381" s="4">
        <v>0.2</v>
      </c>
      <c r="G381" s="4">
        <v>57.06</v>
      </c>
      <c r="H381" s="4">
        <v>51.3</v>
      </c>
      <c r="I381" s="4">
        <v>0</v>
      </c>
      <c r="J381" s="4" t="s">
        <v>14</v>
      </c>
      <c r="K381" s="4">
        <v>741746.63</v>
      </c>
      <c r="L381" s="4" t="s">
        <v>375</v>
      </c>
      <c r="M381" s="4" t="s">
        <v>16</v>
      </c>
    </row>
    <row r="382" spans="1:13" x14ac:dyDescent="0.2">
      <c r="A382" s="4">
        <v>141</v>
      </c>
      <c r="B382" s="4" t="s">
        <v>274</v>
      </c>
      <c r="C382" s="4">
        <v>959.1</v>
      </c>
      <c r="D382" s="4">
        <v>3.26</v>
      </c>
      <c r="E382" s="4">
        <v>0</v>
      </c>
      <c r="F382" s="4">
        <v>0.25</v>
      </c>
      <c r="G382" s="4">
        <v>83.1</v>
      </c>
      <c r="H382" s="4">
        <v>73.8</v>
      </c>
      <c r="I382" s="4">
        <v>0</v>
      </c>
      <c r="J382" s="4" t="s">
        <v>14</v>
      </c>
      <c r="K382" s="4">
        <v>935146.87</v>
      </c>
      <c r="L382" s="4" t="s">
        <v>376</v>
      </c>
      <c r="M382" s="4" t="s">
        <v>16</v>
      </c>
    </row>
    <row r="383" spans="1:13" x14ac:dyDescent="0.2">
      <c r="A383" s="4">
        <v>142</v>
      </c>
      <c r="B383" s="4" t="s">
        <v>275</v>
      </c>
      <c r="C383" s="4">
        <v>1645.8</v>
      </c>
      <c r="D383" s="4">
        <v>3.32</v>
      </c>
      <c r="E383" s="4">
        <v>0</v>
      </c>
      <c r="F383" s="4">
        <v>0.22</v>
      </c>
      <c r="G383" s="4">
        <v>94.83</v>
      </c>
      <c r="H383" s="4">
        <v>108.8</v>
      </c>
      <c r="I383" s="4">
        <v>0</v>
      </c>
      <c r="J383" s="4" t="s">
        <v>14</v>
      </c>
      <c r="K383" s="4">
        <v>1785407.24</v>
      </c>
      <c r="L383" s="4" t="s">
        <v>376</v>
      </c>
      <c r="M383" s="4" t="s">
        <v>55</v>
      </c>
    </row>
    <row r="384" spans="1:13" x14ac:dyDescent="0.2">
      <c r="A384" s="4">
        <v>143</v>
      </c>
      <c r="B384" s="4" t="s">
        <v>276</v>
      </c>
      <c r="C384" s="4">
        <v>2072.4</v>
      </c>
      <c r="D384" s="4">
        <v>4.1500000000000004</v>
      </c>
      <c r="E384" s="4">
        <v>0</v>
      </c>
      <c r="F384" s="4">
        <v>0.34</v>
      </c>
      <c r="G384" s="4">
        <v>177.53</v>
      </c>
      <c r="H384" s="4">
        <v>169.5</v>
      </c>
      <c r="I384" s="4">
        <v>0</v>
      </c>
      <c r="J384" s="4" t="s">
        <v>14</v>
      </c>
      <c r="K384" s="4">
        <v>2792917.94</v>
      </c>
      <c r="L384" s="4" t="s">
        <v>376</v>
      </c>
      <c r="M384" s="4" t="s">
        <v>141</v>
      </c>
    </row>
    <row r="385" spans="1:13" x14ac:dyDescent="0.2">
      <c r="A385" s="4">
        <v>144</v>
      </c>
      <c r="B385" s="4" t="s">
        <v>277</v>
      </c>
      <c r="C385" s="4">
        <v>2071.6</v>
      </c>
      <c r="D385" s="4">
        <v>4.43</v>
      </c>
      <c r="E385" s="4">
        <v>0</v>
      </c>
      <c r="F385" s="4">
        <v>0.17</v>
      </c>
      <c r="G385" s="4">
        <v>125.61</v>
      </c>
      <c r="H385" s="4">
        <v>78.5</v>
      </c>
      <c r="I385" s="4">
        <v>0</v>
      </c>
      <c r="J385" s="4" t="s">
        <v>14</v>
      </c>
      <c r="K385" s="4">
        <v>2456433.15</v>
      </c>
      <c r="L385" s="4" t="s">
        <v>379</v>
      </c>
      <c r="M385" s="4" t="s">
        <v>141</v>
      </c>
    </row>
    <row r="386" spans="1:13" x14ac:dyDescent="0.2">
      <c r="A386" s="4">
        <v>145</v>
      </c>
      <c r="B386" s="4" t="s">
        <v>278</v>
      </c>
      <c r="C386" s="4">
        <v>2180.5</v>
      </c>
      <c r="D386" s="4">
        <v>4.37</v>
      </c>
      <c r="E386" s="4">
        <v>0</v>
      </c>
      <c r="F386" s="4">
        <v>0.31</v>
      </c>
      <c r="G386" s="4">
        <v>164.14</v>
      </c>
      <c r="H386" s="4">
        <v>156.69999999999999</v>
      </c>
      <c r="I386" s="4">
        <v>0</v>
      </c>
      <c r="J386" s="4" t="s">
        <v>14</v>
      </c>
      <c r="K386" s="4">
        <v>2649927.14</v>
      </c>
      <c r="L386" s="4" t="s">
        <v>375</v>
      </c>
      <c r="M386" s="4" t="s">
        <v>141</v>
      </c>
    </row>
    <row r="387" spans="1:13" x14ac:dyDescent="0.2">
      <c r="A387" s="4">
        <v>146</v>
      </c>
      <c r="B387" s="4" t="s">
        <v>279</v>
      </c>
      <c r="C387" s="4">
        <v>1322.1</v>
      </c>
      <c r="D387" s="4">
        <v>4.41</v>
      </c>
      <c r="E387" s="4">
        <v>0</v>
      </c>
      <c r="F387" s="4">
        <v>0.35</v>
      </c>
      <c r="G387" s="4">
        <v>117.42</v>
      </c>
      <c r="H387" s="4">
        <v>106.2</v>
      </c>
      <c r="I387" s="4">
        <v>0</v>
      </c>
      <c r="J387" s="4" t="s">
        <v>14</v>
      </c>
      <c r="K387" s="4">
        <v>1611865.16</v>
      </c>
      <c r="L387" s="4" t="s">
        <v>376</v>
      </c>
      <c r="M387" s="4" t="s">
        <v>141</v>
      </c>
    </row>
    <row r="388" spans="1:13" x14ac:dyDescent="0.2">
      <c r="A388" s="4">
        <v>147</v>
      </c>
      <c r="B388" s="4" t="s">
        <v>280</v>
      </c>
      <c r="C388" s="4">
        <v>1114.3</v>
      </c>
      <c r="D388" s="4">
        <v>3.72</v>
      </c>
      <c r="E388" s="4">
        <v>0</v>
      </c>
      <c r="F388" s="4">
        <v>0.15</v>
      </c>
      <c r="G388" s="4">
        <v>80.03</v>
      </c>
      <c r="H388" s="4">
        <v>45.6</v>
      </c>
      <c r="I388" s="4">
        <v>0</v>
      </c>
      <c r="J388" s="4" t="s">
        <v>14</v>
      </c>
      <c r="K388" s="4">
        <v>1374634.74</v>
      </c>
      <c r="L388" s="4" t="s">
        <v>376</v>
      </c>
      <c r="M388" s="4" t="s">
        <v>141</v>
      </c>
    </row>
    <row r="389" spans="1:13" x14ac:dyDescent="0.2">
      <c r="A389" s="4">
        <v>148</v>
      </c>
      <c r="B389" s="4" t="s">
        <v>281</v>
      </c>
      <c r="C389" s="4">
        <v>1346.8</v>
      </c>
      <c r="D389" s="4">
        <v>3.27</v>
      </c>
      <c r="E389" s="4">
        <v>69.599999999999994</v>
      </c>
      <c r="F389" s="4">
        <v>0.21</v>
      </c>
      <c r="G389" s="4">
        <v>101.11</v>
      </c>
      <c r="H389" s="4">
        <v>87.6</v>
      </c>
      <c r="I389" s="4">
        <v>77.8</v>
      </c>
      <c r="J389" s="4">
        <v>65.400000000000006</v>
      </c>
      <c r="K389" s="4">
        <v>514483.1</v>
      </c>
      <c r="L389" s="4" t="s">
        <v>376</v>
      </c>
      <c r="M389" s="4" t="s">
        <v>141</v>
      </c>
    </row>
    <row r="390" spans="1:13" x14ac:dyDescent="0.2">
      <c r="A390" s="4">
        <v>149</v>
      </c>
      <c r="B390" s="4" t="s">
        <v>282</v>
      </c>
      <c r="C390" s="4">
        <v>654</v>
      </c>
      <c r="D390" s="4">
        <v>3.24</v>
      </c>
      <c r="E390" s="4">
        <v>65.5</v>
      </c>
      <c r="F390" s="4">
        <v>0.22</v>
      </c>
      <c r="G390" s="4">
        <v>22.66</v>
      </c>
      <c r="H390" s="4">
        <v>44.9</v>
      </c>
      <c r="I390" s="4">
        <v>63.1</v>
      </c>
      <c r="J390" s="4">
        <v>63.5</v>
      </c>
      <c r="K390" s="4">
        <v>325022.34000000003</v>
      </c>
      <c r="L390" s="4" t="s">
        <v>375</v>
      </c>
      <c r="M390" s="4" t="s">
        <v>38</v>
      </c>
    </row>
    <row r="391" spans="1:13" x14ac:dyDescent="0.2">
      <c r="A391" s="4">
        <v>150</v>
      </c>
      <c r="B391" s="4" t="s">
        <v>283</v>
      </c>
      <c r="C391" s="4">
        <v>617.70000000000005</v>
      </c>
      <c r="D391" s="4">
        <v>3.55</v>
      </c>
      <c r="E391" s="4">
        <v>73.900000000000006</v>
      </c>
      <c r="F391" s="4">
        <v>0.24</v>
      </c>
      <c r="G391" s="4">
        <v>25.48</v>
      </c>
      <c r="H391" s="4">
        <v>42.1</v>
      </c>
      <c r="I391" s="4">
        <v>69.599999999999994</v>
      </c>
      <c r="J391" s="4">
        <v>68.7</v>
      </c>
      <c r="K391" s="4">
        <v>293830.83</v>
      </c>
      <c r="L391" s="4" t="s">
        <v>375</v>
      </c>
      <c r="M391" s="4" t="s">
        <v>38</v>
      </c>
    </row>
    <row r="392" spans="1:13" x14ac:dyDescent="0.2">
      <c r="A392" s="4">
        <v>151</v>
      </c>
      <c r="B392" s="4" t="s">
        <v>284</v>
      </c>
      <c r="C392" s="4">
        <v>845.7</v>
      </c>
      <c r="D392" s="4">
        <v>3.92</v>
      </c>
      <c r="E392" s="4">
        <v>80.099999999999994</v>
      </c>
      <c r="F392" s="4">
        <v>0.32</v>
      </c>
      <c r="G392" s="4">
        <v>27.33</v>
      </c>
      <c r="H392" s="4">
        <v>68.099999999999994</v>
      </c>
      <c r="I392" s="4">
        <v>73.8</v>
      </c>
      <c r="J392" s="4">
        <v>73.400000000000006</v>
      </c>
      <c r="K392" s="4">
        <v>276902.7</v>
      </c>
      <c r="L392" s="4" t="s">
        <v>375</v>
      </c>
      <c r="M392" s="4" t="s">
        <v>55</v>
      </c>
    </row>
    <row r="393" spans="1:13" x14ac:dyDescent="0.2">
      <c r="A393" s="4">
        <v>152</v>
      </c>
      <c r="B393" s="4" t="s">
        <v>285</v>
      </c>
      <c r="C393" s="4">
        <v>1285.0999999999999</v>
      </c>
      <c r="D393" s="4">
        <v>3.64</v>
      </c>
      <c r="E393" s="4">
        <v>2.2000000000000002</v>
      </c>
      <c r="F393" s="4">
        <v>0.26</v>
      </c>
      <c r="G393" s="4">
        <v>92.09</v>
      </c>
      <c r="H393" s="4">
        <v>91.6</v>
      </c>
      <c r="I393" s="4">
        <v>85.4</v>
      </c>
      <c r="J393" s="4">
        <v>2</v>
      </c>
      <c r="K393" s="4">
        <v>520060.78</v>
      </c>
      <c r="L393" s="4" t="s">
        <v>376</v>
      </c>
      <c r="M393" s="4" t="s">
        <v>91</v>
      </c>
    </row>
    <row r="394" spans="1:13" x14ac:dyDescent="0.2">
      <c r="A394" s="4">
        <v>153</v>
      </c>
      <c r="B394" s="4" t="s">
        <v>286</v>
      </c>
      <c r="C394" s="4">
        <v>911.1</v>
      </c>
      <c r="D394" s="4">
        <v>3.78</v>
      </c>
      <c r="E394" s="4">
        <v>81.099999999999994</v>
      </c>
      <c r="F394" s="4">
        <v>0.3</v>
      </c>
      <c r="G394" s="4">
        <v>76.5</v>
      </c>
      <c r="H394" s="4">
        <v>71.599999999999994</v>
      </c>
      <c r="I394" s="4">
        <v>80</v>
      </c>
      <c r="J394" s="4">
        <v>76.7</v>
      </c>
      <c r="K394" s="4">
        <v>321195.38</v>
      </c>
      <c r="L394" s="4" t="s">
        <v>376</v>
      </c>
      <c r="M394" s="4" t="s">
        <v>188</v>
      </c>
    </row>
    <row r="395" spans="1:13" x14ac:dyDescent="0.2">
      <c r="A395" s="4">
        <v>154</v>
      </c>
      <c r="B395" s="4" t="s">
        <v>287</v>
      </c>
      <c r="C395" s="4">
        <v>318.7</v>
      </c>
      <c r="D395" s="4">
        <v>3.85</v>
      </c>
      <c r="E395" s="4">
        <v>3.2</v>
      </c>
      <c r="F395" s="4">
        <v>0.28000000000000003</v>
      </c>
      <c r="G395" s="4">
        <v>24.76</v>
      </c>
      <c r="H395" s="4">
        <v>22.8</v>
      </c>
      <c r="I395" s="4">
        <v>60.6</v>
      </c>
      <c r="J395" s="4">
        <v>2.6</v>
      </c>
      <c r="K395" s="4">
        <v>125212.09</v>
      </c>
      <c r="L395" s="4" t="s">
        <v>375</v>
      </c>
      <c r="M395" s="4" t="s">
        <v>16</v>
      </c>
    </row>
    <row r="396" spans="1:13" x14ac:dyDescent="0.2">
      <c r="A396" s="4">
        <v>155</v>
      </c>
      <c r="B396" s="4" t="s">
        <v>288</v>
      </c>
      <c r="C396" s="4">
        <v>691.5</v>
      </c>
      <c r="D396" s="4">
        <v>3.73</v>
      </c>
      <c r="E396" s="4">
        <v>78.3</v>
      </c>
      <c r="F396" s="4">
        <v>0.19</v>
      </c>
      <c r="G396" s="4">
        <v>40</v>
      </c>
      <c r="H396" s="4">
        <v>34.700000000000003</v>
      </c>
      <c r="I396" s="4">
        <v>72.900000000000006</v>
      </c>
      <c r="J396" s="4">
        <v>74</v>
      </c>
      <c r="K396" s="4">
        <v>236431.76</v>
      </c>
      <c r="L396" s="4" t="s">
        <v>375</v>
      </c>
      <c r="M396" s="4" t="s">
        <v>16</v>
      </c>
    </row>
    <row r="397" spans="1:13" x14ac:dyDescent="0.2">
      <c r="A397" s="4">
        <v>156</v>
      </c>
      <c r="B397" s="4" t="s">
        <v>289</v>
      </c>
      <c r="C397" s="4">
        <v>515.6</v>
      </c>
      <c r="D397" s="4">
        <v>3.55</v>
      </c>
      <c r="E397" s="4">
        <v>0</v>
      </c>
      <c r="F397" s="4">
        <v>0.25</v>
      </c>
      <c r="G397" s="4">
        <v>43.15</v>
      </c>
      <c r="H397" s="4">
        <v>35.6</v>
      </c>
      <c r="I397" s="4">
        <v>0</v>
      </c>
      <c r="J397" s="4" t="s">
        <v>14</v>
      </c>
      <c r="K397" s="4">
        <v>229694.39</v>
      </c>
      <c r="L397" s="4" t="s">
        <v>376</v>
      </c>
      <c r="M397" s="4" t="s">
        <v>141</v>
      </c>
    </row>
    <row r="398" spans="1:13" x14ac:dyDescent="0.2">
      <c r="A398" s="4">
        <v>157</v>
      </c>
      <c r="B398" s="4" t="s">
        <v>290</v>
      </c>
      <c r="C398" s="4">
        <v>736</v>
      </c>
      <c r="D398" s="4">
        <v>3.95</v>
      </c>
      <c r="E398" s="4">
        <v>0</v>
      </c>
      <c r="F398" s="4">
        <v>0.28000000000000003</v>
      </c>
      <c r="G398" s="4">
        <v>63.35</v>
      </c>
      <c r="H398" s="4">
        <v>51.6</v>
      </c>
      <c r="I398" s="4">
        <v>0</v>
      </c>
      <c r="J398" s="4" t="s">
        <v>14</v>
      </c>
      <c r="K398" s="4">
        <v>299567.57</v>
      </c>
      <c r="L398" s="4" t="s">
        <v>376</v>
      </c>
      <c r="M398" s="4" t="s">
        <v>141</v>
      </c>
    </row>
    <row r="399" spans="1:13" x14ac:dyDescent="0.2">
      <c r="A399" s="4">
        <v>158</v>
      </c>
      <c r="B399" s="4" t="s">
        <v>291</v>
      </c>
      <c r="C399" s="4">
        <v>1949.4</v>
      </c>
      <c r="D399" s="4">
        <v>3.91</v>
      </c>
      <c r="E399" s="4">
        <v>0</v>
      </c>
      <c r="F399" s="4">
        <v>0.28000000000000003</v>
      </c>
      <c r="G399" s="4">
        <v>164.16</v>
      </c>
      <c r="H399" s="4">
        <v>137.80000000000001</v>
      </c>
      <c r="I399" s="4">
        <v>0</v>
      </c>
      <c r="J399" s="4" t="s">
        <v>14</v>
      </c>
      <c r="K399" s="4">
        <v>693136.06</v>
      </c>
      <c r="L399" s="4" t="s">
        <v>376</v>
      </c>
      <c r="M399" s="4" t="s">
        <v>141</v>
      </c>
    </row>
    <row r="400" spans="1:13" x14ac:dyDescent="0.2">
      <c r="A400" s="4">
        <v>159</v>
      </c>
      <c r="B400" s="4">
        <v>2508</v>
      </c>
      <c r="C400" s="4">
        <v>753.6</v>
      </c>
      <c r="D400" s="4">
        <v>4.34</v>
      </c>
      <c r="E400" s="4">
        <v>0</v>
      </c>
      <c r="F400" s="4">
        <v>0.35</v>
      </c>
      <c r="G400" s="4">
        <v>36.24</v>
      </c>
      <c r="H400" s="4">
        <v>61.4</v>
      </c>
      <c r="I400" s="4">
        <v>0</v>
      </c>
      <c r="J400" s="4" t="s">
        <v>14</v>
      </c>
      <c r="K400" s="4">
        <v>256058.78</v>
      </c>
      <c r="L400" s="4" t="s">
        <v>375</v>
      </c>
      <c r="M400" s="4" t="s">
        <v>38</v>
      </c>
    </row>
    <row r="401" spans="1:13" x14ac:dyDescent="0.2">
      <c r="A401" s="4">
        <v>160</v>
      </c>
      <c r="B401" s="4">
        <v>2509</v>
      </c>
      <c r="C401" s="4">
        <v>919.2</v>
      </c>
      <c r="D401" s="4">
        <v>4.41</v>
      </c>
      <c r="E401" s="4">
        <v>0</v>
      </c>
      <c r="F401" s="4">
        <v>0.33</v>
      </c>
      <c r="G401" s="4">
        <v>45.9</v>
      </c>
      <c r="H401" s="4">
        <v>69.099999999999994</v>
      </c>
      <c r="I401" s="4">
        <v>0</v>
      </c>
      <c r="J401" s="4" t="s">
        <v>14</v>
      </c>
      <c r="K401" s="4">
        <v>314586.52</v>
      </c>
      <c r="L401" s="4" t="s">
        <v>375</v>
      </c>
      <c r="M401" s="4" t="s">
        <v>38</v>
      </c>
    </row>
    <row r="402" spans="1:13" x14ac:dyDescent="0.2">
      <c r="A402" s="4">
        <v>161</v>
      </c>
      <c r="B402" s="4">
        <v>2510</v>
      </c>
      <c r="C402" s="4">
        <v>517.6</v>
      </c>
      <c r="D402" s="4">
        <v>4.46</v>
      </c>
      <c r="E402" s="4">
        <v>0</v>
      </c>
      <c r="F402" s="4">
        <v>0.4</v>
      </c>
      <c r="G402" s="4">
        <v>61.73</v>
      </c>
      <c r="H402" s="4">
        <v>46.3</v>
      </c>
      <c r="I402" s="4">
        <v>0</v>
      </c>
      <c r="J402" s="4" t="s">
        <v>14</v>
      </c>
      <c r="K402" s="4">
        <v>176064.3</v>
      </c>
      <c r="L402" s="4" t="s">
        <v>376</v>
      </c>
      <c r="M402" s="4" t="s">
        <v>38</v>
      </c>
    </row>
    <row r="403" spans="1:13" x14ac:dyDescent="0.2">
      <c r="A403" s="4">
        <v>162</v>
      </c>
      <c r="B403" s="4" t="s">
        <v>292</v>
      </c>
      <c r="C403" s="4">
        <v>1917.4</v>
      </c>
      <c r="D403" s="4">
        <v>3.84</v>
      </c>
      <c r="E403" s="4">
        <v>0</v>
      </c>
      <c r="F403" s="4">
        <v>0.28999999999999998</v>
      </c>
      <c r="G403" s="4">
        <v>156.01</v>
      </c>
      <c r="H403" s="4">
        <v>144.19999999999999</v>
      </c>
      <c r="I403" s="4">
        <v>0</v>
      </c>
      <c r="J403" s="4" t="s">
        <v>14</v>
      </c>
      <c r="K403" s="4">
        <v>689823.21</v>
      </c>
      <c r="L403" s="4" t="s">
        <v>376</v>
      </c>
      <c r="M403" s="4" t="s">
        <v>188</v>
      </c>
    </row>
    <row r="404" spans="1:13" x14ac:dyDescent="0.2">
      <c r="A404" s="4">
        <v>163</v>
      </c>
      <c r="B404" s="4" t="s">
        <v>293</v>
      </c>
      <c r="C404" s="4">
        <v>531.4</v>
      </c>
      <c r="D404" s="4">
        <v>3.56</v>
      </c>
      <c r="E404" s="4">
        <v>0</v>
      </c>
      <c r="F404" s="4">
        <v>0.25</v>
      </c>
      <c r="G404" s="4">
        <v>38.22</v>
      </c>
      <c r="H404" s="4">
        <v>37.5</v>
      </c>
      <c r="I404" s="4">
        <v>0</v>
      </c>
      <c r="J404" s="4" t="s">
        <v>14</v>
      </c>
      <c r="K404" s="4">
        <v>200816.72</v>
      </c>
      <c r="L404" s="4" t="s">
        <v>376</v>
      </c>
      <c r="M404" s="4" t="s">
        <v>188</v>
      </c>
    </row>
    <row r="405" spans="1:13" x14ac:dyDescent="0.2">
      <c r="A405" s="4">
        <v>164</v>
      </c>
      <c r="B405" s="4" t="s">
        <v>294</v>
      </c>
      <c r="C405" s="4">
        <v>1887.6</v>
      </c>
      <c r="D405" s="4">
        <v>3.85</v>
      </c>
      <c r="E405" s="4">
        <v>78.3</v>
      </c>
      <c r="F405" s="4">
        <v>0.2</v>
      </c>
      <c r="G405" s="4">
        <v>125.05</v>
      </c>
      <c r="H405" s="4">
        <v>97</v>
      </c>
      <c r="I405" s="4">
        <v>65</v>
      </c>
      <c r="J405" s="4">
        <v>74.099999999999994</v>
      </c>
      <c r="K405" s="4">
        <v>535749.77</v>
      </c>
      <c r="L405" s="4" t="s">
        <v>375</v>
      </c>
      <c r="M405" s="4" t="s">
        <v>141</v>
      </c>
    </row>
    <row r="406" spans="1:13" x14ac:dyDescent="0.2">
      <c r="A406" s="4">
        <v>165</v>
      </c>
      <c r="B406" s="4" t="s">
        <v>295</v>
      </c>
      <c r="C406" s="4">
        <v>0</v>
      </c>
      <c r="D406" s="4">
        <v>0</v>
      </c>
      <c r="E406" s="4">
        <v>0</v>
      </c>
      <c r="F406" s="4">
        <v>0</v>
      </c>
      <c r="G406" s="4">
        <v>1.35</v>
      </c>
      <c r="H406" s="4">
        <v>0</v>
      </c>
      <c r="I406" s="4">
        <v>2.8</v>
      </c>
      <c r="J406" s="4">
        <v>41</v>
      </c>
      <c r="K406" s="4">
        <v>233786.81</v>
      </c>
      <c r="L406" s="4" t="s">
        <v>296</v>
      </c>
      <c r="M406" s="4" t="s">
        <v>141</v>
      </c>
    </row>
    <row r="407" spans="1:13" x14ac:dyDescent="0.2">
      <c r="A407" s="4">
        <v>166</v>
      </c>
      <c r="B407" s="4" t="s">
        <v>297</v>
      </c>
      <c r="C407" s="4">
        <v>1788.7</v>
      </c>
      <c r="D407" s="4">
        <v>3.58</v>
      </c>
      <c r="E407" s="4">
        <v>77.3</v>
      </c>
      <c r="F407" s="4">
        <v>0.25</v>
      </c>
      <c r="G407" s="4">
        <v>120.82</v>
      </c>
      <c r="H407" s="4">
        <v>126.3</v>
      </c>
      <c r="I407" s="4">
        <v>81.599999999999994</v>
      </c>
      <c r="J407" s="4">
        <v>72</v>
      </c>
      <c r="K407" s="4">
        <v>528391.99</v>
      </c>
      <c r="L407" s="4" t="s">
        <v>375</v>
      </c>
      <c r="M407" s="4" t="s">
        <v>141</v>
      </c>
    </row>
    <row r="408" spans="1:13" x14ac:dyDescent="0.2">
      <c r="A408" s="4">
        <v>167</v>
      </c>
      <c r="B408" s="4" t="s">
        <v>298</v>
      </c>
      <c r="C408" s="4">
        <v>1656.6</v>
      </c>
      <c r="D408" s="4">
        <v>3.32</v>
      </c>
      <c r="E408" s="4">
        <v>0</v>
      </c>
      <c r="F408" s="4">
        <v>0.21</v>
      </c>
      <c r="G408" s="4">
        <v>55.1</v>
      </c>
      <c r="H408" s="4">
        <v>106.6</v>
      </c>
      <c r="I408" s="4">
        <v>0</v>
      </c>
      <c r="J408" s="4" t="s">
        <v>14</v>
      </c>
      <c r="K408" s="4">
        <v>460427.8</v>
      </c>
      <c r="L408" s="4" t="s">
        <v>376</v>
      </c>
      <c r="M408" s="4" t="s">
        <v>55</v>
      </c>
    </row>
    <row r="409" spans="1:13" x14ac:dyDescent="0.2">
      <c r="A409" s="4">
        <v>168</v>
      </c>
      <c r="B409" s="4" t="s">
        <v>299</v>
      </c>
      <c r="C409" s="4">
        <v>1927</v>
      </c>
      <c r="D409" s="4">
        <v>3.86</v>
      </c>
      <c r="E409" s="4">
        <v>0</v>
      </c>
      <c r="F409" s="4">
        <v>0.34</v>
      </c>
      <c r="G409" s="4">
        <v>161.72</v>
      </c>
      <c r="H409" s="4">
        <v>168.2</v>
      </c>
      <c r="I409" s="4">
        <v>0</v>
      </c>
      <c r="J409" s="4" t="s">
        <v>14</v>
      </c>
      <c r="K409" s="4">
        <v>462863.44</v>
      </c>
      <c r="L409" s="4" t="s">
        <v>376</v>
      </c>
      <c r="M409" s="4" t="s">
        <v>16</v>
      </c>
    </row>
    <row r="410" spans="1:13" x14ac:dyDescent="0.2">
      <c r="A410" s="4">
        <v>169</v>
      </c>
      <c r="B410" s="4" t="s">
        <v>300</v>
      </c>
      <c r="C410" s="4">
        <v>1634.7</v>
      </c>
      <c r="D410" s="4">
        <v>3.27</v>
      </c>
      <c r="E410" s="4">
        <v>0</v>
      </c>
      <c r="F410" s="4">
        <v>0.2</v>
      </c>
      <c r="G410" s="4">
        <v>119.38</v>
      </c>
      <c r="H410" s="4">
        <v>100.5</v>
      </c>
      <c r="I410" s="4">
        <v>0</v>
      </c>
      <c r="J410" s="4" t="s">
        <v>14</v>
      </c>
      <c r="K410" s="4">
        <v>489034.23999999999</v>
      </c>
      <c r="L410" s="4" t="s">
        <v>375</v>
      </c>
      <c r="M410" s="4" t="s">
        <v>141</v>
      </c>
    </row>
    <row r="411" spans="1:13" x14ac:dyDescent="0.2">
      <c r="A411" s="4">
        <v>170</v>
      </c>
      <c r="B411" s="4" t="s">
        <v>301</v>
      </c>
      <c r="C411" s="4">
        <v>403.2</v>
      </c>
      <c r="D411" s="4">
        <v>3.58</v>
      </c>
      <c r="E411" s="4">
        <v>69.5</v>
      </c>
      <c r="F411" s="4">
        <v>0.21</v>
      </c>
      <c r="G411" s="4">
        <v>32.15</v>
      </c>
      <c r="H411" s="4">
        <v>23.9</v>
      </c>
      <c r="I411" s="4">
        <v>45.3</v>
      </c>
      <c r="J411" s="4">
        <v>66.8</v>
      </c>
      <c r="K411" s="4">
        <v>116469.28</v>
      </c>
      <c r="L411" s="4" t="s">
        <v>375</v>
      </c>
      <c r="M411" s="4" t="s">
        <v>141</v>
      </c>
    </row>
    <row r="412" spans="1:13" x14ac:dyDescent="0.2">
      <c r="A412" s="4">
        <v>171</v>
      </c>
      <c r="B412" s="4" t="s">
        <v>302</v>
      </c>
      <c r="C412" s="4">
        <v>178</v>
      </c>
      <c r="D412" s="4">
        <v>2.72</v>
      </c>
      <c r="E412" s="4">
        <v>0</v>
      </c>
      <c r="F412" s="4">
        <v>0.22</v>
      </c>
      <c r="G412" s="4">
        <v>14.4</v>
      </c>
      <c r="H412" s="4">
        <v>14.4</v>
      </c>
      <c r="I412" s="4">
        <v>0</v>
      </c>
      <c r="J412" s="4" t="s">
        <v>14</v>
      </c>
      <c r="K412" s="4">
        <v>57137.24</v>
      </c>
      <c r="L412" s="4" t="s">
        <v>376</v>
      </c>
      <c r="M412" s="4" t="s">
        <v>141</v>
      </c>
    </row>
    <row r="413" spans="1:13" x14ac:dyDescent="0.2">
      <c r="A413" s="4">
        <v>172</v>
      </c>
      <c r="B413" s="4" t="s">
        <v>303</v>
      </c>
      <c r="C413" s="4">
        <v>326.2</v>
      </c>
      <c r="D413" s="4">
        <v>3.86</v>
      </c>
      <c r="E413" s="4">
        <v>66.5</v>
      </c>
      <c r="F413" s="4">
        <v>0.37</v>
      </c>
      <c r="G413" s="4">
        <v>32.07</v>
      </c>
      <c r="H413" s="4">
        <v>31</v>
      </c>
      <c r="I413" s="4">
        <v>63.3</v>
      </c>
      <c r="J413" s="4">
        <v>63.1</v>
      </c>
      <c r="K413" s="4">
        <v>81555.55</v>
      </c>
      <c r="L413" s="4" t="s">
        <v>376</v>
      </c>
      <c r="M413" s="4" t="s">
        <v>141</v>
      </c>
    </row>
    <row r="414" spans="1:13" x14ac:dyDescent="0.2">
      <c r="A414" s="4">
        <v>173</v>
      </c>
      <c r="B414" s="4" t="s">
        <v>304</v>
      </c>
      <c r="C414" s="4">
        <v>377.3</v>
      </c>
      <c r="D414" s="4">
        <v>4.28</v>
      </c>
      <c r="E414" s="4">
        <v>0</v>
      </c>
      <c r="F414" s="4">
        <v>0.34</v>
      </c>
      <c r="G414" s="4">
        <v>32.9</v>
      </c>
      <c r="H414" s="4">
        <v>30.3</v>
      </c>
      <c r="I414" s="4">
        <v>0</v>
      </c>
      <c r="J414" s="4" t="s">
        <v>14</v>
      </c>
      <c r="K414" s="4">
        <v>110475.26</v>
      </c>
      <c r="L414" s="4" t="s">
        <v>376</v>
      </c>
      <c r="M414" s="4" t="s">
        <v>141</v>
      </c>
    </row>
    <row r="415" spans="1:13" x14ac:dyDescent="0.2">
      <c r="A415" s="4">
        <v>174</v>
      </c>
      <c r="B415" s="4" t="s">
        <v>305</v>
      </c>
      <c r="C415" s="4">
        <v>359.5</v>
      </c>
      <c r="D415" s="4">
        <v>4.3600000000000003</v>
      </c>
      <c r="E415" s="4">
        <v>0</v>
      </c>
      <c r="F415" s="4">
        <v>0.34</v>
      </c>
      <c r="G415" s="4">
        <v>28.54</v>
      </c>
      <c r="H415" s="4">
        <v>27.7</v>
      </c>
      <c r="I415" s="4">
        <v>0</v>
      </c>
      <c r="J415" s="4" t="s">
        <v>14</v>
      </c>
      <c r="K415" s="4">
        <v>105514.84</v>
      </c>
      <c r="L415" s="4" t="s">
        <v>375</v>
      </c>
      <c r="M415" s="4" t="s">
        <v>141</v>
      </c>
    </row>
    <row r="416" spans="1:13" x14ac:dyDescent="0.2">
      <c r="A416" s="4">
        <v>175</v>
      </c>
      <c r="B416" s="4" t="s">
        <v>306</v>
      </c>
      <c r="C416" s="4">
        <v>368</v>
      </c>
      <c r="D416" s="4">
        <v>4.3</v>
      </c>
      <c r="E416" s="4">
        <v>0</v>
      </c>
      <c r="F416" s="4">
        <v>0.34</v>
      </c>
      <c r="G416" s="4">
        <v>29.62</v>
      </c>
      <c r="H416" s="4">
        <v>28.8</v>
      </c>
      <c r="I416" s="4">
        <v>0</v>
      </c>
      <c r="J416" s="4" t="s">
        <v>14</v>
      </c>
      <c r="K416" s="4">
        <v>109290.76</v>
      </c>
      <c r="L416" s="4" t="s">
        <v>375</v>
      </c>
      <c r="M416" s="4" t="s">
        <v>141</v>
      </c>
    </row>
    <row r="417" spans="1:13" x14ac:dyDescent="0.2">
      <c r="A417" s="4">
        <v>176</v>
      </c>
      <c r="B417" s="4" t="s">
        <v>307</v>
      </c>
      <c r="C417" s="4">
        <v>63.2</v>
      </c>
      <c r="D417" s="4">
        <v>3.51</v>
      </c>
      <c r="E417" s="4">
        <v>78.400000000000006</v>
      </c>
      <c r="F417" s="4">
        <v>0.21</v>
      </c>
      <c r="G417" s="4">
        <v>5.25</v>
      </c>
      <c r="H417" s="4">
        <v>3.7</v>
      </c>
      <c r="I417" s="4">
        <v>60.7</v>
      </c>
      <c r="J417" s="4">
        <v>71.8</v>
      </c>
      <c r="K417" s="4">
        <v>19245.23</v>
      </c>
      <c r="L417" s="4" t="s">
        <v>376</v>
      </c>
      <c r="M417" s="4" t="s">
        <v>141</v>
      </c>
    </row>
    <row r="418" spans="1:13" x14ac:dyDescent="0.2">
      <c r="A418" s="4">
        <v>177</v>
      </c>
      <c r="B418" s="4" t="s">
        <v>308</v>
      </c>
      <c r="C418" s="4">
        <v>1655.8</v>
      </c>
      <c r="D418" s="4">
        <v>3.7</v>
      </c>
      <c r="E418" s="4">
        <v>85.2</v>
      </c>
      <c r="F418" s="4">
        <v>0.27</v>
      </c>
      <c r="G418" s="4">
        <v>46.21</v>
      </c>
      <c r="H418" s="4">
        <v>120.2</v>
      </c>
      <c r="I418" s="4">
        <v>77.400000000000006</v>
      </c>
      <c r="J418" s="4">
        <v>85.8</v>
      </c>
      <c r="K418" s="4">
        <v>105161.87</v>
      </c>
      <c r="L418" s="4" t="s">
        <v>376</v>
      </c>
      <c r="M418" s="4" t="s">
        <v>55</v>
      </c>
    </row>
    <row r="419" spans="1:13" x14ac:dyDescent="0.2">
      <c r="A419" s="4">
        <v>178</v>
      </c>
      <c r="B419" s="4" t="s">
        <v>309</v>
      </c>
      <c r="C419" s="4">
        <v>1345.8</v>
      </c>
      <c r="D419" s="4">
        <v>3.87</v>
      </c>
      <c r="E419" s="4">
        <v>82.3</v>
      </c>
      <c r="F419" s="4">
        <v>0.33</v>
      </c>
      <c r="G419" s="4">
        <v>117.45</v>
      </c>
      <c r="H419" s="4">
        <v>113.5</v>
      </c>
      <c r="I419" s="4">
        <v>73.7</v>
      </c>
      <c r="J419" s="4">
        <v>76.8</v>
      </c>
      <c r="K419" s="4">
        <v>419021.37</v>
      </c>
      <c r="L419" s="4" t="s">
        <v>376</v>
      </c>
      <c r="M419" s="4" t="s">
        <v>141</v>
      </c>
    </row>
    <row r="420" spans="1:13" x14ac:dyDescent="0.2">
      <c r="A420" s="4">
        <v>179</v>
      </c>
      <c r="B420" s="4" t="s">
        <v>310</v>
      </c>
      <c r="C420" s="4">
        <v>0</v>
      </c>
      <c r="D420" s="4">
        <v>0</v>
      </c>
      <c r="E420" s="4">
        <v>0</v>
      </c>
      <c r="F420" s="4">
        <v>0</v>
      </c>
      <c r="G420" s="4">
        <v>26.8</v>
      </c>
      <c r="H420" s="4">
        <v>0</v>
      </c>
      <c r="I420" s="4">
        <v>93.3</v>
      </c>
      <c r="J420" s="4">
        <v>63</v>
      </c>
      <c r="K420" s="4">
        <v>50651.65</v>
      </c>
      <c r="L420" s="4" t="s">
        <v>311</v>
      </c>
      <c r="M420" s="4" t="s">
        <v>91</v>
      </c>
    </row>
    <row r="421" spans="1:13" x14ac:dyDescent="0.2">
      <c r="A421" s="4">
        <v>180</v>
      </c>
      <c r="B421" s="4" t="s">
        <v>312</v>
      </c>
      <c r="C421" s="4">
        <v>430.6</v>
      </c>
      <c r="D421" s="4">
        <v>4.6900000000000004</v>
      </c>
      <c r="E421" s="4">
        <v>87.9</v>
      </c>
      <c r="F421" s="4">
        <v>0.31</v>
      </c>
      <c r="G421" s="4">
        <v>28.31</v>
      </c>
      <c r="H421" s="4">
        <v>28.9</v>
      </c>
      <c r="I421" s="4">
        <v>93.1</v>
      </c>
      <c r="J421" s="4">
        <v>63.3</v>
      </c>
      <c r="K421" s="4">
        <v>27809.15</v>
      </c>
      <c r="L421" s="4" t="s">
        <v>375</v>
      </c>
      <c r="M421" s="4" t="s">
        <v>91</v>
      </c>
    </row>
    <row r="422" spans="1:13" x14ac:dyDescent="0.2">
      <c r="A422" s="4">
        <v>181</v>
      </c>
      <c r="B422" s="4" t="s">
        <v>313</v>
      </c>
      <c r="C422" s="4">
        <v>1794.9</v>
      </c>
      <c r="D422" s="4">
        <v>3.59</v>
      </c>
      <c r="E422" s="4">
        <v>74</v>
      </c>
      <c r="F422" s="4">
        <v>0.24</v>
      </c>
      <c r="G422" s="4">
        <v>138.72</v>
      </c>
      <c r="H422" s="4">
        <v>121.5</v>
      </c>
      <c r="I422" s="4">
        <v>69.3</v>
      </c>
      <c r="J422" s="4">
        <v>69.599999999999994</v>
      </c>
      <c r="K422" s="4">
        <v>472403.48</v>
      </c>
      <c r="L422" s="4" t="s">
        <v>375</v>
      </c>
      <c r="M422" s="4" t="s">
        <v>141</v>
      </c>
    </row>
    <row r="423" spans="1:13" x14ac:dyDescent="0.2">
      <c r="A423" s="4">
        <v>182</v>
      </c>
      <c r="B423" s="4" t="s">
        <v>314</v>
      </c>
      <c r="C423" s="4">
        <v>1260.3</v>
      </c>
      <c r="D423" s="4">
        <v>3.27</v>
      </c>
      <c r="E423" s="4">
        <v>66.599999999999994</v>
      </c>
      <c r="F423" s="4">
        <v>0.27</v>
      </c>
      <c r="G423" s="4">
        <v>115.97</v>
      </c>
      <c r="H423" s="4">
        <v>105.4</v>
      </c>
      <c r="I423" s="4">
        <v>69.599999999999994</v>
      </c>
      <c r="J423" s="4">
        <v>65.8</v>
      </c>
      <c r="K423" s="4">
        <v>382843.11</v>
      </c>
      <c r="L423" s="4" t="s">
        <v>376</v>
      </c>
      <c r="M423" s="4" t="s">
        <v>141</v>
      </c>
    </row>
    <row r="424" spans="1:13" x14ac:dyDescent="0.2">
      <c r="A424" s="4">
        <v>183</v>
      </c>
      <c r="B424" s="4" t="s">
        <v>315</v>
      </c>
      <c r="C424" s="4">
        <v>1034.4000000000001</v>
      </c>
      <c r="D424" s="4">
        <v>3.5</v>
      </c>
      <c r="E424" s="4">
        <v>0</v>
      </c>
      <c r="F424" s="4">
        <v>0.23</v>
      </c>
      <c r="G424" s="4">
        <v>34.18</v>
      </c>
      <c r="H424" s="4">
        <v>66.599999999999994</v>
      </c>
      <c r="I424" s="4">
        <v>0</v>
      </c>
      <c r="J424" s="4" t="s">
        <v>14</v>
      </c>
      <c r="K424" s="4">
        <v>276676.94</v>
      </c>
      <c r="L424" s="4" t="s">
        <v>376</v>
      </c>
      <c r="M424" s="4" t="s">
        <v>55</v>
      </c>
    </row>
    <row r="425" spans="1:13" x14ac:dyDescent="0.2">
      <c r="A425" s="4">
        <v>184</v>
      </c>
      <c r="B425" s="4" t="s">
        <v>316</v>
      </c>
      <c r="C425" s="4">
        <v>131</v>
      </c>
      <c r="D425" s="4">
        <v>3.53</v>
      </c>
      <c r="E425" s="4">
        <v>83</v>
      </c>
      <c r="F425" s="4">
        <v>0.18</v>
      </c>
      <c r="G425" s="4">
        <v>9.76</v>
      </c>
      <c r="H425" s="4">
        <v>6.5</v>
      </c>
      <c r="I425" s="4">
        <v>67.400000000000006</v>
      </c>
      <c r="J425" s="4">
        <v>73.7</v>
      </c>
      <c r="K425" s="4">
        <v>44154.27</v>
      </c>
      <c r="L425" s="4" t="s">
        <v>375</v>
      </c>
      <c r="M425" s="4" t="s">
        <v>16</v>
      </c>
    </row>
    <row r="426" spans="1:13" x14ac:dyDescent="0.2">
      <c r="A426" s="4">
        <v>185</v>
      </c>
      <c r="B426" s="4" t="s">
        <v>317</v>
      </c>
      <c r="C426" s="4">
        <v>401.2</v>
      </c>
      <c r="D426" s="4">
        <v>4.05</v>
      </c>
      <c r="E426" s="4">
        <v>0</v>
      </c>
      <c r="F426" s="4">
        <v>0.15</v>
      </c>
      <c r="G426" s="4">
        <v>19.440000000000001</v>
      </c>
      <c r="H426" s="4">
        <v>15.3</v>
      </c>
      <c r="I426" s="4">
        <v>0</v>
      </c>
      <c r="J426" s="4" t="s">
        <v>14</v>
      </c>
      <c r="K426" s="4">
        <v>121445.8</v>
      </c>
      <c r="L426" s="4" t="s">
        <v>375</v>
      </c>
      <c r="M426" s="4" t="s">
        <v>318</v>
      </c>
    </row>
    <row r="427" spans="1:13" x14ac:dyDescent="0.2">
      <c r="A427" s="4">
        <v>186</v>
      </c>
      <c r="B427" s="4" t="s">
        <v>319</v>
      </c>
      <c r="C427" s="4">
        <v>326.10000000000002</v>
      </c>
      <c r="D427" s="4">
        <v>4.1500000000000004</v>
      </c>
      <c r="E427" s="4">
        <v>86.1</v>
      </c>
      <c r="F427" s="4">
        <v>0.2</v>
      </c>
      <c r="G427" s="4">
        <v>39.29</v>
      </c>
      <c r="H427" s="4">
        <v>15.8</v>
      </c>
      <c r="I427" s="4">
        <v>70.3</v>
      </c>
      <c r="J427" s="4">
        <v>78.400000000000006</v>
      </c>
      <c r="K427" s="4">
        <v>95374.98</v>
      </c>
      <c r="L427" s="4" t="s">
        <v>376</v>
      </c>
      <c r="M427" s="4" t="s">
        <v>318</v>
      </c>
    </row>
    <row r="428" spans="1:13" x14ac:dyDescent="0.2">
      <c r="A428" s="4">
        <v>187</v>
      </c>
      <c r="B428" s="4" t="s">
        <v>320</v>
      </c>
      <c r="C428" s="4">
        <v>283.8</v>
      </c>
      <c r="D428" s="4">
        <v>2.87</v>
      </c>
      <c r="E428" s="4">
        <v>83.8</v>
      </c>
      <c r="F428" s="4">
        <v>0.22</v>
      </c>
      <c r="G428" s="4">
        <v>17.420000000000002</v>
      </c>
      <c r="H428" s="4">
        <v>22</v>
      </c>
      <c r="I428" s="4">
        <v>80.3</v>
      </c>
      <c r="J428" s="4">
        <v>77</v>
      </c>
      <c r="K428" s="4">
        <v>124113.14</v>
      </c>
      <c r="L428" s="4" t="s">
        <v>376</v>
      </c>
      <c r="M428" s="4" t="s">
        <v>318</v>
      </c>
    </row>
    <row r="429" spans="1:13" x14ac:dyDescent="0.2">
      <c r="A429" s="4">
        <v>188</v>
      </c>
      <c r="B429" s="4" t="s">
        <v>321</v>
      </c>
      <c r="C429" s="4">
        <v>350.4</v>
      </c>
      <c r="D429" s="4">
        <v>3.54</v>
      </c>
      <c r="E429" s="4">
        <v>0</v>
      </c>
      <c r="F429" s="4">
        <v>0.23</v>
      </c>
      <c r="G429" s="4">
        <v>21.76</v>
      </c>
      <c r="H429" s="4">
        <v>22.6</v>
      </c>
      <c r="I429" s="4">
        <v>0</v>
      </c>
      <c r="J429" s="4" t="s">
        <v>14</v>
      </c>
      <c r="K429" s="4">
        <v>125001.92</v>
      </c>
      <c r="L429" s="4" t="s">
        <v>376</v>
      </c>
      <c r="M429" s="4" t="s">
        <v>318</v>
      </c>
    </row>
    <row r="430" spans="1:13" x14ac:dyDescent="0.2">
      <c r="A430" s="4">
        <v>189</v>
      </c>
      <c r="B430" s="4" t="s">
        <v>322</v>
      </c>
      <c r="C430" s="4">
        <v>417.2</v>
      </c>
      <c r="D430" s="4">
        <v>4.05</v>
      </c>
      <c r="E430" s="4">
        <v>0</v>
      </c>
      <c r="F430" s="4">
        <v>0.23</v>
      </c>
      <c r="G430" s="4">
        <v>29.03</v>
      </c>
      <c r="H430" s="4">
        <v>23.4</v>
      </c>
      <c r="I430" s="4">
        <v>0</v>
      </c>
      <c r="J430" s="4" t="s">
        <v>14</v>
      </c>
      <c r="K430" s="4">
        <v>90395.57</v>
      </c>
      <c r="L430" s="4" t="s">
        <v>375</v>
      </c>
      <c r="M430" s="4" t="s">
        <v>141</v>
      </c>
    </row>
    <row r="431" spans="1:13" x14ac:dyDescent="0.2">
      <c r="A431" s="4">
        <v>190</v>
      </c>
      <c r="B431" s="4" t="s">
        <v>323</v>
      </c>
      <c r="C431" s="4">
        <v>325.5</v>
      </c>
      <c r="D431" s="4">
        <v>3.77</v>
      </c>
      <c r="E431" s="4">
        <v>0</v>
      </c>
      <c r="F431" s="4">
        <v>0.16</v>
      </c>
      <c r="G431" s="4">
        <v>10.7</v>
      </c>
      <c r="H431" s="4">
        <v>13.7</v>
      </c>
      <c r="I431" s="4">
        <v>0</v>
      </c>
      <c r="J431" s="4" t="s">
        <v>14</v>
      </c>
      <c r="K431" s="4">
        <v>110948.85</v>
      </c>
      <c r="L431" s="4" t="s">
        <v>375</v>
      </c>
      <c r="M431" s="4" t="s">
        <v>141</v>
      </c>
    </row>
    <row r="432" spans="1:13" x14ac:dyDescent="0.2">
      <c r="A432" s="4">
        <v>191</v>
      </c>
      <c r="B432" s="4" t="s">
        <v>324</v>
      </c>
      <c r="C432" s="4">
        <v>863.6</v>
      </c>
      <c r="D432" s="4">
        <v>3.93</v>
      </c>
      <c r="E432" s="4">
        <v>0</v>
      </c>
      <c r="F432" s="4">
        <v>0.25</v>
      </c>
      <c r="G432" s="4">
        <v>71.959999999999994</v>
      </c>
      <c r="H432" s="4">
        <v>55.6</v>
      </c>
      <c r="I432" s="4">
        <v>0</v>
      </c>
      <c r="J432" s="4" t="s">
        <v>14</v>
      </c>
      <c r="K432" s="4">
        <v>276052.67</v>
      </c>
      <c r="L432" s="4" t="s">
        <v>376</v>
      </c>
      <c r="M432" s="4" t="s">
        <v>141</v>
      </c>
    </row>
    <row r="433" spans="1:13" x14ac:dyDescent="0.2">
      <c r="A433" s="4">
        <v>192</v>
      </c>
      <c r="B433" s="4" t="s">
        <v>325</v>
      </c>
      <c r="C433" s="4">
        <v>371.5</v>
      </c>
      <c r="D433" s="4">
        <v>3.85</v>
      </c>
      <c r="E433" s="4">
        <v>0</v>
      </c>
      <c r="F433" s="4">
        <v>0.17</v>
      </c>
      <c r="G433" s="4">
        <v>15.83</v>
      </c>
      <c r="H433" s="4">
        <v>16.5</v>
      </c>
      <c r="I433" s="4">
        <v>0</v>
      </c>
      <c r="J433" s="4" t="s">
        <v>14</v>
      </c>
      <c r="K433" s="4">
        <v>77246.350000000006</v>
      </c>
      <c r="L433" s="4" t="s">
        <v>376</v>
      </c>
      <c r="M433" s="4" t="s">
        <v>141</v>
      </c>
    </row>
    <row r="434" spans="1:13" x14ac:dyDescent="0.2">
      <c r="A434" s="4">
        <v>193</v>
      </c>
      <c r="B434" s="4" t="s">
        <v>326</v>
      </c>
      <c r="C434" s="4">
        <v>266.2</v>
      </c>
      <c r="D434" s="4">
        <v>2.96</v>
      </c>
      <c r="E434" s="4">
        <v>0</v>
      </c>
      <c r="F434" s="4">
        <v>0.23</v>
      </c>
      <c r="G434" s="4">
        <v>26.04</v>
      </c>
      <c r="H434" s="4">
        <v>20.7</v>
      </c>
      <c r="I434" s="4">
        <v>0</v>
      </c>
      <c r="J434" s="4" t="s">
        <v>14</v>
      </c>
      <c r="K434" s="4">
        <v>100455.94</v>
      </c>
      <c r="L434" s="4" t="s">
        <v>376</v>
      </c>
      <c r="M434" s="4" t="s">
        <v>141</v>
      </c>
    </row>
    <row r="435" spans="1:13" x14ac:dyDescent="0.2">
      <c r="A435" s="4">
        <v>194</v>
      </c>
      <c r="B435" s="4" t="s">
        <v>327</v>
      </c>
      <c r="C435" s="4">
        <v>948.9</v>
      </c>
      <c r="D435" s="4">
        <v>4.07</v>
      </c>
      <c r="E435" s="4">
        <v>0</v>
      </c>
      <c r="F435" s="4">
        <v>0.28999999999999998</v>
      </c>
      <c r="G435" s="4">
        <v>74.12</v>
      </c>
      <c r="H435" s="4">
        <v>68.599999999999994</v>
      </c>
      <c r="I435" s="4">
        <v>0</v>
      </c>
      <c r="J435" s="4" t="s">
        <v>14</v>
      </c>
      <c r="K435" s="4">
        <v>203889.39</v>
      </c>
      <c r="L435" s="4" t="s">
        <v>375</v>
      </c>
      <c r="M435" s="4" t="s">
        <v>141</v>
      </c>
    </row>
    <row r="436" spans="1:13" x14ac:dyDescent="0.2">
      <c r="A436" s="4">
        <v>195</v>
      </c>
      <c r="B436" s="4" t="s">
        <v>328</v>
      </c>
      <c r="C436" s="4">
        <v>668.7</v>
      </c>
      <c r="D436" s="4">
        <v>4.13</v>
      </c>
      <c r="E436" s="4">
        <v>0</v>
      </c>
      <c r="F436" s="4">
        <v>0.3</v>
      </c>
      <c r="G436" s="4">
        <v>51.71</v>
      </c>
      <c r="H436" s="4">
        <v>49.3</v>
      </c>
      <c r="I436" s="4">
        <v>0</v>
      </c>
      <c r="J436" s="4" t="s">
        <v>14</v>
      </c>
      <c r="K436" s="4">
        <v>165440.5</v>
      </c>
      <c r="L436" s="4" t="s">
        <v>375</v>
      </c>
      <c r="M436" s="4" t="s">
        <v>141</v>
      </c>
    </row>
    <row r="437" spans="1:13" x14ac:dyDescent="0.2">
      <c r="A437" s="4">
        <v>196</v>
      </c>
      <c r="B437" s="4" t="s">
        <v>329</v>
      </c>
      <c r="C437" s="4">
        <v>855.7</v>
      </c>
      <c r="D437" s="4">
        <v>3.93</v>
      </c>
      <c r="E437" s="4">
        <v>0</v>
      </c>
      <c r="F437" s="4">
        <v>0.33</v>
      </c>
      <c r="G437" s="4">
        <v>75.17</v>
      </c>
      <c r="H437" s="4">
        <v>71.599999999999994</v>
      </c>
      <c r="I437" s="4">
        <v>0</v>
      </c>
      <c r="J437" s="4" t="s">
        <v>14</v>
      </c>
      <c r="K437" s="4">
        <v>272547.67</v>
      </c>
      <c r="L437" s="4" t="s">
        <v>376</v>
      </c>
      <c r="M437" s="4" t="s">
        <v>141</v>
      </c>
    </row>
    <row r="438" spans="1:13" x14ac:dyDescent="0.2">
      <c r="A438" s="4">
        <v>197</v>
      </c>
      <c r="B438" s="4" t="s">
        <v>330</v>
      </c>
      <c r="C438" s="4">
        <v>970.4</v>
      </c>
      <c r="D438" s="4">
        <v>3.96</v>
      </c>
      <c r="E438" s="4">
        <v>0</v>
      </c>
      <c r="F438" s="4">
        <v>0.33</v>
      </c>
      <c r="G438" s="4">
        <v>85.1</v>
      </c>
      <c r="H438" s="4">
        <v>80.099999999999994</v>
      </c>
      <c r="I438" s="4">
        <v>0</v>
      </c>
      <c r="J438" s="4" t="s">
        <v>14</v>
      </c>
      <c r="K438" s="4">
        <v>306980.24</v>
      </c>
      <c r="L438" s="4" t="s">
        <v>376</v>
      </c>
      <c r="M438" s="4" t="s">
        <v>141</v>
      </c>
    </row>
    <row r="439" spans="1:13" x14ac:dyDescent="0.2">
      <c r="A439" s="4">
        <v>198</v>
      </c>
      <c r="B439" s="4" t="s">
        <v>331</v>
      </c>
      <c r="C439" s="4">
        <v>947.3</v>
      </c>
      <c r="D439" s="4">
        <v>3.91</v>
      </c>
      <c r="E439" s="4">
        <v>80.099999999999994</v>
      </c>
      <c r="F439" s="4">
        <v>0.26</v>
      </c>
      <c r="G439" s="4">
        <v>77.91</v>
      </c>
      <c r="H439" s="4">
        <v>63</v>
      </c>
      <c r="I439" s="4">
        <v>78.2</v>
      </c>
      <c r="J439" s="4">
        <v>74.3</v>
      </c>
      <c r="K439" s="4">
        <v>337211.15</v>
      </c>
      <c r="L439" s="4" t="s">
        <v>376</v>
      </c>
      <c r="M439" s="4" t="s">
        <v>141</v>
      </c>
    </row>
    <row r="440" spans="1:13" x14ac:dyDescent="0.2">
      <c r="A440" s="4">
        <v>199</v>
      </c>
      <c r="B440" s="4" t="s">
        <v>332</v>
      </c>
      <c r="C440" s="4">
        <v>485.9</v>
      </c>
      <c r="D440" s="4">
        <v>3.86</v>
      </c>
      <c r="E440" s="4">
        <v>0</v>
      </c>
      <c r="F440" s="4">
        <v>0.23</v>
      </c>
      <c r="G440" s="4">
        <v>37.479999999999997</v>
      </c>
      <c r="H440" s="4">
        <v>29</v>
      </c>
      <c r="I440" s="4">
        <v>0</v>
      </c>
      <c r="J440" s="4" t="s">
        <v>14</v>
      </c>
      <c r="K440" s="4">
        <v>137864.13</v>
      </c>
      <c r="L440" s="4" t="s">
        <v>375</v>
      </c>
      <c r="M440" s="4" t="s">
        <v>141</v>
      </c>
    </row>
    <row r="441" spans="1:13" x14ac:dyDescent="0.2">
      <c r="A441" s="4">
        <v>200</v>
      </c>
      <c r="B441" s="4" t="s">
        <v>333</v>
      </c>
      <c r="C441" s="4">
        <v>607.9</v>
      </c>
      <c r="D441" s="4">
        <v>3.9</v>
      </c>
      <c r="E441" s="4">
        <v>0</v>
      </c>
      <c r="F441" s="4">
        <v>0.23</v>
      </c>
      <c r="G441" s="4">
        <v>46.63</v>
      </c>
      <c r="H441" s="4">
        <v>36.5</v>
      </c>
      <c r="I441" s="4">
        <v>0</v>
      </c>
      <c r="J441" s="4" t="s">
        <v>14</v>
      </c>
      <c r="K441" s="4">
        <v>216958.61</v>
      </c>
      <c r="L441" s="4" t="s">
        <v>375</v>
      </c>
      <c r="M441" s="4" t="s">
        <v>141</v>
      </c>
    </row>
    <row r="442" spans="1:13" x14ac:dyDescent="0.2">
      <c r="A442" s="4">
        <v>208</v>
      </c>
      <c r="B442" s="4" t="s">
        <v>334</v>
      </c>
      <c r="C442" s="4">
        <v>670.8</v>
      </c>
      <c r="D442" s="4">
        <v>3.88</v>
      </c>
      <c r="E442" s="4">
        <v>81.8</v>
      </c>
      <c r="F442" s="4">
        <v>0.25</v>
      </c>
      <c r="G442" s="4">
        <v>56.23</v>
      </c>
      <c r="H442" s="4">
        <v>42.7</v>
      </c>
      <c r="I442" s="4">
        <v>77</v>
      </c>
      <c r="J442" s="4">
        <v>75.099999999999994</v>
      </c>
      <c r="K442" s="4">
        <v>234887.97</v>
      </c>
      <c r="L442" s="4" t="s">
        <v>376</v>
      </c>
      <c r="M442" s="4" t="s">
        <v>141</v>
      </c>
    </row>
    <row r="443" spans="1:13" x14ac:dyDescent="0.2">
      <c r="A443" s="4">
        <v>209</v>
      </c>
      <c r="B443" s="4" t="s">
        <v>335</v>
      </c>
      <c r="C443" s="4">
        <v>1017.4</v>
      </c>
      <c r="D443" s="4">
        <v>3.79</v>
      </c>
      <c r="E443" s="4">
        <v>79</v>
      </c>
      <c r="F443" s="4">
        <v>0.22</v>
      </c>
      <c r="G443" s="4">
        <v>70.83</v>
      </c>
      <c r="H443" s="4">
        <v>58.9</v>
      </c>
      <c r="I443" s="4">
        <v>77.3</v>
      </c>
      <c r="J443" s="4">
        <v>72.400000000000006</v>
      </c>
      <c r="K443" s="4">
        <v>357195.97</v>
      </c>
      <c r="L443" s="4" t="s">
        <v>375</v>
      </c>
      <c r="M443" s="4" t="s">
        <v>141</v>
      </c>
    </row>
    <row r="444" spans="1:13" x14ac:dyDescent="0.2">
      <c r="A444" s="4">
        <v>210</v>
      </c>
      <c r="B444" s="4" t="s">
        <v>336</v>
      </c>
      <c r="C444" s="4">
        <v>1171.2</v>
      </c>
      <c r="D444" s="4">
        <v>3.88</v>
      </c>
      <c r="E444" s="4">
        <v>0</v>
      </c>
      <c r="F444" s="4">
        <v>0.23</v>
      </c>
      <c r="G444" s="4">
        <v>82.46</v>
      </c>
      <c r="H444" s="4">
        <v>69</v>
      </c>
      <c r="I444" s="4">
        <v>0</v>
      </c>
      <c r="J444" s="4" t="s">
        <v>14</v>
      </c>
      <c r="K444" s="4">
        <v>411302.63</v>
      </c>
      <c r="L444" s="4" t="s">
        <v>375</v>
      </c>
      <c r="M444" s="4" t="s">
        <v>141</v>
      </c>
    </row>
    <row r="445" spans="1:13" x14ac:dyDescent="0.2">
      <c r="A445" s="4">
        <v>211</v>
      </c>
      <c r="B445" s="4" t="s">
        <v>337</v>
      </c>
      <c r="C445" s="4">
        <v>482.4</v>
      </c>
      <c r="D445" s="4">
        <v>3.94</v>
      </c>
      <c r="E445" s="4">
        <v>0</v>
      </c>
      <c r="F445" s="4">
        <v>0.25</v>
      </c>
      <c r="G445" s="4">
        <v>40.56</v>
      </c>
      <c r="H445" s="4">
        <v>30.7</v>
      </c>
      <c r="I445" s="4">
        <v>0</v>
      </c>
      <c r="J445" s="4" t="s">
        <v>14</v>
      </c>
      <c r="K445" s="4">
        <v>137915.62</v>
      </c>
      <c r="L445" s="4" t="s">
        <v>376</v>
      </c>
      <c r="M445" s="4" t="s">
        <v>141</v>
      </c>
    </row>
    <row r="446" spans="1:13" x14ac:dyDescent="0.2">
      <c r="A446" s="4">
        <v>212</v>
      </c>
      <c r="B446" s="4" t="s">
        <v>338</v>
      </c>
      <c r="C446" s="4">
        <v>381.7</v>
      </c>
      <c r="D446" s="4">
        <v>4.0999999999999996</v>
      </c>
      <c r="E446" s="4">
        <v>100</v>
      </c>
      <c r="F446" s="4">
        <v>0.28000000000000003</v>
      </c>
      <c r="G446" s="4">
        <v>8.94</v>
      </c>
      <c r="H446" s="4">
        <v>26.1</v>
      </c>
      <c r="I446" s="4">
        <v>100</v>
      </c>
      <c r="J446" s="4">
        <v>90</v>
      </c>
      <c r="K446" s="4">
        <v>63544.9</v>
      </c>
      <c r="L446" s="4" t="s">
        <v>376</v>
      </c>
      <c r="M446" s="4" t="s">
        <v>16</v>
      </c>
    </row>
    <row r="447" spans="1:13" x14ac:dyDescent="0.2">
      <c r="A447" s="4">
        <v>213</v>
      </c>
      <c r="B447" s="4" t="s">
        <v>339</v>
      </c>
      <c r="C447" s="4">
        <v>408</v>
      </c>
      <c r="D447" s="4">
        <v>4.2</v>
      </c>
      <c r="E447" s="4">
        <v>87.7</v>
      </c>
      <c r="F447" s="4">
        <v>0.22</v>
      </c>
      <c r="G447" s="4">
        <v>10.3</v>
      </c>
      <c r="H447" s="4">
        <v>21.5</v>
      </c>
      <c r="I447" s="4">
        <v>85</v>
      </c>
      <c r="J447" s="4">
        <v>81</v>
      </c>
      <c r="K447" s="4">
        <v>60672.94</v>
      </c>
      <c r="L447" s="4" t="s">
        <v>376</v>
      </c>
      <c r="M447" s="4" t="s">
        <v>16</v>
      </c>
    </row>
    <row r="448" spans="1:13" x14ac:dyDescent="0.2">
      <c r="A448" s="4">
        <v>214</v>
      </c>
      <c r="B448" s="4" t="s">
        <v>340</v>
      </c>
      <c r="C448" s="4">
        <v>406.6</v>
      </c>
      <c r="D448" s="4">
        <v>4.18</v>
      </c>
      <c r="E448" s="4">
        <v>85</v>
      </c>
      <c r="F448" s="4">
        <v>0.24</v>
      </c>
      <c r="G448" s="4">
        <v>10.050000000000001</v>
      </c>
      <c r="H448" s="4">
        <v>23.2</v>
      </c>
      <c r="I448" s="4">
        <v>90</v>
      </c>
      <c r="J448" s="4">
        <v>79</v>
      </c>
      <c r="K448" s="4">
        <v>63449.01</v>
      </c>
      <c r="L448" s="4" t="s">
        <v>375</v>
      </c>
      <c r="M448" s="4" t="s">
        <v>16</v>
      </c>
    </row>
    <row r="449" spans="1:13" x14ac:dyDescent="0.2">
      <c r="A449" s="4">
        <v>215</v>
      </c>
      <c r="B449" s="4" t="s">
        <v>341</v>
      </c>
      <c r="C449" s="4">
        <v>367.7</v>
      </c>
      <c r="D449" s="4">
        <v>3.78</v>
      </c>
      <c r="E449" s="4">
        <v>100</v>
      </c>
      <c r="F449" s="4">
        <v>0.21</v>
      </c>
      <c r="G449" s="4">
        <v>30.47</v>
      </c>
      <c r="H449" s="4">
        <v>20.2</v>
      </c>
      <c r="I449" s="4">
        <v>100</v>
      </c>
      <c r="J449" s="4">
        <v>89.6</v>
      </c>
      <c r="K449" s="4">
        <v>47862.74</v>
      </c>
      <c r="L449" s="4" t="s">
        <v>375</v>
      </c>
      <c r="M449" s="4" t="s">
        <v>16</v>
      </c>
    </row>
    <row r="450" spans="1:13" x14ac:dyDescent="0.2">
      <c r="A450" s="4">
        <v>216</v>
      </c>
      <c r="B450" s="4" t="s">
        <v>342</v>
      </c>
      <c r="C450" s="4">
        <v>372.6</v>
      </c>
      <c r="D450" s="4">
        <v>3.83</v>
      </c>
      <c r="E450" s="4">
        <v>100</v>
      </c>
      <c r="F450" s="4">
        <v>0.21</v>
      </c>
      <c r="G450" s="4">
        <v>30.32</v>
      </c>
      <c r="H450" s="4">
        <v>20.2</v>
      </c>
      <c r="I450" s="4">
        <v>100</v>
      </c>
      <c r="J450" s="4">
        <v>86.3</v>
      </c>
      <c r="K450" s="4">
        <v>58609.279999999999</v>
      </c>
      <c r="L450" s="4" t="s">
        <v>375</v>
      </c>
      <c r="M450" s="4" t="s">
        <v>16</v>
      </c>
    </row>
    <row r="451" spans="1:13" x14ac:dyDescent="0.2">
      <c r="A451" s="4">
        <v>217</v>
      </c>
      <c r="B451" s="4" t="s">
        <v>343</v>
      </c>
      <c r="C451" s="4">
        <v>341.2</v>
      </c>
      <c r="D451" s="4">
        <v>4.21</v>
      </c>
      <c r="E451" s="4">
        <v>84.6</v>
      </c>
      <c r="F451" s="4">
        <v>0.3</v>
      </c>
      <c r="G451" s="4">
        <v>30.7</v>
      </c>
      <c r="H451" s="4">
        <v>24.5</v>
      </c>
      <c r="I451" s="4">
        <v>78.400000000000006</v>
      </c>
      <c r="J451" s="4">
        <v>78.599999999999994</v>
      </c>
      <c r="K451" s="4">
        <v>64450.6</v>
      </c>
      <c r="L451" s="4" t="s">
        <v>376</v>
      </c>
      <c r="M451" s="4" t="s">
        <v>16</v>
      </c>
    </row>
    <row r="452" spans="1:13" x14ac:dyDescent="0.2">
      <c r="A452" s="4">
        <v>218</v>
      </c>
      <c r="B452" s="4" t="s">
        <v>344</v>
      </c>
      <c r="C452" s="4">
        <v>424.5</v>
      </c>
      <c r="D452" s="4">
        <v>4.21</v>
      </c>
      <c r="E452" s="4">
        <v>83.8</v>
      </c>
      <c r="F452" s="4">
        <v>0.3</v>
      </c>
      <c r="G452" s="4">
        <v>37.04</v>
      </c>
      <c r="H452" s="4">
        <v>29.9</v>
      </c>
      <c r="I452" s="4">
        <v>86.2</v>
      </c>
      <c r="J452" s="4">
        <v>77.900000000000006</v>
      </c>
      <c r="K452" s="4">
        <v>78776.179999999993</v>
      </c>
      <c r="L452" s="4" t="s">
        <v>376</v>
      </c>
      <c r="M452" s="4" t="s">
        <v>16</v>
      </c>
    </row>
    <row r="453" spans="1:13" x14ac:dyDescent="0.2">
      <c r="A453" s="4">
        <v>219</v>
      </c>
      <c r="B453" s="4" t="s">
        <v>345</v>
      </c>
      <c r="C453" s="4">
        <v>372.6</v>
      </c>
      <c r="D453" s="4">
        <v>3.98</v>
      </c>
      <c r="E453" s="4">
        <v>85.6</v>
      </c>
      <c r="F453" s="4">
        <v>0.24</v>
      </c>
      <c r="G453" s="4">
        <v>28.32</v>
      </c>
      <c r="H453" s="4">
        <v>22.5</v>
      </c>
      <c r="I453" s="4">
        <v>79.099999999999994</v>
      </c>
      <c r="J453" s="4">
        <v>80</v>
      </c>
      <c r="K453" s="4">
        <v>46097.59</v>
      </c>
      <c r="L453" s="4" t="s">
        <v>375</v>
      </c>
      <c r="M453" s="4" t="s">
        <v>16</v>
      </c>
    </row>
    <row r="454" spans="1:13" x14ac:dyDescent="0.2">
      <c r="A454" s="4">
        <v>220</v>
      </c>
      <c r="B454" s="4" t="s">
        <v>346</v>
      </c>
      <c r="C454" s="4">
        <v>391.6</v>
      </c>
      <c r="D454" s="4">
        <v>3.97</v>
      </c>
      <c r="E454" s="4">
        <v>87</v>
      </c>
      <c r="F454" s="4">
        <v>0.26</v>
      </c>
      <c r="G454" s="4">
        <v>35.17</v>
      </c>
      <c r="H454" s="4">
        <v>25.4</v>
      </c>
      <c r="I454" s="4">
        <v>100</v>
      </c>
      <c r="J454" s="4">
        <v>82.1</v>
      </c>
      <c r="K454" s="4">
        <v>63099.99</v>
      </c>
      <c r="L454" s="4" t="s">
        <v>375</v>
      </c>
      <c r="M454" s="4" t="s">
        <v>16</v>
      </c>
    </row>
    <row r="455" spans="1:13" x14ac:dyDescent="0.2">
      <c r="A455" s="4">
        <v>221</v>
      </c>
      <c r="B455" s="4" t="s">
        <v>347</v>
      </c>
      <c r="C455" s="4">
        <v>391.2</v>
      </c>
      <c r="D455" s="4">
        <v>3.96</v>
      </c>
      <c r="E455" s="4">
        <v>86.7</v>
      </c>
      <c r="F455" s="4">
        <v>0.26</v>
      </c>
      <c r="G455" s="4">
        <v>35.31</v>
      </c>
      <c r="H455" s="4">
        <v>25.6</v>
      </c>
      <c r="I455" s="4">
        <v>100</v>
      </c>
      <c r="J455" s="4">
        <v>81.599999999999994</v>
      </c>
      <c r="K455" s="4">
        <v>65324.71</v>
      </c>
      <c r="L455" s="4" t="s">
        <v>375</v>
      </c>
      <c r="M455" s="4" t="s">
        <v>16</v>
      </c>
    </row>
    <row r="456" spans="1:13" x14ac:dyDescent="0.2">
      <c r="A456" s="4">
        <v>222</v>
      </c>
      <c r="B456" s="4" t="s">
        <v>349</v>
      </c>
      <c r="C456" s="4">
        <v>382.8</v>
      </c>
      <c r="D456" s="4">
        <v>3.88</v>
      </c>
      <c r="E456" s="4">
        <v>89</v>
      </c>
      <c r="F456" s="4">
        <v>0.28999999999999998</v>
      </c>
      <c r="G456" s="4">
        <v>33.950000000000003</v>
      </c>
      <c r="H456" s="4">
        <v>28.3</v>
      </c>
      <c r="I456" s="4">
        <v>100</v>
      </c>
      <c r="J456" s="4">
        <v>82.4</v>
      </c>
      <c r="K456" s="4">
        <v>64922.89</v>
      </c>
      <c r="L456" s="4" t="s">
        <v>376</v>
      </c>
      <c r="M456" s="4" t="s">
        <v>16</v>
      </c>
    </row>
    <row r="457" spans="1:13" x14ac:dyDescent="0.2">
      <c r="A457" s="4">
        <v>223</v>
      </c>
      <c r="B457" s="4" t="s">
        <v>350</v>
      </c>
      <c r="C457" s="4">
        <v>411.2</v>
      </c>
      <c r="D457" s="4">
        <v>4.1500000000000004</v>
      </c>
      <c r="E457" s="4">
        <v>91.5</v>
      </c>
      <c r="F457" s="4">
        <v>0.28999999999999998</v>
      </c>
      <c r="G457" s="4">
        <v>37.619999999999997</v>
      </c>
      <c r="H457" s="4">
        <v>28.3</v>
      </c>
      <c r="I457" s="4">
        <v>93.7</v>
      </c>
      <c r="J457" s="4">
        <v>85.6</v>
      </c>
      <c r="K457" s="4">
        <v>57320.58</v>
      </c>
      <c r="L457" s="4" t="s">
        <v>375</v>
      </c>
      <c r="M457" s="4" t="s">
        <v>16</v>
      </c>
    </row>
    <row r="458" spans="1:13" x14ac:dyDescent="0.2">
      <c r="A458" s="4">
        <v>224</v>
      </c>
      <c r="B458" s="4" t="s">
        <v>351</v>
      </c>
      <c r="C458" s="4">
        <v>428.7</v>
      </c>
      <c r="D458" s="4">
        <v>4.47</v>
      </c>
      <c r="E458" s="4">
        <v>88.6</v>
      </c>
      <c r="F458" s="4">
        <v>0.26</v>
      </c>
      <c r="G458" s="4">
        <v>19.78</v>
      </c>
      <c r="H458" s="4">
        <v>25.4</v>
      </c>
      <c r="I458" s="4">
        <v>88.3</v>
      </c>
      <c r="J458" s="4">
        <v>80.2</v>
      </c>
      <c r="K458" s="4">
        <v>61688.53</v>
      </c>
      <c r="L458" s="4" t="s">
        <v>375</v>
      </c>
      <c r="M458" s="4" t="s">
        <v>16</v>
      </c>
    </row>
    <row r="459" spans="1:13" x14ac:dyDescent="0.2">
      <c r="A459" s="4">
        <v>225</v>
      </c>
      <c r="B459" s="4" t="s">
        <v>352</v>
      </c>
      <c r="C459" s="4">
        <v>401.1</v>
      </c>
      <c r="D459" s="4">
        <v>4.46</v>
      </c>
      <c r="E459" s="4">
        <v>88.5</v>
      </c>
      <c r="F459" s="4">
        <v>0.24</v>
      </c>
      <c r="G459" s="4">
        <v>31.15</v>
      </c>
      <c r="H459" s="4">
        <v>21.8</v>
      </c>
      <c r="I459" s="4">
        <v>90.7</v>
      </c>
      <c r="J459" s="4">
        <v>80.7</v>
      </c>
      <c r="K459" s="4">
        <v>57499.41</v>
      </c>
      <c r="L459" s="4" t="s">
        <v>380</v>
      </c>
      <c r="M459" s="4" t="s">
        <v>16</v>
      </c>
    </row>
    <row r="460" spans="1:13" x14ac:dyDescent="0.2">
      <c r="A460" s="4">
        <v>226</v>
      </c>
      <c r="B460" s="4" t="s">
        <v>353</v>
      </c>
      <c r="C460" s="4">
        <v>346.7</v>
      </c>
      <c r="D460" s="4">
        <v>3.85</v>
      </c>
      <c r="E460" s="4">
        <v>100</v>
      </c>
      <c r="F460" s="4">
        <v>0.13</v>
      </c>
      <c r="G460" s="4">
        <v>17.29</v>
      </c>
      <c r="H460" s="4">
        <v>11.9</v>
      </c>
      <c r="I460" s="4">
        <v>100</v>
      </c>
      <c r="J460" s="4">
        <v>87.2</v>
      </c>
      <c r="K460" s="4">
        <v>52713.05</v>
      </c>
      <c r="L460" s="4" t="s">
        <v>380</v>
      </c>
      <c r="M460" s="4" t="s">
        <v>16</v>
      </c>
    </row>
    <row r="461" spans="1:13" x14ac:dyDescent="0.2">
      <c r="A461" s="4">
        <v>227</v>
      </c>
      <c r="B461" s="4" t="s">
        <v>354</v>
      </c>
      <c r="C461" s="4">
        <v>353</v>
      </c>
      <c r="D461" s="4">
        <v>3.68</v>
      </c>
      <c r="E461" s="4">
        <v>100</v>
      </c>
      <c r="F461" s="4">
        <v>0.15</v>
      </c>
      <c r="G461" s="4">
        <v>21.39</v>
      </c>
      <c r="H461" s="4">
        <v>14.2</v>
      </c>
      <c r="I461" s="4">
        <v>100</v>
      </c>
      <c r="J461" s="4">
        <v>89.1</v>
      </c>
      <c r="K461" s="4">
        <v>37538.46</v>
      </c>
      <c r="L461" s="4" t="s">
        <v>375</v>
      </c>
      <c r="M461" s="4" t="s">
        <v>16</v>
      </c>
    </row>
    <row r="462" spans="1:13" x14ac:dyDescent="0.2">
      <c r="A462" s="4">
        <v>228</v>
      </c>
      <c r="B462" s="4" t="s">
        <v>355</v>
      </c>
      <c r="C462" s="4">
        <v>403.6</v>
      </c>
      <c r="D462" s="4">
        <v>4.4800000000000004</v>
      </c>
      <c r="E462" s="4">
        <v>86.6</v>
      </c>
      <c r="F462" s="4">
        <v>0.27</v>
      </c>
      <c r="G462" s="4">
        <v>18.61</v>
      </c>
      <c r="H462" s="4">
        <v>24.2</v>
      </c>
      <c r="I462" s="4">
        <v>89.8</v>
      </c>
      <c r="J462" s="4">
        <v>79.599999999999994</v>
      </c>
      <c r="K462" s="4">
        <v>55190.36</v>
      </c>
      <c r="L462" s="4" t="s">
        <v>375</v>
      </c>
      <c r="M462" s="4" t="s">
        <v>16</v>
      </c>
    </row>
    <row r="463" spans="1:13" x14ac:dyDescent="0.2">
      <c r="A463" s="4">
        <v>229</v>
      </c>
      <c r="B463" s="4" t="s">
        <v>356</v>
      </c>
      <c r="C463" s="4">
        <v>430.6</v>
      </c>
      <c r="D463" s="4">
        <v>4.49</v>
      </c>
      <c r="E463" s="4">
        <v>92</v>
      </c>
      <c r="F463" s="4">
        <v>0.27</v>
      </c>
      <c r="G463" s="4">
        <v>19.64</v>
      </c>
      <c r="H463" s="4">
        <v>25.6</v>
      </c>
      <c r="I463" s="4">
        <v>90.2</v>
      </c>
      <c r="J463" s="4">
        <v>82.8</v>
      </c>
      <c r="K463" s="4">
        <v>58996.06</v>
      </c>
      <c r="L463" s="4" t="s">
        <v>375</v>
      </c>
      <c r="M463" s="4" t="s">
        <v>16</v>
      </c>
    </row>
    <row r="464" spans="1:13" x14ac:dyDescent="0.2">
      <c r="A464" s="4">
        <v>230</v>
      </c>
      <c r="B464" s="4" t="s">
        <v>357</v>
      </c>
      <c r="C464" s="4">
        <v>415.4</v>
      </c>
      <c r="D464" s="4">
        <v>4.2699999999999996</v>
      </c>
      <c r="E464" s="4">
        <v>84.7</v>
      </c>
      <c r="F464" s="4">
        <v>0.28999999999999998</v>
      </c>
      <c r="G464" s="4">
        <v>10.92</v>
      </c>
      <c r="H464" s="4">
        <v>27.8</v>
      </c>
      <c r="I464" s="4">
        <v>85</v>
      </c>
      <c r="J464" s="4">
        <v>78.7</v>
      </c>
      <c r="K464" s="4">
        <v>59304.63</v>
      </c>
      <c r="L464" s="4" t="s">
        <v>375</v>
      </c>
      <c r="M464" s="4" t="s">
        <v>16</v>
      </c>
    </row>
    <row r="465" spans="1:13" x14ac:dyDescent="0.2">
      <c r="A465" s="4">
        <v>231</v>
      </c>
      <c r="B465" s="4" t="s">
        <v>358</v>
      </c>
      <c r="C465" s="4">
        <v>362.3</v>
      </c>
      <c r="D465" s="4">
        <v>4.3099999999999996</v>
      </c>
      <c r="E465" s="4">
        <v>100</v>
      </c>
      <c r="F465" s="4">
        <v>0.24</v>
      </c>
      <c r="G465" s="4">
        <v>32.94</v>
      </c>
      <c r="H465" s="4">
        <v>20.399999999999999</v>
      </c>
      <c r="I465" s="4">
        <v>100</v>
      </c>
      <c r="J465" s="4">
        <v>89.7</v>
      </c>
      <c r="K465" s="4">
        <v>49474.81</v>
      </c>
      <c r="L465" s="4" t="s">
        <v>380</v>
      </c>
      <c r="M465" s="4" t="s">
        <v>16</v>
      </c>
    </row>
    <row r="466" spans="1:13" x14ac:dyDescent="0.2">
      <c r="A466" s="4">
        <v>232</v>
      </c>
      <c r="B466" s="4" t="s">
        <v>359</v>
      </c>
      <c r="C466" s="4">
        <v>406.7</v>
      </c>
      <c r="D466" s="4">
        <v>4.18</v>
      </c>
      <c r="E466" s="4">
        <v>78.099999999999994</v>
      </c>
      <c r="F466" s="4">
        <v>0.21</v>
      </c>
      <c r="G466" s="4">
        <v>34.130000000000003</v>
      </c>
      <c r="H466" s="4">
        <v>20.6</v>
      </c>
      <c r="I466" s="4">
        <v>62.5</v>
      </c>
      <c r="J466" s="4">
        <v>56.4</v>
      </c>
      <c r="K466" s="4">
        <v>32588.77</v>
      </c>
      <c r="L466" s="4" t="s">
        <v>375</v>
      </c>
      <c r="M466" s="4" t="s">
        <v>16</v>
      </c>
    </row>
    <row r="467" spans="1:13" x14ac:dyDescent="0.2">
      <c r="A467" s="4">
        <v>233</v>
      </c>
      <c r="B467" s="4" t="s">
        <v>360</v>
      </c>
      <c r="C467" s="4">
        <v>872.7</v>
      </c>
      <c r="D467" s="4">
        <v>3.98</v>
      </c>
      <c r="E467" s="4">
        <v>85</v>
      </c>
      <c r="F467" s="4">
        <v>0.18</v>
      </c>
      <c r="G467" s="4">
        <v>69.900000000000006</v>
      </c>
      <c r="H467" s="4">
        <v>38.799999999999997</v>
      </c>
      <c r="I467" s="4">
        <v>90.2</v>
      </c>
      <c r="J467" s="4">
        <v>74.3</v>
      </c>
      <c r="K467" s="4">
        <v>108115.31</v>
      </c>
      <c r="L467" s="4" t="s">
        <v>375</v>
      </c>
      <c r="M467" s="4" t="s">
        <v>16</v>
      </c>
    </row>
    <row r="468" spans="1:13" x14ac:dyDescent="0.2">
      <c r="A468" s="4">
        <v>234</v>
      </c>
      <c r="B468" s="4" t="s">
        <v>361</v>
      </c>
      <c r="C468" s="4">
        <v>635.79999999999995</v>
      </c>
      <c r="D468" s="4">
        <v>2.48</v>
      </c>
      <c r="E468" s="4">
        <v>84.2</v>
      </c>
      <c r="F468" s="4">
        <v>0.08</v>
      </c>
      <c r="G468" s="4">
        <v>19.149999999999999</v>
      </c>
      <c r="H468" s="4">
        <v>20.5</v>
      </c>
      <c r="I468" s="4">
        <v>87.5</v>
      </c>
      <c r="J468" s="4">
        <v>72.2</v>
      </c>
      <c r="K468" s="4">
        <v>182025.47</v>
      </c>
      <c r="L468" s="4" t="s">
        <v>375</v>
      </c>
      <c r="M468" s="4" t="s">
        <v>208</v>
      </c>
    </row>
    <row r="469" spans="1:13" x14ac:dyDescent="0.2">
      <c r="A469" s="4">
        <v>235</v>
      </c>
      <c r="B469" s="4" t="s">
        <v>362</v>
      </c>
      <c r="C469" s="4">
        <v>1884.5</v>
      </c>
      <c r="D469" s="4">
        <v>3.79</v>
      </c>
      <c r="E469" s="4">
        <v>86.7</v>
      </c>
      <c r="F469" s="4">
        <v>0.26</v>
      </c>
      <c r="G469" s="4">
        <v>148.76</v>
      </c>
      <c r="H469" s="4">
        <v>130.69999999999999</v>
      </c>
      <c r="I469" s="4">
        <v>100</v>
      </c>
      <c r="J469" s="4">
        <v>82.2</v>
      </c>
      <c r="K469" s="4">
        <v>225284.57</v>
      </c>
      <c r="L469" s="4" t="s">
        <v>375</v>
      </c>
      <c r="M469" s="4" t="s">
        <v>188</v>
      </c>
    </row>
    <row r="470" spans="1:13" x14ac:dyDescent="0.2">
      <c r="A470" s="4">
        <v>236</v>
      </c>
      <c r="B470" s="4" t="s">
        <v>363</v>
      </c>
      <c r="C470" s="4">
        <v>495.5</v>
      </c>
      <c r="D470" s="4">
        <v>3.75</v>
      </c>
      <c r="E470" s="4">
        <v>85.8</v>
      </c>
      <c r="F470" s="4">
        <v>0.26</v>
      </c>
      <c r="G470" s="4">
        <v>38.869999999999997</v>
      </c>
      <c r="H470" s="4">
        <v>33.799999999999997</v>
      </c>
      <c r="I470" s="4">
        <v>100</v>
      </c>
      <c r="J470" s="4">
        <v>81.900000000000006</v>
      </c>
      <c r="K470" s="4">
        <v>59856.22</v>
      </c>
      <c r="L470" s="4" t="s">
        <v>375</v>
      </c>
      <c r="M470" s="4" t="s">
        <v>188</v>
      </c>
    </row>
    <row r="471" spans="1:13" x14ac:dyDescent="0.2">
      <c r="A471" s="4">
        <v>237</v>
      </c>
      <c r="B471" s="4" t="s">
        <v>364</v>
      </c>
      <c r="C471" s="4">
        <v>590.29999999999995</v>
      </c>
      <c r="D471" s="4">
        <v>3.92</v>
      </c>
      <c r="E471" s="4">
        <v>80.099999999999994</v>
      </c>
      <c r="F471" s="4">
        <v>0.37</v>
      </c>
      <c r="G471" s="4">
        <v>67.61</v>
      </c>
      <c r="H471" s="4">
        <v>55.2</v>
      </c>
      <c r="I471" s="4">
        <v>75.900000000000006</v>
      </c>
      <c r="J471" s="4">
        <v>74.2</v>
      </c>
      <c r="K471" s="4">
        <v>82341.14</v>
      </c>
      <c r="L471" s="4" t="s">
        <v>375</v>
      </c>
      <c r="M471" s="4" t="s">
        <v>55</v>
      </c>
    </row>
    <row r="472" spans="1:13" x14ac:dyDescent="0.2">
      <c r="A472" s="4">
        <v>238</v>
      </c>
      <c r="B472" s="4" t="s">
        <v>365</v>
      </c>
      <c r="C472" s="4">
        <v>430.2</v>
      </c>
      <c r="D472" s="4">
        <v>0.86</v>
      </c>
      <c r="E472" s="4">
        <v>0</v>
      </c>
      <c r="F472" s="4">
        <v>0.06</v>
      </c>
      <c r="G472" s="4">
        <v>31.64</v>
      </c>
      <c r="H472" s="4">
        <v>31.6</v>
      </c>
      <c r="I472" s="4">
        <v>0</v>
      </c>
      <c r="J472" s="4" t="s">
        <v>14</v>
      </c>
      <c r="K472" s="4">
        <v>94175.38</v>
      </c>
      <c r="L472" s="4" t="s">
        <v>375</v>
      </c>
      <c r="M472" s="4" t="s">
        <v>16</v>
      </c>
    </row>
    <row r="473" spans="1:13" x14ac:dyDescent="0.2">
      <c r="A473" s="4">
        <v>239</v>
      </c>
      <c r="B473" s="4" t="s">
        <v>366</v>
      </c>
      <c r="C473" s="4">
        <v>1983</v>
      </c>
      <c r="D473" s="4">
        <v>3.97</v>
      </c>
      <c r="E473" s="4">
        <v>0</v>
      </c>
      <c r="F473" s="4">
        <v>0.32</v>
      </c>
      <c r="G473" s="4">
        <v>154.32</v>
      </c>
      <c r="H473" s="4">
        <v>159.19999999999999</v>
      </c>
      <c r="I473" s="4">
        <v>0</v>
      </c>
      <c r="J473" s="4" t="s">
        <v>14</v>
      </c>
      <c r="K473" s="4">
        <v>129558.48</v>
      </c>
      <c r="L473" s="4" t="s">
        <v>375</v>
      </c>
      <c r="M473" s="4" t="s">
        <v>16</v>
      </c>
    </row>
    <row r="474" spans="1:13" x14ac:dyDescent="0.2">
      <c r="A474" s="4">
        <v>240</v>
      </c>
      <c r="B474" s="4" t="s">
        <v>367</v>
      </c>
      <c r="C474" s="4">
        <v>2030.2</v>
      </c>
      <c r="D474" s="4">
        <v>4.07</v>
      </c>
      <c r="E474" s="4">
        <v>0</v>
      </c>
      <c r="F474" s="4">
        <v>0.32</v>
      </c>
      <c r="G474" s="4">
        <v>154.61000000000001</v>
      </c>
      <c r="H474" s="4">
        <v>161.69999999999999</v>
      </c>
      <c r="I474" s="4">
        <v>0</v>
      </c>
      <c r="J474" s="4" t="s">
        <v>14</v>
      </c>
      <c r="K474" s="4">
        <v>82487.520000000004</v>
      </c>
      <c r="L474" s="4" t="s">
        <v>375</v>
      </c>
      <c r="M474" s="4" t="s">
        <v>16</v>
      </c>
    </row>
    <row r="475" spans="1:13" x14ac:dyDescent="0.2">
      <c r="A475" s="4">
        <v>241</v>
      </c>
      <c r="B475" s="4" t="s">
        <v>368</v>
      </c>
      <c r="C475" s="4">
        <v>234.2</v>
      </c>
      <c r="D475" s="4">
        <v>4.07</v>
      </c>
      <c r="E475" s="4">
        <v>0</v>
      </c>
      <c r="F475" s="4">
        <v>0.27</v>
      </c>
      <c r="G475" s="4">
        <v>19.440000000000001</v>
      </c>
      <c r="H475" s="4">
        <v>15.4</v>
      </c>
      <c r="I475" s="4">
        <v>0</v>
      </c>
      <c r="J475" s="4" t="s">
        <v>14</v>
      </c>
      <c r="K475" s="4">
        <v>75104.679999999993</v>
      </c>
      <c r="L475" s="4" t="s">
        <v>376</v>
      </c>
      <c r="M475" s="4" t="s">
        <v>16</v>
      </c>
    </row>
    <row r="476" spans="1:13" x14ac:dyDescent="0.2">
      <c r="A476" s="4">
        <v>242</v>
      </c>
      <c r="B476" s="4" t="s">
        <v>369</v>
      </c>
      <c r="C476" s="4">
        <v>1535.2</v>
      </c>
      <c r="D476" s="4">
        <v>3.97</v>
      </c>
      <c r="E476" s="4">
        <v>0</v>
      </c>
      <c r="F476" s="4">
        <v>0.27</v>
      </c>
      <c r="G476" s="4">
        <v>127.63</v>
      </c>
      <c r="H476" s="4">
        <v>103.8</v>
      </c>
      <c r="I476" s="4">
        <v>0</v>
      </c>
      <c r="J476" s="4" t="s">
        <v>14</v>
      </c>
      <c r="K476" s="4">
        <v>454794.41</v>
      </c>
      <c r="L476" s="4" t="s">
        <v>376</v>
      </c>
      <c r="M476" s="4" t="s">
        <v>16</v>
      </c>
    </row>
    <row r="477" spans="1:13" x14ac:dyDescent="0.2">
      <c r="A477" s="4">
        <v>243</v>
      </c>
      <c r="B477" s="4" t="s">
        <v>370</v>
      </c>
      <c r="C477" s="4">
        <v>1833.2</v>
      </c>
      <c r="D477" s="4">
        <v>3.74</v>
      </c>
      <c r="E477" s="4">
        <v>0</v>
      </c>
      <c r="F477" s="4">
        <v>0.25</v>
      </c>
      <c r="G477" s="4">
        <v>77.150000000000006</v>
      </c>
      <c r="H477" s="4">
        <v>121.4</v>
      </c>
      <c r="I477" s="4">
        <v>0</v>
      </c>
      <c r="J477" s="4" t="s">
        <v>14</v>
      </c>
      <c r="K477" s="4">
        <v>136302.34</v>
      </c>
      <c r="L477" s="4" t="s">
        <v>375</v>
      </c>
      <c r="M477" s="4" t="s">
        <v>141</v>
      </c>
    </row>
    <row r="478" spans="1:13" x14ac:dyDescent="0.2">
      <c r="A478" s="4">
        <v>244</v>
      </c>
      <c r="B478" s="4" t="s">
        <v>371</v>
      </c>
      <c r="C478" s="4">
        <v>1417</v>
      </c>
      <c r="D478" s="4">
        <v>2.89</v>
      </c>
      <c r="E478" s="4">
        <v>0</v>
      </c>
      <c r="F478" s="4">
        <v>0.19</v>
      </c>
      <c r="G478" s="4">
        <v>78.069999999999993</v>
      </c>
      <c r="H478" s="4">
        <v>94.4</v>
      </c>
      <c r="I478" s="4">
        <v>0</v>
      </c>
      <c r="J478" s="4" t="s">
        <v>14</v>
      </c>
      <c r="K478" s="4">
        <v>92132.24</v>
      </c>
      <c r="L478" s="4" t="s">
        <v>375</v>
      </c>
      <c r="M478" s="4" t="s">
        <v>141</v>
      </c>
    </row>
    <row r="479" spans="1:13" x14ac:dyDescent="0.2">
      <c r="A479" s="4">
        <v>245</v>
      </c>
      <c r="B479" s="4" t="s">
        <v>372</v>
      </c>
      <c r="C479" s="4">
        <v>1840</v>
      </c>
      <c r="D479" s="4">
        <v>3.74</v>
      </c>
      <c r="E479" s="4">
        <v>0</v>
      </c>
      <c r="F479" s="4">
        <v>0.25</v>
      </c>
      <c r="G479" s="4">
        <v>81.599999999999994</v>
      </c>
      <c r="H479" s="4">
        <v>121.1</v>
      </c>
      <c r="I479" s="4">
        <v>0</v>
      </c>
      <c r="J479" s="4" t="s">
        <v>14</v>
      </c>
      <c r="K479" s="4">
        <v>137193.07</v>
      </c>
      <c r="L479" s="4" t="s">
        <v>375</v>
      </c>
      <c r="M479" s="4" t="s">
        <v>141</v>
      </c>
    </row>
    <row r="480" spans="1:13" x14ac:dyDescent="0.2">
      <c r="A480" s="4">
        <v>246</v>
      </c>
      <c r="B480" s="4" t="s">
        <v>373</v>
      </c>
      <c r="C480" s="4">
        <v>430.7</v>
      </c>
      <c r="D480" s="4">
        <v>4.43</v>
      </c>
      <c r="E480" s="4">
        <v>86.3</v>
      </c>
      <c r="F480" s="4">
        <v>0.31</v>
      </c>
      <c r="G480" s="4">
        <v>11.31</v>
      </c>
      <c r="H480" s="4">
        <v>29.7</v>
      </c>
      <c r="I480" s="4">
        <v>92.6</v>
      </c>
      <c r="J480" s="4" t="s">
        <v>14</v>
      </c>
      <c r="K480" s="4">
        <v>21582.04</v>
      </c>
      <c r="L480" s="4" t="s">
        <v>375</v>
      </c>
      <c r="M480" s="4" t="s">
        <v>16</v>
      </c>
    </row>
    <row r="481" spans="1:13" x14ac:dyDescent="0.2">
      <c r="A481" s="4">
        <v>247</v>
      </c>
      <c r="B481" s="4" t="s">
        <v>374</v>
      </c>
      <c r="C481" s="4">
        <v>415</v>
      </c>
      <c r="D481" s="4">
        <v>4.2699999999999996</v>
      </c>
      <c r="E481" s="4">
        <v>86</v>
      </c>
      <c r="F481" s="4">
        <v>0.26</v>
      </c>
      <c r="G481" s="4">
        <v>37.82</v>
      </c>
      <c r="H481" s="4">
        <v>25.6</v>
      </c>
      <c r="I481" s="4">
        <v>96.1</v>
      </c>
      <c r="J481" s="4" t="s">
        <v>160</v>
      </c>
      <c r="K481" s="4">
        <v>9299.4</v>
      </c>
      <c r="L481" s="4" t="s">
        <v>376</v>
      </c>
      <c r="M481" s="4" t="s">
        <v>16</v>
      </c>
    </row>
    <row r="482" spans="1:13" x14ac:dyDescent="0.2">
      <c r="A482" s="4">
        <v>1</v>
      </c>
      <c r="B482" s="4" t="s">
        <v>13</v>
      </c>
      <c r="C482" s="4">
        <v>304.10000000000002</v>
      </c>
      <c r="D482" s="4">
        <v>3.11</v>
      </c>
      <c r="E482" s="4">
        <v>0</v>
      </c>
      <c r="F482" s="4">
        <v>0.34</v>
      </c>
      <c r="G482" s="4">
        <v>34.409999999999997</v>
      </c>
      <c r="H482" s="4">
        <v>33.4</v>
      </c>
      <c r="I482" s="4">
        <v>0</v>
      </c>
      <c r="J482" s="4" t="s">
        <v>14</v>
      </c>
      <c r="K482" s="4">
        <v>380812.35</v>
      </c>
      <c r="L482" s="4" t="s">
        <v>381</v>
      </c>
      <c r="M482" s="4" t="s">
        <v>16</v>
      </c>
    </row>
    <row r="483" spans="1:13" x14ac:dyDescent="0.2">
      <c r="A483" s="4">
        <v>2</v>
      </c>
      <c r="B483" s="4" t="s">
        <v>21</v>
      </c>
      <c r="C483" s="4">
        <v>0</v>
      </c>
      <c r="D483" s="4">
        <v>0</v>
      </c>
      <c r="E483" s="4">
        <v>0</v>
      </c>
      <c r="F483" s="4">
        <v>0</v>
      </c>
      <c r="G483" s="4">
        <v>2.87</v>
      </c>
      <c r="H483" s="4">
        <v>0</v>
      </c>
      <c r="I483" s="4">
        <v>0</v>
      </c>
      <c r="J483" s="4" t="s">
        <v>14</v>
      </c>
      <c r="K483" s="4">
        <v>380217.5</v>
      </c>
      <c r="L483" s="4" t="s">
        <v>22</v>
      </c>
      <c r="M483" s="4" t="s">
        <v>16</v>
      </c>
    </row>
    <row r="484" spans="1:13" x14ac:dyDescent="0.2">
      <c r="A484" s="4">
        <v>3</v>
      </c>
      <c r="B484" s="4" t="s">
        <v>27</v>
      </c>
      <c r="C484" s="4">
        <v>274</v>
      </c>
      <c r="D484" s="4">
        <v>2.82</v>
      </c>
      <c r="E484" s="4">
        <v>91.7</v>
      </c>
      <c r="F484" s="4">
        <v>0.39</v>
      </c>
      <c r="G484" s="4">
        <v>41.06</v>
      </c>
      <c r="H484" s="4">
        <v>38.299999999999997</v>
      </c>
      <c r="I484" s="4">
        <v>90.3</v>
      </c>
      <c r="J484" s="4">
        <v>72.5</v>
      </c>
      <c r="K484" s="4">
        <v>17904.189999999999</v>
      </c>
      <c r="L484" s="4" t="s">
        <v>382</v>
      </c>
      <c r="M484" s="4" t="s">
        <v>16</v>
      </c>
    </row>
    <row r="485" spans="1:13" x14ac:dyDescent="0.2">
      <c r="A485" s="4">
        <v>4</v>
      </c>
      <c r="B485" s="4" t="s">
        <v>32</v>
      </c>
      <c r="C485" s="4">
        <v>266.3</v>
      </c>
      <c r="D485" s="4">
        <v>2.74</v>
      </c>
      <c r="E485" s="4">
        <v>91</v>
      </c>
      <c r="F485" s="4">
        <v>0.33</v>
      </c>
      <c r="G485" s="4">
        <v>37.58</v>
      </c>
      <c r="H485" s="4">
        <v>32.4</v>
      </c>
      <c r="I485" s="4">
        <v>87.2</v>
      </c>
      <c r="J485" s="4">
        <v>71.599999999999994</v>
      </c>
      <c r="K485" s="4">
        <v>17790.68</v>
      </c>
      <c r="L485" s="4" t="s">
        <v>381</v>
      </c>
      <c r="M485" s="4" t="s">
        <v>16</v>
      </c>
    </row>
    <row r="486" spans="1:13" x14ac:dyDescent="0.2">
      <c r="A486" s="4">
        <v>5</v>
      </c>
      <c r="B486" s="4" t="s">
        <v>37</v>
      </c>
      <c r="C486" s="4">
        <v>273.5</v>
      </c>
      <c r="D486" s="4">
        <v>2.79</v>
      </c>
      <c r="E486" s="4">
        <v>0</v>
      </c>
      <c r="F486" s="4">
        <v>0.33</v>
      </c>
      <c r="G486" s="4">
        <v>33.14</v>
      </c>
      <c r="H486" s="4">
        <v>32.200000000000003</v>
      </c>
      <c r="I486" s="4">
        <v>0</v>
      </c>
      <c r="J486" s="4" t="s">
        <v>14</v>
      </c>
      <c r="K486" s="4">
        <v>425351.93</v>
      </c>
      <c r="L486" s="4" t="s">
        <v>381</v>
      </c>
      <c r="M486" s="4" t="s">
        <v>38</v>
      </c>
    </row>
    <row r="487" spans="1:13" x14ac:dyDescent="0.2">
      <c r="A487" s="4">
        <v>6</v>
      </c>
      <c r="B487" s="4" t="s">
        <v>43</v>
      </c>
      <c r="C487" s="4">
        <v>761.4</v>
      </c>
      <c r="D487" s="4">
        <v>2.71</v>
      </c>
      <c r="E487" s="4">
        <v>0</v>
      </c>
      <c r="F487" s="4">
        <v>0.34</v>
      </c>
      <c r="G487" s="4">
        <v>92.64</v>
      </c>
      <c r="H487" s="4">
        <v>94.7</v>
      </c>
      <c r="I487" s="4">
        <v>0</v>
      </c>
      <c r="J487" s="4" t="s">
        <v>14</v>
      </c>
      <c r="K487" s="4">
        <v>1026227.33</v>
      </c>
      <c r="L487" s="4" t="s">
        <v>382</v>
      </c>
      <c r="M487" s="4" t="s">
        <v>38</v>
      </c>
    </row>
    <row r="488" spans="1:13" x14ac:dyDescent="0.2">
      <c r="A488" s="4">
        <v>7</v>
      </c>
      <c r="B488" s="4" t="s">
        <v>49</v>
      </c>
      <c r="C488" s="4">
        <v>659.6</v>
      </c>
      <c r="D488" s="4">
        <v>3.55</v>
      </c>
      <c r="E488" s="4">
        <v>88.9</v>
      </c>
      <c r="F488" s="4">
        <v>0.4</v>
      </c>
      <c r="G488" s="4">
        <v>74.900000000000006</v>
      </c>
      <c r="H488" s="4">
        <v>74.599999999999994</v>
      </c>
      <c r="I488" s="4">
        <v>78.7</v>
      </c>
      <c r="J488" s="4">
        <v>73.7</v>
      </c>
      <c r="K488" s="4">
        <v>74038.12</v>
      </c>
      <c r="L488" s="4" t="s">
        <v>382</v>
      </c>
      <c r="M488" s="4" t="s">
        <v>16</v>
      </c>
    </row>
    <row r="489" spans="1:13" x14ac:dyDescent="0.2">
      <c r="A489" s="4">
        <v>8</v>
      </c>
      <c r="B489" s="4" t="s">
        <v>54</v>
      </c>
      <c r="C489" s="4">
        <v>1047.3</v>
      </c>
      <c r="D489" s="4">
        <v>3.11</v>
      </c>
      <c r="E489" s="4">
        <v>71.599999999999994</v>
      </c>
      <c r="F489" s="4">
        <v>0.32</v>
      </c>
      <c r="G489" s="4">
        <v>113.83</v>
      </c>
      <c r="H489" s="4">
        <v>107.5</v>
      </c>
      <c r="I489" s="4">
        <v>66.099999999999994</v>
      </c>
      <c r="J489" s="4">
        <v>69.7</v>
      </c>
      <c r="K489" s="4">
        <v>1243717.43</v>
      </c>
      <c r="L489" s="4" t="s">
        <v>382</v>
      </c>
      <c r="M489" s="4" t="s">
        <v>55</v>
      </c>
    </row>
    <row r="490" spans="1:13" x14ac:dyDescent="0.2">
      <c r="A490" s="4">
        <v>9</v>
      </c>
      <c r="B490" s="4" t="s">
        <v>60</v>
      </c>
      <c r="C490" s="4">
        <v>341.7</v>
      </c>
      <c r="D490" s="4">
        <v>3.47</v>
      </c>
      <c r="E490" s="4">
        <v>81.7</v>
      </c>
      <c r="F490" s="4">
        <v>0.28999999999999998</v>
      </c>
      <c r="G490" s="4">
        <v>29.87</v>
      </c>
      <c r="H490" s="4">
        <v>28.3</v>
      </c>
      <c r="I490" s="4">
        <v>70.400000000000006</v>
      </c>
      <c r="J490" s="4">
        <v>73.5</v>
      </c>
      <c r="K490" s="4">
        <v>352610.25</v>
      </c>
      <c r="L490" s="4" t="s">
        <v>381</v>
      </c>
      <c r="M490" s="4" t="s">
        <v>55</v>
      </c>
    </row>
    <row r="491" spans="1:13" x14ac:dyDescent="0.2">
      <c r="A491" s="4">
        <v>10</v>
      </c>
      <c r="B491" s="4" t="s">
        <v>63</v>
      </c>
      <c r="C491" s="4">
        <v>722.2</v>
      </c>
      <c r="D491" s="4">
        <v>2.59</v>
      </c>
      <c r="E491" s="4">
        <v>81.599999999999994</v>
      </c>
      <c r="F491" s="4">
        <v>0.23</v>
      </c>
      <c r="G491" s="4">
        <v>72.53</v>
      </c>
      <c r="H491" s="4">
        <v>65.3</v>
      </c>
      <c r="I491" s="4">
        <v>70.599999999999994</v>
      </c>
      <c r="J491" s="4">
        <v>73.5</v>
      </c>
      <c r="K491" s="4">
        <v>964303.6</v>
      </c>
      <c r="L491" s="4" t="s">
        <v>381</v>
      </c>
      <c r="M491" s="4" t="s">
        <v>55</v>
      </c>
    </row>
    <row r="492" spans="1:13" x14ac:dyDescent="0.2">
      <c r="A492" s="4">
        <v>11</v>
      </c>
      <c r="B492" s="4" t="s">
        <v>66</v>
      </c>
      <c r="C492" s="4">
        <v>813</v>
      </c>
      <c r="D492" s="4">
        <v>2.11</v>
      </c>
      <c r="E492" s="4">
        <v>78.599999999999994</v>
      </c>
      <c r="F492" s="4">
        <v>0.3</v>
      </c>
      <c r="G492" s="4">
        <v>110.5</v>
      </c>
      <c r="H492" s="4">
        <v>115.8</v>
      </c>
      <c r="I492" s="4">
        <v>85.5</v>
      </c>
      <c r="J492" s="4">
        <v>74.599999999999994</v>
      </c>
      <c r="K492" s="4">
        <v>1243263.6399999999</v>
      </c>
      <c r="L492" s="4" t="s">
        <v>382</v>
      </c>
      <c r="M492" s="4" t="s">
        <v>38</v>
      </c>
    </row>
    <row r="493" spans="1:13" x14ac:dyDescent="0.2">
      <c r="A493" s="4">
        <v>12</v>
      </c>
      <c r="B493" s="4" t="s">
        <v>69</v>
      </c>
      <c r="C493" s="4">
        <v>426.9</v>
      </c>
      <c r="D493" s="4">
        <v>2.41</v>
      </c>
      <c r="E493" s="4">
        <v>72.3</v>
      </c>
      <c r="F493" s="4">
        <v>0.26</v>
      </c>
      <c r="G493" s="4">
        <v>48.51</v>
      </c>
      <c r="H493" s="4">
        <v>46</v>
      </c>
      <c r="I493" s="4">
        <v>67.400000000000006</v>
      </c>
      <c r="J493" s="4">
        <v>67.900000000000006</v>
      </c>
      <c r="K493" s="4">
        <v>654267.91</v>
      </c>
      <c r="L493" s="4" t="s">
        <v>382</v>
      </c>
      <c r="M493" s="4" t="s">
        <v>55</v>
      </c>
    </row>
    <row r="494" spans="1:13" x14ac:dyDescent="0.2">
      <c r="A494" s="4">
        <v>13</v>
      </c>
      <c r="B494" s="6" t="s">
        <v>72</v>
      </c>
      <c r="C494" s="4">
        <v>1137.7</v>
      </c>
      <c r="D494" s="4">
        <v>2.2799999999999998</v>
      </c>
      <c r="E494" s="4">
        <v>79.400000000000006</v>
      </c>
      <c r="F494" s="4">
        <v>0.19</v>
      </c>
      <c r="G494" s="4">
        <v>114.12</v>
      </c>
      <c r="H494" s="4">
        <v>93.6</v>
      </c>
      <c r="I494" s="4">
        <v>68.5</v>
      </c>
      <c r="J494" s="4">
        <v>71.099999999999994</v>
      </c>
      <c r="K494" s="4">
        <v>1693082.08</v>
      </c>
      <c r="L494" s="4" t="s">
        <v>381</v>
      </c>
      <c r="M494" s="4" t="s">
        <v>55</v>
      </c>
    </row>
    <row r="495" spans="1:13" x14ac:dyDescent="0.2">
      <c r="A495" s="4">
        <v>14</v>
      </c>
      <c r="B495" s="6" t="s">
        <v>75</v>
      </c>
      <c r="C495" s="4">
        <v>1384.4</v>
      </c>
      <c r="D495" s="4">
        <v>2.77</v>
      </c>
      <c r="E495" s="4">
        <v>96.6</v>
      </c>
      <c r="F495" s="4">
        <v>0.25</v>
      </c>
      <c r="G495" s="4">
        <v>153.88999999999999</v>
      </c>
      <c r="H495" s="4">
        <v>123</v>
      </c>
      <c r="I495" s="4">
        <v>90.7</v>
      </c>
      <c r="J495" s="4">
        <v>87.8</v>
      </c>
      <c r="K495" s="4">
        <v>1590516.83</v>
      </c>
      <c r="L495" s="4" t="s">
        <v>381</v>
      </c>
      <c r="M495" s="4" t="s">
        <v>55</v>
      </c>
    </row>
    <row r="496" spans="1:13" x14ac:dyDescent="0.2">
      <c r="A496" s="4">
        <v>15</v>
      </c>
      <c r="B496" s="6" t="s">
        <v>78</v>
      </c>
      <c r="C496" s="4">
        <v>1249.9000000000001</v>
      </c>
      <c r="D496" s="4">
        <v>2.5</v>
      </c>
      <c r="E496" s="4">
        <v>87.3</v>
      </c>
      <c r="F496" s="4">
        <v>0.23</v>
      </c>
      <c r="G496" s="4">
        <v>150.26</v>
      </c>
      <c r="H496" s="4">
        <v>114.3</v>
      </c>
      <c r="I496" s="4">
        <v>84.9</v>
      </c>
      <c r="J496" s="4">
        <v>79.400000000000006</v>
      </c>
      <c r="K496" s="4">
        <v>1913257.76</v>
      </c>
      <c r="L496" s="4" t="s">
        <v>381</v>
      </c>
      <c r="M496" s="4" t="s">
        <v>55</v>
      </c>
    </row>
    <row r="497" spans="1:13" x14ac:dyDescent="0.2">
      <c r="A497" s="4">
        <v>16</v>
      </c>
      <c r="B497" s="4" t="s">
        <v>81</v>
      </c>
      <c r="C497" s="4">
        <v>553.6</v>
      </c>
      <c r="D497" s="4">
        <v>2.65</v>
      </c>
      <c r="E497" s="4">
        <v>70.2</v>
      </c>
      <c r="F497" s="4">
        <v>0.28000000000000003</v>
      </c>
      <c r="G497" s="4">
        <v>59.22</v>
      </c>
      <c r="H497" s="4">
        <v>58.1</v>
      </c>
      <c r="I497" s="4">
        <v>58.4</v>
      </c>
      <c r="J497" s="4">
        <v>68.3</v>
      </c>
      <c r="K497" s="4">
        <v>689829.36</v>
      </c>
      <c r="L497" s="4" t="s">
        <v>381</v>
      </c>
      <c r="M497" s="4" t="s">
        <v>38</v>
      </c>
    </row>
    <row r="498" spans="1:13" x14ac:dyDescent="0.2">
      <c r="A498" s="4">
        <v>17</v>
      </c>
      <c r="B498" s="4" t="s">
        <v>84</v>
      </c>
      <c r="C498" s="4">
        <v>1708</v>
      </c>
      <c r="D498" s="4">
        <v>3.42</v>
      </c>
      <c r="E498" s="4">
        <v>78.900000000000006</v>
      </c>
      <c r="F498" s="4">
        <v>0.31</v>
      </c>
      <c r="G498" s="4">
        <v>99.78</v>
      </c>
      <c r="H498" s="4">
        <v>155.5</v>
      </c>
      <c r="I498" s="4">
        <v>77.400000000000006</v>
      </c>
      <c r="J498" s="4">
        <v>71.3</v>
      </c>
      <c r="K498" s="4">
        <v>1567212.81</v>
      </c>
      <c r="L498" s="4" t="s">
        <v>381</v>
      </c>
      <c r="M498" s="4" t="s">
        <v>55</v>
      </c>
    </row>
    <row r="499" spans="1:13" x14ac:dyDescent="0.2">
      <c r="A499" s="4">
        <v>18</v>
      </c>
      <c r="B499" s="4" t="s">
        <v>87</v>
      </c>
      <c r="C499" s="4">
        <v>787.7</v>
      </c>
      <c r="D499" s="4">
        <v>3.4</v>
      </c>
      <c r="E499" s="4">
        <v>78.2</v>
      </c>
      <c r="F499" s="4">
        <v>0.31</v>
      </c>
      <c r="G499" s="4">
        <v>46.37</v>
      </c>
      <c r="H499" s="4">
        <v>72</v>
      </c>
      <c r="I499" s="4">
        <v>77.5</v>
      </c>
      <c r="J499" s="4">
        <v>71.400000000000006</v>
      </c>
      <c r="K499" s="4">
        <v>813497.03</v>
      </c>
      <c r="L499" s="4" t="s">
        <v>381</v>
      </c>
      <c r="M499" s="4" t="s">
        <v>55</v>
      </c>
    </row>
    <row r="500" spans="1:13" x14ac:dyDescent="0.2">
      <c r="A500" s="4">
        <v>19</v>
      </c>
      <c r="B500" s="4" t="s">
        <v>90</v>
      </c>
      <c r="C500" s="4">
        <v>598.5</v>
      </c>
      <c r="D500" s="4">
        <v>2.35</v>
      </c>
      <c r="E500" s="4">
        <v>70.7</v>
      </c>
      <c r="F500" s="4">
        <v>0.3</v>
      </c>
      <c r="G500" s="4">
        <v>71.27</v>
      </c>
      <c r="H500" s="4">
        <v>75.900000000000006</v>
      </c>
      <c r="I500" s="4">
        <v>62.2</v>
      </c>
      <c r="J500" s="4">
        <v>64.099999999999994</v>
      </c>
      <c r="K500" s="4">
        <v>832591.15</v>
      </c>
      <c r="L500" s="4" t="s">
        <v>381</v>
      </c>
      <c r="M500" s="4" t="s">
        <v>91</v>
      </c>
    </row>
    <row r="501" spans="1:13" x14ac:dyDescent="0.2">
      <c r="A501" s="4">
        <v>20</v>
      </c>
      <c r="B501" s="4" t="s">
        <v>94</v>
      </c>
      <c r="C501" s="4">
        <v>565.6</v>
      </c>
      <c r="D501" s="4">
        <v>2.3199999999999998</v>
      </c>
      <c r="E501" s="4">
        <v>58.4</v>
      </c>
      <c r="F501" s="4">
        <v>0.15</v>
      </c>
      <c r="G501" s="4">
        <v>49.06</v>
      </c>
      <c r="H501" s="4">
        <v>37.5</v>
      </c>
      <c r="I501" s="4">
        <v>49</v>
      </c>
      <c r="J501" s="4">
        <v>60.3</v>
      </c>
      <c r="K501" s="4">
        <v>647468.43000000005</v>
      </c>
      <c r="L501" s="4" t="s">
        <v>381</v>
      </c>
      <c r="M501" s="4" t="s">
        <v>55</v>
      </c>
    </row>
    <row r="502" spans="1:13" x14ac:dyDescent="0.2">
      <c r="A502" s="4">
        <v>21</v>
      </c>
      <c r="B502" s="4" t="s">
        <v>97</v>
      </c>
      <c r="C502" s="4">
        <v>879.4</v>
      </c>
      <c r="D502" s="4">
        <v>2.9</v>
      </c>
      <c r="E502" s="4">
        <v>100</v>
      </c>
      <c r="F502" s="4">
        <v>0.27</v>
      </c>
      <c r="G502" s="4">
        <v>67.53</v>
      </c>
      <c r="H502" s="4">
        <v>80.7</v>
      </c>
      <c r="I502" s="4">
        <v>0</v>
      </c>
      <c r="J502" s="4">
        <v>82.4</v>
      </c>
      <c r="K502" s="4">
        <v>926652.26</v>
      </c>
      <c r="L502" s="4" t="s">
        <v>382</v>
      </c>
      <c r="M502" s="4" t="s">
        <v>16</v>
      </c>
    </row>
    <row r="503" spans="1:13" x14ac:dyDescent="0.2">
      <c r="A503" s="4">
        <v>22</v>
      </c>
      <c r="B503" s="4" t="s">
        <v>100</v>
      </c>
      <c r="C503" s="4">
        <v>1048.0999999999999</v>
      </c>
      <c r="D503" s="4">
        <v>2.48</v>
      </c>
      <c r="E503" s="4">
        <v>74.900000000000006</v>
      </c>
      <c r="F503" s="4">
        <v>0.26</v>
      </c>
      <c r="G503" s="4">
        <v>112.28</v>
      </c>
      <c r="H503" s="4">
        <v>111.6</v>
      </c>
      <c r="I503" s="4">
        <v>67.7</v>
      </c>
      <c r="J503" s="4">
        <v>73.8</v>
      </c>
      <c r="K503" s="4">
        <v>1571951.65</v>
      </c>
      <c r="L503" s="4" t="s">
        <v>382</v>
      </c>
      <c r="M503" s="4" t="s">
        <v>38</v>
      </c>
    </row>
    <row r="504" spans="1:13" x14ac:dyDescent="0.2">
      <c r="A504" s="4">
        <v>23</v>
      </c>
      <c r="B504" s="4" t="s">
        <v>103</v>
      </c>
      <c r="C504" s="4">
        <v>550.4</v>
      </c>
      <c r="D504" s="4">
        <v>3.16</v>
      </c>
      <c r="E504" s="4">
        <v>81.5</v>
      </c>
      <c r="F504" s="4">
        <v>0.32</v>
      </c>
      <c r="G504" s="4">
        <v>44.13</v>
      </c>
      <c r="H504" s="4">
        <v>56</v>
      </c>
      <c r="I504" s="4">
        <v>64.2</v>
      </c>
      <c r="J504" s="4">
        <v>70.7</v>
      </c>
      <c r="K504" s="4">
        <v>573882.43999999994</v>
      </c>
      <c r="L504" s="4" t="s">
        <v>382</v>
      </c>
      <c r="M504" s="4" t="s">
        <v>55</v>
      </c>
    </row>
    <row r="505" spans="1:13" x14ac:dyDescent="0.2">
      <c r="A505" s="4">
        <v>24</v>
      </c>
      <c r="B505" s="4" t="s">
        <v>106</v>
      </c>
      <c r="C505" s="4">
        <v>1027.9000000000001</v>
      </c>
      <c r="D505" s="4">
        <v>3</v>
      </c>
      <c r="E505" s="4">
        <v>77.2</v>
      </c>
      <c r="F505" s="4">
        <v>0.28999999999999998</v>
      </c>
      <c r="G505" s="4">
        <v>111.13</v>
      </c>
      <c r="H505" s="4">
        <v>100.8</v>
      </c>
      <c r="I505" s="4">
        <v>74.400000000000006</v>
      </c>
      <c r="J505" s="4">
        <v>73.8</v>
      </c>
      <c r="K505" s="4">
        <v>1292609.46</v>
      </c>
      <c r="L505" s="4" t="s">
        <v>381</v>
      </c>
      <c r="M505" s="4" t="s">
        <v>38</v>
      </c>
    </row>
    <row r="506" spans="1:13" x14ac:dyDescent="0.2">
      <c r="A506" s="4">
        <v>25</v>
      </c>
      <c r="B506" s="4" t="s">
        <v>109</v>
      </c>
      <c r="C506" s="4">
        <v>1210.7</v>
      </c>
      <c r="D506" s="4">
        <v>2.4900000000000002</v>
      </c>
      <c r="E506" s="4">
        <v>56.2</v>
      </c>
      <c r="F506" s="4">
        <v>0.25</v>
      </c>
      <c r="G506" s="4">
        <v>156.19999999999999</v>
      </c>
      <c r="H506" s="4">
        <v>121.8</v>
      </c>
      <c r="I506" s="4">
        <v>83.4</v>
      </c>
      <c r="J506" s="4">
        <v>59.4</v>
      </c>
      <c r="K506" s="4">
        <v>1546293.19</v>
      </c>
      <c r="L506" s="4" t="s">
        <v>382</v>
      </c>
      <c r="M506" s="4" t="s">
        <v>55</v>
      </c>
    </row>
    <row r="507" spans="1:13" x14ac:dyDescent="0.2">
      <c r="A507" s="4">
        <v>26</v>
      </c>
      <c r="B507" s="4" t="s">
        <v>112</v>
      </c>
      <c r="C507" s="4">
        <v>1197.8</v>
      </c>
      <c r="D507" s="4">
        <v>2.46</v>
      </c>
      <c r="E507" s="4">
        <v>55.7</v>
      </c>
      <c r="F507" s="4">
        <v>0.25</v>
      </c>
      <c r="G507" s="4">
        <v>157.21</v>
      </c>
      <c r="H507" s="4">
        <v>123.9</v>
      </c>
      <c r="I507" s="4">
        <v>84.4</v>
      </c>
      <c r="J507" s="4">
        <v>59.2</v>
      </c>
      <c r="K507" s="4">
        <v>1651357.09</v>
      </c>
      <c r="L507" s="4" t="s">
        <v>382</v>
      </c>
      <c r="M507" s="4" t="s">
        <v>55</v>
      </c>
    </row>
    <row r="508" spans="1:13" x14ac:dyDescent="0.2">
      <c r="A508" s="4">
        <v>27</v>
      </c>
      <c r="B508" s="4" t="s">
        <v>115</v>
      </c>
      <c r="C508" s="4">
        <v>503.8</v>
      </c>
      <c r="D508" s="4">
        <v>2.5</v>
      </c>
      <c r="E508" s="4">
        <v>80.8</v>
      </c>
      <c r="F508" s="4">
        <v>0.23</v>
      </c>
      <c r="G508" s="4">
        <v>55.26</v>
      </c>
      <c r="H508" s="4">
        <v>47</v>
      </c>
      <c r="I508" s="4">
        <v>100</v>
      </c>
      <c r="J508" s="4">
        <v>71.7</v>
      </c>
      <c r="K508" s="4">
        <v>698760.36</v>
      </c>
      <c r="L508" s="4" t="s">
        <v>382</v>
      </c>
      <c r="M508" s="4" t="s">
        <v>55</v>
      </c>
    </row>
    <row r="509" spans="1:13" x14ac:dyDescent="0.2">
      <c r="A509" s="4">
        <v>28</v>
      </c>
      <c r="B509" s="4" t="s">
        <v>118</v>
      </c>
      <c r="C509" s="4">
        <v>877</v>
      </c>
      <c r="D509" s="4">
        <v>2.65</v>
      </c>
      <c r="E509" s="4">
        <v>85.9</v>
      </c>
      <c r="F509" s="4">
        <v>0.24</v>
      </c>
      <c r="G509" s="4">
        <v>92.7</v>
      </c>
      <c r="H509" s="4">
        <v>79.3</v>
      </c>
      <c r="I509" s="4">
        <v>100</v>
      </c>
      <c r="J509" s="4">
        <v>75.900000000000006</v>
      </c>
      <c r="K509" s="4">
        <v>1165196.7</v>
      </c>
      <c r="L509" s="4" t="s">
        <v>382</v>
      </c>
      <c r="M509" s="4" t="s">
        <v>55</v>
      </c>
    </row>
    <row r="510" spans="1:13" x14ac:dyDescent="0.2">
      <c r="A510" s="4">
        <v>29</v>
      </c>
      <c r="B510" s="4" t="s">
        <v>121</v>
      </c>
      <c r="C510" s="4">
        <v>1331.2</v>
      </c>
      <c r="D510" s="4">
        <v>2.67</v>
      </c>
      <c r="E510" s="4">
        <v>79.7</v>
      </c>
      <c r="F510" s="4">
        <v>0.3</v>
      </c>
      <c r="G510" s="4">
        <v>155.30000000000001</v>
      </c>
      <c r="H510" s="4">
        <v>147.9</v>
      </c>
      <c r="I510" s="4">
        <v>74.099999999999994</v>
      </c>
      <c r="J510" s="4">
        <v>73.8</v>
      </c>
      <c r="K510" s="4">
        <v>1730616.77</v>
      </c>
      <c r="L510" s="4" t="s">
        <v>381</v>
      </c>
      <c r="M510" s="4" t="s">
        <v>38</v>
      </c>
    </row>
    <row r="511" spans="1:13" x14ac:dyDescent="0.2">
      <c r="A511" s="4">
        <v>30</v>
      </c>
      <c r="B511" s="4" t="s">
        <v>124</v>
      </c>
      <c r="C511" s="4">
        <v>276.3</v>
      </c>
      <c r="D511" s="4">
        <v>2.65</v>
      </c>
      <c r="E511" s="4">
        <v>79</v>
      </c>
      <c r="F511" s="4">
        <v>0.28999999999999998</v>
      </c>
      <c r="G511" s="4">
        <v>31.67</v>
      </c>
      <c r="H511" s="4">
        <v>30.1</v>
      </c>
      <c r="I511" s="4">
        <v>71.5</v>
      </c>
      <c r="J511" s="4">
        <v>73.900000000000006</v>
      </c>
      <c r="K511" s="4">
        <v>355352.59</v>
      </c>
      <c r="L511" s="4" t="s">
        <v>381</v>
      </c>
      <c r="M511" s="4" t="s">
        <v>38</v>
      </c>
    </row>
    <row r="512" spans="1:13" x14ac:dyDescent="0.2">
      <c r="A512" s="4">
        <v>31</v>
      </c>
      <c r="B512" s="4" t="s">
        <v>127</v>
      </c>
      <c r="C512" s="4">
        <v>273.10000000000002</v>
      </c>
      <c r="D512" s="4">
        <v>2.75</v>
      </c>
      <c r="E512" s="4">
        <v>100</v>
      </c>
      <c r="F512" s="4">
        <v>0.39</v>
      </c>
      <c r="G512" s="4">
        <v>37.46</v>
      </c>
      <c r="H512" s="4">
        <v>38.299999999999997</v>
      </c>
      <c r="I512" s="4">
        <v>100</v>
      </c>
      <c r="J512" s="4">
        <v>93</v>
      </c>
      <c r="K512" s="4">
        <v>280229.69</v>
      </c>
      <c r="L512" s="4" t="s">
        <v>382</v>
      </c>
      <c r="M512" s="4" t="s">
        <v>91</v>
      </c>
    </row>
    <row r="513" spans="1:13" x14ac:dyDescent="0.2">
      <c r="A513" s="4">
        <v>32</v>
      </c>
      <c r="B513" s="4" t="s">
        <v>130</v>
      </c>
      <c r="C513" s="4">
        <v>127.4</v>
      </c>
      <c r="D513" s="4">
        <v>2.4300000000000002</v>
      </c>
      <c r="E513" s="4">
        <v>100</v>
      </c>
      <c r="F513" s="4">
        <v>0.24</v>
      </c>
      <c r="G513" s="4">
        <v>15.4</v>
      </c>
      <c r="H513" s="4">
        <v>12.4</v>
      </c>
      <c r="I513" s="4">
        <v>72.5</v>
      </c>
      <c r="J513" s="4">
        <v>92.4</v>
      </c>
      <c r="K513" s="4">
        <v>141824.56</v>
      </c>
      <c r="L513" s="4" t="s">
        <v>382</v>
      </c>
      <c r="M513" s="4" t="s">
        <v>91</v>
      </c>
    </row>
    <row r="514" spans="1:13" x14ac:dyDescent="0.2">
      <c r="A514" s="4">
        <v>33</v>
      </c>
      <c r="B514" s="4" t="s">
        <v>133</v>
      </c>
      <c r="C514" s="4">
        <v>189.5</v>
      </c>
      <c r="D514" s="4">
        <v>2.72</v>
      </c>
      <c r="E514" s="4">
        <v>100</v>
      </c>
      <c r="F514" s="4">
        <v>0.28999999999999998</v>
      </c>
      <c r="G514" s="4">
        <v>21.94</v>
      </c>
      <c r="H514" s="4">
        <v>20</v>
      </c>
      <c r="I514" s="4">
        <v>100</v>
      </c>
      <c r="J514" s="4">
        <v>93.3</v>
      </c>
      <c r="K514" s="4">
        <v>211504.84</v>
      </c>
      <c r="L514" s="4" t="s">
        <v>382</v>
      </c>
      <c r="M514" s="4" t="s">
        <v>55</v>
      </c>
    </row>
    <row r="515" spans="1:13" x14ac:dyDescent="0.2">
      <c r="A515" s="4">
        <v>34</v>
      </c>
      <c r="B515" s="4" t="s">
        <v>136</v>
      </c>
      <c r="C515" s="4">
        <v>282.3</v>
      </c>
      <c r="D515" s="4">
        <v>2.86</v>
      </c>
      <c r="E515" s="4">
        <v>98.8</v>
      </c>
      <c r="F515" s="4">
        <v>0.28999999999999998</v>
      </c>
      <c r="G515" s="4">
        <v>33.520000000000003</v>
      </c>
      <c r="H515" s="4">
        <v>28.4</v>
      </c>
      <c r="I515" s="4">
        <v>63.3</v>
      </c>
      <c r="J515" s="4">
        <v>92.4</v>
      </c>
      <c r="K515" s="4">
        <v>313455.88</v>
      </c>
      <c r="L515" s="4" t="s">
        <v>381</v>
      </c>
      <c r="M515" s="4" t="s">
        <v>38</v>
      </c>
    </row>
    <row r="516" spans="1:13" x14ac:dyDescent="0.2">
      <c r="A516" s="4">
        <v>35</v>
      </c>
      <c r="B516" s="4" t="s">
        <v>140</v>
      </c>
      <c r="C516" s="4">
        <v>0</v>
      </c>
      <c r="D516" s="4">
        <v>0</v>
      </c>
      <c r="E516" s="4">
        <v>0</v>
      </c>
      <c r="F516" s="4">
        <v>0.02</v>
      </c>
      <c r="G516" s="4">
        <v>0.64</v>
      </c>
      <c r="H516" s="4">
        <v>0.7</v>
      </c>
      <c r="I516" s="4">
        <v>0</v>
      </c>
      <c r="J516" s="4" t="s">
        <v>14</v>
      </c>
      <c r="K516" s="4">
        <v>7334.4</v>
      </c>
      <c r="L516" s="4" t="s">
        <v>381</v>
      </c>
      <c r="M516" s="4" t="s">
        <v>141</v>
      </c>
    </row>
    <row r="517" spans="1:13" x14ac:dyDescent="0.2">
      <c r="A517" s="4">
        <v>36</v>
      </c>
      <c r="B517" s="4" t="s">
        <v>144</v>
      </c>
      <c r="C517" s="4">
        <v>58.1</v>
      </c>
      <c r="D517" s="4">
        <v>1.94</v>
      </c>
      <c r="E517" s="4">
        <v>0</v>
      </c>
      <c r="F517" s="4">
        <v>0.15</v>
      </c>
      <c r="G517" s="4">
        <v>5.03</v>
      </c>
      <c r="H517" s="4">
        <v>4.5</v>
      </c>
      <c r="I517" s="4">
        <v>0</v>
      </c>
      <c r="J517" s="4" t="s">
        <v>14</v>
      </c>
      <c r="K517" s="4">
        <v>43021.3</v>
      </c>
      <c r="L517" s="4" t="s">
        <v>382</v>
      </c>
      <c r="M517" s="4" t="s">
        <v>141</v>
      </c>
    </row>
    <row r="518" spans="1:13" x14ac:dyDescent="0.2">
      <c r="A518" s="4">
        <v>37</v>
      </c>
      <c r="B518" s="4" t="s">
        <v>147</v>
      </c>
      <c r="C518" s="4">
        <v>22.6</v>
      </c>
      <c r="D518" s="4">
        <v>2.5099999999999998</v>
      </c>
      <c r="E518" s="4">
        <v>0</v>
      </c>
      <c r="F518" s="4">
        <v>0.2</v>
      </c>
      <c r="G518" s="4">
        <v>2.27</v>
      </c>
      <c r="H518" s="4">
        <v>1.8</v>
      </c>
      <c r="I518" s="4">
        <v>0</v>
      </c>
      <c r="J518" s="4" t="s">
        <v>14</v>
      </c>
      <c r="K518" s="4">
        <v>32172.5</v>
      </c>
      <c r="L518" s="4" t="s">
        <v>382</v>
      </c>
      <c r="M518" s="4" t="s">
        <v>55</v>
      </c>
    </row>
    <row r="519" spans="1:13" x14ac:dyDescent="0.2">
      <c r="A519" s="4">
        <v>38</v>
      </c>
      <c r="B519" s="4" t="s">
        <v>150</v>
      </c>
      <c r="C519" s="4">
        <v>14.1</v>
      </c>
      <c r="D519" s="4">
        <v>2.56</v>
      </c>
      <c r="E519" s="4">
        <v>0</v>
      </c>
      <c r="F519" s="4">
        <v>0.13</v>
      </c>
      <c r="G519" s="4">
        <v>1.46</v>
      </c>
      <c r="H519" s="4">
        <v>0.7</v>
      </c>
      <c r="I519" s="4">
        <v>0</v>
      </c>
      <c r="J519" s="4" t="s">
        <v>14</v>
      </c>
      <c r="K519" s="4">
        <v>20174.7</v>
      </c>
      <c r="L519" s="4" t="s">
        <v>382</v>
      </c>
      <c r="M519" s="4" t="s">
        <v>55</v>
      </c>
    </row>
    <row r="520" spans="1:13" x14ac:dyDescent="0.2">
      <c r="A520" s="4">
        <v>39</v>
      </c>
      <c r="B520" s="4" t="s">
        <v>153</v>
      </c>
      <c r="C520" s="4">
        <v>49.4</v>
      </c>
      <c r="D520" s="4">
        <v>2.63</v>
      </c>
      <c r="E520" s="4">
        <v>0</v>
      </c>
      <c r="F520" s="4">
        <v>0.26</v>
      </c>
      <c r="G520" s="4">
        <v>5.07</v>
      </c>
      <c r="H520" s="4">
        <v>4.8</v>
      </c>
      <c r="I520" s="4">
        <v>0</v>
      </c>
      <c r="J520" s="4" t="s">
        <v>14</v>
      </c>
      <c r="K520" s="4">
        <v>37867.300000000003</v>
      </c>
      <c r="L520" s="4" t="s">
        <v>381</v>
      </c>
      <c r="M520" s="4" t="s">
        <v>55</v>
      </c>
    </row>
    <row r="521" spans="1:13" x14ac:dyDescent="0.2">
      <c r="A521" s="4">
        <v>40</v>
      </c>
      <c r="B521" s="4" t="s">
        <v>156</v>
      </c>
      <c r="C521" s="4">
        <v>43.6</v>
      </c>
      <c r="D521" s="4">
        <v>2.68</v>
      </c>
      <c r="E521" s="4">
        <v>0</v>
      </c>
      <c r="F521" s="4">
        <v>0.26</v>
      </c>
      <c r="G521" s="4">
        <v>4.92</v>
      </c>
      <c r="H521" s="4">
        <v>4.2</v>
      </c>
      <c r="I521" s="4">
        <v>0</v>
      </c>
      <c r="J521" s="4" t="s">
        <v>14</v>
      </c>
      <c r="K521" s="4">
        <v>20355.599999999999</v>
      </c>
      <c r="L521" s="4" t="s">
        <v>381</v>
      </c>
      <c r="M521" s="4" t="s">
        <v>55</v>
      </c>
    </row>
    <row r="522" spans="1:13" x14ac:dyDescent="0.2">
      <c r="A522" s="4">
        <v>41</v>
      </c>
      <c r="B522" s="4" t="s">
        <v>159</v>
      </c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 t="s">
        <v>160</v>
      </c>
      <c r="J522" s="4" t="s">
        <v>14</v>
      </c>
      <c r="K522" s="4">
        <v>0</v>
      </c>
      <c r="L522" s="4" t="s">
        <v>161</v>
      </c>
      <c r="M522" s="4" t="s">
        <v>141</v>
      </c>
    </row>
    <row r="523" spans="1:13" x14ac:dyDescent="0.2">
      <c r="A523" s="4">
        <v>42</v>
      </c>
      <c r="B523" s="4" t="s">
        <v>164</v>
      </c>
      <c r="C523" s="4">
        <v>134.69999999999999</v>
      </c>
      <c r="D523" s="4">
        <v>4.49</v>
      </c>
      <c r="E523" s="4">
        <v>0</v>
      </c>
      <c r="F523" s="4">
        <v>0.39</v>
      </c>
      <c r="G523" s="4">
        <v>11.91</v>
      </c>
      <c r="H523" s="4">
        <v>11.8</v>
      </c>
      <c r="I523" s="4">
        <v>0</v>
      </c>
      <c r="J523" s="4" t="s">
        <v>14</v>
      </c>
      <c r="K523" s="4">
        <v>88314.23</v>
      </c>
      <c r="L523" s="4" t="s">
        <v>382</v>
      </c>
      <c r="M523" s="4" t="s">
        <v>141</v>
      </c>
    </row>
    <row r="524" spans="1:13" x14ac:dyDescent="0.2">
      <c r="A524" s="4">
        <v>43</v>
      </c>
      <c r="B524" s="4" t="s">
        <v>167</v>
      </c>
      <c r="C524" s="4">
        <v>25.2</v>
      </c>
      <c r="D524" s="4">
        <v>0.84</v>
      </c>
      <c r="E524" s="4">
        <v>0</v>
      </c>
      <c r="F524" s="4">
        <v>0.13</v>
      </c>
      <c r="G524" s="4">
        <v>3.3</v>
      </c>
      <c r="H524" s="4">
        <v>3.8</v>
      </c>
      <c r="I524" s="4">
        <v>0</v>
      </c>
      <c r="J524" s="4" t="s">
        <v>14</v>
      </c>
      <c r="K524" s="4">
        <v>21821.7</v>
      </c>
      <c r="L524" s="4" t="s">
        <v>382</v>
      </c>
      <c r="M524" s="4" t="s">
        <v>168</v>
      </c>
    </row>
    <row r="525" spans="1:13" x14ac:dyDescent="0.2">
      <c r="A525" s="4">
        <v>44</v>
      </c>
      <c r="B525" s="4" t="s">
        <v>171</v>
      </c>
      <c r="C525" s="4">
        <v>83</v>
      </c>
      <c r="D525" s="4">
        <v>2.77</v>
      </c>
      <c r="E525" s="4">
        <v>0</v>
      </c>
      <c r="F525" s="4">
        <v>0.21</v>
      </c>
      <c r="G525" s="4">
        <v>6.76</v>
      </c>
      <c r="H525" s="4">
        <v>6.2</v>
      </c>
      <c r="I525" s="4">
        <v>0</v>
      </c>
      <c r="J525" s="4" t="s">
        <v>14</v>
      </c>
      <c r="K525" s="4">
        <v>35248.800000000003</v>
      </c>
      <c r="L525" s="4" t="s">
        <v>381</v>
      </c>
      <c r="M525" s="4" t="s">
        <v>55</v>
      </c>
    </row>
    <row r="526" spans="1:13" x14ac:dyDescent="0.2">
      <c r="A526" s="4">
        <v>45</v>
      </c>
      <c r="B526" s="4" t="s">
        <v>172</v>
      </c>
      <c r="C526" s="4">
        <v>745.1</v>
      </c>
      <c r="D526" s="4">
        <v>2.57</v>
      </c>
      <c r="E526" s="4">
        <v>77.2</v>
      </c>
      <c r="F526" s="4">
        <v>0.26</v>
      </c>
      <c r="G526" s="4">
        <v>92.31</v>
      </c>
      <c r="H526" s="4">
        <v>76.3</v>
      </c>
      <c r="I526" s="4">
        <v>72.7</v>
      </c>
      <c r="J526" s="4">
        <v>73.599999999999994</v>
      </c>
      <c r="K526" s="4">
        <v>827257.98</v>
      </c>
      <c r="L526" s="4" t="s">
        <v>381</v>
      </c>
      <c r="M526" s="4" t="s">
        <v>38</v>
      </c>
    </row>
    <row r="527" spans="1:13" x14ac:dyDescent="0.2">
      <c r="A527" s="4">
        <v>46</v>
      </c>
      <c r="B527" s="4" t="s">
        <v>173</v>
      </c>
      <c r="C527" s="4">
        <v>355.2</v>
      </c>
      <c r="D527" s="4">
        <v>1.83</v>
      </c>
      <c r="E527" s="4">
        <v>76</v>
      </c>
      <c r="F527" s="4">
        <v>0.32</v>
      </c>
      <c r="G527" s="4">
        <v>63.01</v>
      </c>
      <c r="H527" s="4">
        <v>63</v>
      </c>
      <c r="I527" s="4">
        <v>71.400000000000006</v>
      </c>
      <c r="J527" s="4">
        <v>72.2</v>
      </c>
      <c r="K527" s="4">
        <v>604941.09</v>
      </c>
      <c r="L527" s="4" t="s">
        <v>381</v>
      </c>
      <c r="M527" s="4" t="s">
        <v>38</v>
      </c>
    </row>
    <row r="528" spans="1:13" x14ac:dyDescent="0.2">
      <c r="A528" s="4">
        <v>47</v>
      </c>
      <c r="B528" s="4" t="s">
        <v>174</v>
      </c>
      <c r="C528" s="4">
        <v>664</v>
      </c>
      <c r="D528" s="4">
        <v>2.67</v>
      </c>
      <c r="E528" s="4">
        <v>75.5</v>
      </c>
      <c r="F528" s="4">
        <v>0.34</v>
      </c>
      <c r="G528" s="4">
        <v>82.22</v>
      </c>
      <c r="H528" s="4">
        <v>84.7</v>
      </c>
      <c r="I528" s="4">
        <v>71.8</v>
      </c>
      <c r="J528" s="4">
        <v>72.5</v>
      </c>
      <c r="K528" s="4">
        <v>812325.97</v>
      </c>
      <c r="L528" s="4" t="s">
        <v>382</v>
      </c>
      <c r="M528" s="4" t="s">
        <v>38</v>
      </c>
    </row>
    <row r="529" spans="1:13" x14ac:dyDescent="0.2">
      <c r="A529" s="4">
        <v>48</v>
      </c>
      <c r="B529" s="4" t="s">
        <v>175</v>
      </c>
      <c r="C529" s="4">
        <v>896.1</v>
      </c>
      <c r="D529" s="4">
        <v>2.58</v>
      </c>
      <c r="E529" s="4">
        <v>74.2</v>
      </c>
      <c r="F529" s="4">
        <v>0.32</v>
      </c>
      <c r="G529" s="4">
        <v>108.08</v>
      </c>
      <c r="H529" s="4">
        <v>110.9</v>
      </c>
      <c r="I529" s="4">
        <v>68.2</v>
      </c>
      <c r="J529" s="4">
        <v>69.900000000000006</v>
      </c>
      <c r="K529" s="4">
        <v>1140425.45</v>
      </c>
      <c r="L529" s="4" t="s">
        <v>382</v>
      </c>
      <c r="M529" s="4" t="s">
        <v>38</v>
      </c>
    </row>
    <row r="530" spans="1:13" x14ac:dyDescent="0.2">
      <c r="A530" s="4">
        <v>49</v>
      </c>
      <c r="B530" s="4" t="s">
        <v>176</v>
      </c>
      <c r="C530" s="4">
        <v>1267.7</v>
      </c>
      <c r="D530" s="4">
        <v>2.5499999999999998</v>
      </c>
      <c r="E530" s="4">
        <v>73.599999999999994</v>
      </c>
      <c r="F530" s="4">
        <v>0.28999999999999998</v>
      </c>
      <c r="G530" s="4">
        <v>151.26</v>
      </c>
      <c r="H530" s="4">
        <v>143.19999999999999</v>
      </c>
      <c r="I530" s="4">
        <v>67.2</v>
      </c>
      <c r="J530" s="4">
        <v>68.599999999999994</v>
      </c>
      <c r="K530" s="4">
        <v>1568178.53</v>
      </c>
      <c r="L530" s="4" t="s">
        <v>381</v>
      </c>
      <c r="M530" s="4" t="s">
        <v>38</v>
      </c>
    </row>
    <row r="531" spans="1:13" x14ac:dyDescent="0.2">
      <c r="A531" s="4">
        <v>50</v>
      </c>
      <c r="B531" s="4" t="s">
        <v>177</v>
      </c>
      <c r="C531" s="4">
        <v>1391.3</v>
      </c>
      <c r="D531" s="4">
        <v>2.79</v>
      </c>
      <c r="E531" s="4">
        <v>77.900000000000006</v>
      </c>
      <c r="F531" s="4">
        <v>0.31</v>
      </c>
      <c r="G531" s="4">
        <v>161.24</v>
      </c>
      <c r="H531" s="4">
        <v>152.6</v>
      </c>
      <c r="I531" s="4">
        <v>58.4</v>
      </c>
      <c r="J531" s="4">
        <v>71.900000000000006</v>
      </c>
      <c r="K531" s="4">
        <v>1377429.95</v>
      </c>
      <c r="L531" s="4" t="s">
        <v>381</v>
      </c>
      <c r="M531" s="4" t="s">
        <v>38</v>
      </c>
    </row>
    <row r="532" spans="1:13" x14ac:dyDescent="0.2">
      <c r="A532" s="4">
        <v>51</v>
      </c>
      <c r="B532" s="4" t="s">
        <v>178</v>
      </c>
      <c r="C532" s="4">
        <v>608.9</v>
      </c>
      <c r="D532" s="4">
        <v>2.79</v>
      </c>
      <c r="E532" s="4">
        <v>77.900000000000006</v>
      </c>
      <c r="F532" s="4">
        <v>0.35</v>
      </c>
      <c r="G532" s="4">
        <v>76.14</v>
      </c>
      <c r="H532" s="4">
        <v>76.400000000000006</v>
      </c>
      <c r="I532" s="4">
        <v>61.8</v>
      </c>
      <c r="J532" s="4">
        <v>71.7</v>
      </c>
      <c r="K532" s="4">
        <v>459508.93</v>
      </c>
      <c r="L532" s="4" t="s">
        <v>382</v>
      </c>
      <c r="M532" s="4" t="s">
        <v>38</v>
      </c>
    </row>
    <row r="533" spans="1:13" x14ac:dyDescent="0.2">
      <c r="A533" s="4">
        <v>52</v>
      </c>
      <c r="B533" s="4" t="s">
        <v>179</v>
      </c>
      <c r="C533" s="4">
        <v>1356.6</v>
      </c>
      <c r="D533" s="4">
        <v>2.72</v>
      </c>
      <c r="E533" s="4">
        <v>100</v>
      </c>
      <c r="F533" s="4">
        <v>0.33</v>
      </c>
      <c r="G533" s="4">
        <v>161.63</v>
      </c>
      <c r="H533" s="4">
        <v>166.9</v>
      </c>
      <c r="I533" s="4">
        <v>100</v>
      </c>
      <c r="J533" s="4">
        <v>89.8</v>
      </c>
      <c r="K533" s="4">
        <v>1243097.8</v>
      </c>
      <c r="L533" s="4" t="s">
        <v>382</v>
      </c>
      <c r="M533" s="4" t="s">
        <v>38</v>
      </c>
    </row>
    <row r="534" spans="1:13" x14ac:dyDescent="0.2">
      <c r="A534" s="4">
        <v>53</v>
      </c>
      <c r="B534" s="4" t="s">
        <v>180</v>
      </c>
      <c r="C534" s="4">
        <v>476.1</v>
      </c>
      <c r="D534" s="4">
        <v>2.54</v>
      </c>
      <c r="E534" s="4">
        <v>75.900000000000006</v>
      </c>
      <c r="F534" s="4">
        <v>0.25</v>
      </c>
      <c r="G534" s="4">
        <v>54.72</v>
      </c>
      <c r="H534" s="4">
        <v>47.1</v>
      </c>
      <c r="I534" s="4">
        <v>72</v>
      </c>
      <c r="J534" s="4">
        <v>75.8</v>
      </c>
      <c r="K534" s="4">
        <v>568088.03</v>
      </c>
      <c r="L534" s="4" t="s">
        <v>381</v>
      </c>
      <c r="M534" s="4" t="s">
        <v>55</v>
      </c>
    </row>
    <row r="535" spans="1:13" x14ac:dyDescent="0.2">
      <c r="A535" s="4">
        <v>54</v>
      </c>
      <c r="B535" s="4" t="s">
        <v>181</v>
      </c>
      <c r="C535" s="4">
        <v>908.5</v>
      </c>
      <c r="D535" s="4">
        <v>3.03</v>
      </c>
      <c r="E535" s="4">
        <v>83</v>
      </c>
      <c r="F535" s="4">
        <v>0.25</v>
      </c>
      <c r="G535" s="4">
        <v>65.400000000000006</v>
      </c>
      <c r="H535" s="4">
        <v>73.599999999999994</v>
      </c>
      <c r="I535" s="4">
        <v>68.3</v>
      </c>
      <c r="J535" s="4">
        <v>78.400000000000006</v>
      </c>
      <c r="K535" s="4">
        <v>832151.38</v>
      </c>
      <c r="L535" s="4" t="s">
        <v>381</v>
      </c>
      <c r="M535" s="4" t="s">
        <v>16</v>
      </c>
    </row>
    <row r="536" spans="1:13" x14ac:dyDescent="0.2">
      <c r="A536" s="4">
        <v>55</v>
      </c>
      <c r="B536" s="4" t="s">
        <v>182</v>
      </c>
      <c r="C536" s="4">
        <v>238.2</v>
      </c>
      <c r="D536" s="4">
        <v>2.68</v>
      </c>
      <c r="E536" s="4">
        <v>100</v>
      </c>
      <c r="F536" s="4">
        <v>0.25</v>
      </c>
      <c r="G536" s="4">
        <v>22.08</v>
      </c>
      <c r="H536" s="4">
        <v>22.5</v>
      </c>
      <c r="I536" s="4">
        <v>0</v>
      </c>
      <c r="J536" s="4">
        <v>93.3</v>
      </c>
      <c r="K536" s="4">
        <v>267557.53999999998</v>
      </c>
      <c r="L536" s="4" t="s">
        <v>381</v>
      </c>
      <c r="M536" s="4" t="s">
        <v>38</v>
      </c>
    </row>
    <row r="537" spans="1:13" x14ac:dyDescent="0.2">
      <c r="A537" s="4">
        <v>56</v>
      </c>
      <c r="B537" s="4" t="s">
        <v>183</v>
      </c>
      <c r="C537" s="4">
        <v>1817.4</v>
      </c>
      <c r="D537" s="4">
        <v>3.64</v>
      </c>
      <c r="E537" s="4">
        <v>76.400000000000006</v>
      </c>
      <c r="F537" s="4">
        <v>0.27</v>
      </c>
      <c r="G537" s="4">
        <v>135.53</v>
      </c>
      <c r="H537" s="4">
        <v>133.69999999999999</v>
      </c>
      <c r="I537" s="4">
        <v>64.599999999999994</v>
      </c>
      <c r="J537" s="4">
        <v>74.3</v>
      </c>
      <c r="K537" s="4">
        <v>1135868.52</v>
      </c>
      <c r="L537" s="4" t="s">
        <v>382</v>
      </c>
      <c r="M537" s="4" t="s">
        <v>141</v>
      </c>
    </row>
    <row r="538" spans="1:13" x14ac:dyDescent="0.2">
      <c r="A538" s="4">
        <v>57</v>
      </c>
      <c r="B538" s="4" t="s">
        <v>184</v>
      </c>
      <c r="C538" s="4">
        <v>1988.4</v>
      </c>
      <c r="D538" s="4">
        <v>3.99</v>
      </c>
      <c r="E538" s="4">
        <v>84.4</v>
      </c>
      <c r="F538" s="4">
        <v>0.3</v>
      </c>
      <c r="G538" s="4">
        <v>162.69</v>
      </c>
      <c r="H538" s="4">
        <v>150.69999999999999</v>
      </c>
      <c r="I538" s="4">
        <v>66.7</v>
      </c>
      <c r="J538" s="4">
        <v>81.400000000000006</v>
      </c>
      <c r="K538" s="4">
        <v>1287625.43</v>
      </c>
      <c r="L538" s="4" t="s">
        <v>382</v>
      </c>
      <c r="M538" s="4" t="s">
        <v>141</v>
      </c>
    </row>
    <row r="539" spans="1:13" x14ac:dyDescent="0.2">
      <c r="A539" s="4">
        <v>58</v>
      </c>
      <c r="B539" s="4" t="s">
        <v>185</v>
      </c>
      <c r="C539" s="4">
        <v>396.9</v>
      </c>
      <c r="D539" s="4">
        <v>4.28</v>
      </c>
      <c r="E539" s="4">
        <v>100</v>
      </c>
      <c r="F539" s="4">
        <v>0.41</v>
      </c>
      <c r="G539" s="4">
        <v>36.49</v>
      </c>
      <c r="H539" s="4">
        <v>37.700000000000003</v>
      </c>
      <c r="I539" s="4">
        <v>100</v>
      </c>
      <c r="J539" s="4">
        <v>93.3</v>
      </c>
      <c r="K539" s="4">
        <v>260235.75</v>
      </c>
      <c r="L539" s="4" t="s">
        <v>382</v>
      </c>
      <c r="M539" s="4" t="s">
        <v>141</v>
      </c>
    </row>
    <row r="540" spans="1:13" x14ac:dyDescent="0.2">
      <c r="A540" s="4">
        <v>59</v>
      </c>
      <c r="B540" s="4" t="s">
        <v>186</v>
      </c>
      <c r="C540" s="4">
        <v>870.2</v>
      </c>
      <c r="D540" s="4">
        <v>3.28</v>
      </c>
      <c r="E540" s="4">
        <v>66.5</v>
      </c>
      <c r="F540" s="4">
        <v>0.25</v>
      </c>
      <c r="G540" s="4">
        <v>67.290000000000006</v>
      </c>
      <c r="H540" s="4">
        <v>67</v>
      </c>
      <c r="I540" s="4">
        <v>84.3</v>
      </c>
      <c r="J540" s="4">
        <v>67.400000000000006</v>
      </c>
      <c r="K540" s="4">
        <v>716017.23</v>
      </c>
      <c r="L540" s="4" t="s">
        <v>381</v>
      </c>
      <c r="M540" s="4" t="s">
        <v>141</v>
      </c>
    </row>
    <row r="541" spans="1:13" x14ac:dyDescent="0.2">
      <c r="A541" s="4">
        <v>60</v>
      </c>
      <c r="B541" s="4" t="s">
        <v>187</v>
      </c>
      <c r="C541" s="4">
        <v>413.4</v>
      </c>
      <c r="D541" s="4">
        <v>2.9</v>
      </c>
      <c r="E541" s="4">
        <v>72.900000000000006</v>
      </c>
      <c r="F541" s="4">
        <v>0.28000000000000003</v>
      </c>
      <c r="G541" s="4">
        <v>41.3</v>
      </c>
      <c r="H541" s="4">
        <v>40.200000000000003</v>
      </c>
      <c r="I541" s="4">
        <v>67.5</v>
      </c>
      <c r="J541" s="4">
        <v>71.599999999999994</v>
      </c>
      <c r="K541" s="4">
        <v>349332.3</v>
      </c>
      <c r="L541" s="4" t="s">
        <v>381</v>
      </c>
      <c r="M541" s="4" t="s">
        <v>188</v>
      </c>
    </row>
    <row r="542" spans="1:13" x14ac:dyDescent="0.2">
      <c r="A542" s="4">
        <v>61</v>
      </c>
      <c r="B542" s="4" t="s">
        <v>189</v>
      </c>
      <c r="C542" s="4">
        <v>628.1</v>
      </c>
      <c r="D542" s="4">
        <v>2.42</v>
      </c>
      <c r="E542" s="4">
        <v>62.2</v>
      </c>
      <c r="F542" s="4">
        <v>0.24</v>
      </c>
      <c r="G542" s="4">
        <v>62.64</v>
      </c>
      <c r="H542" s="4">
        <v>61.1</v>
      </c>
      <c r="I542" s="4">
        <v>53</v>
      </c>
      <c r="J542" s="4">
        <v>63</v>
      </c>
      <c r="K542" s="4">
        <v>580868.52</v>
      </c>
      <c r="L542" s="4" t="s">
        <v>382</v>
      </c>
      <c r="M542" s="4" t="s">
        <v>38</v>
      </c>
    </row>
    <row r="543" spans="1:13" x14ac:dyDescent="0.2">
      <c r="A543" s="4">
        <v>62</v>
      </c>
      <c r="B543" s="4" t="s">
        <v>190</v>
      </c>
      <c r="C543" s="4">
        <v>1121.7</v>
      </c>
      <c r="D543" s="4">
        <v>3.68</v>
      </c>
      <c r="E543" s="4">
        <v>79.400000000000006</v>
      </c>
      <c r="F543" s="4">
        <v>0.3</v>
      </c>
      <c r="G543" s="4">
        <v>93.69</v>
      </c>
      <c r="H543" s="4">
        <v>91.2</v>
      </c>
      <c r="I543" s="4">
        <v>69.7</v>
      </c>
      <c r="J543" s="4">
        <v>77.400000000000006</v>
      </c>
      <c r="K543" s="4">
        <v>728076.85</v>
      </c>
      <c r="L543" s="4" t="s">
        <v>382</v>
      </c>
      <c r="M543" s="4" t="s">
        <v>141</v>
      </c>
    </row>
    <row r="544" spans="1:13" x14ac:dyDescent="0.2">
      <c r="A544" s="4">
        <v>63</v>
      </c>
      <c r="B544" s="4" t="s">
        <v>191</v>
      </c>
      <c r="C544" s="4">
        <v>732.9</v>
      </c>
      <c r="D544" s="4">
        <v>3.67</v>
      </c>
      <c r="E544" s="4">
        <v>79</v>
      </c>
      <c r="F544" s="4">
        <v>0.28999999999999998</v>
      </c>
      <c r="G544" s="4">
        <v>60.29</v>
      </c>
      <c r="H544" s="4">
        <v>57.8</v>
      </c>
      <c r="I544" s="4">
        <v>72.5</v>
      </c>
      <c r="J544" s="4">
        <v>76.599999999999994</v>
      </c>
      <c r="K544" s="4">
        <v>517636.82</v>
      </c>
      <c r="L544" s="4" t="s">
        <v>382</v>
      </c>
      <c r="M544" s="4" t="s">
        <v>141</v>
      </c>
    </row>
    <row r="545" spans="1:13" x14ac:dyDescent="0.2">
      <c r="A545" s="4">
        <v>64</v>
      </c>
      <c r="B545" s="4" t="s">
        <v>192</v>
      </c>
      <c r="C545" s="4">
        <v>1489</v>
      </c>
      <c r="D545" s="4">
        <v>3.7</v>
      </c>
      <c r="E545" s="4">
        <v>83.3</v>
      </c>
      <c r="F545" s="4">
        <v>0.26</v>
      </c>
      <c r="G545" s="4">
        <v>113.81</v>
      </c>
      <c r="H545" s="4">
        <v>102.9</v>
      </c>
      <c r="I545" s="4">
        <v>84.2</v>
      </c>
      <c r="J545" s="4">
        <v>84.4</v>
      </c>
      <c r="K545" s="4">
        <v>1013885.31</v>
      </c>
      <c r="L545" s="4" t="s">
        <v>381</v>
      </c>
      <c r="M545" s="4" t="s">
        <v>141</v>
      </c>
    </row>
    <row r="546" spans="1:13" x14ac:dyDescent="0.2">
      <c r="A546" s="4">
        <v>65</v>
      </c>
      <c r="B546" s="4" t="s">
        <v>193</v>
      </c>
      <c r="C546" s="4">
        <v>1076.7</v>
      </c>
      <c r="D546" s="4">
        <v>3.68</v>
      </c>
      <c r="E546" s="4">
        <v>82.9</v>
      </c>
      <c r="F546" s="4">
        <v>0.2</v>
      </c>
      <c r="G546" s="4">
        <v>69.87</v>
      </c>
      <c r="H546" s="4">
        <v>58.8</v>
      </c>
      <c r="I546" s="4">
        <v>62.4</v>
      </c>
      <c r="J546" s="4">
        <v>84.4</v>
      </c>
      <c r="K546" s="4">
        <v>748897.65</v>
      </c>
      <c r="L546" s="4" t="s">
        <v>381</v>
      </c>
      <c r="M546" s="4" t="s">
        <v>141</v>
      </c>
    </row>
    <row r="547" spans="1:13" x14ac:dyDescent="0.2">
      <c r="A547" s="4">
        <v>66</v>
      </c>
      <c r="B547" s="4" t="s">
        <v>194</v>
      </c>
      <c r="C547" s="4">
        <v>698.6</v>
      </c>
      <c r="D547" s="4">
        <v>3.35</v>
      </c>
      <c r="E547" s="4">
        <v>75.099999999999994</v>
      </c>
      <c r="F547" s="4">
        <v>0.26</v>
      </c>
      <c r="G547" s="4">
        <v>57.68</v>
      </c>
      <c r="H547" s="4">
        <v>54.6</v>
      </c>
      <c r="I547" s="4">
        <v>66.2</v>
      </c>
      <c r="J547" s="4">
        <v>73.7</v>
      </c>
      <c r="K547" s="4">
        <v>505503.49</v>
      </c>
      <c r="L547" s="4" t="s">
        <v>382</v>
      </c>
      <c r="M547" s="4" t="s">
        <v>141</v>
      </c>
    </row>
    <row r="548" spans="1:13" x14ac:dyDescent="0.2">
      <c r="A548" s="4">
        <v>67</v>
      </c>
      <c r="B548" s="4" t="s">
        <v>195</v>
      </c>
      <c r="C548" s="4">
        <v>180.8</v>
      </c>
      <c r="D548" s="4">
        <v>2.73</v>
      </c>
      <c r="E548" s="4">
        <v>68.7</v>
      </c>
      <c r="F548" s="4">
        <v>0.27</v>
      </c>
      <c r="G548" s="4">
        <v>17.34</v>
      </c>
      <c r="H548" s="4">
        <v>17.600000000000001</v>
      </c>
      <c r="I548" s="4">
        <v>62.8</v>
      </c>
      <c r="J548" s="4">
        <v>68.900000000000006</v>
      </c>
      <c r="K548" s="4">
        <v>135198.62</v>
      </c>
      <c r="L548" s="4" t="s">
        <v>382</v>
      </c>
      <c r="M548" s="4" t="s">
        <v>188</v>
      </c>
    </row>
    <row r="549" spans="1:13" x14ac:dyDescent="0.2">
      <c r="A549" s="4">
        <v>68</v>
      </c>
      <c r="B549" s="4" t="s">
        <v>196</v>
      </c>
      <c r="C549" s="4">
        <v>535.70000000000005</v>
      </c>
      <c r="D549" s="4">
        <v>2.61</v>
      </c>
      <c r="E549" s="4">
        <v>79.7</v>
      </c>
      <c r="F549" s="4">
        <v>0.26</v>
      </c>
      <c r="G549" s="4">
        <v>57.3</v>
      </c>
      <c r="H549" s="4">
        <v>54.2</v>
      </c>
      <c r="I549" s="4">
        <v>62.3</v>
      </c>
      <c r="J549" s="4">
        <v>74</v>
      </c>
      <c r="K549" s="4">
        <v>422595.36</v>
      </c>
      <c r="L549" s="4" t="s">
        <v>382</v>
      </c>
      <c r="M549" s="4" t="s">
        <v>16</v>
      </c>
    </row>
    <row r="550" spans="1:13" x14ac:dyDescent="0.2">
      <c r="A550" s="4">
        <v>69</v>
      </c>
      <c r="B550" s="4" t="s">
        <v>197</v>
      </c>
      <c r="C550" s="4">
        <v>201.5</v>
      </c>
      <c r="D550" s="4">
        <v>2.67</v>
      </c>
      <c r="E550" s="4">
        <v>81.599999999999994</v>
      </c>
      <c r="F550" s="4">
        <v>0.31</v>
      </c>
      <c r="G550" s="4">
        <v>23.52</v>
      </c>
      <c r="H550" s="4">
        <v>23.3</v>
      </c>
      <c r="I550" s="4">
        <v>73.599999999999994</v>
      </c>
      <c r="J550" s="4">
        <v>75.5</v>
      </c>
      <c r="K550" s="4">
        <v>166278.5</v>
      </c>
      <c r="L550" s="4" t="s">
        <v>382</v>
      </c>
      <c r="M550" s="4" t="s">
        <v>16</v>
      </c>
    </row>
    <row r="551" spans="1:13" x14ac:dyDescent="0.2">
      <c r="A551" s="4">
        <v>70</v>
      </c>
      <c r="B551" s="4" t="s">
        <v>198</v>
      </c>
      <c r="C551" s="4">
        <v>448</v>
      </c>
      <c r="D551" s="4">
        <v>2.46</v>
      </c>
      <c r="E551" s="4">
        <v>79.900000000000006</v>
      </c>
      <c r="F551" s="4">
        <v>0.22</v>
      </c>
      <c r="G551" s="4">
        <v>57</v>
      </c>
      <c r="H551" s="4">
        <v>40.200000000000003</v>
      </c>
      <c r="I551" s="4">
        <v>51.2</v>
      </c>
      <c r="J551" s="4">
        <v>75.7</v>
      </c>
      <c r="K551" s="4">
        <v>401323.8</v>
      </c>
      <c r="L551" s="4" t="s">
        <v>382</v>
      </c>
      <c r="M551" s="4" t="s">
        <v>55</v>
      </c>
    </row>
    <row r="552" spans="1:13" x14ac:dyDescent="0.2">
      <c r="A552" s="4">
        <v>71</v>
      </c>
      <c r="B552" s="4" t="s">
        <v>199</v>
      </c>
      <c r="C552" s="4">
        <v>283.2</v>
      </c>
      <c r="D552" s="4">
        <v>1.81</v>
      </c>
      <c r="E552" s="4">
        <v>58.7</v>
      </c>
      <c r="F552" s="4">
        <v>0.11</v>
      </c>
      <c r="G552" s="4">
        <v>26.47</v>
      </c>
      <c r="H552" s="4">
        <v>17.899999999999999</v>
      </c>
      <c r="I552" s="4">
        <v>24.7</v>
      </c>
      <c r="J552" s="4">
        <v>75</v>
      </c>
      <c r="K552" s="4">
        <v>327183.46999999997</v>
      </c>
      <c r="L552" s="4" t="s">
        <v>382</v>
      </c>
      <c r="M552" s="4" t="s">
        <v>55</v>
      </c>
    </row>
    <row r="553" spans="1:13" x14ac:dyDescent="0.2">
      <c r="A553" s="4">
        <v>72</v>
      </c>
      <c r="B553" s="4" t="s">
        <v>200</v>
      </c>
      <c r="C553" s="4">
        <v>197.3</v>
      </c>
      <c r="D553" s="4">
        <v>2.7</v>
      </c>
      <c r="E553" s="4">
        <v>100</v>
      </c>
      <c r="F553" s="4">
        <v>0.34</v>
      </c>
      <c r="G553" s="4">
        <v>23.42</v>
      </c>
      <c r="H553" s="4">
        <v>25.1</v>
      </c>
      <c r="I553" s="4">
        <v>100</v>
      </c>
      <c r="J553" s="4">
        <v>90.1</v>
      </c>
      <c r="K553" s="4">
        <v>143184.45000000001</v>
      </c>
      <c r="L553" s="4" t="s">
        <v>382</v>
      </c>
      <c r="M553" s="4" t="s">
        <v>38</v>
      </c>
    </row>
    <row r="554" spans="1:13" x14ac:dyDescent="0.2">
      <c r="A554" s="4">
        <v>73</v>
      </c>
      <c r="B554" s="4" t="s">
        <v>201</v>
      </c>
      <c r="C554" s="4">
        <v>767.1</v>
      </c>
      <c r="D554" s="4">
        <v>3.15</v>
      </c>
      <c r="E554" s="4">
        <v>86.4</v>
      </c>
      <c r="F554" s="4">
        <v>0.27</v>
      </c>
      <c r="G554" s="4">
        <v>71.88</v>
      </c>
      <c r="H554" s="4">
        <v>65.900000000000006</v>
      </c>
      <c r="I554" s="4">
        <v>68.7</v>
      </c>
      <c r="J554" s="4">
        <v>72.5</v>
      </c>
      <c r="K554" s="4">
        <v>493313.72</v>
      </c>
      <c r="L554" s="4" t="s">
        <v>382</v>
      </c>
      <c r="M554" s="4" t="s">
        <v>16</v>
      </c>
    </row>
    <row r="555" spans="1:13" x14ac:dyDescent="0.2">
      <c r="A555" s="4">
        <v>74</v>
      </c>
      <c r="B555" s="4" t="s">
        <v>202</v>
      </c>
      <c r="C555" s="4">
        <v>1199.3</v>
      </c>
      <c r="D555" s="4">
        <v>2.4</v>
      </c>
      <c r="E555" s="4">
        <v>84.2</v>
      </c>
      <c r="F555" s="4">
        <v>0.24</v>
      </c>
      <c r="G555" s="4">
        <v>143.88999999999999</v>
      </c>
      <c r="H555" s="4">
        <v>119.5</v>
      </c>
      <c r="I555" s="4">
        <v>100</v>
      </c>
      <c r="J555" s="4">
        <v>78.400000000000006</v>
      </c>
      <c r="K555" s="4">
        <v>1263441.4099999999</v>
      </c>
      <c r="L555" s="4" t="s">
        <v>381</v>
      </c>
      <c r="M555" s="4" t="s">
        <v>55</v>
      </c>
    </row>
    <row r="556" spans="1:13" x14ac:dyDescent="0.2">
      <c r="A556" s="4">
        <v>75</v>
      </c>
      <c r="B556" s="4" t="s">
        <v>203</v>
      </c>
      <c r="C556" s="4">
        <v>1127.9000000000001</v>
      </c>
      <c r="D556" s="4">
        <v>2.2599999999999998</v>
      </c>
      <c r="E556" s="4">
        <v>79.2</v>
      </c>
      <c r="F556" s="4">
        <v>0.18</v>
      </c>
      <c r="G556" s="4">
        <v>107.79</v>
      </c>
      <c r="H556" s="4">
        <v>91.9</v>
      </c>
      <c r="I556" s="4">
        <v>83.1</v>
      </c>
      <c r="J556" s="4">
        <v>80.599999999999994</v>
      </c>
      <c r="K556" s="4">
        <v>1196727.1499999999</v>
      </c>
      <c r="L556" s="4" t="s">
        <v>381</v>
      </c>
      <c r="M556" s="4" t="s">
        <v>55</v>
      </c>
    </row>
    <row r="557" spans="1:13" x14ac:dyDescent="0.2">
      <c r="A557" s="4">
        <v>76</v>
      </c>
      <c r="B557" s="4" t="s">
        <v>204</v>
      </c>
      <c r="C557" s="4">
        <v>1304.8</v>
      </c>
      <c r="D557" s="4">
        <v>2.62</v>
      </c>
      <c r="E557" s="4">
        <v>91.9</v>
      </c>
      <c r="F557" s="4">
        <v>0.26</v>
      </c>
      <c r="G557" s="4">
        <v>151.37</v>
      </c>
      <c r="H557" s="4">
        <v>128.6</v>
      </c>
      <c r="I557" s="4">
        <v>100</v>
      </c>
      <c r="J557" s="4">
        <v>84.5</v>
      </c>
      <c r="K557" s="4">
        <v>1321899.32</v>
      </c>
      <c r="L557" s="4" t="s">
        <v>382</v>
      </c>
      <c r="M557" s="4" t="s">
        <v>55</v>
      </c>
    </row>
    <row r="558" spans="1:13" x14ac:dyDescent="0.2">
      <c r="A558" s="4">
        <v>77</v>
      </c>
      <c r="B558" s="4" t="s">
        <v>205</v>
      </c>
      <c r="C558" s="4">
        <v>1398.7</v>
      </c>
      <c r="D558" s="4">
        <v>3.65</v>
      </c>
      <c r="E558" s="4">
        <v>78.5</v>
      </c>
      <c r="F558" s="4">
        <v>0.26</v>
      </c>
      <c r="G558" s="4">
        <v>112.98</v>
      </c>
      <c r="H558" s="4">
        <v>101.1</v>
      </c>
      <c r="I558" s="4">
        <v>67.900000000000006</v>
      </c>
      <c r="J558" s="4">
        <v>77</v>
      </c>
      <c r="K558" s="4">
        <v>976005.28</v>
      </c>
      <c r="L558" s="4" t="s">
        <v>382</v>
      </c>
      <c r="M558" s="4" t="s">
        <v>141</v>
      </c>
    </row>
    <row r="559" spans="1:13" x14ac:dyDescent="0.2">
      <c r="A559" s="4">
        <v>78</v>
      </c>
      <c r="B559" s="4" t="s">
        <v>206</v>
      </c>
      <c r="C559" s="4">
        <v>298.89999999999998</v>
      </c>
      <c r="D559" s="4">
        <v>3.68</v>
      </c>
      <c r="E559" s="4">
        <v>79.099999999999994</v>
      </c>
      <c r="F559" s="4">
        <v>0.26</v>
      </c>
      <c r="G559" s="4">
        <v>23.56</v>
      </c>
      <c r="H559" s="4">
        <v>20.8</v>
      </c>
      <c r="I559" s="4">
        <v>73.3</v>
      </c>
      <c r="J559" s="4">
        <v>77</v>
      </c>
      <c r="K559" s="4">
        <v>188546.69</v>
      </c>
      <c r="L559" s="4" t="s">
        <v>382</v>
      </c>
      <c r="M559" s="4" t="s">
        <v>141</v>
      </c>
    </row>
    <row r="560" spans="1:13" x14ac:dyDescent="0.2">
      <c r="A560" s="4">
        <v>79</v>
      </c>
      <c r="B560" s="4" t="s">
        <v>207</v>
      </c>
      <c r="C560" s="4">
        <v>496.5</v>
      </c>
      <c r="D560" s="4">
        <v>1.04</v>
      </c>
      <c r="E560" s="4">
        <v>91.8</v>
      </c>
      <c r="F560" s="4">
        <v>0.24</v>
      </c>
      <c r="G560" s="4">
        <v>182.41</v>
      </c>
      <c r="H560" s="4">
        <v>113.9</v>
      </c>
      <c r="I560" s="4">
        <v>73.8</v>
      </c>
      <c r="J560" s="4">
        <v>78.099999999999994</v>
      </c>
      <c r="K560" s="4">
        <v>1016453.64</v>
      </c>
      <c r="L560" s="4" t="s">
        <v>381</v>
      </c>
      <c r="M560" s="4" t="s">
        <v>208</v>
      </c>
    </row>
    <row r="561" spans="1:13" x14ac:dyDescent="0.2">
      <c r="A561" s="4">
        <v>80</v>
      </c>
      <c r="B561" s="4" t="s">
        <v>209</v>
      </c>
      <c r="C561" s="4">
        <v>468.3</v>
      </c>
      <c r="D561" s="4">
        <v>1.07</v>
      </c>
      <c r="E561" s="4">
        <v>94.4</v>
      </c>
      <c r="F561" s="4">
        <v>0.26</v>
      </c>
      <c r="G561" s="4">
        <v>192.63</v>
      </c>
      <c r="H561" s="4">
        <v>112</v>
      </c>
      <c r="I561" s="4">
        <v>76.2</v>
      </c>
      <c r="J561" s="4">
        <v>81.900000000000006</v>
      </c>
      <c r="K561" s="4">
        <v>1046440.57</v>
      </c>
      <c r="L561" s="4" t="s">
        <v>381</v>
      </c>
      <c r="M561" s="4" t="s">
        <v>208</v>
      </c>
    </row>
    <row r="562" spans="1:13" x14ac:dyDescent="0.2">
      <c r="A562" s="4">
        <v>81</v>
      </c>
      <c r="B562" s="4" t="s">
        <v>210</v>
      </c>
      <c r="C562" s="4">
        <v>1380.7</v>
      </c>
      <c r="D562" s="4">
        <v>2.77</v>
      </c>
      <c r="E562" s="4">
        <v>61.4</v>
      </c>
      <c r="F562" s="4">
        <v>0.22</v>
      </c>
      <c r="G562" s="4">
        <v>112</v>
      </c>
      <c r="H562" s="4">
        <v>107.6</v>
      </c>
      <c r="I562" s="4">
        <v>49.5</v>
      </c>
      <c r="J562" s="4">
        <v>22.7</v>
      </c>
      <c r="K562" s="4">
        <v>1031487.58</v>
      </c>
      <c r="L562" s="4" t="s">
        <v>382</v>
      </c>
      <c r="M562" s="4" t="s">
        <v>141</v>
      </c>
    </row>
    <row r="563" spans="1:13" x14ac:dyDescent="0.2">
      <c r="A563" s="4">
        <v>82</v>
      </c>
      <c r="B563" s="4" t="s">
        <v>211</v>
      </c>
      <c r="C563" s="4">
        <v>1352.1</v>
      </c>
      <c r="D563" s="4">
        <v>2.71</v>
      </c>
      <c r="E563" s="4">
        <v>60</v>
      </c>
      <c r="F563" s="4">
        <v>0.23</v>
      </c>
      <c r="G563" s="4">
        <v>116.45</v>
      </c>
      <c r="H563" s="4">
        <v>112.4</v>
      </c>
      <c r="I563" s="4">
        <v>50.2</v>
      </c>
      <c r="J563" s="4">
        <v>21.4</v>
      </c>
      <c r="K563" s="4">
        <v>1014168.78</v>
      </c>
      <c r="L563" s="4" t="s">
        <v>382</v>
      </c>
      <c r="M563" s="4" t="s">
        <v>141</v>
      </c>
    </row>
    <row r="564" spans="1:13" x14ac:dyDescent="0.2">
      <c r="A564" s="4">
        <v>83</v>
      </c>
      <c r="B564" s="4" t="s">
        <v>212</v>
      </c>
      <c r="C564" s="4">
        <v>1361</v>
      </c>
      <c r="D564" s="4">
        <v>2.73</v>
      </c>
      <c r="E564" s="4">
        <v>60.4</v>
      </c>
      <c r="F564" s="4">
        <v>0.23</v>
      </c>
      <c r="G564" s="4">
        <v>118.91</v>
      </c>
      <c r="H564" s="4">
        <v>113.9</v>
      </c>
      <c r="I564" s="4">
        <v>51</v>
      </c>
      <c r="J564" s="4">
        <v>22.5</v>
      </c>
      <c r="K564" s="4">
        <v>1018346.24</v>
      </c>
      <c r="L564" s="4" t="s">
        <v>382</v>
      </c>
      <c r="M564" s="4" t="s">
        <v>141</v>
      </c>
    </row>
    <row r="565" spans="1:13" x14ac:dyDescent="0.2">
      <c r="A565" s="4">
        <v>84</v>
      </c>
      <c r="B565" s="4" t="s">
        <v>213</v>
      </c>
      <c r="C565" s="4">
        <v>1219</v>
      </c>
      <c r="D565" s="4">
        <v>2.4500000000000002</v>
      </c>
      <c r="E565" s="4">
        <v>54.3</v>
      </c>
      <c r="F565" s="4">
        <v>0.17</v>
      </c>
      <c r="G565" s="4">
        <v>93.77</v>
      </c>
      <c r="H565" s="4">
        <v>83.6</v>
      </c>
      <c r="I565" s="4">
        <v>38.700000000000003</v>
      </c>
      <c r="J565" s="4">
        <v>20</v>
      </c>
      <c r="K565" s="4">
        <v>1015909.38</v>
      </c>
      <c r="L565" s="4" t="s">
        <v>381</v>
      </c>
      <c r="M565" s="4" t="s">
        <v>141</v>
      </c>
    </row>
    <row r="566" spans="1:13" x14ac:dyDescent="0.2">
      <c r="A566" s="4">
        <v>85</v>
      </c>
      <c r="B566" s="4" t="s">
        <v>214</v>
      </c>
      <c r="C566" s="4">
        <v>1179.5999999999999</v>
      </c>
      <c r="D566" s="4">
        <v>2.99</v>
      </c>
      <c r="E566" s="4">
        <v>65.8</v>
      </c>
      <c r="F566" s="4">
        <v>0.24</v>
      </c>
      <c r="G566" s="4">
        <v>98.35</v>
      </c>
      <c r="H566" s="4">
        <v>92.8</v>
      </c>
      <c r="I566" s="4">
        <v>52.9</v>
      </c>
      <c r="J566" s="4">
        <v>24.2</v>
      </c>
      <c r="K566" s="4">
        <v>745361.3</v>
      </c>
      <c r="L566" s="4" t="s">
        <v>381</v>
      </c>
      <c r="M566" s="4" t="s">
        <v>141</v>
      </c>
    </row>
    <row r="567" spans="1:13" x14ac:dyDescent="0.2">
      <c r="A567" s="4">
        <v>86</v>
      </c>
      <c r="B567" s="4" t="s">
        <v>215</v>
      </c>
      <c r="C567" s="4">
        <v>261.2</v>
      </c>
      <c r="D567" s="4">
        <v>2.5</v>
      </c>
      <c r="E567" s="4">
        <v>55.3</v>
      </c>
      <c r="F567" s="4">
        <v>0.18</v>
      </c>
      <c r="G567" s="4">
        <v>21.96</v>
      </c>
      <c r="H567" s="4">
        <v>18.5</v>
      </c>
      <c r="I567" s="4">
        <v>37.799999999999997</v>
      </c>
      <c r="J567" s="4">
        <v>20.6</v>
      </c>
      <c r="K567" s="4">
        <v>200222.65</v>
      </c>
      <c r="L567" s="4" t="s">
        <v>382</v>
      </c>
      <c r="M567" s="4" t="s">
        <v>141</v>
      </c>
    </row>
    <row r="568" spans="1:13" x14ac:dyDescent="0.2">
      <c r="A568" s="4">
        <v>87</v>
      </c>
      <c r="B568" s="4" t="s">
        <v>216</v>
      </c>
      <c r="C568" s="4">
        <v>1522.5</v>
      </c>
      <c r="D568" s="4">
        <v>3.05</v>
      </c>
      <c r="E568" s="4">
        <v>67.099999999999994</v>
      </c>
      <c r="F568" s="4">
        <v>0.26</v>
      </c>
      <c r="G568" s="4">
        <v>129.74</v>
      </c>
      <c r="H568" s="4">
        <v>131.4</v>
      </c>
      <c r="I568" s="4">
        <v>54.8</v>
      </c>
      <c r="J568" s="4">
        <v>24.6</v>
      </c>
      <c r="K568" s="4">
        <v>1019665.6</v>
      </c>
      <c r="L568" s="4" t="s">
        <v>382</v>
      </c>
      <c r="M568" s="4" t="s">
        <v>141</v>
      </c>
    </row>
    <row r="569" spans="1:13" x14ac:dyDescent="0.2">
      <c r="A569" s="4">
        <v>88</v>
      </c>
      <c r="B569" s="4" t="s">
        <v>217</v>
      </c>
      <c r="C569" s="4">
        <v>1568.4</v>
      </c>
      <c r="D569" s="4">
        <v>3.14</v>
      </c>
      <c r="E569" s="4">
        <v>69.2</v>
      </c>
      <c r="F569" s="4">
        <v>0.27</v>
      </c>
      <c r="G569" s="4">
        <v>133.54</v>
      </c>
      <c r="H569" s="4">
        <v>136.4</v>
      </c>
      <c r="I569" s="4">
        <v>56.1</v>
      </c>
      <c r="J569" s="4">
        <v>25.3</v>
      </c>
      <c r="K569" s="4">
        <v>1046997.19</v>
      </c>
      <c r="L569" s="4" t="s">
        <v>382</v>
      </c>
      <c r="M569" s="4" t="s">
        <v>141</v>
      </c>
    </row>
    <row r="570" spans="1:13" x14ac:dyDescent="0.2">
      <c r="A570" s="4">
        <v>89</v>
      </c>
      <c r="B570" s="4" t="s">
        <v>218</v>
      </c>
      <c r="C570" s="4">
        <v>1592.1</v>
      </c>
      <c r="D570" s="4">
        <v>3.23</v>
      </c>
      <c r="E570" s="4">
        <v>76.2</v>
      </c>
      <c r="F570" s="4">
        <v>0.25</v>
      </c>
      <c r="G570" s="4">
        <v>129.13999999999999</v>
      </c>
      <c r="H570" s="4">
        <v>122.7</v>
      </c>
      <c r="I570" s="4">
        <v>66.5</v>
      </c>
      <c r="J570" s="4">
        <v>31.6</v>
      </c>
      <c r="K570" s="4">
        <v>1071136.6000000001</v>
      </c>
      <c r="L570" s="4" t="s">
        <v>381</v>
      </c>
      <c r="M570" s="4" t="s">
        <v>141</v>
      </c>
    </row>
    <row r="571" spans="1:13" x14ac:dyDescent="0.2">
      <c r="A571" s="4">
        <v>90</v>
      </c>
      <c r="B571" s="4" t="s">
        <v>219</v>
      </c>
      <c r="C571" s="4">
        <v>1541.8</v>
      </c>
      <c r="D571" s="4">
        <v>3.13</v>
      </c>
      <c r="E571" s="4">
        <v>73.8</v>
      </c>
      <c r="F571" s="4">
        <v>0.26</v>
      </c>
      <c r="G571" s="4">
        <v>132.58000000000001</v>
      </c>
      <c r="H571" s="4">
        <v>126.5</v>
      </c>
      <c r="I571" s="4">
        <v>71.2</v>
      </c>
      <c r="J571" s="4">
        <v>27.5</v>
      </c>
      <c r="K571" s="4">
        <v>1042208.57</v>
      </c>
      <c r="L571" s="4" t="s">
        <v>381</v>
      </c>
      <c r="M571" s="4" t="s">
        <v>141</v>
      </c>
    </row>
    <row r="572" spans="1:13" x14ac:dyDescent="0.2">
      <c r="A572" s="4">
        <v>91</v>
      </c>
      <c r="B572" s="4" t="s">
        <v>220</v>
      </c>
      <c r="C572" s="4">
        <v>0</v>
      </c>
      <c r="D572" s="4">
        <v>0</v>
      </c>
      <c r="E572" s="4">
        <v>0</v>
      </c>
      <c r="F572" s="4">
        <v>0</v>
      </c>
      <c r="G572" s="4">
        <v>277.63</v>
      </c>
      <c r="H572" s="4">
        <v>0</v>
      </c>
      <c r="I572" s="4">
        <v>79.2</v>
      </c>
      <c r="J572" s="4">
        <v>3.3</v>
      </c>
      <c r="K572" s="4">
        <v>1061695.23</v>
      </c>
      <c r="L572" s="4" t="s">
        <v>221</v>
      </c>
      <c r="M572" s="4" t="s">
        <v>141</v>
      </c>
    </row>
    <row r="573" spans="1:13" x14ac:dyDescent="0.2">
      <c r="A573" s="4">
        <v>92</v>
      </c>
      <c r="B573" s="4" t="s">
        <v>222</v>
      </c>
      <c r="C573" s="4">
        <v>363</v>
      </c>
      <c r="D573" s="4">
        <v>0.73</v>
      </c>
      <c r="E573" s="4">
        <v>89</v>
      </c>
      <c r="F573" s="4">
        <v>0.34</v>
      </c>
      <c r="G573" s="4">
        <v>241.04</v>
      </c>
      <c r="H573" s="4">
        <v>170.1</v>
      </c>
      <c r="I573" s="4">
        <v>89.2</v>
      </c>
      <c r="J573" s="4">
        <v>77.900000000000006</v>
      </c>
      <c r="K573" s="4">
        <v>1150914.6100000001</v>
      </c>
      <c r="L573" s="4" t="s">
        <v>382</v>
      </c>
      <c r="M573" s="4" t="s">
        <v>208</v>
      </c>
    </row>
    <row r="574" spans="1:13" x14ac:dyDescent="0.2">
      <c r="A574" s="4">
        <v>93</v>
      </c>
      <c r="B574" s="4" t="s">
        <v>223</v>
      </c>
      <c r="C574" s="4">
        <v>336.5</v>
      </c>
      <c r="D574" s="4">
        <v>0.67</v>
      </c>
      <c r="E574" s="4">
        <v>82.5</v>
      </c>
      <c r="F574" s="4">
        <v>0.32</v>
      </c>
      <c r="G574" s="4">
        <v>196.88</v>
      </c>
      <c r="H574" s="4">
        <v>158.6</v>
      </c>
      <c r="I574" s="4">
        <v>83.1</v>
      </c>
      <c r="J574" s="4">
        <v>70.400000000000006</v>
      </c>
      <c r="K574" s="4">
        <v>1013220.52</v>
      </c>
      <c r="L574" s="4" t="s">
        <v>382</v>
      </c>
      <c r="M574" s="4" t="s">
        <v>208</v>
      </c>
    </row>
    <row r="575" spans="1:13" x14ac:dyDescent="0.2">
      <c r="A575" s="4">
        <v>94</v>
      </c>
      <c r="B575" s="4" t="s">
        <v>225</v>
      </c>
      <c r="C575" s="4">
        <v>326.60000000000002</v>
      </c>
      <c r="D575" s="4">
        <v>0.65</v>
      </c>
      <c r="E575" s="4">
        <v>80.099999999999994</v>
      </c>
      <c r="F575" s="4">
        <v>0.21</v>
      </c>
      <c r="G575" s="4">
        <v>113.64</v>
      </c>
      <c r="H575" s="4">
        <v>105</v>
      </c>
      <c r="I575" s="4">
        <v>56.9</v>
      </c>
      <c r="J575" s="4">
        <v>74.5</v>
      </c>
      <c r="K575" s="4">
        <v>1006005.41</v>
      </c>
      <c r="L575" s="4" t="s">
        <v>381</v>
      </c>
      <c r="M575" s="4" t="s">
        <v>208</v>
      </c>
    </row>
    <row r="576" spans="1:13" x14ac:dyDescent="0.2">
      <c r="A576" s="4">
        <v>95</v>
      </c>
      <c r="B576" s="4" t="s">
        <v>226</v>
      </c>
      <c r="C576" s="4">
        <v>348.1</v>
      </c>
      <c r="D576" s="4">
        <v>0.7</v>
      </c>
      <c r="E576" s="4">
        <v>88.5</v>
      </c>
      <c r="F576" s="4">
        <v>0.21</v>
      </c>
      <c r="G576" s="4">
        <v>110.6</v>
      </c>
      <c r="H576" s="4">
        <v>106.9</v>
      </c>
      <c r="I576" s="4">
        <v>60.6</v>
      </c>
      <c r="J576" s="4">
        <v>81.8</v>
      </c>
      <c r="K576" s="4">
        <v>1124805.55</v>
      </c>
      <c r="L576" s="4" t="s">
        <v>381</v>
      </c>
      <c r="M576" s="4" t="s">
        <v>208</v>
      </c>
    </row>
    <row r="577" spans="1:13" x14ac:dyDescent="0.2">
      <c r="A577" s="4">
        <v>96</v>
      </c>
      <c r="B577" s="4" t="s">
        <v>227</v>
      </c>
      <c r="C577" s="4">
        <v>344</v>
      </c>
      <c r="D577" s="4">
        <v>0.69</v>
      </c>
      <c r="E577" s="4">
        <v>87.5</v>
      </c>
      <c r="F577" s="4">
        <v>0.34</v>
      </c>
      <c r="G577" s="4">
        <v>243.63</v>
      </c>
      <c r="H577" s="4">
        <v>171.4</v>
      </c>
      <c r="I577" s="4">
        <v>96.5</v>
      </c>
      <c r="J577" s="4">
        <v>75.8</v>
      </c>
      <c r="K577" s="4">
        <v>1065741.3500000001</v>
      </c>
      <c r="L577" s="4" t="s">
        <v>382</v>
      </c>
      <c r="M577" s="4" t="s">
        <v>208</v>
      </c>
    </row>
    <row r="578" spans="1:13" x14ac:dyDescent="0.2">
      <c r="A578" s="4">
        <v>97</v>
      </c>
      <c r="B578" s="4" t="s">
        <v>228</v>
      </c>
      <c r="C578" s="4">
        <v>296.3</v>
      </c>
      <c r="D578" s="4">
        <v>0.59</v>
      </c>
      <c r="E578" s="4">
        <v>75.400000000000006</v>
      </c>
      <c r="F578" s="4">
        <v>0.26</v>
      </c>
      <c r="G578" s="4">
        <v>180.18</v>
      </c>
      <c r="H578" s="4">
        <v>128.30000000000001</v>
      </c>
      <c r="I578" s="4">
        <v>70.5</v>
      </c>
      <c r="J578" s="4">
        <v>70.400000000000006</v>
      </c>
      <c r="K578" s="4">
        <v>1022649.94</v>
      </c>
      <c r="L578" s="4" t="s">
        <v>382</v>
      </c>
      <c r="M578" s="4" t="s">
        <v>208</v>
      </c>
    </row>
    <row r="579" spans="1:13" x14ac:dyDescent="0.2">
      <c r="A579" s="4">
        <v>98</v>
      </c>
      <c r="B579" s="4" t="s">
        <v>229</v>
      </c>
      <c r="C579" s="4">
        <v>1695.5</v>
      </c>
      <c r="D579" s="4">
        <v>4.03</v>
      </c>
      <c r="E579" s="4">
        <v>78.3</v>
      </c>
      <c r="F579" s="4">
        <v>0.34</v>
      </c>
      <c r="G579" s="4">
        <v>141.31</v>
      </c>
      <c r="H579" s="4">
        <v>141.9</v>
      </c>
      <c r="I579" s="4">
        <v>76.7</v>
      </c>
      <c r="J579" s="4">
        <v>76.099999999999994</v>
      </c>
      <c r="K579" s="4">
        <v>1019187.79</v>
      </c>
      <c r="L579" s="4" t="s">
        <v>382</v>
      </c>
      <c r="M579" s="4" t="s">
        <v>141</v>
      </c>
    </row>
    <row r="580" spans="1:13" x14ac:dyDescent="0.2">
      <c r="A580" s="4">
        <v>99</v>
      </c>
      <c r="B580" s="4" t="s">
        <v>230</v>
      </c>
      <c r="C580" s="4">
        <v>785.6</v>
      </c>
      <c r="D580" s="4">
        <v>4.3</v>
      </c>
      <c r="E580" s="4">
        <v>83.7</v>
      </c>
      <c r="F580" s="4">
        <v>0.35</v>
      </c>
      <c r="G580" s="4">
        <v>68.06</v>
      </c>
      <c r="H580" s="4">
        <v>63.9</v>
      </c>
      <c r="I580" s="4">
        <v>77.099999999999994</v>
      </c>
      <c r="J580" s="4">
        <v>80.900000000000006</v>
      </c>
      <c r="K580" s="4">
        <v>501357.21</v>
      </c>
      <c r="L580" s="4" t="s">
        <v>381</v>
      </c>
      <c r="M580" s="4" t="s">
        <v>141</v>
      </c>
    </row>
    <row r="581" spans="1:13" x14ac:dyDescent="0.2">
      <c r="A581" s="4">
        <v>100</v>
      </c>
      <c r="B581" s="4" t="s">
        <v>231</v>
      </c>
      <c r="C581" s="4">
        <v>733.7</v>
      </c>
      <c r="D581" s="4">
        <v>2.34</v>
      </c>
      <c r="E581" s="4">
        <v>67.400000000000006</v>
      </c>
      <c r="F581" s="4">
        <v>0.23</v>
      </c>
      <c r="G581" s="4">
        <v>72.739999999999995</v>
      </c>
      <c r="H581" s="4">
        <v>70.5</v>
      </c>
      <c r="I581" s="4">
        <v>73.7</v>
      </c>
      <c r="J581" s="4">
        <v>55.9</v>
      </c>
      <c r="K581" s="4">
        <v>736588.05</v>
      </c>
      <c r="L581" s="4" t="s">
        <v>381</v>
      </c>
      <c r="M581" s="4" t="s">
        <v>55</v>
      </c>
    </row>
    <row r="582" spans="1:13" x14ac:dyDescent="0.2">
      <c r="A582" s="4">
        <v>101</v>
      </c>
      <c r="B582" s="4" t="s">
        <v>233</v>
      </c>
      <c r="C582" s="4">
        <v>837.2</v>
      </c>
      <c r="D582" s="4">
        <v>2.46</v>
      </c>
      <c r="E582" s="4">
        <v>70.599999999999994</v>
      </c>
      <c r="F582" s="4">
        <v>0.25</v>
      </c>
      <c r="G582" s="4">
        <v>92.41</v>
      </c>
      <c r="H582" s="4">
        <v>85.3</v>
      </c>
      <c r="I582" s="4">
        <v>74.099999999999994</v>
      </c>
      <c r="J582" s="4">
        <v>72</v>
      </c>
      <c r="K582" s="4">
        <v>790188.27</v>
      </c>
      <c r="L582" s="4" t="s">
        <v>382</v>
      </c>
      <c r="M582" s="4" t="s">
        <v>55</v>
      </c>
    </row>
    <row r="583" spans="1:13" x14ac:dyDescent="0.2">
      <c r="A583" s="4">
        <v>102</v>
      </c>
      <c r="B583" s="4" t="s">
        <v>234</v>
      </c>
      <c r="C583" s="4">
        <v>903</v>
      </c>
      <c r="D583" s="4">
        <v>2.99</v>
      </c>
      <c r="E583" s="4">
        <v>93.8</v>
      </c>
      <c r="F583" s="4">
        <v>0.28999999999999998</v>
      </c>
      <c r="G583" s="4">
        <v>91.6</v>
      </c>
      <c r="H583" s="4">
        <v>86.4</v>
      </c>
      <c r="I583" s="4">
        <v>70.7</v>
      </c>
      <c r="J583" s="4">
        <v>85.9</v>
      </c>
      <c r="K583" s="4">
        <v>736999.29</v>
      </c>
      <c r="L583" s="4" t="s">
        <v>382</v>
      </c>
      <c r="M583" s="4" t="s">
        <v>55</v>
      </c>
    </row>
    <row r="584" spans="1:13" x14ac:dyDescent="0.2">
      <c r="A584" s="4">
        <v>103</v>
      </c>
      <c r="B584" s="4" t="s">
        <v>235</v>
      </c>
      <c r="C584" s="4">
        <v>971</v>
      </c>
      <c r="D584" s="4">
        <v>3.1</v>
      </c>
      <c r="E584" s="4">
        <v>97.1</v>
      </c>
      <c r="F584" s="4">
        <v>0.28999999999999998</v>
      </c>
      <c r="G584" s="4">
        <v>96.82</v>
      </c>
      <c r="H584" s="4">
        <v>91.1</v>
      </c>
      <c r="I584" s="4">
        <v>72.3</v>
      </c>
      <c r="J584" s="4">
        <v>87.3</v>
      </c>
      <c r="K584" s="4">
        <v>776676.12</v>
      </c>
      <c r="L584" s="4" t="s">
        <v>382</v>
      </c>
      <c r="M584" s="4" t="s">
        <v>55</v>
      </c>
    </row>
    <row r="585" spans="1:13" x14ac:dyDescent="0.2">
      <c r="A585" s="4">
        <v>104</v>
      </c>
      <c r="B585" s="4" t="s">
        <v>236</v>
      </c>
      <c r="C585" s="4">
        <v>420.3</v>
      </c>
      <c r="D585" s="4">
        <v>3.02</v>
      </c>
      <c r="E585" s="4">
        <v>93.4</v>
      </c>
      <c r="F585" s="4">
        <v>0.22</v>
      </c>
      <c r="G585" s="4">
        <v>32.25</v>
      </c>
      <c r="H585" s="4">
        <v>30.8</v>
      </c>
      <c r="I585" s="4">
        <v>56.3</v>
      </c>
      <c r="J585" s="4">
        <v>74.2</v>
      </c>
      <c r="K585" s="4">
        <v>350616.57</v>
      </c>
      <c r="L585" s="4" t="s">
        <v>381</v>
      </c>
      <c r="M585" s="4" t="s">
        <v>141</v>
      </c>
    </row>
    <row r="586" spans="1:13" x14ac:dyDescent="0.2">
      <c r="A586" s="4">
        <v>105</v>
      </c>
      <c r="B586" s="4" t="s">
        <v>237</v>
      </c>
      <c r="C586" s="4">
        <v>488.9</v>
      </c>
      <c r="D586" s="4">
        <v>2.63</v>
      </c>
      <c r="E586" s="4">
        <v>81.7</v>
      </c>
      <c r="F586" s="4">
        <v>0.26</v>
      </c>
      <c r="G586" s="4">
        <v>51.82</v>
      </c>
      <c r="H586" s="4">
        <v>49</v>
      </c>
      <c r="I586" s="4">
        <v>67.599999999999994</v>
      </c>
      <c r="J586" s="4">
        <v>73.599999999999994</v>
      </c>
      <c r="K586" s="4">
        <v>372606.64</v>
      </c>
      <c r="L586" s="4" t="s">
        <v>381</v>
      </c>
      <c r="M586" s="4" t="s">
        <v>141</v>
      </c>
    </row>
    <row r="587" spans="1:13" x14ac:dyDescent="0.2">
      <c r="A587" s="4">
        <v>106</v>
      </c>
      <c r="B587" s="4" t="s">
        <v>238</v>
      </c>
      <c r="C587" s="4">
        <v>758.1</v>
      </c>
      <c r="D587" s="4">
        <v>3.76</v>
      </c>
      <c r="E587" s="4">
        <v>71.7</v>
      </c>
      <c r="F587" s="4">
        <v>0.23</v>
      </c>
      <c r="G587" s="4">
        <v>62.76</v>
      </c>
      <c r="H587" s="4">
        <v>47.1</v>
      </c>
      <c r="I587" s="4">
        <v>38.299999999999997</v>
      </c>
      <c r="J587" s="4">
        <v>70.599999999999994</v>
      </c>
      <c r="K587" s="4">
        <v>495123.17</v>
      </c>
      <c r="L587" s="4" t="s">
        <v>382</v>
      </c>
      <c r="M587" s="4" t="s">
        <v>141</v>
      </c>
    </row>
    <row r="588" spans="1:13" x14ac:dyDescent="0.2">
      <c r="A588" s="4">
        <v>107</v>
      </c>
      <c r="B588" s="4" t="s">
        <v>239</v>
      </c>
      <c r="C588" s="4">
        <v>224</v>
      </c>
      <c r="D588" s="4">
        <v>0.74</v>
      </c>
      <c r="E588" s="4">
        <v>94.2</v>
      </c>
      <c r="F588" s="4">
        <v>0.31</v>
      </c>
      <c r="G588" s="4">
        <v>118.34</v>
      </c>
      <c r="H588" s="4">
        <v>93.6</v>
      </c>
      <c r="I588" s="4">
        <v>84.3</v>
      </c>
      <c r="J588" s="4">
        <v>83.6</v>
      </c>
      <c r="K588" s="4">
        <v>693331.6</v>
      </c>
      <c r="L588" s="4" t="s">
        <v>382</v>
      </c>
      <c r="M588" s="4" t="s">
        <v>208</v>
      </c>
    </row>
    <row r="589" spans="1:13" x14ac:dyDescent="0.2">
      <c r="A589" s="4">
        <v>108</v>
      </c>
      <c r="B589" s="4" t="s">
        <v>240</v>
      </c>
      <c r="C589" s="4">
        <v>324</v>
      </c>
      <c r="D589" s="4">
        <v>0.65</v>
      </c>
      <c r="E589" s="4">
        <v>82.4</v>
      </c>
      <c r="F589" s="4">
        <v>0.24</v>
      </c>
      <c r="G589" s="4">
        <v>170.82</v>
      </c>
      <c r="H589" s="4">
        <v>121.3</v>
      </c>
      <c r="I589" s="4">
        <v>64.400000000000006</v>
      </c>
      <c r="J589" s="4">
        <v>75.599999999999994</v>
      </c>
      <c r="K589" s="4">
        <v>1063475.51</v>
      </c>
      <c r="L589" s="4" t="s">
        <v>382</v>
      </c>
      <c r="M589" s="4" t="s">
        <v>208</v>
      </c>
    </row>
    <row r="590" spans="1:13" x14ac:dyDescent="0.2">
      <c r="A590" s="4">
        <v>109</v>
      </c>
      <c r="B590" s="4" t="s">
        <v>241</v>
      </c>
      <c r="C590" s="4">
        <v>1543</v>
      </c>
      <c r="D590" s="4">
        <v>3.09</v>
      </c>
      <c r="E590" s="4">
        <v>68.099999999999994</v>
      </c>
      <c r="F590" s="4">
        <v>0.25</v>
      </c>
      <c r="G590" s="4">
        <v>127.4</v>
      </c>
      <c r="H590" s="4">
        <v>122.7</v>
      </c>
      <c r="I590" s="4">
        <v>56.1</v>
      </c>
      <c r="J590" s="4">
        <v>24.9</v>
      </c>
      <c r="K590" s="4">
        <v>1037844.6</v>
      </c>
      <c r="L590" s="4" t="s">
        <v>381</v>
      </c>
      <c r="M590" s="4" t="s">
        <v>141</v>
      </c>
    </row>
    <row r="591" spans="1:13" x14ac:dyDescent="0.2">
      <c r="A591" s="4">
        <v>110</v>
      </c>
      <c r="B591" s="4" t="s">
        <v>242</v>
      </c>
      <c r="C591" s="4">
        <v>1658.3</v>
      </c>
      <c r="D591" s="4">
        <v>3.32</v>
      </c>
      <c r="E591" s="4">
        <v>73.2</v>
      </c>
      <c r="F591" s="4">
        <v>0.27</v>
      </c>
      <c r="G591" s="4">
        <v>144.36000000000001</v>
      </c>
      <c r="H591" s="4">
        <v>136.5</v>
      </c>
      <c r="I591" s="4">
        <v>61.4</v>
      </c>
      <c r="J591" s="4">
        <v>27</v>
      </c>
      <c r="K591" s="4">
        <v>1066298.42</v>
      </c>
      <c r="L591" s="4" t="s">
        <v>381</v>
      </c>
      <c r="M591" s="4" t="s">
        <v>141</v>
      </c>
    </row>
    <row r="592" spans="1:13" x14ac:dyDescent="0.2">
      <c r="A592" s="4">
        <v>111</v>
      </c>
      <c r="B592" s="4" t="s">
        <v>243</v>
      </c>
      <c r="C592" s="4">
        <v>1634.8</v>
      </c>
      <c r="D592" s="4">
        <v>3.28</v>
      </c>
      <c r="E592" s="4">
        <v>72.099999999999994</v>
      </c>
      <c r="F592" s="4">
        <v>0.28999999999999998</v>
      </c>
      <c r="G592" s="4">
        <v>144.08000000000001</v>
      </c>
      <c r="H592" s="4">
        <v>144.6</v>
      </c>
      <c r="I592" s="4">
        <v>59.1</v>
      </c>
      <c r="J592" s="4">
        <v>12.1</v>
      </c>
      <c r="K592" s="4">
        <v>1030193.03</v>
      </c>
      <c r="L592" s="4" t="s">
        <v>382</v>
      </c>
      <c r="M592" s="4" t="s">
        <v>141</v>
      </c>
    </row>
    <row r="593" spans="1:13" x14ac:dyDescent="0.2">
      <c r="A593" s="4">
        <v>112</v>
      </c>
      <c r="B593" s="4" t="s">
        <v>244</v>
      </c>
      <c r="C593" s="4">
        <v>1640.6</v>
      </c>
      <c r="D593" s="4">
        <v>3.29</v>
      </c>
      <c r="E593" s="4">
        <v>72.400000000000006</v>
      </c>
      <c r="F593" s="4">
        <v>0.3</v>
      </c>
      <c r="G593" s="4">
        <v>145.27000000000001</v>
      </c>
      <c r="H593" s="4">
        <v>148.1</v>
      </c>
      <c r="I593" s="4">
        <v>61</v>
      </c>
      <c r="J593" s="4">
        <v>26.5</v>
      </c>
      <c r="K593" s="4">
        <v>1040532.08</v>
      </c>
      <c r="L593" s="4" t="s">
        <v>382</v>
      </c>
      <c r="M593" s="4" t="s">
        <v>141</v>
      </c>
    </row>
    <row r="594" spans="1:13" x14ac:dyDescent="0.2">
      <c r="A594" s="4">
        <v>113</v>
      </c>
      <c r="B594" s="4" t="s">
        <v>245</v>
      </c>
      <c r="C594" s="4">
        <v>1515.2</v>
      </c>
      <c r="D594" s="4">
        <v>3.03</v>
      </c>
      <c r="E594" s="4">
        <v>66.8</v>
      </c>
      <c r="F594" s="4">
        <v>0</v>
      </c>
      <c r="G594" s="4">
        <v>0</v>
      </c>
      <c r="H594" s="4">
        <v>0</v>
      </c>
      <c r="I594" s="4">
        <v>66.8</v>
      </c>
      <c r="J594" s="4">
        <v>24.5</v>
      </c>
      <c r="K594" s="4">
        <v>1012637.21</v>
      </c>
      <c r="L594" s="4" t="s">
        <v>383</v>
      </c>
      <c r="M594" s="4" t="s">
        <v>141</v>
      </c>
    </row>
    <row r="595" spans="1:13" x14ac:dyDescent="0.2">
      <c r="A595" s="4">
        <v>114</v>
      </c>
      <c r="B595" s="4" t="s">
        <v>246</v>
      </c>
      <c r="C595" s="4">
        <v>556.6</v>
      </c>
      <c r="D595" s="4">
        <v>3.79</v>
      </c>
      <c r="E595" s="4">
        <v>0</v>
      </c>
      <c r="F595" s="4">
        <v>0.39</v>
      </c>
      <c r="G595" s="4">
        <v>56.25</v>
      </c>
      <c r="H595" s="4">
        <v>57.6</v>
      </c>
      <c r="I595" s="4">
        <v>0</v>
      </c>
      <c r="J595" s="4" t="s">
        <v>14</v>
      </c>
      <c r="K595" s="4">
        <v>331583.56</v>
      </c>
      <c r="L595" s="4" t="s">
        <v>382</v>
      </c>
      <c r="M595" s="4" t="s">
        <v>16</v>
      </c>
    </row>
    <row r="596" spans="1:13" x14ac:dyDescent="0.2">
      <c r="A596" s="4">
        <v>115</v>
      </c>
      <c r="B596" s="4" t="s">
        <v>247</v>
      </c>
      <c r="C596" s="4">
        <v>910.5</v>
      </c>
      <c r="D596" s="4">
        <v>2.67</v>
      </c>
      <c r="E596" s="4">
        <v>0</v>
      </c>
      <c r="F596" s="4">
        <v>0.23</v>
      </c>
      <c r="G596" s="4">
        <v>82.79</v>
      </c>
      <c r="H596" s="4">
        <v>77.5</v>
      </c>
      <c r="I596" s="4">
        <v>0</v>
      </c>
      <c r="J596" s="4" t="s">
        <v>14</v>
      </c>
      <c r="K596" s="4">
        <v>935877.18</v>
      </c>
      <c r="L596" s="4" t="s">
        <v>381</v>
      </c>
      <c r="M596" s="4" t="s">
        <v>38</v>
      </c>
    </row>
    <row r="597" spans="1:13" x14ac:dyDescent="0.2">
      <c r="A597" s="4">
        <v>116</v>
      </c>
      <c r="B597" s="4" t="s">
        <v>248</v>
      </c>
      <c r="C597" s="4">
        <v>455.6</v>
      </c>
      <c r="D597" s="4">
        <v>2.31</v>
      </c>
      <c r="E597" s="4">
        <v>0</v>
      </c>
      <c r="F597" s="4">
        <v>0.24</v>
      </c>
      <c r="G597" s="4">
        <v>54.19</v>
      </c>
      <c r="H597" s="4">
        <v>47.7</v>
      </c>
      <c r="I597" s="4">
        <v>0</v>
      </c>
      <c r="J597" s="4" t="s">
        <v>14</v>
      </c>
      <c r="K597" s="4">
        <v>429641.57</v>
      </c>
      <c r="L597" s="4" t="s">
        <v>382</v>
      </c>
      <c r="M597" s="4" t="s">
        <v>38</v>
      </c>
    </row>
    <row r="598" spans="1:13" x14ac:dyDescent="0.2">
      <c r="A598" s="4">
        <v>117</v>
      </c>
      <c r="B598" s="4" t="s">
        <v>249</v>
      </c>
      <c r="C598" s="4">
        <v>1094.4000000000001</v>
      </c>
      <c r="D598" s="4">
        <v>2.4700000000000002</v>
      </c>
      <c r="E598" s="4">
        <v>76.5</v>
      </c>
      <c r="F598" s="4">
        <v>0.24</v>
      </c>
      <c r="G598" s="4">
        <v>117.72</v>
      </c>
      <c r="H598" s="4">
        <v>107.3</v>
      </c>
      <c r="I598" s="4">
        <v>74.8</v>
      </c>
      <c r="J598" s="4">
        <v>75.7</v>
      </c>
      <c r="K598" s="4">
        <v>1170649.1200000001</v>
      </c>
      <c r="L598" s="4" t="s">
        <v>382</v>
      </c>
      <c r="M598" s="4" t="s">
        <v>38</v>
      </c>
    </row>
    <row r="599" spans="1:13" x14ac:dyDescent="0.2">
      <c r="A599" s="4">
        <v>118</v>
      </c>
      <c r="B599" s="4" t="s">
        <v>250</v>
      </c>
      <c r="C599" s="4">
        <v>776.3</v>
      </c>
      <c r="D599" s="4">
        <v>2.79</v>
      </c>
      <c r="E599" s="4">
        <v>0</v>
      </c>
      <c r="F599" s="4">
        <v>0.34</v>
      </c>
      <c r="G599" s="4">
        <v>81.489999999999995</v>
      </c>
      <c r="H599" s="4">
        <v>95.7</v>
      </c>
      <c r="I599" s="4">
        <v>0</v>
      </c>
      <c r="J599" s="4" t="s">
        <v>14</v>
      </c>
      <c r="K599" s="4">
        <v>790207.17</v>
      </c>
      <c r="L599" s="4" t="s">
        <v>382</v>
      </c>
      <c r="M599" s="4" t="s">
        <v>38</v>
      </c>
    </row>
    <row r="600" spans="1:13" x14ac:dyDescent="0.2">
      <c r="A600" s="4">
        <v>119</v>
      </c>
      <c r="B600" s="4" t="s">
        <v>251</v>
      </c>
      <c r="C600" s="4">
        <v>851.1</v>
      </c>
      <c r="D600" s="4">
        <v>2.82</v>
      </c>
      <c r="E600" s="4">
        <v>0</v>
      </c>
      <c r="F600" s="4">
        <v>0.32</v>
      </c>
      <c r="G600" s="4">
        <v>83.73</v>
      </c>
      <c r="H600" s="4">
        <v>96.9</v>
      </c>
      <c r="I600" s="4">
        <v>0</v>
      </c>
      <c r="J600" s="4" t="s">
        <v>14</v>
      </c>
      <c r="K600" s="4">
        <v>860021.08</v>
      </c>
      <c r="L600" s="4" t="s">
        <v>381</v>
      </c>
      <c r="M600" s="4" t="s">
        <v>38</v>
      </c>
    </row>
    <row r="601" spans="1:13" x14ac:dyDescent="0.2">
      <c r="A601" s="4">
        <v>120</v>
      </c>
      <c r="B601" s="4" t="s">
        <v>252</v>
      </c>
      <c r="C601" s="4">
        <v>862.2</v>
      </c>
      <c r="D601" s="4">
        <v>2.94</v>
      </c>
      <c r="E601" s="4">
        <v>0</v>
      </c>
      <c r="F601" s="4">
        <v>0.32</v>
      </c>
      <c r="G601" s="4">
        <v>81.87</v>
      </c>
      <c r="H601" s="4">
        <v>94.4</v>
      </c>
      <c r="I601" s="4">
        <v>0</v>
      </c>
      <c r="J601" s="4" t="s">
        <v>14</v>
      </c>
      <c r="K601" s="4">
        <v>823520.86</v>
      </c>
      <c r="L601" s="4" t="s">
        <v>381</v>
      </c>
      <c r="M601" s="4" t="s">
        <v>38</v>
      </c>
    </row>
    <row r="602" spans="1:13" x14ac:dyDescent="0.2">
      <c r="A602" s="4">
        <v>121</v>
      </c>
      <c r="B602" s="4" t="s">
        <v>253</v>
      </c>
      <c r="C602" s="4">
        <v>309.2</v>
      </c>
      <c r="D602" s="4">
        <v>2.42</v>
      </c>
      <c r="E602" s="4">
        <v>0</v>
      </c>
      <c r="F602" s="4">
        <v>0.27</v>
      </c>
      <c r="G602" s="4">
        <v>32.04</v>
      </c>
      <c r="H602" s="4">
        <v>34.6</v>
      </c>
      <c r="I602" s="4">
        <v>0</v>
      </c>
      <c r="J602" s="4" t="s">
        <v>14</v>
      </c>
      <c r="K602" s="4">
        <v>324976.87</v>
      </c>
      <c r="L602" s="4" t="s">
        <v>382</v>
      </c>
      <c r="M602" s="4" t="s">
        <v>38</v>
      </c>
    </row>
    <row r="603" spans="1:13" x14ac:dyDescent="0.2">
      <c r="A603" s="4">
        <v>122</v>
      </c>
      <c r="B603" s="4" t="s">
        <v>254</v>
      </c>
      <c r="C603" s="4">
        <v>248.8</v>
      </c>
      <c r="D603" s="4">
        <v>2.38</v>
      </c>
      <c r="E603" s="4">
        <v>0</v>
      </c>
      <c r="F603" s="4">
        <v>0.27</v>
      </c>
      <c r="G603" s="4">
        <v>29.05</v>
      </c>
      <c r="H603" s="4">
        <v>27.9</v>
      </c>
      <c r="I603" s="4">
        <v>0</v>
      </c>
      <c r="J603" s="4" t="s">
        <v>14</v>
      </c>
      <c r="K603" s="4">
        <v>239865.8</v>
      </c>
      <c r="L603" s="4" t="s">
        <v>382</v>
      </c>
      <c r="M603" s="4" t="s">
        <v>38</v>
      </c>
    </row>
    <row r="604" spans="1:13" x14ac:dyDescent="0.2">
      <c r="A604" s="4">
        <v>123</v>
      </c>
      <c r="B604" s="4" t="s">
        <v>255</v>
      </c>
      <c r="C604" s="4">
        <v>662</v>
      </c>
      <c r="D604" s="4">
        <v>2.48</v>
      </c>
      <c r="E604" s="4">
        <v>0</v>
      </c>
      <c r="F604" s="4">
        <v>0.23</v>
      </c>
      <c r="G604" s="4">
        <v>64.150000000000006</v>
      </c>
      <c r="H604" s="4">
        <v>61.8</v>
      </c>
      <c r="I604" s="4">
        <v>0</v>
      </c>
      <c r="J604" s="4" t="s">
        <v>14</v>
      </c>
      <c r="K604" s="4">
        <v>630381.92000000004</v>
      </c>
      <c r="L604" s="4" t="s">
        <v>382</v>
      </c>
      <c r="M604" s="4" t="s">
        <v>38</v>
      </c>
    </row>
    <row r="605" spans="1:13" x14ac:dyDescent="0.2">
      <c r="A605" s="4">
        <v>124</v>
      </c>
      <c r="B605" s="4" t="s">
        <v>256</v>
      </c>
      <c r="C605" s="4">
        <v>1089.5999999999999</v>
      </c>
      <c r="D605" s="4">
        <v>2.41</v>
      </c>
      <c r="E605" s="4">
        <v>0</v>
      </c>
      <c r="F605" s="4">
        <v>0.23</v>
      </c>
      <c r="G605" s="4">
        <v>114.79</v>
      </c>
      <c r="H605" s="4">
        <v>103.4</v>
      </c>
      <c r="I605" s="4">
        <v>0</v>
      </c>
      <c r="J605" s="4" t="s">
        <v>14</v>
      </c>
      <c r="K605" s="4">
        <v>1193217.45</v>
      </c>
      <c r="L605" s="4" t="s">
        <v>381</v>
      </c>
      <c r="M605" s="4" t="s">
        <v>38</v>
      </c>
    </row>
    <row r="606" spans="1:13" x14ac:dyDescent="0.2">
      <c r="A606" s="4">
        <v>125</v>
      </c>
      <c r="B606" s="4" t="s">
        <v>257</v>
      </c>
      <c r="C606" s="4">
        <v>1090.2</v>
      </c>
      <c r="D606" s="4">
        <v>3.32</v>
      </c>
      <c r="E606" s="4">
        <v>0</v>
      </c>
      <c r="F606" s="4">
        <v>0.25</v>
      </c>
      <c r="G606" s="4">
        <v>83.86</v>
      </c>
      <c r="H606" s="4">
        <v>82.6</v>
      </c>
      <c r="I606" s="4">
        <v>0</v>
      </c>
      <c r="J606" s="4" t="s">
        <v>14</v>
      </c>
      <c r="K606" s="4">
        <v>535286.78</v>
      </c>
      <c r="L606" s="4" t="s">
        <v>381</v>
      </c>
      <c r="M606" s="4" t="s">
        <v>141</v>
      </c>
    </row>
    <row r="607" spans="1:13" x14ac:dyDescent="0.2">
      <c r="A607" s="4">
        <v>126</v>
      </c>
      <c r="B607" s="4" t="s">
        <v>258</v>
      </c>
      <c r="C607" s="4">
        <v>1704.8</v>
      </c>
      <c r="D607" s="4">
        <v>3.42</v>
      </c>
      <c r="E607" s="4">
        <v>0</v>
      </c>
      <c r="F607" s="4">
        <v>0.26</v>
      </c>
      <c r="G607" s="4">
        <v>138.69</v>
      </c>
      <c r="H607" s="4">
        <v>132.1</v>
      </c>
      <c r="I607" s="4">
        <v>0</v>
      </c>
      <c r="J607" s="4" t="s">
        <v>14</v>
      </c>
      <c r="K607" s="4">
        <v>825545.71</v>
      </c>
      <c r="L607" s="4" t="s">
        <v>382</v>
      </c>
      <c r="M607" s="4" t="s">
        <v>141</v>
      </c>
    </row>
    <row r="608" spans="1:13" x14ac:dyDescent="0.2">
      <c r="A608" s="4">
        <v>127</v>
      </c>
      <c r="B608" s="4" t="s">
        <v>259</v>
      </c>
      <c r="C608" s="4">
        <v>1651.7</v>
      </c>
      <c r="D608" s="4">
        <v>3.59</v>
      </c>
      <c r="E608" s="4">
        <v>0</v>
      </c>
      <c r="F608" s="4">
        <v>0.32</v>
      </c>
      <c r="G608" s="4">
        <v>138.91999999999999</v>
      </c>
      <c r="H608" s="4">
        <v>148.9</v>
      </c>
      <c r="I608" s="4">
        <v>0</v>
      </c>
      <c r="J608" s="4" t="s">
        <v>14</v>
      </c>
      <c r="K608" s="4">
        <v>721547.63</v>
      </c>
      <c r="L608" s="4" t="s">
        <v>382</v>
      </c>
      <c r="M608" s="4" t="s">
        <v>260</v>
      </c>
    </row>
    <row r="609" spans="1:13" x14ac:dyDescent="0.2">
      <c r="A609" s="4">
        <v>128</v>
      </c>
      <c r="B609" s="4" t="s">
        <v>261</v>
      </c>
      <c r="C609" s="4">
        <v>1753.6</v>
      </c>
      <c r="D609" s="4">
        <v>3.72</v>
      </c>
      <c r="E609" s="4">
        <v>86.2</v>
      </c>
      <c r="F609" s="4">
        <v>0.32</v>
      </c>
      <c r="G609" s="4">
        <v>141.93</v>
      </c>
      <c r="H609" s="4">
        <v>152.30000000000001</v>
      </c>
      <c r="I609" s="4">
        <v>81.400000000000006</v>
      </c>
      <c r="J609" s="4">
        <v>80.599999999999994</v>
      </c>
      <c r="K609" s="4">
        <v>863141.02</v>
      </c>
      <c r="L609" s="4" t="s">
        <v>382</v>
      </c>
      <c r="M609" s="4" t="s">
        <v>260</v>
      </c>
    </row>
    <row r="610" spans="1:13" x14ac:dyDescent="0.2">
      <c r="A610" s="4">
        <v>129</v>
      </c>
      <c r="B610" s="4" t="s">
        <v>262</v>
      </c>
      <c r="C610" s="4">
        <v>57</v>
      </c>
      <c r="D610" s="4">
        <v>3.57</v>
      </c>
      <c r="E610" s="4">
        <v>85</v>
      </c>
      <c r="F610" s="4">
        <v>0.24</v>
      </c>
      <c r="G610" s="4">
        <v>5.57</v>
      </c>
      <c r="H610" s="4">
        <v>3.9</v>
      </c>
      <c r="I610" s="4">
        <v>58.5</v>
      </c>
      <c r="J610" s="4">
        <v>84.7</v>
      </c>
      <c r="K610" s="4">
        <v>33939.33</v>
      </c>
      <c r="L610" s="4" t="s">
        <v>381</v>
      </c>
      <c r="M610" s="4" t="s">
        <v>55</v>
      </c>
    </row>
    <row r="611" spans="1:13" x14ac:dyDescent="0.2">
      <c r="A611" s="4">
        <v>130</v>
      </c>
      <c r="B611" s="4" t="s">
        <v>263</v>
      </c>
      <c r="C611" s="4">
        <v>38.200000000000003</v>
      </c>
      <c r="D611" s="4">
        <v>3.14</v>
      </c>
      <c r="E611" s="4">
        <v>77.8</v>
      </c>
      <c r="F611" s="4">
        <v>0.32</v>
      </c>
      <c r="G611" s="4">
        <v>3.98</v>
      </c>
      <c r="H611" s="4">
        <v>3.9</v>
      </c>
      <c r="I611" s="4">
        <v>68.400000000000006</v>
      </c>
      <c r="J611" s="4">
        <v>75.599999999999994</v>
      </c>
      <c r="K611" s="4">
        <v>24463.040000000001</v>
      </c>
      <c r="L611" s="4" t="s">
        <v>381</v>
      </c>
      <c r="M611" s="4" t="s">
        <v>141</v>
      </c>
    </row>
    <row r="612" spans="1:13" x14ac:dyDescent="0.2">
      <c r="A612" s="4">
        <v>131</v>
      </c>
      <c r="B612" s="4" t="s">
        <v>146</v>
      </c>
      <c r="C612" s="4">
        <v>421.1</v>
      </c>
      <c r="D612" s="4">
        <v>3.51</v>
      </c>
      <c r="E612" s="4">
        <v>0</v>
      </c>
      <c r="F612" s="4">
        <v>0.28000000000000003</v>
      </c>
      <c r="G612" s="4">
        <v>34.68</v>
      </c>
      <c r="H612" s="4">
        <v>34</v>
      </c>
      <c r="I612" s="4">
        <v>0</v>
      </c>
      <c r="J612" s="4" t="s">
        <v>14</v>
      </c>
      <c r="K612" s="4">
        <v>40518.69</v>
      </c>
      <c r="L612" s="4" t="s">
        <v>382</v>
      </c>
      <c r="M612" s="4" t="s">
        <v>141</v>
      </c>
    </row>
    <row r="613" spans="1:13" x14ac:dyDescent="0.2">
      <c r="A613" s="4">
        <v>132</v>
      </c>
      <c r="B613" s="4" t="s">
        <v>264</v>
      </c>
      <c r="C613" s="4">
        <v>116.6</v>
      </c>
      <c r="D613" s="4">
        <v>2.66</v>
      </c>
      <c r="E613" s="4">
        <v>0</v>
      </c>
      <c r="F613" s="4">
        <v>0.39</v>
      </c>
      <c r="G613" s="4">
        <v>16.38</v>
      </c>
      <c r="H613" s="4">
        <v>17.2</v>
      </c>
      <c r="I613" s="4">
        <v>0</v>
      </c>
      <c r="J613" s="4" t="s">
        <v>14</v>
      </c>
      <c r="K613" s="4">
        <v>87394.21</v>
      </c>
      <c r="L613" s="4" t="s">
        <v>382</v>
      </c>
      <c r="M613" s="4" t="s">
        <v>265</v>
      </c>
    </row>
    <row r="614" spans="1:13" x14ac:dyDescent="0.2">
      <c r="A614" s="4">
        <v>133</v>
      </c>
      <c r="B614" s="4" t="s">
        <v>266</v>
      </c>
      <c r="C614" s="4">
        <v>270.2</v>
      </c>
      <c r="D614" s="4">
        <v>3.78</v>
      </c>
      <c r="E614" s="4">
        <v>74.7</v>
      </c>
      <c r="F614" s="4">
        <v>0.32</v>
      </c>
      <c r="G614" s="4">
        <v>22.46</v>
      </c>
      <c r="H614" s="4">
        <v>22.8</v>
      </c>
      <c r="I614" s="4">
        <v>62.4</v>
      </c>
      <c r="J614" s="4">
        <v>72.8</v>
      </c>
      <c r="K614" s="4">
        <v>130809.27</v>
      </c>
      <c r="L614" s="4" t="s">
        <v>382</v>
      </c>
      <c r="M614" s="4" t="s">
        <v>141</v>
      </c>
    </row>
    <row r="615" spans="1:13" x14ac:dyDescent="0.2">
      <c r="A615" s="4">
        <v>134</v>
      </c>
      <c r="B615" s="4" t="s">
        <v>267</v>
      </c>
      <c r="C615" s="4">
        <v>98.5</v>
      </c>
      <c r="D615" s="4">
        <v>3.04</v>
      </c>
      <c r="E615" s="4">
        <v>71.099999999999994</v>
      </c>
      <c r="F615" s="4">
        <v>0.25</v>
      </c>
      <c r="G615" s="4">
        <v>8.48</v>
      </c>
      <c r="H615" s="4">
        <v>8.1999999999999993</v>
      </c>
      <c r="I615" s="4">
        <v>93.6</v>
      </c>
      <c r="J615" s="4">
        <v>70.900000000000006</v>
      </c>
      <c r="K615" s="4">
        <v>54561.84</v>
      </c>
      <c r="L615" s="4" t="s">
        <v>382</v>
      </c>
      <c r="M615" s="4" t="s">
        <v>141</v>
      </c>
    </row>
    <row r="616" spans="1:13" x14ac:dyDescent="0.2">
      <c r="A616" s="4">
        <v>135</v>
      </c>
      <c r="B616" s="4" t="s">
        <v>268</v>
      </c>
      <c r="C616" s="4">
        <v>503.7</v>
      </c>
      <c r="D616" s="4">
        <v>3.69</v>
      </c>
      <c r="E616" s="4">
        <v>0</v>
      </c>
      <c r="F616" s="4">
        <v>0.28000000000000003</v>
      </c>
      <c r="G616" s="4">
        <v>40.98</v>
      </c>
      <c r="H616" s="4">
        <v>38.799999999999997</v>
      </c>
      <c r="I616" s="4">
        <v>0</v>
      </c>
      <c r="J616" s="4" t="s">
        <v>14</v>
      </c>
      <c r="K616" s="4">
        <v>258559.31</v>
      </c>
      <c r="L616" s="4" t="s">
        <v>381</v>
      </c>
      <c r="M616" s="4" t="s">
        <v>141</v>
      </c>
    </row>
    <row r="617" spans="1:13" x14ac:dyDescent="0.2">
      <c r="A617" s="4">
        <v>136</v>
      </c>
      <c r="B617" s="4" t="s">
        <v>269</v>
      </c>
      <c r="C617" s="4">
        <v>240.3</v>
      </c>
      <c r="D617" s="4">
        <v>2.62</v>
      </c>
      <c r="E617" s="4">
        <v>0</v>
      </c>
      <c r="F617" s="4">
        <v>0.36</v>
      </c>
      <c r="G617" s="4">
        <v>29.34</v>
      </c>
      <c r="H617" s="4">
        <v>33.1</v>
      </c>
      <c r="I617" s="4">
        <v>0</v>
      </c>
      <c r="J617" s="4" t="s">
        <v>14</v>
      </c>
      <c r="K617" s="4">
        <v>156285.99</v>
      </c>
      <c r="L617" s="4" t="s">
        <v>382</v>
      </c>
      <c r="M617" s="4" t="s">
        <v>91</v>
      </c>
    </row>
    <row r="618" spans="1:13" x14ac:dyDescent="0.2">
      <c r="A618" s="4">
        <v>137</v>
      </c>
      <c r="B618" s="4" t="s">
        <v>270</v>
      </c>
      <c r="C618" s="4">
        <v>1042.4000000000001</v>
      </c>
      <c r="D618" s="4">
        <v>3.1</v>
      </c>
      <c r="E618" s="4">
        <v>65.8</v>
      </c>
      <c r="F618" s="4">
        <v>0.28000000000000003</v>
      </c>
      <c r="G618" s="4">
        <v>91.87</v>
      </c>
      <c r="H618" s="4">
        <v>94.7</v>
      </c>
      <c r="I618" s="4">
        <v>58</v>
      </c>
      <c r="J618" s="4">
        <v>66</v>
      </c>
      <c r="K618" s="4">
        <v>539988.44999999995</v>
      </c>
      <c r="L618" s="4" t="s">
        <v>382</v>
      </c>
      <c r="M618" s="4" t="s">
        <v>141</v>
      </c>
    </row>
    <row r="619" spans="1:13" x14ac:dyDescent="0.2">
      <c r="A619" s="4">
        <v>138</v>
      </c>
      <c r="B619" s="4" t="s">
        <v>271</v>
      </c>
      <c r="C619" s="4">
        <v>1129.9000000000001</v>
      </c>
      <c r="D619" s="4">
        <v>2.27</v>
      </c>
      <c r="E619" s="4">
        <v>75.900000000000006</v>
      </c>
      <c r="F619" s="4">
        <v>0.23</v>
      </c>
      <c r="G619" s="4">
        <v>145.21</v>
      </c>
      <c r="H619" s="4">
        <v>112.5</v>
      </c>
      <c r="I619" s="4">
        <v>57.6</v>
      </c>
      <c r="J619" s="4">
        <v>73.7</v>
      </c>
      <c r="K619" s="4">
        <v>904454.26</v>
      </c>
      <c r="L619" s="4" t="s">
        <v>382</v>
      </c>
      <c r="M619" s="4" t="s">
        <v>55</v>
      </c>
    </row>
    <row r="620" spans="1:13" x14ac:dyDescent="0.2">
      <c r="A620" s="4">
        <v>139</v>
      </c>
      <c r="B620" s="4" t="s">
        <v>272</v>
      </c>
      <c r="C620" s="4">
        <v>769.4</v>
      </c>
      <c r="D620" s="4">
        <v>2.16</v>
      </c>
      <c r="E620" s="4">
        <v>70.099999999999994</v>
      </c>
      <c r="F620" s="4">
        <v>0.2</v>
      </c>
      <c r="G620" s="4">
        <v>92.45</v>
      </c>
      <c r="H620" s="4">
        <v>72.2</v>
      </c>
      <c r="I620" s="4">
        <v>59.7</v>
      </c>
      <c r="J620" s="4">
        <v>71.5</v>
      </c>
      <c r="K620" s="4">
        <v>650835.72</v>
      </c>
      <c r="L620" s="4" t="s">
        <v>381</v>
      </c>
      <c r="M620" s="4" t="s">
        <v>55</v>
      </c>
    </row>
    <row r="621" spans="1:13" x14ac:dyDescent="0.2">
      <c r="A621" s="4">
        <v>140</v>
      </c>
      <c r="B621" s="4" t="s">
        <v>273</v>
      </c>
      <c r="C621" s="4">
        <v>579</v>
      </c>
      <c r="D621" s="4">
        <v>2.2999999999999998</v>
      </c>
      <c r="E621" s="4">
        <v>0</v>
      </c>
      <c r="F621" s="4">
        <v>0.22</v>
      </c>
      <c r="G621" s="4">
        <v>55.46</v>
      </c>
      <c r="H621" s="4">
        <v>55.3</v>
      </c>
      <c r="I621" s="4">
        <v>0</v>
      </c>
      <c r="J621" s="4" t="s">
        <v>14</v>
      </c>
      <c r="K621" s="4">
        <v>742329.63</v>
      </c>
      <c r="L621" s="4" t="s">
        <v>381</v>
      </c>
      <c r="M621" s="4" t="s">
        <v>16</v>
      </c>
    </row>
    <row r="622" spans="1:13" x14ac:dyDescent="0.2">
      <c r="A622" s="4">
        <v>141</v>
      </c>
      <c r="B622" s="4" t="s">
        <v>274</v>
      </c>
      <c r="C622" s="4">
        <v>697.8</v>
      </c>
      <c r="D622" s="4">
        <v>2.38</v>
      </c>
      <c r="E622" s="4">
        <v>0</v>
      </c>
      <c r="F622" s="4">
        <v>0.25</v>
      </c>
      <c r="G622" s="4">
        <v>56.96</v>
      </c>
      <c r="H622" s="4">
        <v>72.099999999999994</v>
      </c>
      <c r="I622" s="4">
        <v>0</v>
      </c>
      <c r="J622" s="4" t="s">
        <v>14</v>
      </c>
      <c r="K622" s="4">
        <v>935842.97</v>
      </c>
      <c r="L622" s="4" t="s">
        <v>382</v>
      </c>
      <c r="M622" s="4" t="s">
        <v>16</v>
      </c>
    </row>
    <row r="623" spans="1:13" x14ac:dyDescent="0.2">
      <c r="A623" s="4">
        <v>142</v>
      </c>
      <c r="B623" s="4" t="s">
        <v>275</v>
      </c>
      <c r="C623" s="4">
        <v>1438.7</v>
      </c>
      <c r="D623" s="4">
        <v>2.91</v>
      </c>
      <c r="E623" s="4">
        <v>0</v>
      </c>
      <c r="F623" s="4">
        <v>0.26</v>
      </c>
      <c r="G623" s="4">
        <v>128.03</v>
      </c>
      <c r="H623" s="4">
        <v>126.5</v>
      </c>
      <c r="I623" s="4">
        <v>0</v>
      </c>
      <c r="J623" s="4" t="s">
        <v>14</v>
      </c>
      <c r="K623" s="4">
        <v>1786863.63</v>
      </c>
      <c r="L623" s="4" t="s">
        <v>382</v>
      </c>
      <c r="M623" s="4" t="s">
        <v>55</v>
      </c>
    </row>
    <row r="624" spans="1:13" x14ac:dyDescent="0.2">
      <c r="A624" s="4">
        <v>143</v>
      </c>
      <c r="B624" s="4" t="s">
        <v>276</v>
      </c>
      <c r="C624" s="4">
        <v>1972.9</v>
      </c>
      <c r="D624" s="4">
        <v>3.95</v>
      </c>
      <c r="E624" s="4">
        <v>0</v>
      </c>
      <c r="F624" s="4">
        <v>0.38</v>
      </c>
      <c r="G624" s="4">
        <v>181.66</v>
      </c>
      <c r="H624" s="4">
        <v>190.5</v>
      </c>
      <c r="I624" s="4">
        <v>0</v>
      </c>
      <c r="J624" s="4" t="s">
        <v>14</v>
      </c>
      <c r="K624" s="4">
        <v>2794911.8</v>
      </c>
      <c r="L624" s="4" t="s">
        <v>382</v>
      </c>
      <c r="M624" s="4" t="s">
        <v>141</v>
      </c>
    </row>
    <row r="625" spans="1:13" x14ac:dyDescent="0.2">
      <c r="A625" s="4">
        <v>144</v>
      </c>
      <c r="B625" s="4" t="s">
        <v>277</v>
      </c>
      <c r="C625" s="4">
        <v>2074.6</v>
      </c>
      <c r="D625" s="4">
        <v>4.43</v>
      </c>
      <c r="E625" s="4">
        <v>0</v>
      </c>
      <c r="F625" s="4">
        <v>0.38</v>
      </c>
      <c r="G625" s="4">
        <v>180.53</v>
      </c>
      <c r="H625" s="4">
        <v>175.8</v>
      </c>
      <c r="I625" s="4">
        <v>0</v>
      </c>
      <c r="J625" s="4" t="s">
        <v>14</v>
      </c>
      <c r="K625" s="4">
        <v>2458605.06</v>
      </c>
      <c r="L625" s="4" t="s">
        <v>381</v>
      </c>
      <c r="M625" s="4" t="s">
        <v>141</v>
      </c>
    </row>
    <row r="626" spans="1:13" x14ac:dyDescent="0.2">
      <c r="A626" s="4">
        <v>145</v>
      </c>
      <c r="B626" s="4" t="s">
        <v>278</v>
      </c>
      <c r="C626" s="4">
        <v>2194</v>
      </c>
      <c r="D626" s="4">
        <v>4.3899999999999997</v>
      </c>
      <c r="E626" s="4">
        <v>0</v>
      </c>
      <c r="F626" s="4">
        <v>0.36</v>
      </c>
      <c r="G626" s="4">
        <v>190.58</v>
      </c>
      <c r="H626" s="4">
        <v>181.2</v>
      </c>
      <c r="I626" s="4">
        <v>0</v>
      </c>
      <c r="J626" s="4" t="s">
        <v>14</v>
      </c>
      <c r="K626" s="4">
        <v>2652145.58</v>
      </c>
      <c r="L626" s="4" t="s">
        <v>381</v>
      </c>
      <c r="M626" s="4" t="s">
        <v>141</v>
      </c>
    </row>
    <row r="627" spans="1:13" x14ac:dyDescent="0.2">
      <c r="A627" s="4">
        <v>146</v>
      </c>
      <c r="B627" s="4" t="s">
        <v>279</v>
      </c>
      <c r="C627" s="4">
        <v>1327.6</v>
      </c>
      <c r="D627" s="4">
        <v>4.43</v>
      </c>
      <c r="E627" s="4">
        <v>0</v>
      </c>
      <c r="F627" s="4">
        <v>0.42</v>
      </c>
      <c r="G627" s="4">
        <v>117.17</v>
      </c>
      <c r="H627" s="4">
        <v>125</v>
      </c>
      <c r="I627" s="4">
        <v>0</v>
      </c>
      <c r="J627" s="4" t="s">
        <v>14</v>
      </c>
      <c r="K627" s="4">
        <v>1613211.62</v>
      </c>
      <c r="L627" s="4" t="s">
        <v>382</v>
      </c>
      <c r="M627" s="4" t="s">
        <v>141</v>
      </c>
    </row>
    <row r="628" spans="1:13" x14ac:dyDescent="0.2">
      <c r="A628" s="4">
        <v>147</v>
      </c>
      <c r="B628" s="4" t="s">
        <v>280</v>
      </c>
      <c r="C628" s="4">
        <v>999.8</v>
      </c>
      <c r="D628" s="4">
        <v>3.34</v>
      </c>
      <c r="E628" s="4">
        <v>0</v>
      </c>
      <c r="F628" s="4">
        <v>0.31</v>
      </c>
      <c r="G628" s="4">
        <v>92.83</v>
      </c>
      <c r="H628" s="4">
        <v>93.6</v>
      </c>
      <c r="I628" s="4">
        <v>0</v>
      </c>
      <c r="J628" s="4" t="s">
        <v>14</v>
      </c>
      <c r="K628" s="4">
        <v>1375682.52</v>
      </c>
      <c r="L628" s="4" t="s">
        <v>382</v>
      </c>
      <c r="M628" s="4" t="s">
        <v>141</v>
      </c>
    </row>
    <row r="629" spans="1:13" x14ac:dyDescent="0.2">
      <c r="A629" s="4">
        <v>148</v>
      </c>
      <c r="B629" s="4" t="s">
        <v>281</v>
      </c>
      <c r="C629" s="4">
        <v>1394.3</v>
      </c>
      <c r="D629" s="4">
        <v>3.39</v>
      </c>
      <c r="E629" s="4">
        <v>74.8</v>
      </c>
      <c r="F629" s="4">
        <v>0.3</v>
      </c>
      <c r="G629" s="4">
        <v>122.59</v>
      </c>
      <c r="H629" s="4">
        <v>123</v>
      </c>
      <c r="I629" s="4">
        <v>78</v>
      </c>
      <c r="J629" s="4">
        <v>67.900000000000006</v>
      </c>
      <c r="K629" s="4">
        <v>515912.8</v>
      </c>
      <c r="L629" s="4" t="s">
        <v>382</v>
      </c>
      <c r="M629" s="4" t="s">
        <v>141</v>
      </c>
    </row>
    <row r="630" spans="1:13" x14ac:dyDescent="0.2">
      <c r="A630" s="4">
        <v>149</v>
      </c>
      <c r="B630" s="4" t="s">
        <v>282</v>
      </c>
      <c r="C630" s="4">
        <v>492</v>
      </c>
      <c r="D630" s="4">
        <v>2.44</v>
      </c>
      <c r="E630" s="4">
        <v>68.900000000000006</v>
      </c>
      <c r="F630" s="4">
        <v>0.27</v>
      </c>
      <c r="G630" s="4">
        <v>57.37</v>
      </c>
      <c r="H630" s="4">
        <v>53.5</v>
      </c>
      <c r="I630" s="4">
        <v>60.8</v>
      </c>
      <c r="J630" s="4">
        <v>65.8</v>
      </c>
      <c r="K630" s="4">
        <v>325522.86</v>
      </c>
      <c r="L630" s="4" t="s">
        <v>381</v>
      </c>
      <c r="M630" s="4" t="s">
        <v>38</v>
      </c>
    </row>
    <row r="631" spans="1:13" x14ac:dyDescent="0.2">
      <c r="A631" s="4">
        <v>150</v>
      </c>
      <c r="B631" s="4" t="s">
        <v>283</v>
      </c>
      <c r="C631" s="4">
        <v>314.2</v>
      </c>
      <c r="D631" s="4">
        <v>1.81</v>
      </c>
      <c r="E631" s="4">
        <v>75.7</v>
      </c>
      <c r="F631" s="4">
        <v>0.31</v>
      </c>
      <c r="G631" s="4">
        <v>54.34</v>
      </c>
      <c r="H631" s="4">
        <v>53.6</v>
      </c>
      <c r="I631" s="4">
        <v>68.2</v>
      </c>
      <c r="J631" s="4">
        <v>71.2</v>
      </c>
      <c r="K631" s="4">
        <v>294156.46000000002</v>
      </c>
      <c r="L631" s="4" t="s">
        <v>381</v>
      </c>
      <c r="M631" s="4" t="s">
        <v>38</v>
      </c>
    </row>
    <row r="632" spans="1:13" x14ac:dyDescent="0.2">
      <c r="A632" s="4">
        <v>151</v>
      </c>
      <c r="B632" s="4" t="s">
        <v>284</v>
      </c>
      <c r="C632" s="4">
        <v>662.5</v>
      </c>
      <c r="D632" s="4">
        <v>3.07</v>
      </c>
      <c r="E632" s="4">
        <v>80</v>
      </c>
      <c r="F632" s="4">
        <v>0.32</v>
      </c>
      <c r="G632" s="4">
        <v>75.42</v>
      </c>
      <c r="H632" s="4">
        <v>69.400000000000006</v>
      </c>
      <c r="I632" s="4">
        <v>72.099999999999994</v>
      </c>
      <c r="J632" s="4">
        <v>76</v>
      </c>
      <c r="K632" s="4">
        <v>277566.5</v>
      </c>
      <c r="L632" s="4" t="s">
        <v>381</v>
      </c>
      <c r="M632" s="4" t="s">
        <v>55</v>
      </c>
    </row>
    <row r="633" spans="1:13" x14ac:dyDescent="0.2">
      <c r="A633" s="4">
        <v>152</v>
      </c>
      <c r="B633" s="4" t="s">
        <v>285</v>
      </c>
      <c r="C633" s="4">
        <v>916.3</v>
      </c>
      <c r="D633" s="4">
        <v>2.6</v>
      </c>
      <c r="E633" s="4">
        <v>2.2000000000000002</v>
      </c>
      <c r="F633" s="4">
        <v>0.34</v>
      </c>
      <c r="G633" s="4">
        <v>114.26</v>
      </c>
      <c r="H633" s="4">
        <v>119</v>
      </c>
      <c r="I633" s="4">
        <v>84.4</v>
      </c>
      <c r="J633" s="4">
        <v>2.1</v>
      </c>
      <c r="K633" s="4">
        <v>521004.46</v>
      </c>
      <c r="L633" s="4" t="s">
        <v>382</v>
      </c>
      <c r="M633" s="4" t="s">
        <v>91</v>
      </c>
    </row>
    <row r="634" spans="1:13" x14ac:dyDescent="0.2">
      <c r="A634" s="4">
        <v>153</v>
      </c>
      <c r="B634" s="4" t="s">
        <v>286</v>
      </c>
      <c r="C634" s="4">
        <v>803.3</v>
      </c>
      <c r="D634" s="4">
        <v>3.33</v>
      </c>
      <c r="E634" s="4">
        <v>82.2</v>
      </c>
      <c r="F634" s="4">
        <v>0.37</v>
      </c>
      <c r="G634" s="4">
        <v>69.62</v>
      </c>
      <c r="H634" s="4">
        <v>89.3</v>
      </c>
      <c r="I634" s="4">
        <v>84.9</v>
      </c>
      <c r="J634" s="4">
        <v>79.400000000000006</v>
      </c>
      <c r="K634" s="4">
        <v>322016.37</v>
      </c>
      <c r="L634" s="4" t="s">
        <v>382</v>
      </c>
      <c r="M634" s="4" t="s">
        <v>188</v>
      </c>
    </row>
    <row r="635" spans="1:13" x14ac:dyDescent="0.2">
      <c r="A635" s="4">
        <v>154</v>
      </c>
      <c r="B635" s="4" t="s">
        <v>287</v>
      </c>
      <c r="C635" s="4">
        <v>253.4</v>
      </c>
      <c r="D635" s="4">
        <v>3.06</v>
      </c>
      <c r="E635" s="4">
        <v>3.1</v>
      </c>
      <c r="F635" s="4">
        <v>0.27</v>
      </c>
      <c r="G635" s="4">
        <v>27.39</v>
      </c>
      <c r="H635" s="4">
        <v>22</v>
      </c>
      <c r="I635" s="4">
        <v>46.7</v>
      </c>
      <c r="J635" s="4">
        <v>2.7</v>
      </c>
      <c r="K635" s="4">
        <v>125464.68</v>
      </c>
      <c r="L635" s="4" t="s">
        <v>382</v>
      </c>
      <c r="M635" s="4" t="s">
        <v>16</v>
      </c>
    </row>
    <row r="636" spans="1:13" x14ac:dyDescent="0.2">
      <c r="A636" s="4">
        <v>155</v>
      </c>
      <c r="B636" s="4" t="s">
        <v>288</v>
      </c>
      <c r="C636" s="4">
        <v>550.4</v>
      </c>
      <c r="D636" s="4">
        <v>2.97</v>
      </c>
      <c r="E636" s="4">
        <v>78.400000000000006</v>
      </c>
      <c r="F636" s="4">
        <v>0.21</v>
      </c>
      <c r="G636" s="4">
        <v>36.83</v>
      </c>
      <c r="H636" s="4">
        <v>39.299999999999997</v>
      </c>
      <c r="I636" s="4">
        <v>66.099999999999994</v>
      </c>
      <c r="J636" s="4">
        <v>76.7</v>
      </c>
      <c r="K636" s="4">
        <v>236986.83</v>
      </c>
      <c r="L636" s="4" t="s">
        <v>381</v>
      </c>
      <c r="M636" s="4" t="s">
        <v>16</v>
      </c>
    </row>
    <row r="637" spans="1:13" x14ac:dyDescent="0.2">
      <c r="A637" s="4">
        <v>156</v>
      </c>
      <c r="B637" s="4" t="s">
        <v>289</v>
      </c>
      <c r="C637" s="4">
        <v>511.2</v>
      </c>
      <c r="D637" s="4">
        <v>3.52</v>
      </c>
      <c r="E637" s="4">
        <v>0</v>
      </c>
      <c r="F637" s="4">
        <v>0.28999999999999998</v>
      </c>
      <c r="G637" s="4">
        <v>42.16</v>
      </c>
      <c r="H637" s="4">
        <v>41.8</v>
      </c>
      <c r="I637" s="4">
        <v>0</v>
      </c>
      <c r="J637" s="4" t="s">
        <v>14</v>
      </c>
      <c r="K637" s="4">
        <v>230211.77</v>
      </c>
      <c r="L637" s="4" t="s">
        <v>382</v>
      </c>
      <c r="M637" s="4" t="s">
        <v>141</v>
      </c>
    </row>
    <row r="638" spans="1:13" x14ac:dyDescent="0.2">
      <c r="A638" s="4">
        <v>157</v>
      </c>
      <c r="B638" s="4" t="s">
        <v>290</v>
      </c>
      <c r="C638" s="4">
        <v>722.8</v>
      </c>
      <c r="D638" s="4">
        <v>3.88</v>
      </c>
      <c r="E638" s="4">
        <v>0</v>
      </c>
      <c r="F638" s="4">
        <v>0.33</v>
      </c>
      <c r="G638" s="4">
        <v>62.65</v>
      </c>
      <c r="H638" s="4">
        <v>62.1</v>
      </c>
      <c r="I638" s="4">
        <v>0</v>
      </c>
      <c r="J638" s="4" t="s">
        <v>14</v>
      </c>
      <c r="K638" s="4">
        <v>300300.84999999998</v>
      </c>
      <c r="L638" s="4" t="s">
        <v>382</v>
      </c>
      <c r="M638" s="4" t="s">
        <v>141</v>
      </c>
    </row>
    <row r="639" spans="1:13" x14ac:dyDescent="0.2">
      <c r="A639" s="4">
        <v>158</v>
      </c>
      <c r="B639" s="4" t="s">
        <v>291</v>
      </c>
      <c r="C639" s="4">
        <v>1924.9</v>
      </c>
      <c r="D639" s="4">
        <v>3.86</v>
      </c>
      <c r="E639" s="4">
        <v>0</v>
      </c>
      <c r="F639" s="4">
        <v>0.32</v>
      </c>
      <c r="G639" s="4">
        <v>157.21</v>
      </c>
      <c r="H639" s="4">
        <v>160.19999999999999</v>
      </c>
      <c r="I639" s="4">
        <v>0</v>
      </c>
      <c r="J639" s="4" t="s">
        <v>14</v>
      </c>
      <c r="K639" s="4">
        <v>695083.36</v>
      </c>
      <c r="L639" s="4" t="s">
        <v>382</v>
      </c>
      <c r="M639" s="4" t="s">
        <v>141</v>
      </c>
    </row>
    <row r="640" spans="1:13" x14ac:dyDescent="0.2">
      <c r="A640" s="4">
        <v>159</v>
      </c>
      <c r="B640" s="4">
        <v>2508</v>
      </c>
      <c r="C640" s="4">
        <v>506.6</v>
      </c>
      <c r="D640" s="4">
        <v>2.92</v>
      </c>
      <c r="E640" s="4">
        <v>0</v>
      </c>
      <c r="F640" s="4">
        <v>0.32</v>
      </c>
      <c r="G640" s="4">
        <v>46.8</v>
      </c>
      <c r="H640" s="4">
        <v>55.8</v>
      </c>
      <c r="I640" s="4">
        <v>0</v>
      </c>
      <c r="J640" s="4" t="s">
        <v>14</v>
      </c>
      <c r="K640" s="4">
        <v>256559.82</v>
      </c>
      <c r="L640" s="4" t="s">
        <v>381</v>
      </c>
      <c r="M640" s="4" t="s">
        <v>38</v>
      </c>
    </row>
    <row r="641" spans="1:13" x14ac:dyDescent="0.2">
      <c r="A641" s="4">
        <v>160</v>
      </c>
      <c r="B641" s="4">
        <v>2509</v>
      </c>
      <c r="C641" s="4">
        <v>628.6</v>
      </c>
      <c r="D641" s="4">
        <v>3.01</v>
      </c>
      <c r="E641" s="4">
        <v>0</v>
      </c>
      <c r="F641" s="4">
        <v>0.34</v>
      </c>
      <c r="G641" s="4">
        <v>58.6</v>
      </c>
      <c r="H641" s="4">
        <v>70.099999999999994</v>
      </c>
      <c r="I641" s="4">
        <v>0</v>
      </c>
      <c r="J641" s="4" t="s">
        <v>14</v>
      </c>
      <c r="K641" s="4">
        <v>315216.06</v>
      </c>
      <c r="L641" s="4" t="s">
        <v>381</v>
      </c>
      <c r="M641" s="4" t="s">
        <v>38</v>
      </c>
    </row>
    <row r="642" spans="1:13" x14ac:dyDescent="0.2">
      <c r="A642" s="4">
        <v>161</v>
      </c>
      <c r="B642" s="4">
        <v>2510</v>
      </c>
      <c r="C642" s="4">
        <v>351.9</v>
      </c>
      <c r="D642" s="4">
        <v>3.04</v>
      </c>
      <c r="E642" s="4">
        <v>0</v>
      </c>
      <c r="F642" s="4">
        <v>0.36</v>
      </c>
      <c r="G642" s="4">
        <v>34.840000000000003</v>
      </c>
      <c r="H642" s="4">
        <v>41.5</v>
      </c>
      <c r="I642" s="4">
        <v>0</v>
      </c>
      <c r="J642" s="4" t="s">
        <v>14</v>
      </c>
      <c r="K642" s="4">
        <v>176411.39</v>
      </c>
      <c r="L642" s="4" t="s">
        <v>382</v>
      </c>
      <c r="M642" s="4" t="s">
        <v>38</v>
      </c>
    </row>
    <row r="643" spans="1:13" x14ac:dyDescent="0.2">
      <c r="A643" s="4">
        <v>162</v>
      </c>
      <c r="B643" s="4" t="s">
        <v>292</v>
      </c>
      <c r="C643" s="4">
        <v>1841.3</v>
      </c>
      <c r="D643" s="4">
        <v>3.68</v>
      </c>
      <c r="E643" s="4">
        <v>0</v>
      </c>
      <c r="F643" s="4">
        <v>0.32</v>
      </c>
      <c r="G643" s="4">
        <v>159.6</v>
      </c>
      <c r="H643" s="4">
        <v>157.69999999999999</v>
      </c>
      <c r="I643" s="4">
        <v>0</v>
      </c>
      <c r="J643" s="4" t="s">
        <v>14</v>
      </c>
      <c r="K643" s="4">
        <v>691677.99</v>
      </c>
      <c r="L643" s="4" t="s">
        <v>382</v>
      </c>
      <c r="M643" s="4" t="s">
        <v>188</v>
      </c>
    </row>
    <row r="644" spans="1:13" x14ac:dyDescent="0.2">
      <c r="A644" s="4">
        <v>163</v>
      </c>
      <c r="B644" s="4" t="s">
        <v>293</v>
      </c>
      <c r="C644" s="4">
        <v>512.20000000000005</v>
      </c>
      <c r="D644" s="4">
        <v>3.43</v>
      </c>
      <c r="E644" s="4">
        <v>0</v>
      </c>
      <c r="F644" s="4">
        <v>0.27</v>
      </c>
      <c r="G644" s="4">
        <v>38.6</v>
      </c>
      <c r="H644" s="4">
        <v>41</v>
      </c>
      <c r="I644" s="4">
        <v>0</v>
      </c>
      <c r="J644" s="4" t="s">
        <v>14</v>
      </c>
      <c r="K644" s="4">
        <v>201332.4</v>
      </c>
      <c r="L644" s="4" t="s">
        <v>382</v>
      </c>
      <c r="M644" s="4" t="s">
        <v>188</v>
      </c>
    </row>
    <row r="645" spans="1:13" x14ac:dyDescent="0.2">
      <c r="A645" s="4">
        <v>164</v>
      </c>
      <c r="B645" s="4" t="s">
        <v>294</v>
      </c>
      <c r="C645" s="4">
        <v>1869.2</v>
      </c>
      <c r="D645" s="4">
        <v>3.81</v>
      </c>
      <c r="E645" s="4">
        <v>77.400000000000006</v>
      </c>
      <c r="F645" s="4">
        <v>0.24</v>
      </c>
      <c r="G645" s="4">
        <v>126.91</v>
      </c>
      <c r="H645" s="4">
        <v>116.7</v>
      </c>
      <c r="I645" s="4">
        <v>59.3</v>
      </c>
      <c r="J645" s="4">
        <v>76.7</v>
      </c>
      <c r="K645" s="4">
        <v>537638.72</v>
      </c>
      <c r="L645" s="4" t="s">
        <v>381</v>
      </c>
      <c r="M645" s="4" t="s">
        <v>141</v>
      </c>
    </row>
    <row r="646" spans="1:13" x14ac:dyDescent="0.2">
      <c r="A646" s="4">
        <v>165</v>
      </c>
      <c r="B646" s="4" t="s">
        <v>295</v>
      </c>
      <c r="C646" s="4">
        <v>0</v>
      </c>
      <c r="D646" s="4">
        <v>0</v>
      </c>
      <c r="E646" s="4">
        <v>0</v>
      </c>
      <c r="F646" s="4">
        <v>0</v>
      </c>
      <c r="G646" s="4">
        <v>1.35</v>
      </c>
      <c r="H646" s="4">
        <v>0</v>
      </c>
      <c r="I646" s="4">
        <v>2.8</v>
      </c>
      <c r="J646" s="4">
        <v>41</v>
      </c>
      <c r="K646" s="4">
        <v>233786.81</v>
      </c>
      <c r="L646" s="4" t="s">
        <v>296</v>
      </c>
      <c r="M646" s="4" t="s">
        <v>141</v>
      </c>
    </row>
    <row r="647" spans="1:13" x14ac:dyDescent="0.2">
      <c r="A647" s="4">
        <v>166</v>
      </c>
      <c r="B647" s="4" t="s">
        <v>297</v>
      </c>
      <c r="C647" s="4">
        <v>1803.3</v>
      </c>
      <c r="D647" s="4">
        <v>3.61</v>
      </c>
      <c r="E647" s="4">
        <v>78.7</v>
      </c>
      <c r="F647" s="4">
        <v>0.3</v>
      </c>
      <c r="G647" s="4">
        <v>142.32</v>
      </c>
      <c r="H647" s="4">
        <v>147.9</v>
      </c>
      <c r="I647" s="4">
        <v>80.5</v>
      </c>
      <c r="J647" s="4">
        <v>74.599999999999994</v>
      </c>
      <c r="K647" s="4">
        <v>530216.93000000005</v>
      </c>
      <c r="L647" s="4" t="s">
        <v>381</v>
      </c>
      <c r="M647" s="4" t="s">
        <v>141</v>
      </c>
    </row>
    <row r="648" spans="1:13" x14ac:dyDescent="0.2">
      <c r="A648" s="4">
        <v>167</v>
      </c>
      <c r="B648" s="4" t="s">
        <v>298</v>
      </c>
      <c r="C648" s="4">
        <v>1284.2</v>
      </c>
      <c r="D648" s="4">
        <v>2.58</v>
      </c>
      <c r="E648" s="4">
        <v>0</v>
      </c>
      <c r="F648" s="4">
        <v>0.31</v>
      </c>
      <c r="G648" s="4">
        <v>148.4</v>
      </c>
      <c r="H648" s="4">
        <v>152.1</v>
      </c>
      <c r="I648" s="4">
        <v>0</v>
      </c>
      <c r="J648" s="4" t="s">
        <v>14</v>
      </c>
      <c r="K648" s="4">
        <v>461757.46</v>
      </c>
      <c r="L648" s="4" t="s">
        <v>382</v>
      </c>
      <c r="M648" s="4" t="s">
        <v>55</v>
      </c>
    </row>
    <row r="649" spans="1:13" x14ac:dyDescent="0.2">
      <c r="A649" s="4">
        <v>168</v>
      </c>
      <c r="B649" s="4" t="s">
        <v>299</v>
      </c>
      <c r="C649" s="4">
        <v>1546.9</v>
      </c>
      <c r="D649" s="4">
        <v>3.1</v>
      </c>
      <c r="E649" s="4">
        <v>0</v>
      </c>
      <c r="F649" s="4">
        <v>0.31</v>
      </c>
      <c r="G649" s="4">
        <v>170.06</v>
      </c>
      <c r="H649" s="4">
        <v>152.6</v>
      </c>
      <c r="I649" s="4">
        <v>0</v>
      </c>
      <c r="J649" s="4" t="s">
        <v>14</v>
      </c>
      <c r="K649" s="4">
        <v>464394.74</v>
      </c>
      <c r="L649" s="4" t="s">
        <v>382</v>
      </c>
      <c r="M649" s="4" t="s">
        <v>16</v>
      </c>
    </row>
    <row r="650" spans="1:13" x14ac:dyDescent="0.2">
      <c r="A650" s="4">
        <v>169</v>
      </c>
      <c r="B650" s="4" t="s">
        <v>300</v>
      </c>
      <c r="C650" s="4">
        <v>1617.4</v>
      </c>
      <c r="D650" s="4">
        <v>3.24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 t="s">
        <v>14</v>
      </c>
      <c r="K650" s="4">
        <v>490551.08</v>
      </c>
      <c r="L650" s="4" t="s">
        <v>383</v>
      </c>
      <c r="M650" s="4" t="s">
        <v>141</v>
      </c>
    </row>
    <row r="651" spans="1:13" x14ac:dyDescent="0.2">
      <c r="A651" s="4">
        <v>170</v>
      </c>
      <c r="B651" s="4" t="s">
        <v>301</v>
      </c>
      <c r="C651" s="4">
        <v>403.2</v>
      </c>
      <c r="D651" s="4">
        <v>3.58</v>
      </c>
      <c r="E651" s="4">
        <v>69.400000000000006</v>
      </c>
      <c r="F651" s="4">
        <v>0.27</v>
      </c>
      <c r="G651" s="4">
        <v>31.68</v>
      </c>
      <c r="H651" s="4">
        <v>30.9</v>
      </c>
      <c r="I651" s="4">
        <v>55.7</v>
      </c>
      <c r="J651" s="4">
        <v>69.099999999999994</v>
      </c>
      <c r="K651" s="4">
        <v>116879.54</v>
      </c>
      <c r="L651" s="4" t="s">
        <v>381</v>
      </c>
      <c r="M651" s="4" t="s">
        <v>141</v>
      </c>
    </row>
    <row r="652" spans="1:13" x14ac:dyDescent="0.2">
      <c r="A652" s="4">
        <v>171</v>
      </c>
      <c r="B652" s="4" t="s">
        <v>302</v>
      </c>
      <c r="C652" s="4">
        <v>171.9</v>
      </c>
      <c r="D652" s="4">
        <v>2.63</v>
      </c>
      <c r="E652" s="4">
        <v>0</v>
      </c>
      <c r="F652" s="4">
        <v>0.25</v>
      </c>
      <c r="G652" s="4">
        <v>14.35</v>
      </c>
      <c r="H652" s="4">
        <v>16.100000000000001</v>
      </c>
      <c r="I652" s="4">
        <v>0</v>
      </c>
      <c r="J652" s="4" t="s">
        <v>14</v>
      </c>
      <c r="K652" s="4">
        <v>57310.84</v>
      </c>
      <c r="L652" s="4" t="s">
        <v>382</v>
      </c>
      <c r="M652" s="4" t="s">
        <v>141</v>
      </c>
    </row>
    <row r="653" spans="1:13" x14ac:dyDescent="0.2">
      <c r="A653" s="4">
        <v>172</v>
      </c>
      <c r="B653" s="4" t="s">
        <v>303</v>
      </c>
      <c r="C653" s="4">
        <v>338.1</v>
      </c>
      <c r="D653" s="4">
        <v>4</v>
      </c>
      <c r="E653" s="4">
        <v>70.7</v>
      </c>
      <c r="F653" s="4">
        <v>0.42</v>
      </c>
      <c r="G653" s="4">
        <v>32.53</v>
      </c>
      <c r="H653" s="4">
        <v>35.200000000000003</v>
      </c>
      <c r="I653" s="4">
        <v>68.900000000000006</v>
      </c>
      <c r="J653" s="4">
        <v>65.5</v>
      </c>
      <c r="K653" s="4">
        <v>81897.86</v>
      </c>
      <c r="L653" s="4" t="s">
        <v>382</v>
      </c>
      <c r="M653" s="4" t="s">
        <v>141</v>
      </c>
    </row>
    <row r="654" spans="1:13" x14ac:dyDescent="0.2">
      <c r="A654" s="4">
        <v>173</v>
      </c>
      <c r="B654" s="4" t="s">
        <v>304</v>
      </c>
      <c r="C654" s="4">
        <v>371.9</v>
      </c>
      <c r="D654" s="4">
        <v>4.22</v>
      </c>
      <c r="E654" s="4">
        <v>0</v>
      </c>
      <c r="F654" s="4">
        <v>0.39</v>
      </c>
      <c r="G654" s="4">
        <v>33.33</v>
      </c>
      <c r="H654" s="4">
        <v>34.299999999999997</v>
      </c>
      <c r="I654" s="4">
        <v>0</v>
      </c>
      <c r="J654" s="4" t="s">
        <v>14</v>
      </c>
      <c r="K654" s="4">
        <v>110851.24</v>
      </c>
      <c r="L654" s="4" t="s">
        <v>382</v>
      </c>
      <c r="M654" s="4" t="s">
        <v>141</v>
      </c>
    </row>
    <row r="655" spans="1:13" x14ac:dyDescent="0.2">
      <c r="A655" s="4">
        <v>174</v>
      </c>
      <c r="B655" s="4" t="s">
        <v>305</v>
      </c>
      <c r="C655" s="4">
        <v>351.2</v>
      </c>
      <c r="D655" s="4">
        <v>4.26</v>
      </c>
      <c r="E655" s="4">
        <v>0</v>
      </c>
      <c r="F655" s="4">
        <v>0.38</v>
      </c>
      <c r="G655" s="4">
        <v>29.65</v>
      </c>
      <c r="H655" s="4">
        <v>31.3</v>
      </c>
      <c r="I655" s="4">
        <v>0</v>
      </c>
      <c r="J655" s="4" t="s">
        <v>14</v>
      </c>
      <c r="K655" s="4">
        <v>105869.57</v>
      </c>
      <c r="L655" s="4" t="s">
        <v>381</v>
      </c>
      <c r="M655" s="4" t="s">
        <v>141</v>
      </c>
    </row>
    <row r="656" spans="1:13" x14ac:dyDescent="0.2">
      <c r="A656" s="4">
        <v>175</v>
      </c>
      <c r="B656" s="4" t="s">
        <v>306</v>
      </c>
      <c r="C656" s="4">
        <v>361</v>
      </c>
      <c r="D656" s="4">
        <v>4.22</v>
      </c>
      <c r="E656" s="4">
        <v>0</v>
      </c>
      <c r="F656" s="4">
        <v>0.38</v>
      </c>
      <c r="G656" s="4">
        <v>30.76</v>
      </c>
      <c r="H656" s="4">
        <v>32.1</v>
      </c>
      <c r="I656" s="4">
        <v>0</v>
      </c>
      <c r="J656" s="4" t="s">
        <v>14</v>
      </c>
      <c r="K656" s="4">
        <v>109655.07</v>
      </c>
      <c r="L656" s="4" t="s">
        <v>381</v>
      </c>
      <c r="M656" s="4" t="s">
        <v>141</v>
      </c>
    </row>
    <row r="657" spans="1:13" x14ac:dyDescent="0.2">
      <c r="A657" s="4">
        <v>176</v>
      </c>
      <c r="B657" s="4" t="s">
        <v>307</v>
      </c>
      <c r="C657" s="4">
        <v>49.8</v>
      </c>
      <c r="D657" s="4">
        <v>2.77</v>
      </c>
      <c r="E657" s="4">
        <v>77.900000000000006</v>
      </c>
      <c r="F657" s="4">
        <v>0.33</v>
      </c>
      <c r="G657" s="4">
        <v>5.83</v>
      </c>
      <c r="H657" s="4">
        <v>6</v>
      </c>
      <c r="I657" s="4">
        <v>63.6</v>
      </c>
      <c r="J657" s="4">
        <v>74.400000000000006</v>
      </c>
      <c r="K657" s="4">
        <v>19297.330000000002</v>
      </c>
      <c r="L657" s="4" t="s">
        <v>382</v>
      </c>
      <c r="M657" s="4" t="s">
        <v>141</v>
      </c>
    </row>
    <row r="658" spans="1:13" x14ac:dyDescent="0.2">
      <c r="A658" s="4">
        <v>177</v>
      </c>
      <c r="B658" s="4" t="s">
        <v>308</v>
      </c>
      <c r="C658" s="4">
        <v>1106</v>
      </c>
      <c r="D658" s="4">
        <v>2.4700000000000002</v>
      </c>
      <c r="E658" s="4">
        <v>87.1</v>
      </c>
      <c r="F658" s="4">
        <v>0.3</v>
      </c>
      <c r="G658" s="4">
        <v>162.43</v>
      </c>
      <c r="H658" s="4">
        <v>133.6</v>
      </c>
      <c r="I658" s="4">
        <v>79.900000000000006</v>
      </c>
      <c r="J658" s="4">
        <v>86.1</v>
      </c>
      <c r="K658" s="4">
        <v>106281.31</v>
      </c>
      <c r="L658" s="4" t="s">
        <v>382</v>
      </c>
      <c r="M658" s="4" t="s">
        <v>55</v>
      </c>
    </row>
    <row r="659" spans="1:13" x14ac:dyDescent="0.2">
      <c r="A659" s="4">
        <v>178</v>
      </c>
      <c r="B659" s="4" t="s">
        <v>309</v>
      </c>
      <c r="C659" s="4">
        <v>1340.8</v>
      </c>
      <c r="D659" s="4">
        <v>3.85</v>
      </c>
      <c r="E659" s="4">
        <v>82.2</v>
      </c>
      <c r="F659" s="4">
        <v>0.36</v>
      </c>
      <c r="G659" s="4">
        <v>116.25</v>
      </c>
      <c r="H659" s="4">
        <v>126.7</v>
      </c>
      <c r="I659" s="4">
        <v>74.900000000000006</v>
      </c>
      <c r="J659" s="4">
        <v>79.599999999999994</v>
      </c>
      <c r="K659" s="4">
        <v>420375.36</v>
      </c>
      <c r="L659" s="4" t="s">
        <v>382</v>
      </c>
      <c r="M659" s="4" t="s">
        <v>141</v>
      </c>
    </row>
    <row r="660" spans="1:13" x14ac:dyDescent="0.2">
      <c r="A660" s="4">
        <v>179</v>
      </c>
      <c r="B660" s="4" t="s">
        <v>310</v>
      </c>
      <c r="C660" s="4">
        <v>0</v>
      </c>
      <c r="D660" s="4">
        <v>0</v>
      </c>
      <c r="E660" s="4">
        <v>0</v>
      </c>
      <c r="F660" s="4">
        <v>0</v>
      </c>
      <c r="G660" s="4">
        <v>26.8</v>
      </c>
      <c r="H660" s="4">
        <v>0</v>
      </c>
      <c r="I660" s="4">
        <v>93.3</v>
      </c>
      <c r="J660" s="4">
        <v>63</v>
      </c>
      <c r="K660" s="4">
        <v>50651.65</v>
      </c>
      <c r="L660" s="4" t="s">
        <v>311</v>
      </c>
      <c r="M660" s="4" t="s">
        <v>91</v>
      </c>
    </row>
    <row r="661" spans="1:13" x14ac:dyDescent="0.2">
      <c r="A661" s="4">
        <v>180</v>
      </c>
      <c r="B661" s="4" t="s">
        <v>312</v>
      </c>
      <c r="C661" s="4">
        <v>315.7</v>
      </c>
      <c r="D661" s="4">
        <v>3.44</v>
      </c>
      <c r="E661" s="4">
        <v>89.1</v>
      </c>
      <c r="F661" s="4">
        <v>0.33</v>
      </c>
      <c r="G661" s="4">
        <v>20.86</v>
      </c>
      <c r="H661" s="4">
        <v>30</v>
      </c>
      <c r="I661" s="4">
        <v>92.3</v>
      </c>
      <c r="J661" s="4">
        <v>66.3</v>
      </c>
      <c r="K661" s="4">
        <v>28126.03</v>
      </c>
      <c r="L661" s="4" t="s">
        <v>381</v>
      </c>
      <c r="M661" s="4" t="s">
        <v>91</v>
      </c>
    </row>
    <row r="662" spans="1:13" x14ac:dyDescent="0.2">
      <c r="A662" s="4">
        <v>181</v>
      </c>
      <c r="B662" s="4" t="s">
        <v>313</v>
      </c>
      <c r="C662" s="4">
        <v>1777.9</v>
      </c>
      <c r="D662" s="4">
        <v>3.56</v>
      </c>
      <c r="E662" s="4">
        <v>73.599999999999994</v>
      </c>
      <c r="F662" s="4">
        <v>0.28000000000000003</v>
      </c>
      <c r="G662" s="4">
        <v>143.22999999999999</v>
      </c>
      <c r="H662" s="4">
        <v>137.9</v>
      </c>
      <c r="I662" s="4">
        <v>62.9</v>
      </c>
      <c r="J662" s="4">
        <v>72</v>
      </c>
      <c r="K662" s="4">
        <v>474197.82</v>
      </c>
      <c r="L662" s="4" t="s">
        <v>381</v>
      </c>
      <c r="M662" s="4" t="s">
        <v>141</v>
      </c>
    </row>
    <row r="663" spans="1:13" x14ac:dyDescent="0.2">
      <c r="A663" s="4">
        <v>182</v>
      </c>
      <c r="B663" s="4" t="s">
        <v>314</v>
      </c>
      <c r="C663" s="4">
        <v>1245.5999999999999</v>
      </c>
      <c r="D663" s="4">
        <v>3.23</v>
      </c>
      <c r="E663" s="4">
        <v>66.599999999999994</v>
      </c>
      <c r="F663" s="4">
        <v>0.31</v>
      </c>
      <c r="G663" s="4">
        <v>116.2</v>
      </c>
      <c r="H663" s="4">
        <v>117.5</v>
      </c>
      <c r="I663" s="4">
        <v>63.8</v>
      </c>
      <c r="J663" s="4">
        <v>68.099999999999994</v>
      </c>
      <c r="K663" s="4">
        <v>384100.76</v>
      </c>
      <c r="L663" s="4" t="s">
        <v>382</v>
      </c>
      <c r="M663" s="4" t="s">
        <v>141</v>
      </c>
    </row>
    <row r="664" spans="1:13" x14ac:dyDescent="0.2">
      <c r="A664" s="4">
        <v>183</v>
      </c>
      <c r="B664" s="4" t="s">
        <v>315</v>
      </c>
      <c r="C664" s="4">
        <v>805.7</v>
      </c>
      <c r="D664" s="4">
        <v>2.72</v>
      </c>
      <c r="E664" s="4">
        <v>0</v>
      </c>
      <c r="F664" s="4">
        <v>0.33</v>
      </c>
      <c r="G664" s="4">
        <v>94.79</v>
      </c>
      <c r="H664" s="4">
        <v>96.9</v>
      </c>
      <c r="I664" s="4">
        <v>0</v>
      </c>
      <c r="J664" s="4" t="s">
        <v>14</v>
      </c>
      <c r="K664" s="4">
        <v>277512.84999999998</v>
      </c>
      <c r="L664" s="4" t="s">
        <v>382</v>
      </c>
      <c r="M664" s="4" t="s">
        <v>55</v>
      </c>
    </row>
    <row r="665" spans="1:13" x14ac:dyDescent="0.2">
      <c r="A665" s="4">
        <v>184</v>
      </c>
      <c r="B665" s="4" t="s">
        <v>316</v>
      </c>
      <c r="C665" s="4">
        <v>96.3</v>
      </c>
      <c r="D665" s="4">
        <v>2.59</v>
      </c>
      <c r="E665" s="4">
        <v>81.2</v>
      </c>
      <c r="F665" s="4">
        <v>0.26</v>
      </c>
      <c r="G665" s="4">
        <v>10.85</v>
      </c>
      <c r="H665" s="4">
        <v>9.8000000000000007</v>
      </c>
      <c r="I665" s="4">
        <v>78.099999999999994</v>
      </c>
      <c r="J665" s="4">
        <v>76.5</v>
      </c>
      <c r="K665" s="4">
        <v>44253.93</v>
      </c>
      <c r="L665" s="4" t="s">
        <v>381</v>
      </c>
      <c r="M665" s="4" t="s">
        <v>16</v>
      </c>
    </row>
    <row r="666" spans="1:13" x14ac:dyDescent="0.2">
      <c r="A666" s="4">
        <v>185</v>
      </c>
      <c r="B666" s="4" t="s">
        <v>317</v>
      </c>
      <c r="C666" s="4">
        <v>239.1</v>
      </c>
      <c r="D666" s="4">
        <v>2.42</v>
      </c>
      <c r="E666" s="4">
        <v>0</v>
      </c>
      <c r="F666" s="4">
        <v>0.28000000000000003</v>
      </c>
      <c r="G666" s="4">
        <v>27.53</v>
      </c>
      <c r="H666" s="4">
        <v>27.4</v>
      </c>
      <c r="I666" s="4">
        <v>0</v>
      </c>
      <c r="J666" s="4" t="s">
        <v>14</v>
      </c>
      <c r="K666" s="4">
        <v>121697.03</v>
      </c>
      <c r="L666" s="4" t="s">
        <v>381</v>
      </c>
      <c r="M666" s="4" t="s">
        <v>318</v>
      </c>
    </row>
    <row r="667" spans="1:13" x14ac:dyDescent="0.2">
      <c r="A667" s="4">
        <v>186</v>
      </c>
      <c r="B667" s="4" t="s">
        <v>319</v>
      </c>
      <c r="C667" s="4">
        <v>182.5</v>
      </c>
      <c r="D667" s="4">
        <v>2.3199999999999998</v>
      </c>
      <c r="E667" s="4">
        <v>88.4</v>
      </c>
      <c r="F667" s="4">
        <v>0.31</v>
      </c>
      <c r="G667" s="4">
        <v>25.31</v>
      </c>
      <c r="H667" s="4">
        <v>24.2</v>
      </c>
      <c r="I667" s="4">
        <v>77</v>
      </c>
      <c r="J667" s="4">
        <v>81.3</v>
      </c>
      <c r="K667" s="4">
        <v>95565.89</v>
      </c>
      <c r="L667" s="4" t="s">
        <v>382</v>
      </c>
      <c r="M667" s="4" t="s">
        <v>318</v>
      </c>
    </row>
    <row r="668" spans="1:13" x14ac:dyDescent="0.2">
      <c r="A668" s="4">
        <v>187</v>
      </c>
      <c r="B668" s="4" t="s">
        <v>320</v>
      </c>
      <c r="C668" s="4">
        <v>184.8</v>
      </c>
      <c r="D668" s="4">
        <v>1.87</v>
      </c>
      <c r="E668" s="4">
        <v>86.9</v>
      </c>
      <c r="F668" s="4">
        <v>0.27</v>
      </c>
      <c r="G668" s="4">
        <v>37.869999999999997</v>
      </c>
      <c r="H668" s="4">
        <v>27.1</v>
      </c>
      <c r="I668" s="4">
        <v>78.7</v>
      </c>
      <c r="J668" s="4">
        <v>79.900000000000006</v>
      </c>
      <c r="K668" s="4">
        <v>124302.97</v>
      </c>
      <c r="L668" s="4" t="s">
        <v>382</v>
      </c>
      <c r="M668" s="4" t="s">
        <v>318</v>
      </c>
    </row>
    <row r="669" spans="1:13" x14ac:dyDescent="0.2">
      <c r="A669" s="4">
        <v>188</v>
      </c>
      <c r="B669" s="4" t="s">
        <v>321</v>
      </c>
      <c r="C669" s="4">
        <v>188</v>
      </c>
      <c r="D669" s="4">
        <v>1.9</v>
      </c>
      <c r="E669" s="4">
        <v>0</v>
      </c>
      <c r="F669" s="4">
        <v>0.28999999999999998</v>
      </c>
      <c r="G669" s="4">
        <v>38.86</v>
      </c>
      <c r="H669" s="4">
        <v>28.5</v>
      </c>
      <c r="I669" s="4">
        <v>0</v>
      </c>
      <c r="J669" s="4" t="s">
        <v>14</v>
      </c>
      <c r="K669" s="4">
        <v>125195.84</v>
      </c>
      <c r="L669" s="4" t="s">
        <v>382</v>
      </c>
      <c r="M669" s="4" t="s">
        <v>318</v>
      </c>
    </row>
    <row r="670" spans="1:13" x14ac:dyDescent="0.2">
      <c r="A670" s="4">
        <v>189</v>
      </c>
      <c r="B670" s="4" t="s">
        <v>322</v>
      </c>
      <c r="C670" s="4">
        <v>412.7</v>
      </c>
      <c r="D670" s="4">
        <v>4.01</v>
      </c>
      <c r="E670" s="4">
        <v>0</v>
      </c>
      <c r="F670" s="4">
        <v>0.26</v>
      </c>
      <c r="G670" s="4">
        <v>27.99</v>
      </c>
      <c r="H670" s="4">
        <v>26.8</v>
      </c>
      <c r="I670" s="4">
        <v>0</v>
      </c>
      <c r="J670" s="4" t="s">
        <v>14</v>
      </c>
      <c r="K670" s="4">
        <v>90811.68</v>
      </c>
      <c r="L670" s="4" t="s">
        <v>381</v>
      </c>
      <c r="M670" s="4" t="s">
        <v>141</v>
      </c>
    </row>
    <row r="671" spans="1:13" x14ac:dyDescent="0.2">
      <c r="A671" s="4">
        <v>190</v>
      </c>
      <c r="B671" s="4" t="s">
        <v>323</v>
      </c>
      <c r="C671" s="4">
        <v>270.10000000000002</v>
      </c>
      <c r="D671" s="4">
        <v>3.13</v>
      </c>
      <c r="E671" s="4">
        <v>0</v>
      </c>
      <c r="F671" s="4">
        <v>0.32</v>
      </c>
      <c r="G671" s="4">
        <v>27.68</v>
      </c>
      <c r="H671" s="4">
        <v>28</v>
      </c>
      <c r="I671" s="4">
        <v>0</v>
      </c>
      <c r="J671" s="4" t="s">
        <v>14</v>
      </c>
      <c r="K671" s="4">
        <v>111233.26</v>
      </c>
      <c r="L671" s="4" t="s">
        <v>381</v>
      </c>
      <c r="M671" s="4" t="s">
        <v>141</v>
      </c>
    </row>
    <row r="672" spans="1:13" x14ac:dyDescent="0.2">
      <c r="A672" s="4">
        <v>191</v>
      </c>
      <c r="B672" s="4" t="s">
        <v>324</v>
      </c>
      <c r="C672" s="4">
        <v>711.5</v>
      </c>
      <c r="D672" s="4">
        <v>3.24</v>
      </c>
      <c r="E672" s="4">
        <v>0</v>
      </c>
      <c r="F672" s="4">
        <v>0.36</v>
      </c>
      <c r="G672" s="4">
        <v>76.790000000000006</v>
      </c>
      <c r="H672" s="4">
        <v>79.7</v>
      </c>
      <c r="I672" s="4">
        <v>0</v>
      </c>
      <c r="J672" s="4" t="s">
        <v>14</v>
      </c>
      <c r="K672" s="4">
        <v>276788.34000000003</v>
      </c>
      <c r="L672" s="4" t="s">
        <v>382</v>
      </c>
      <c r="M672" s="4" t="s">
        <v>141</v>
      </c>
    </row>
    <row r="673" spans="1:13" x14ac:dyDescent="0.2">
      <c r="A673" s="4">
        <v>192</v>
      </c>
      <c r="B673" s="4" t="s">
        <v>325</v>
      </c>
      <c r="C673" s="4">
        <v>304.7</v>
      </c>
      <c r="D673" s="4">
        <v>3.15</v>
      </c>
      <c r="E673" s="4">
        <v>0</v>
      </c>
      <c r="F673" s="4">
        <v>0.31</v>
      </c>
      <c r="G673" s="4">
        <v>28.98</v>
      </c>
      <c r="H673" s="4">
        <v>29.9</v>
      </c>
      <c r="I673" s="4">
        <v>0</v>
      </c>
      <c r="J673" s="4" t="s">
        <v>14</v>
      </c>
      <c r="K673" s="4">
        <v>77564.460000000006</v>
      </c>
      <c r="L673" s="4" t="s">
        <v>382</v>
      </c>
      <c r="M673" s="4" t="s">
        <v>141</v>
      </c>
    </row>
    <row r="674" spans="1:13" x14ac:dyDescent="0.2">
      <c r="A674" s="4">
        <v>193</v>
      </c>
      <c r="B674" s="4" t="s">
        <v>326</v>
      </c>
      <c r="C674" s="4">
        <v>223.2</v>
      </c>
      <c r="D674" s="4">
        <v>2.48</v>
      </c>
      <c r="E674" s="4">
        <v>0</v>
      </c>
      <c r="F674" s="4">
        <v>0.32</v>
      </c>
      <c r="G674" s="4">
        <v>27.77</v>
      </c>
      <c r="H674" s="4">
        <v>28.4</v>
      </c>
      <c r="I674" s="4">
        <v>0</v>
      </c>
      <c r="J674" s="4" t="s">
        <v>14</v>
      </c>
      <c r="K674" s="4">
        <v>100686.81</v>
      </c>
      <c r="L674" s="4" t="s">
        <v>382</v>
      </c>
      <c r="M674" s="4" t="s">
        <v>141</v>
      </c>
    </row>
    <row r="675" spans="1:13" x14ac:dyDescent="0.2">
      <c r="A675" s="4">
        <v>194</v>
      </c>
      <c r="B675" s="4" t="s">
        <v>327</v>
      </c>
      <c r="C675" s="4">
        <v>952.6</v>
      </c>
      <c r="D675" s="4">
        <v>4.08</v>
      </c>
      <c r="E675" s="4">
        <v>0</v>
      </c>
      <c r="F675" s="4">
        <v>0.35</v>
      </c>
      <c r="G675" s="4">
        <v>79.010000000000005</v>
      </c>
      <c r="H675" s="4">
        <v>82.4</v>
      </c>
      <c r="I675" s="4">
        <v>0</v>
      </c>
      <c r="J675" s="4" t="s">
        <v>14</v>
      </c>
      <c r="K675" s="4">
        <v>204855.78</v>
      </c>
      <c r="L675" s="4" t="s">
        <v>382</v>
      </c>
      <c r="M675" s="4" t="s">
        <v>141</v>
      </c>
    </row>
    <row r="676" spans="1:13" x14ac:dyDescent="0.2">
      <c r="A676" s="4">
        <v>195</v>
      </c>
      <c r="B676" s="4" t="s">
        <v>328</v>
      </c>
      <c r="C676" s="4">
        <v>674.5</v>
      </c>
      <c r="D676" s="4">
        <v>4.16</v>
      </c>
      <c r="E676" s="4">
        <v>0</v>
      </c>
      <c r="F676" s="4">
        <v>0.34</v>
      </c>
      <c r="G676" s="4">
        <v>54.64</v>
      </c>
      <c r="H676" s="4">
        <v>54.7</v>
      </c>
      <c r="I676" s="4">
        <v>0</v>
      </c>
      <c r="J676" s="4" t="s">
        <v>14</v>
      </c>
      <c r="K676" s="4">
        <v>166120.42000000001</v>
      </c>
      <c r="L676" s="4" t="s">
        <v>381</v>
      </c>
      <c r="M676" s="4" t="s">
        <v>141</v>
      </c>
    </row>
    <row r="677" spans="1:13" x14ac:dyDescent="0.2">
      <c r="A677" s="4">
        <v>196</v>
      </c>
      <c r="B677" s="4" t="s">
        <v>329</v>
      </c>
      <c r="C677" s="4">
        <v>866.5</v>
      </c>
      <c r="D677" s="4">
        <v>3.98</v>
      </c>
      <c r="E677" s="4">
        <v>0</v>
      </c>
      <c r="F677" s="4">
        <v>0.36</v>
      </c>
      <c r="G677" s="4">
        <v>74.040000000000006</v>
      </c>
      <c r="H677" s="4">
        <v>77.900000000000006</v>
      </c>
      <c r="I677" s="4">
        <v>0</v>
      </c>
      <c r="J677" s="4" t="s">
        <v>14</v>
      </c>
      <c r="K677" s="4">
        <v>273420.48</v>
      </c>
      <c r="L677" s="4" t="s">
        <v>382</v>
      </c>
      <c r="M677" s="4" t="s">
        <v>141</v>
      </c>
    </row>
    <row r="678" spans="1:13" x14ac:dyDescent="0.2">
      <c r="A678" s="4">
        <v>197</v>
      </c>
      <c r="B678" s="4" t="s">
        <v>330</v>
      </c>
      <c r="C678" s="4">
        <v>983.4</v>
      </c>
      <c r="D678" s="4">
        <v>4.0199999999999996</v>
      </c>
      <c r="E678" s="4">
        <v>0</v>
      </c>
      <c r="F678" s="4">
        <v>0.36</v>
      </c>
      <c r="G678" s="4">
        <v>84.36</v>
      </c>
      <c r="H678" s="4">
        <v>88.7</v>
      </c>
      <c r="I678" s="4">
        <v>0</v>
      </c>
      <c r="J678" s="4" t="s">
        <v>14</v>
      </c>
      <c r="K678" s="4">
        <v>307972.21000000002</v>
      </c>
      <c r="L678" s="4" t="s">
        <v>382</v>
      </c>
      <c r="M678" s="4" t="s">
        <v>141</v>
      </c>
    </row>
    <row r="679" spans="1:13" x14ac:dyDescent="0.2">
      <c r="A679" s="4">
        <v>198</v>
      </c>
      <c r="B679" s="4" t="s">
        <v>331</v>
      </c>
      <c r="C679" s="4">
        <v>776.7</v>
      </c>
      <c r="D679" s="4">
        <v>3.2</v>
      </c>
      <c r="E679" s="4">
        <v>81.900000000000006</v>
      </c>
      <c r="F679" s="4">
        <v>0.37</v>
      </c>
      <c r="G679" s="4">
        <v>84.98</v>
      </c>
      <c r="H679" s="4">
        <v>88.6</v>
      </c>
      <c r="I679" s="4">
        <v>73.900000000000006</v>
      </c>
      <c r="J679" s="4">
        <v>77</v>
      </c>
      <c r="K679" s="4">
        <v>338013.48</v>
      </c>
      <c r="L679" s="4" t="s">
        <v>382</v>
      </c>
      <c r="M679" s="4" t="s">
        <v>141</v>
      </c>
    </row>
    <row r="680" spans="1:13" x14ac:dyDescent="0.2">
      <c r="A680" s="4">
        <v>199</v>
      </c>
      <c r="B680" s="4" t="s">
        <v>332</v>
      </c>
      <c r="C680" s="4">
        <v>398.6</v>
      </c>
      <c r="D680" s="4">
        <v>3.16</v>
      </c>
      <c r="E680" s="4">
        <v>0</v>
      </c>
      <c r="F680" s="4">
        <v>0.34</v>
      </c>
      <c r="G680" s="4">
        <v>43.13</v>
      </c>
      <c r="H680" s="4">
        <v>42.3</v>
      </c>
      <c r="I680" s="4">
        <v>0</v>
      </c>
      <c r="J680" s="4" t="s">
        <v>14</v>
      </c>
      <c r="K680" s="4">
        <v>138276.03</v>
      </c>
      <c r="L680" s="4" t="s">
        <v>381</v>
      </c>
      <c r="M680" s="4" t="s">
        <v>141</v>
      </c>
    </row>
    <row r="681" spans="1:13" x14ac:dyDescent="0.2">
      <c r="A681" s="4">
        <v>200</v>
      </c>
      <c r="B681" s="4" t="s">
        <v>333</v>
      </c>
      <c r="C681" s="4">
        <v>497.8</v>
      </c>
      <c r="D681" s="4">
        <v>3.19</v>
      </c>
      <c r="E681" s="4">
        <v>0</v>
      </c>
      <c r="F681" s="4">
        <v>0.34</v>
      </c>
      <c r="G681" s="4">
        <v>53.62</v>
      </c>
      <c r="H681" s="4">
        <v>53.6</v>
      </c>
      <c r="I681" s="4">
        <v>0</v>
      </c>
      <c r="J681" s="4" t="s">
        <v>14</v>
      </c>
      <c r="K681" s="4">
        <v>217473.49</v>
      </c>
      <c r="L681" s="4" t="s">
        <v>381</v>
      </c>
      <c r="M681" s="4" t="s">
        <v>141</v>
      </c>
    </row>
    <row r="682" spans="1:13" x14ac:dyDescent="0.2">
      <c r="A682" s="4">
        <v>208</v>
      </c>
      <c r="B682" s="4" t="s">
        <v>334</v>
      </c>
      <c r="C682" s="4">
        <v>553.70000000000005</v>
      </c>
      <c r="D682" s="4">
        <v>3.2</v>
      </c>
      <c r="E682" s="4">
        <v>82.2</v>
      </c>
      <c r="F682" s="4">
        <v>0.36</v>
      </c>
      <c r="G682" s="4">
        <v>59.74</v>
      </c>
      <c r="H682" s="4">
        <v>62.8</v>
      </c>
      <c r="I682" s="4">
        <v>73.400000000000006</v>
      </c>
      <c r="J682" s="4">
        <v>77.900000000000006</v>
      </c>
      <c r="K682" s="4">
        <v>235461.8</v>
      </c>
      <c r="L682" s="4" t="s">
        <v>382</v>
      </c>
      <c r="M682" s="4" t="s">
        <v>141</v>
      </c>
    </row>
    <row r="683" spans="1:13" x14ac:dyDescent="0.2">
      <c r="A683" s="4">
        <v>209</v>
      </c>
      <c r="B683" s="4" t="s">
        <v>335</v>
      </c>
      <c r="C683" s="4">
        <v>849.4</v>
      </c>
      <c r="D683" s="4">
        <v>3.16</v>
      </c>
      <c r="E683" s="4">
        <v>79.900000000000006</v>
      </c>
      <c r="F683" s="4">
        <v>0.33</v>
      </c>
      <c r="G683" s="4">
        <v>87.62</v>
      </c>
      <c r="H683" s="4">
        <v>89.2</v>
      </c>
      <c r="I683" s="4">
        <v>72.8</v>
      </c>
      <c r="J683" s="4">
        <v>75.099999999999994</v>
      </c>
      <c r="K683" s="4">
        <v>358075.73</v>
      </c>
      <c r="L683" s="4" t="s">
        <v>381</v>
      </c>
      <c r="M683" s="4" t="s">
        <v>141</v>
      </c>
    </row>
    <row r="684" spans="1:13" x14ac:dyDescent="0.2">
      <c r="A684" s="4">
        <v>210</v>
      </c>
      <c r="B684" s="4" t="s">
        <v>336</v>
      </c>
      <c r="C684" s="4">
        <v>981.6</v>
      </c>
      <c r="D684" s="4">
        <v>3.26</v>
      </c>
      <c r="E684" s="4">
        <v>0</v>
      </c>
      <c r="F684" s="4">
        <v>0.33</v>
      </c>
      <c r="G684" s="4">
        <v>95.85</v>
      </c>
      <c r="H684" s="4">
        <v>100.9</v>
      </c>
      <c r="I684" s="4">
        <v>0</v>
      </c>
      <c r="J684" s="4" t="s">
        <v>14</v>
      </c>
      <c r="K684" s="4">
        <v>412316.12</v>
      </c>
      <c r="L684" s="4" t="s">
        <v>381</v>
      </c>
      <c r="M684" s="4" t="s">
        <v>141</v>
      </c>
    </row>
    <row r="685" spans="1:13" x14ac:dyDescent="0.2">
      <c r="A685" s="4">
        <v>211</v>
      </c>
      <c r="B685" s="4" t="s">
        <v>337</v>
      </c>
      <c r="C685" s="4">
        <v>400.9</v>
      </c>
      <c r="D685" s="4">
        <v>3.28</v>
      </c>
      <c r="E685" s="4">
        <v>0</v>
      </c>
      <c r="F685" s="4">
        <v>0.36</v>
      </c>
      <c r="G685" s="4">
        <v>42.56</v>
      </c>
      <c r="H685" s="4">
        <v>44.2</v>
      </c>
      <c r="I685" s="4">
        <v>0</v>
      </c>
      <c r="J685" s="4" t="s">
        <v>14</v>
      </c>
      <c r="K685" s="4">
        <v>138329.98000000001</v>
      </c>
      <c r="L685" s="4" t="s">
        <v>382</v>
      </c>
      <c r="M685" s="4" t="s">
        <v>141</v>
      </c>
    </row>
    <row r="686" spans="1:13" x14ac:dyDescent="0.2">
      <c r="A686" s="4">
        <v>212</v>
      </c>
      <c r="B686" s="4" t="s">
        <v>338</v>
      </c>
      <c r="C686" s="4">
        <v>244.3</v>
      </c>
      <c r="D686" s="4">
        <v>2.63</v>
      </c>
      <c r="E686" s="4">
        <v>100</v>
      </c>
      <c r="F686" s="4">
        <v>0.31</v>
      </c>
      <c r="G686" s="4">
        <v>29.1</v>
      </c>
      <c r="H686" s="4">
        <v>29.1</v>
      </c>
      <c r="I686" s="4">
        <v>100</v>
      </c>
      <c r="J686" s="4">
        <v>93.3</v>
      </c>
      <c r="K686" s="4">
        <v>63792.24</v>
      </c>
      <c r="L686" s="4" t="s">
        <v>382</v>
      </c>
      <c r="M686" s="4" t="s">
        <v>16</v>
      </c>
    </row>
    <row r="687" spans="1:13" x14ac:dyDescent="0.2">
      <c r="A687" s="4">
        <v>213</v>
      </c>
      <c r="B687" s="4" t="s">
        <v>339</v>
      </c>
      <c r="C687" s="4">
        <v>255</v>
      </c>
      <c r="D687" s="4">
        <v>2.62</v>
      </c>
      <c r="E687" s="4">
        <v>89.4</v>
      </c>
      <c r="F687" s="4">
        <v>0.3</v>
      </c>
      <c r="G687" s="4">
        <v>32.01</v>
      </c>
      <c r="H687" s="4">
        <v>28.7</v>
      </c>
      <c r="I687" s="4">
        <v>85.7</v>
      </c>
      <c r="J687" s="4">
        <v>84</v>
      </c>
      <c r="K687" s="4">
        <v>60935.14</v>
      </c>
      <c r="L687" s="4" t="s">
        <v>382</v>
      </c>
      <c r="M687" s="4" t="s">
        <v>16</v>
      </c>
    </row>
    <row r="688" spans="1:13" x14ac:dyDescent="0.2">
      <c r="A688" s="4">
        <v>214</v>
      </c>
      <c r="B688" s="4" t="s">
        <v>340</v>
      </c>
      <c r="C688" s="4">
        <v>259.39999999999998</v>
      </c>
      <c r="D688" s="4">
        <v>2.67</v>
      </c>
      <c r="E688" s="4">
        <v>88.6</v>
      </c>
      <c r="F688" s="4">
        <v>0.31</v>
      </c>
      <c r="G688" s="4">
        <v>34.26</v>
      </c>
      <c r="H688" s="4">
        <v>29.8</v>
      </c>
      <c r="I688" s="4">
        <v>91.2</v>
      </c>
      <c r="J688" s="4">
        <v>81.900000000000006</v>
      </c>
      <c r="K688" s="4">
        <v>63714.97</v>
      </c>
      <c r="L688" s="4" t="s">
        <v>381</v>
      </c>
      <c r="M688" s="4" t="s">
        <v>16</v>
      </c>
    </row>
    <row r="689" spans="1:13" x14ac:dyDescent="0.2">
      <c r="A689" s="4">
        <v>215</v>
      </c>
      <c r="B689" s="4" t="s">
        <v>341</v>
      </c>
      <c r="C689" s="4">
        <v>262.5</v>
      </c>
      <c r="D689" s="4">
        <v>2.7</v>
      </c>
      <c r="E689" s="4">
        <v>100</v>
      </c>
      <c r="F689" s="4">
        <v>0.28000000000000003</v>
      </c>
      <c r="G689" s="4">
        <v>30.93</v>
      </c>
      <c r="H689" s="4">
        <v>27.2</v>
      </c>
      <c r="I689" s="4">
        <v>100</v>
      </c>
      <c r="J689" s="4">
        <v>92.9</v>
      </c>
      <c r="K689" s="4">
        <v>48132.2</v>
      </c>
      <c r="L689" s="4" t="s">
        <v>381</v>
      </c>
      <c r="M689" s="4" t="s">
        <v>16</v>
      </c>
    </row>
    <row r="690" spans="1:13" x14ac:dyDescent="0.2">
      <c r="A690" s="4">
        <v>216</v>
      </c>
      <c r="B690" s="4" t="s">
        <v>342</v>
      </c>
      <c r="C690" s="4">
        <v>260.89999999999998</v>
      </c>
      <c r="D690" s="4">
        <v>2.68</v>
      </c>
      <c r="E690" s="4">
        <v>100</v>
      </c>
      <c r="F690" s="4">
        <v>0.28000000000000003</v>
      </c>
      <c r="G690" s="4">
        <v>30.71</v>
      </c>
      <c r="H690" s="4">
        <v>27.2</v>
      </c>
      <c r="I690" s="4">
        <v>100</v>
      </c>
      <c r="J690" s="4">
        <v>89.6</v>
      </c>
      <c r="K690" s="4">
        <v>58877.2</v>
      </c>
      <c r="L690" s="4" t="s">
        <v>381</v>
      </c>
      <c r="M690" s="4" t="s">
        <v>16</v>
      </c>
    </row>
    <row r="691" spans="1:13" x14ac:dyDescent="0.2">
      <c r="A691" s="4">
        <v>217</v>
      </c>
      <c r="B691" s="4" t="s">
        <v>343</v>
      </c>
      <c r="C691" s="4">
        <v>293</v>
      </c>
      <c r="D691" s="4">
        <v>3.62</v>
      </c>
      <c r="E691" s="4">
        <v>84</v>
      </c>
      <c r="F691" s="4">
        <v>0.37</v>
      </c>
      <c r="G691" s="4">
        <v>29.33</v>
      </c>
      <c r="H691" s="4">
        <v>30</v>
      </c>
      <c r="I691" s="4">
        <v>74.400000000000006</v>
      </c>
      <c r="J691" s="4">
        <v>81.400000000000006</v>
      </c>
      <c r="K691" s="4">
        <v>64749.14</v>
      </c>
      <c r="L691" s="4" t="s">
        <v>382</v>
      </c>
      <c r="M691" s="4" t="s">
        <v>16</v>
      </c>
    </row>
    <row r="692" spans="1:13" x14ac:dyDescent="0.2">
      <c r="A692" s="4">
        <v>218</v>
      </c>
      <c r="B692" s="4" t="s">
        <v>344</v>
      </c>
      <c r="C692" s="4">
        <v>363.5</v>
      </c>
      <c r="D692" s="4">
        <v>3.61</v>
      </c>
      <c r="E692" s="4">
        <v>83.8</v>
      </c>
      <c r="F692" s="4">
        <v>0.36</v>
      </c>
      <c r="G692" s="4">
        <v>35.229999999999997</v>
      </c>
      <c r="H692" s="4">
        <v>36.200000000000003</v>
      </c>
      <c r="I692" s="4">
        <v>77.400000000000006</v>
      </c>
      <c r="J692" s="4">
        <v>80.7</v>
      </c>
      <c r="K692" s="4">
        <v>79145.97</v>
      </c>
      <c r="L692" s="4" t="s">
        <v>382</v>
      </c>
      <c r="M692" s="4" t="s">
        <v>16</v>
      </c>
    </row>
    <row r="693" spans="1:13" x14ac:dyDescent="0.2">
      <c r="A693" s="4">
        <v>219</v>
      </c>
      <c r="B693" s="4" t="s">
        <v>345</v>
      </c>
      <c r="C693" s="4">
        <v>242.9</v>
      </c>
      <c r="D693" s="4">
        <v>2.6</v>
      </c>
      <c r="E693" s="4">
        <v>90</v>
      </c>
      <c r="F693" s="4">
        <v>0.24</v>
      </c>
      <c r="G693" s="4">
        <v>33.51</v>
      </c>
      <c r="H693" s="4">
        <v>22</v>
      </c>
      <c r="I693" s="4">
        <v>77.900000000000006</v>
      </c>
      <c r="J693" s="4">
        <v>80.2</v>
      </c>
      <c r="K693" s="4">
        <v>46339.99</v>
      </c>
      <c r="L693" s="4" t="s">
        <v>384</v>
      </c>
      <c r="M693" s="4" t="s">
        <v>16</v>
      </c>
    </row>
    <row r="694" spans="1:13" x14ac:dyDescent="0.2">
      <c r="A694" s="4">
        <v>220</v>
      </c>
      <c r="B694" s="4" t="s">
        <v>346</v>
      </c>
      <c r="C694" s="4">
        <v>276.2</v>
      </c>
      <c r="D694" s="4">
        <v>2.8</v>
      </c>
      <c r="E694" s="4">
        <v>90.1</v>
      </c>
      <c r="F694" s="4">
        <v>0.32</v>
      </c>
      <c r="G694" s="4">
        <v>33.520000000000003</v>
      </c>
      <c r="H694" s="4">
        <v>31.5</v>
      </c>
      <c r="I694" s="4">
        <v>93.4</v>
      </c>
      <c r="J694" s="4">
        <v>85.1</v>
      </c>
      <c r="K694" s="4">
        <v>63382.29</v>
      </c>
      <c r="L694" s="4" t="s">
        <v>381</v>
      </c>
      <c r="M694" s="4" t="s">
        <v>16</v>
      </c>
    </row>
    <row r="695" spans="1:13" x14ac:dyDescent="0.2">
      <c r="A695" s="4">
        <v>221</v>
      </c>
      <c r="B695" s="4" t="s">
        <v>347</v>
      </c>
      <c r="C695" s="4">
        <v>278.60000000000002</v>
      </c>
      <c r="D695" s="4">
        <v>2.82</v>
      </c>
      <c r="E695" s="4">
        <v>89.7</v>
      </c>
      <c r="F695" s="4">
        <v>0.32</v>
      </c>
      <c r="G695" s="4">
        <v>33.46</v>
      </c>
      <c r="H695" s="4">
        <v>31.2</v>
      </c>
      <c r="I695" s="4">
        <v>89.5</v>
      </c>
      <c r="J695" s="4">
        <v>84.6</v>
      </c>
      <c r="K695" s="4">
        <v>65608.929999999993</v>
      </c>
      <c r="L695" s="4" t="s">
        <v>381</v>
      </c>
      <c r="M695" s="4" t="s">
        <v>16</v>
      </c>
    </row>
    <row r="696" spans="1:13" x14ac:dyDescent="0.2">
      <c r="A696" s="4">
        <v>222</v>
      </c>
      <c r="B696" s="4" t="s">
        <v>349</v>
      </c>
      <c r="C696" s="4">
        <v>278.39999999999998</v>
      </c>
      <c r="D696" s="4">
        <v>2.82</v>
      </c>
      <c r="E696" s="4">
        <v>96.8</v>
      </c>
      <c r="F696" s="4">
        <v>0.34</v>
      </c>
      <c r="G696" s="4">
        <v>22.57</v>
      </c>
      <c r="H696" s="4">
        <v>33.1</v>
      </c>
      <c r="I696" s="4">
        <v>100</v>
      </c>
      <c r="J696" s="4">
        <v>85.6</v>
      </c>
      <c r="K696" s="4">
        <v>65206.11</v>
      </c>
      <c r="L696" s="4" t="s">
        <v>382</v>
      </c>
      <c r="M696" s="4" t="s">
        <v>16</v>
      </c>
    </row>
    <row r="697" spans="1:13" x14ac:dyDescent="0.2">
      <c r="A697" s="4">
        <v>223</v>
      </c>
      <c r="B697" s="4" t="s">
        <v>350</v>
      </c>
      <c r="C697" s="4">
        <v>267</v>
      </c>
      <c r="D697" s="4">
        <v>2.7</v>
      </c>
      <c r="E697" s="4">
        <v>95.9</v>
      </c>
      <c r="F697" s="4">
        <v>0.36</v>
      </c>
      <c r="G697" s="4">
        <v>44.14</v>
      </c>
      <c r="H697" s="4">
        <v>35.799999999999997</v>
      </c>
      <c r="I697" s="4">
        <v>88.1</v>
      </c>
      <c r="J697" s="4">
        <v>88.8</v>
      </c>
      <c r="K697" s="4">
        <v>57595.08</v>
      </c>
      <c r="L697" s="4" t="s">
        <v>382</v>
      </c>
      <c r="M697" s="4" t="s">
        <v>16</v>
      </c>
    </row>
    <row r="698" spans="1:13" x14ac:dyDescent="0.2">
      <c r="A698" s="4">
        <v>224</v>
      </c>
      <c r="B698" s="4" t="s">
        <v>351</v>
      </c>
      <c r="C698" s="4">
        <v>292</v>
      </c>
      <c r="D698" s="4">
        <v>3.04</v>
      </c>
      <c r="E698" s="4">
        <v>88.9</v>
      </c>
      <c r="F698" s="4">
        <v>0.35</v>
      </c>
      <c r="G698" s="4">
        <v>33.979999999999997</v>
      </c>
      <c r="H698" s="4">
        <v>33.799999999999997</v>
      </c>
      <c r="I698" s="4">
        <v>86.9</v>
      </c>
      <c r="J698" s="4">
        <v>83.2</v>
      </c>
      <c r="K698" s="4">
        <v>61988.93</v>
      </c>
      <c r="L698" s="4" t="s">
        <v>382</v>
      </c>
      <c r="M698" s="4" t="s">
        <v>16</v>
      </c>
    </row>
    <row r="699" spans="1:13" x14ac:dyDescent="0.2">
      <c r="A699" s="4">
        <v>225</v>
      </c>
      <c r="B699" s="4" t="s">
        <v>352</v>
      </c>
      <c r="C699" s="4">
        <v>274.39999999999998</v>
      </c>
      <c r="D699" s="4">
        <v>3.05</v>
      </c>
      <c r="E699" s="4">
        <v>89.3</v>
      </c>
      <c r="F699" s="4">
        <v>0.3</v>
      </c>
      <c r="G699" s="4">
        <v>25.06</v>
      </c>
      <c r="H699" s="4">
        <v>27.4</v>
      </c>
      <c r="I699" s="4">
        <v>88.2</v>
      </c>
      <c r="J699" s="4">
        <v>83.7</v>
      </c>
      <c r="K699" s="4">
        <v>57779.360000000001</v>
      </c>
      <c r="L699" s="4" t="s">
        <v>385</v>
      </c>
      <c r="M699" s="4" t="s">
        <v>16</v>
      </c>
    </row>
    <row r="700" spans="1:13" x14ac:dyDescent="0.2">
      <c r="A700" s="4">
        <v>226</v>
      </c>
      <c r="B700" s="4" t="s">
        <v>353</v>
      </c>
      <c r="C700" s="4">
        <v>230.2</v>
      </c>
      <c r="D700" s="4">
        <v>2.56</v>
      </c>
      <c r="E700" s="4">
        <v>100</v>
      </c>
      <c r="F700" s="4">
        <v>0.16</v>
      </c>
      <c r="G700" s="4">
        <v>21.07</v>
      </c>
      <c r="H700" s="4">
        <v>14.6</v>
      </c>
      <c r="I700" s="4">
        <v>100</v>
      </c>
      <c r="J700" s="4">
        <v>90.5</v>
      </c>
      <c r="K700" s="4">
        <v>52945.97</v>
      </c>
      <c r="L700" s="4" t="s">
        <v>385</v>
      </c>
      <c r="M700" s="4" t="s">
        <v>16</v>
      </c>
    </row>
    <row r="701" spans="1:13" x14ac:dyDescent="0.2">
      <c r="A701" s="4">
        <v>227</v>
      </c>
      <c r="B701" s="4" t="s">
        <v>354</v>
      </c>
      <c r="C701" s="4">
        <v>234</v>
      </c>
      <c r="D701" s="4">
        <v>2.44</v>
      </c>
      <c r="E701" s="4">
        <v>100</v>
      </c>
      <c r="F701" s="4">
        <v>0.16</v>
      </c>
      <c r="G701" s="4">
        <v>14.31</v>
      </c>
      <c r="H701" s="4">
        <v>15.1</v>
      </c>
      <c r="I701" s="4">
        <v>100</v>
      </c>
      <c r="J701" s="4">
        <v>92.4</v>
      </c>
      <c r="K701" s="4">
        <v>37773.410000000003</v>
      </c>
      <c r="L701" s="4" t="s">
        <v>381</v>
      </c>
      <c r="M701" s="4" t="s">
        <v>16</v>
      </c>
    </row>
    <row r="702" spans="1:13" x14ac:dyDescent="0.2">
      <c r="A702" s="4">
        <v>228</v>
      </c>
      <c r="B702" s="4" t="s">
        <v>355</v>
      </c>
      <c r="C702" s="4">
        <v>276.3</v>
      </c>
      <c r="D702" s="4">
        <v>3.07</v>
      </c>
      <c r="E702" s="4">
        <v>88.2</v>
      </c>
      <c r="F702" s="4">
        <v>0.33</v>
      </c>
      <c r="G702" s="4">
        <v>27.97</v>
      </c>
      <c r="H702" s="4">
        <v>29.4</v>
      </c>
      <c r="I702" s="4">
        <v>88.2</v>
      </c>
      <c r="J702" s="4">
        <v>82.6</v>
      </c>
      <c r="K702" s="4">
        <v>55471.91</v>
      </c>
      <c r="L702" s="4" t="s">
        <v>381</v>
      </c>
      <c r="M702" s="4" t="s">
        <v>16</v>
      </c>
    </row>
    <row r="703" spans="1:13" x14ac:dyDescent="0.2">
      <c r="A703" s="4">
        <v>229</v>
      </c>
      <c r="B703" s="4" t="s">
        <v>356</v>
      </c>
      <c r="C703" s="4">
        <v>294.2</v>
      </c>
      <c r="D703" s="4">
        <v>3.06</v>
      </c>
      <c r="E703" s="4">
        <v>91.6</v>
      </c>
      <c r="F703" s="4">
        <v>0.33</v>
      </c>
      <c r="G703" s="4">
        <v>29.17</v>
      </c>
      <c r="H703" s="4">
        <v>31.4</v>
      </c>
      <c r="I703" s="4">
        <v>88.6</v>
      </c>
      <c r="J703" s="4">
        <v>85.8</v>
      </c>
      <c r="K703" s="4">
        <v>59296.05</v>
      </c>
      <c r="L703" s="4" t="s">
        <v>381</v>
      </c>
      <c r="M703" s="4" t="s">
        <v>16</v>
      </c>
    </row>
    <row r="704" spans="1:13" x14ac:dyDescent="0.2">
      <c r="A704" s="4">
        <v>230</v>
      </c>
      <c r="B704" s="4" t="s">
        <v>357</v>
      </c>
      <c r="C704" s="4">
        <v>266.60000000000002</v>
      </c>
      <c r="D704" s="4">
        <v>2.74</v>
      </c>
      <c r="E704" s="4">
        <v>86.9</v>
      </c>
      <c r="F704" s="4">
        <v>0.33</v>
      </c>
      <c r="G704" s="4">
        <v>35.01</v>
      </c>
      <c r="H704" s="4">
        <v>32.299999999999997</v>
      </c>
      <c r="I704" s="4">
        <v>83.5</v>
      </c>
      <c r="J704" s="4">
        <v>81.599999999999994</v>
      </c>
      <c r="K704" s="4">
        <v>59575.68</v>
      </c>
      <c r="L704" s="4" t="s">
        <v>381</v>
      </c>
      <c r="M704" s="4" t="s">
        <v>16</v>
      </c>
    </row>
    <row r="705" spans="1:13" x14ac:dyDescent="0.2">
      <c r="A705" s="4">
        <v>231</v>
      </c>
      <c r="B705" s="4" t="s">
        <v>358</v>
      </c>
      <c r="C705" s="4">
        <v>247.6</v>
      </c>
      <c r="D705" s="4">
        <v>2.95</v>
      </c>
      <c r="E705" s="4">
        <v>100</v>
      </c>
      <c r="F705" s="4">
        <v>0.24</v>
      </c>
      <c r="G705" s="4">
        <v>36.130000000000003</v>
      </c>
      <c r="H705" s="4">
        <v>19.899999999999999</v>
      </c>
      <c r="I705" s="4">
        <v>100</v>
      </c>
      <c r="J705" s="4">
        <v>93.1</v>
      </c>
      <c r="K705" s="4">
        <v>49721.94</v>
      </c>
      <c r="L705" s="4" t="s">
        <v>385</v>
      </c>
      <c r="M705" s="4" t="s">
        <v>16</v>
      </c>
    </row>
    <row r="706" spans="1:13" x14ac:dyDescent="0.2">
      <c r="A706" s="4">
        <v>232</v>
      </c>
      <c r="B706" s="4" t="s">
        <v>359</v>
      </c>
      <c r="C706" s="4">
        <v>267.39999999999998</v>
      </c>
      <c r="D706" s="4">
        <v>2.75</v>
      </c>
      <c r="E706" s="4">
        <v>78.900000000000006</v>
      </c>
      <c r="F706" s="4">
        <v>0.31</v>
      </c>
      <c r="G706" s="4">
        <v>33.520000000000003</v>
      </c>
      <c r="H706" s="4">
        <v>30.4</v>
      </c>
      <c r="I706" s="4">
        <v>56.7</v>
      </c>
      <c r="J706" s="4">
        <v>59</v>
      </c>
      <c r="K706" s="4">
        <v>32865.949999999997</v>
      </c>
      <c r="L706" s="4" t="s">
        <v>381</v>
      </c>
      <c r="M706" s="4" t="s">
        <v>16</v>
      </c>
    </row>
    <row r="707" spans="1:13" x14ac:dyDescent="0.2">
      <c r="A707" s="4">
        <v>233</v>
      </c>
      <c r="B707" s="4" t="s">
        <v>360</v>
      </c>
      <c r="C707" s="4">
        <v>601.5</v>
      </c>
      <c r="D707" s="4">
        <v>2.75</v>
      </c>
      <c r="E707" s="4">
        <v>85.9</v>
      </c>
      <c r="F707" s="4">
        <v>0.32</v>
      </c>
      <c r="G707" s="4">
        <v>69.61</v>
      </c>
      <c r="H707" s="4">
        <v>69.3</v>
      </c>
      <c r="I707" s="4">
        <v>80.599999999999994</v>
      </c>
      <c r="J707" s="4">
        <v>77.099999999999994</v>
      </c>
      <c r="K707" s="4">
        <v>108747.28</v>
      </c>
      <c r="L707" s="4" t="s">
        <v>381</v>
      </c>
      <c r="M707" s="4" t="s">
        <v>16</v>
      </c>
    </row>
    <row r="708" spans="1:13" x14ac:dyDescent="0.2">
      <c r="A708" s="4">
        <v>234</v>
      </c>
      <c r="B708" s="4" t="s">
        <v>361</v>
      </c>
      <c r="C708" s="4">
        <v>278</v>
      </c>
      <c r="D708" s="4">
        <v>1.08</v>
      </c>
      <c r="E708" s="4">
        <v>92.2</v>
      </c>
      <c r="F708" s="4">
        <v>0.31</v>
      </c>
      <c r="G708" s="4">
        <v>109.66</v>
      </c>
      <c r="H708" s="4">
        <v>80.8</v>
      </c>
      <c r="I708" s="4">
        <v>78.2</v>
      </c>
      <c r="J708" s="4">
        <v>75.3</v>
      </c>
      <c r="K708" s="4">
        <v>182363.8</v>
      </c>
      <c r="L708" s="4" t="s">
        <v>381</v>
      </c>
      <c r="M708" s="4" t="s">
        <v>208</v>
      </c>
    </row>
    <row r="709" spans="1:13" x14ac:dyDescent="0.2">
      <c r="A709" s="4">
        <v>235</v>
      </c>
      <c r="B709" s="4" t="s">
        <v>362</v>
      </c>
      <c r="C709" s="4">
        <v>1685</v>
      </c>
      <c r="D709" s="4">
        <v>3.39</v>
      </c>
      <c r="E709" s="4">
        <v>90.8</v>
      </c>
      <c r="F709" s="4">
        <v>0.28999999999999998</v>
      </c>
      <c r="G709" s="4">
        <v>151.22999999999999</v>
      </c>
      <c r="H709" s="4">
        <v>144.1</v>
      </c>
      <c r="I709" s="4">
        <v>100</v>
      </c>
      <c r="J709" s="4">
        <v>85.2</v>
      </c>
      <c r="K709" s="4">
        <v>226982.96</v>
      </c>
      <c r="L709" s="4" t="s">
        <v>381</v>
      </c>
      <c r="M709" s="4" t="s">
        <v>188</v>
      </c>
    </row>
    <row r="710" spans="1:13" x14ac:dyDescent="0.2">
      <c r="A710" s="4">
        <v>236</v>
      </c>
      <c r="B710" s="4" t="s">
        <v>363</v>
      </c>
      <c r="C710" s="4">
        <v>440.2</v>
      </c>
      <c r="D710" s="4">
        <v>3.33</v>
      </c>
      <c r="E710" s="4">
        <v>89.2</v>
      </c>
      <c r="F710" s="4">
        <v>0.28000000000000003</v>
      </c>
      <c r="G710" s="4">
        <v>39.17</v>
      </c>
      <c r="H710" s="4">
        <v>37.1</v>
      </c>
      <c r="I710" s="4">
        <v>100</v>
      </c>
      <c r="J710" s="4">
        <v>84.9</v>
      </c>
      <c r="K710" s="4">
        <v>60299.67</v>
      </c>
      <c r="L710" s="4" t="s">
        <v>381</v>
      </c>
      <c r="M710" s="4" t="s">
        <v>188</v>
      </c>
    </row>
    <row r="711" spans="1:13" x14ac:dyDescent="0.2">
      <c r="A711" s="4">
        <v>237</v>
      </c>
      <c r="B711" s="4" t="s">
        <v>364</v>
      </c>
      <c r="C711" s="4">
        <v>523.29999999999995</v>
      </c>
      <c r="D711" s="4">
        <v>3.47</v>
      </c>
      <c r="E711" s="4">
        <v>82.2</v>
      </c>
      <c r="F711" s="4">
        <v>0.34</v>
      </c>
      <c r="G711" s="4">
        <v>48.92</v>
      </c>
      <c r="H711" s="4">
        <v>50.5</v>
      </c>
      <c r="I711" s="4">
        <v>0</v>
      </c>
      <c r="J711" s="4">
        <v>76.900000000000006</v>
      </c>
      <c r="K711" s="4">
        <v>82859.69</v>
      </c>
      <c r="L711" s="4" t="s">
        <v>381</v>
      </c>
      <c r="M711" s="4" t="s">
        <v>55</v>
      </c>
    </row>
    <row r="712" spans="1:13" x14ac:dyDescent="0.2">
      <c r="A712" s="4">
        <v>238</v>
      </c>
      <c r="B712" s="4" t="s">
        <v>365</v>
      </c>
      <c r="C712" s="4">
        <v>339.8</v>
      </c>
      <c r="D712" s="4">
        <v>0.68</v>
      </c>
      <c r="E712" s="4">
        <v>0</v>
      </c>
      <c r="F712" s="4">
        <v>0.06</v>
      </c>
      <c r="G712" s="4">
        <v>31.93</v>
      </c>
      <c r="H712" s="4">
        <v>29</v>
      </c>
      <c r="I712" s="4">
        <v>0</v>
      </c>
      <c r="J712" s="4" t="s">
        <v>14</v>
      </c>
      <c r="K712" s="4">
        <v>94512.6</v>
      </c>
      <c r="L712" s="4" t="s">
        <v>381</v>
      </c>
      <c r="M712" s="4" t="s">
        <v>16</v>
      </c>
    </row>
    <row r="713" spans="1:13" x14ac:dyDescent="0.2">
      <c r="A713" s="4">
        <v>239</v>
      </c>
      <c r="B713" s="4" t="s">
        <v>366</v>
      </c>
      <c r="C713" s="4">
        <v>1561.4</v>
      </c>
      <c r="D713" s="4">
        <v>3.13</v>
      </c>
      <c r="E713" s="4">
        <v>0</v>
      </c>
      <c r="F713" s="4">
        <v>0.3</v>
      </c>
      <c r="G713" s="4">
        <v>160.08000000000001</v>
      </c>
      <c r="H713" s="4">
        <v>148.1</v>
      </c>
      <c r="I713" s="4">
        <v>0</v>
      </c>
      <c r="J713" s="4" t="s">
        <v>14</v>
      </c>
      <c r="K713" s="4">
        <v>131108.79999999999</v>
      </c>
      <c r="L713" s="4" t="s">
        <v>381</v>
      </c>
      <c r="M713" s="4" t="s">
        <v>16</v>
      </c>
    </row>
    <row r="714" spans="1:13" x14ac:dyDescent="0.2">
      <c r="A714" s="4">
        <v>240</v>
      </c>
      <c r="B714" s="4" t="s">
        <v>367</v>
      </c>
      <c r="C714" s="4">
        <v>1577.4</v>
      </c>
      <c r="D714" s="4">
        <v>3.16</v>
      </c>
      <c r="E714" s="4">
        <v>0</v>
      </c>
      <c r="F714" s="4">
        <v>0.3</v>
      </c>
      <c r="G714" s="4">
        <v>171.56</v>
      </c>
      <c r="H714" s="4">
        <v>148.69999999999999</v>
      </c>
      <c r="I714" s="4">
        <v>0</v>
      </c>
      <c r="J714" s="4" t="s">
        <v>14</v>
      </c>
      <c r="K714" s="4">
        <v>84051.91</v>
      </c>
      <c r="L714" s="4" t="s">
        <v>381</v>
      </c>
      <c r="M714" s="4" t="s">
        <v>16</v>
      </c>
    </row>
    <row r="715" spans="1:13" x14ac:dyDescent="0.2">
      <c r="A715" s="4">
        <v>241</v>
      </c>
      <c r="B715" s="4" t="s">
        <v>368</v>
      </c>
      <c r="C715" s="4">
        <v>207.2</v>
      </c>
      <c r="D715" s="4">
        <v>3.6</v>
      </c>
      <c r="E715" s="4">
        <v>0</v>
      </c>
      <c r="F715" s="4">
        <v>0.32</v>
      </c>
      <c r="G715" s="4">
        <v>20.07</v>
      </c>
      <c r="H715" s="4">
        <v>18.7</v>
      </c>
      <c r="I715" s="4">
        <v>0</v>
      </c>
      <c r="J715" s="4" t="s">
        <v>14</v>
      </c>
      <c r="K715" s="4">
        <v>75315.22</v>
      </c>
      <c r="L715" s="4" t="s">
        <v>382</v>
      </c>
      <c r="M715" s="4" t="s">
        <v>16</v>
      </c>
    </row>
    <row r="716" spans="1:13" x14ac:dyDescent="0.2">
      <c r="A716" s="4">
        <v>242</v>
      </c>
      <c r="B716" s="4" t="s">
        <v>369</v>
      </c>
      <c r="C716" s="4">
        <v>1350.2</v>
      </c>
      <c r="D716" s="4">
        <v>3.49</v>
      </c>
      <c r="E716" s="4">
        <v>0</v>
      </c>
      <c r="F716" s="4">
        <v>0.33</v>
      </c>
      <c r="G716" s="4">
        <v>129.19</v>
      </c>
      <c r="H716" s="4">
        <v>126.8</v>
      </c>
      <c r="I716" s="4">
        <v>0</v>
      </c>
      <c r="J716" s="4" t="s">
        <v>14</v>
      </c>
      <c r="K716" s="4">
        <v>456167.62</v>
      </c>
      <c r="L716" s="4" t="s">
        <v>382</v>
      </c>
      <c r="M716" s="4" t="s">
        <v>16</v>
      </c>
    </row>
    <row r="717" spans="1:13" x14ac:dyDescent="0.2">
      <c r="A717" s="4">
        <v>243</v>
      </c>
      <c r="B717" s="4" t="s">
        <v>370</v>
      </c>
      <c r="C717" s="4">
        <v>1374.3</v>
      </c>
      <c r="D717" s="4">
        <v>2.8</v>
      </c>
      <c r="E717" s="4">
        <v>0</v>
      </c>
      <c r="F717" s="4">
        <v>0.31</v>
      </c>
      <c r="G717" s="4">
        <v>143.30000000000001</v>
      </c>
      <c r="H717" s="4">
        <v>150.5</v>
      </c>
      <c r="I717" s="4">
        <v>0</v>
      </c>
      <c r="J717" s="4" t="s">
        <v>14</v>
      </c>
      <c r="K717" s="4">
        <v>137705.69</v>
      </c>
      <c r="L717" s="4" t="s">
        <v>381</v>
      </c>
      <c r="M717" s="4" t="s">
        <v>141</v>
      </c>
    </row>
    <row r="718" spans="1:13" x14ac:dyDescent="0.2">
      <c r="A718" s="4">
        <v>244</v>
      </c>
      <c r="B718" s="4" t="s">
        <v>371</v>
      </c>
      <c r="C718" s="4">
        <v>1070.9000000000001</v>
      </c>
      <c r="D718" s="4">
        <v>2.19</v>
      </c>
      <c r="E718" s="4">
        <v>0</v>
      </c>
      <c r="F718" s="4">
        <v>0.24</v>
      </c>
      <c r="G718" s="4">
        <v>109.61</v>
      </c>
      <c r="H718" s="4">
        <v>116.9</v>
      </c>
      <c r="I718" s="4">
        <v>0</v>
      </c>
      <c r="J718" s="4" t="s">
        <v>14</v>
      </c>
      <c r="K718" s="4">
        <v>93225.57</v>
      </c>
      <c r="L718" s="4" t="s">
        <v>381</v>
      </c>
      <c r="M718" s="4" t="s">
        <v>141</v>
      </c>
    </row>
    <row r="719" spans="1:13" x14ac:dyDescent="0.2">
      <c r="A719" s="4">
        <v>245</v>
      </c>
      <c r="B719" s="4" t="s">
        <v>372</v>
      </c>
      <c r="C719" s="4">
        <v>1385.8</v>
      </c>
      <c r="D719" s="4">
        <v>2.82</v>
      </c>
      <c r="E719" s="4">
        <v>0</v>
      </c>
      <c r="F719" s="4">
        <v>0.31</v>
      </c>
      <c r="G719" s="4">
        <v>143.22999999999999</v>
      </c>
      <c r="H719" s="4">
        <v>150.69999999999999</v>
      </c>
      <c r="I719" s="4">
        <v>0</v>
      </c>
      <c r="J719" s="4" t="s">
        <v>14</v>
      </c>
      <c r="K719" s="4">
        <v>138608.48000000001</v>
      </c>
      <c r="L719" s="4" t="s">
        <v>381</v>
      </c>
      <c r="M719" s="4" t="s">
        <v>141</v>
      </c>
    </row>
    <row r="720" spans="1:13" x14ac:dyDescent="0.2">
      <c r="A720" s="4">
        <v>246</v>
      </c>
      <c r="B720" s="4" t="s">
        <v>373</v>
      </c>
      <c r="C720" s="4">
        <v>275.8</v>
      </c>
      <c r="D720" s="4">
        <v>2.84</v>
      </c>
      <c r="E720" s="4">
        <v>89</v>
      </c>
      <c r="F720" s="4">
        <v>0.36</v>
      </c>
      <c r="G720" s="4">
        <v>38.39</v>
      </c>
      <c r="H720" s="4">
        <v>35.1</v>
      </c>
      <c r="I720" s="4">
        <v>93.3</v>
      </c>
      <c r="J720" s="4" t="s">
        <v>14</v>
      </c>
      <c r="K720" s="4">
        <v>21863.19</v>
      </c>
      <c r="L720" s="4" t="s">
        <v>381</v>
      </c>
      <c r="M720" s="4" t="s">
        <v>16</v>
      </c>
    </row>
    <row r="721" spans="1:13" x14ac:dyDescent="0.2">
      <c r="A721" s="4">
        <v>247</v>
      </c>
      <c r="B721" s="4" t="s">
        <v>374</v>
      </c>
      <c r="C721" s="4">
        <v>277</v>
      </c>
      <c r="D721" s="4">
        <v>2.85</v>
      </c>
      <c r="E721" s="4">
        <v>89</v>
      </c>
      <c r="F721" s="4">
        <v>0.38</v>
      </c>
      <c r="G721" s="4">
        <v>38.08</v>
      </c>
      <c r="H721" s="4">
        <v>37.299999999999997</v>
      </c>
      <c r="I721" s="4">
        <v>84.6</v>
      </c>
      <c r="J721" s="4" t="s">
        <v>160</v>
      </c>
      <c r="K721" s="4">
        <v>9588.11</v>
      </c>
      <c r="L721" s="4" t="s">
        <v>382</v>
      </c>
      <c r="M721" s="4" t="s">
        <v>16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E7DE1-F8A0-45D9-84A7-5F9AF29D2195}">
  <sheetPr>
    <tabColor theme="8" tint="-0.249977111117893"/>
  </sheetPr>
  <dimension ref="A1:H4609"/>
  <sheetViews>
    <sheetView topLeftCell="A2317" workbookViewId="0"/>
  </sheetViews>
  <sheetFormatPr defaultRowHeight="16.5" x14ac:dyDescent="0.25"/>
  <cols>
    <col min="2" max="2" width="33" bestFit="1" customWidth="1"/>
    <col min="8" max="8" width="16.125" bestFit="1" customWidth="1"/>
  </cols>
  <sheetData>
    <row r="1" spans="1:8" x14ac:dyDescent="0.25">
      <c r="A1" t="s">
        <v>0</v>
      </c>
      <c r="B1" t="s">
        <v>1</v>
      </c>
      <c r="C1" t="s">
        <v>466</v>
      </c>
      <c r="D1" t="s">
        <v>467</v>
      </c>
      <c r="E1" t="s">
        <v>468</v>
      </c>
      <c r="F1" t="s">
        <v>7</v>
      </c>
      <c r="G1" t="s">
        <v>10</v>
      </c>
      <c r="H1" t="s">
        <v>11</v>
      </c>
    </row>
    <row r="2" spans="1:8" x14ac:dyDescent="0.25">
      <c r="A2">
        <v>1</v>
      </c>
      <c r="B2" t="s">
        <v>13</v>
      </c>
      <c r="C2">
        <v>1</v>
      </c>
      <c r="D2">
        <v>0</v>
      </c>
      <c r="E2">
        <v>0</v>
      </c>
      <c r="F2">
        <v>110.64</v>
      </c>
      <c r="G2">
        <v>139481.64000000001</v>
      </c>
      <c r="H2" s="14">
        <v>43767.833333333336</v>
      </c>
    </row>
    <row r="3" spans="1:8" x14ac:dyDescent="0.25">
      <c r="A3">
        <v>1</v>
      </c>
      <c r="B3" t="s">
        <v>13</v>
      </c>
      <c r="C3">
        <v>2</v>
      </c>
      <c r="D3">
        <v>0</v>
      </c>
      <c r="E3">
        <v>0</v>
      </c>
      <c r="F3">
        <v>112.44</v>
      </c>
      <c r="G3">
        <v>142038.22</v>
      </c>
      <c r="H3" s="14">
        <v>43767.833333333336</v>
      </c>
    </row>
    <row r="4" spans="1:8" x14ac:dyDescent="0.25">
      <c r="A4">
        <v>1</v>
      </c>
      <c r="B4" t="s">
        <v>13</v>
      </c>
      <c r="C4">
        <v>3</v>
      </c>
      <c r="D4">
        <v>0</v>
      </c>
      <c r="E4">
        <v>0</v>
      </c>
      <c r="F4">
        <v>81.08</v>
      </c>
      <c r="G4">
        <v>99259.16</v>
      </c>
      <c r="H4" s="14">
        <v>43767.833333333336</v>
      </c>
    </row>
    <row r="5" spans="1:8" x14ac:dyDescent="0.25">
      <c r="A5">
        <v>2</v>
      </c>
      <c r="B5" t="s">
        <v>21</v>
      </c>
      <c r="C5">
        <v>1</v>
      </c>
      <c r="D5">
        <v>0</v>
      </c>
      <c r="E5">
        <v>0</v>
      </c>
      <c r="F5">
        <v>0</v>
      </c>
      <c r="G5">
        <v>0</v>
      </c>
      <c r="H5" s="14">
        <v>43645.743055555555</v>
      </c>
    </row>
    <row r="6" spans="1:8" x14ac:dyDescent="0.25">
      <c r="A6">
        <v>2</v>
      </c>
      <c r="B6" t="s">
        <v>21</v>
      </c>
      <c r="C6">
        <v>2</v>
      </c>
      <c r="D6">
        <v>0</v>
      </c>
      <c r="E6">
        <v>0</v>
      </c>
      <c r="F6">
        <v>0</v>
      </c>
      <c r="G6">
        <v>0</v>
      </c>
      <c r="H6" s="14">
        <v>43645.743055555555</v>
      </c>
    </row>
    <row r="7" spans="1:8" x14ac:dyDescent="0.25">
      <c r="A7">
        <v>2</v>
      </c>
      <c r="B7" t="s">
        <v>21</v>
      </c>
      <c r="C7">
        <v>3</v>
      </c>
      <c r="D7">
        <v>0</v>
      </c>
      <c r="E7">
        <v>0</v>
      </c>
      <c r="F7">
        <v>0</v>
      </c>
      <c r="G7">
        <v>0</v>
      </c>
      <c r="H7" s="14">
        <v>43645.743055555555</v>
      </c>
    </row>
    <row r="8" spans="1:8" x14ac:dyDescent="0.25">
      <c r="A8">
        <v>2</v>
      </c>
      <c r="B8" t="s">
        <v>21</v>
      </c>
      <c r="C8">
        <v>4</v>
      </c>
      <c r="D8">
        <v>0</v>
      </c>
      <c r="E8">
        <v>0</v>
      </c>
      <c r="F8">
        <v>0</v>
      </c>
      <c r="G8">
        <v>0</v>
      </c>
      <c r="H8" s="14">
        <v>43645.743055555555</v>
      </c>
    </row>
    <row r="9" spans="1:8" x14ac:dyDescent="0.25">
      <c r="A9">
        <v>2</v>
      </c>
      <c r="B9" t="s">
        <v>21</v>
      </c>
      <c r="C9">
        <v>5</v>
      </c>
      <c r="D9">
        <v>0</v>
      </c>
      <c r="E9">
        <v>0</v>
      </c>
      <c r="F9">
        <v>0</v>
      </c>
      <c r="G9">
        <v>0</v>
      </c>
      <c r="H9" s="14">
        <v>43645.743055555555</v>
      </c>
    </row>
    <row r="10" spans="1:8" x14ac:dyDescent="0.25">
      <c r="A10">
        <v>2</v>
      </c>
      <c r="B10" t="s">
        <v>21</v>
      </c>
      <c r="C10">
        <v>6</v>
      </c>
      <c r="D10">
        <v>0</v>
      </c>
      <c r="E10">
        <v>0</v>
      </c>
      <c r="F10">
        <v>0</v>
      </c>
      <c r="G10">
        <v>0</v>
      </c>
      <c r="H10" s="14">
        <v>43645.743055555555</v>
      </c>
    </row>
    <row r="11" spans="1:8" x14ac:dyDescent="0.25">
      <c r="A11">
        <v>2</v>
      </c>
      <c r="B11" t="s">
        <v>21</v>
      </c>
      <c r="C11">
        <v>7</v>
      </c>
      <c r="D11">
        <v>0</v>
      </c>
      <c r="E11">
        <v>0</v>
      </c>
      <c r="F11">
        <v>0</v>
      </c>
      <c r="G11">
        <v>0</v>
      </c>
      <c r="H11" s="14">
        <v>43645.743055555555</v>
      </c>
    </row>
    <row r="12" spans="1:8" x14ac:dyDescent="0.25">
      <c r="A12">
        <v>2</v>
      </c>
      <c r="B12" t="s">
        <v>21</v>
      </c>
      <c r="C12">
        <v>8</v>
      </c>
      <c r="D12">
        <v>0</v>
      </c>
      <c r="E12">
        <v>0</v>
      </c>
      <c r="F12">
        <v>0</v>
      </c>
      <c r="G12">
        <v>0</v>
      </c>
      <c r="H12" s="14">
        <v>43645.743055555555</v>
      </c>
    </row>
    <row r="13" spans="1:8" x14ac:dyDescent="0.25">
      <c r="A13">
        <v>2</v>
      </c>
      <c r="B13" t="s">
        <v>21</v>
      </c>
      <c r="C13">
        <v>9</v>
      </c>
      <c r="D13">
        <v>0</v>
      </c>
      <c r="E13">
        <v>0</v>
      </c>
      <c r="F13">
        <v>0</v>
      </c>
      <c r="G13">
        <v>0</v>
      </c>
      <c r="H13" s="14">
        <v>43645.743055555555</v>
      </c>
    </row>
    <row r="14" spans="1:8" x14ac:dyDescent="0.25">
      <c r="A14">
        <v>2</v>
      </c>
      <c r="B14" t="s">
        <v>21</v>
      </c>
      <c r="C14">
        <v>10</v>
      </c>
      <c r="D14">
        <v>0</v>
      </c>
      <c r="E14">
        <v>0</v>
      </c>
      <c r="F14">
        <v>0</v>
      </c>
      <c r="G14">
        <v>0</v>
      </c>
      <c r="H14" s="14">
        <v>43645.743055555555</v>
      </c>
    </row>
    <row r="15" spans="1:8" x14ac:dyDescent="0.25">
      <c r="A15">
        <v>2</v>
      </c>
      <c r="B15" t="s">
        <v>21</v>
      </c>
      <c r="C15">
        <v>11</v>
      </c>
      <c r="D15">
        <v>0</v>
      </c>
      <c r="E15">
        <v>0</v>
      </c>
      <c r="F15">
        <v>0</v>
      </c>
      <c r="G15">
        <v>0</v>
      </c>
      <c r="H15" s="14">
        <v>43645.743055555555</v>
      </c>
    </row>
    <row r="16" spans="1:8" x14ac:dyDescent="0.25">
      <c r="A16">
        <v>2</v>
      </c>
      <c r="B16" t="s">
        <v>21</v>
      </c>
      <c r="C16">
        <v>12</v>
      </c>
      <c r="D16">
        <v>0</v>
      </c>
      <c r="E16">
        <v>0</v>
      </c>
      <c r="F16">
        <v>0</v>
      </c>
      <c r="G16">
        <v>0</v>
      </c>
      <c r="H16" s="14">
        <v>43645.743055555555</v>
      </c>
    </row>
    <row r="17" spans="1:8" x14ac:dyDescent="0.25">
      <c r="A17">
        <v>2</v>
      </c>
      <c r="B17" t="s">
        <v>21</v>
      </c>
      <c r="C17">
        <v>13</v>
      </c>
      <c r="D17">
        <v>0</v>
      </c>
      <c r="E17">
        <v>0</v>
      </c>
      <c r="F17">
        <v>0</v>
      </c>
      <c r="G17">
        <v>0</v>
      </c>
      <c r="H17" s="14">
        <v>43645.743055555555</v>
      </c>
    </row>
    <row r="18" spans="1:8" x14ac:dyDescent="0.25">
      <c r="A18">
        <v>2</v>
      </c>
      <c r="B18" t="s">
        <v>21</v>
      </c>
      <c r="C18">
        <v>14</v>
      </c>
      <c r="D18">
        <v>0</v>
      </c>
      <c r="E18">
        <v>0</v>
      </c>
      <c r="F18">
        <v>0</v>
      </c>
      <c r="G18">
        <v>0</v>
      </c>
      <c r="H18" s="14">
        <v>43645.743055555555</v>
      </c>
    </row>
    <row r="19" spans="1:8" x14ac:dyDescent="0.25">
      <c r="A19">
        <v>2</v>
      </c>
      <c r="B19" t="s">
        <v>21</v>
      </c>
      <c r="C19">
        <v>15</v>
      </c>
      <c r="D19">
        <v>0</v>
      </c>
      <c r="E19">
        <v>0</v>
      </c>
      <c r="F19">
        <v>0</v>
      </c>
      <c r="G19">
        <v>0</v>
      </c>
      <c r="H19" s="14">
        <v>36526</v>
      </c>
    </row>
    <row r="20" spans="1:8" x14ac:dyDescent="0.25">
      <c r="A20">
        <v>5</v>
      </c>
      <c r="B20" t="s">
        <v>37</v>
      </c>
      <c r="C20">
        <v>1</v>
      </c>
      <c r="D20">
        <v>0</v>
      </c>
      <c r="E20">
        <v>0</v>
      </c>
      <c r="F20">
        <v>65.510000000000005</v>
      </c>
      <c r="G20">
        <v>119322.89</v>
      </c>
      <c r="H20" s="14">
        <v>43767.833333333336</v>
      </c>
    </row>
    <row r="21" spans="1:8" x14ac:dyDescent="0.25">
      <c r="A21">
        <v>5</v>
      </c>
      <c r="B21" t="s">
        <v>37</v>
      </c>
      <c r="C21">
        <v>2</v>
      </c>
      <c r="D21">
        <v>0</v>
      </c>
      <c r="E21">
        <v>0</v>
      </c>
      <c r="F21">
        <v>71.94</v>
      </c>
      <c r="G21">
        <v>119429.79</v>
      </c>
      <c r="H21" s="14">
        <v>43767.833333333336</v>
      </c>
    </row>
    <row r="22" spans="1:8" x14ac:dyDescent="0.25">
      <c r="A22">
        <v>5</v>
      </c>
      <c r="B22" t="s">
        <v>37</v>
      </c>
      <c r="C22">
        <v>3</v>
      </c>
      <c r="D22">
        <v>0</v>
      </c>
      <c r="E22">
        <v>0</v>
      </c>
      <c r="F22">
        <v>65.78</v>
      </c>
      <c r="G22">
        <v>93933.66</v>
      </c>
      <c r="H22" s="14">
        <v>43767.833333333336</v>
      </c>
    </row>
    <row r="23" spans="1:8" x14ac:dyDescent="0.25">
      <c r="A23">
        <v>5</v>
      </c>
      <c r="B23" t="s">
        <v>37</v>
      </c>
      <c r="C23">
        <v>4</v>
      </c>
      <c r="D23">
        <v>0</v>
      </c>
      <c r="E23">
        <v>0</v>
      </c>
      <c r="F23">
        <v>70.239999999999995</v>
      </c>
      <c r="G23">
        <v>92633.37</v>
      </c>
      <c r="H23" s="14">
        <v>43767.833333333336</v>
      </c>
    </row>
    <row r="24" spans="1:8" x14ac:dyDescent="0.25">
      <c r="A24">
        <v>6</v>
      </c>
      <c r="B24" t="s">
        <v>43</v>
      </c>
      <c r="C24">
        <v>1</v>
      </c>
      <c r="D24">
        <v>0</v>
      </c>
      <c r="E24">
        <v>0</v>
      </c>
      <c r="F24">
        <v>64.989999999999995</v>
      </c>
      <c r="G24">
        <v>117761.72</v>
      </c>
      <c r="H24" s="14">
        <v>43767.833333333336</v>
      </c>
    </row>
    <row r="25" spans="1:8" x14ac:dyDescent="0.25">
      <c r="A25">
        <v>6</v>
      </c>
      <c r="B25" t="s">
        <v>43</v>
      </c>
      <c r="C25">
        <v>2</v>
      </c>
      <c r="D25">
        <v>0</v>
      </c>
      <c r="E25">
        <v>0</v>
      </c>
      <c r="F25">
        <v>64.13</v>
      </c>
      <c r="G25">
        <v>116878.68</v>
      </c>
      <c r="H25" s="14">
        <v>43767.833333333336</v>
      </c>
    </row>
    <row r="26" spans="1:8" x14ac:dyDescent="0.25">
      <c r="A26">
        <v>6</v>
      </c>
      <c r="B26" t="s">
        <v>43</v>
      </c>
      <c r="C26">
        <v>3</v>
      </c>
      <c r="D26">
        <v>0</v>
      </c>
      <c r="E26">
        <v>0</v>
      </c>
      <c r="F26">
        <v>102.95</v>
      </c>
      <c r="G26">
        <v>124381.02</v>
      </c>
      <c r="H26" s="14">
        <v>43767.833333333336</v>
      </c>
    </row>
    <row r="27" spans="1:8" x14ac:dyDescent="0.25">
      <c r="A27">
        <v>6</v>
      </c>
      <c r="B27" t="s">
        <v>43</v>
      </c>
      <c r="C27">
        <v>4</v>
      </c>
      <c r="D27">
        <v>0</v>
      </c>
      <c r="E27">
        <v>0</v>
      </c>
      <c r="F27">
        <v>97.9</v>
      </c>
      <c r="G27">
        <v>125183.65</v>
      </c>
      <c r="H27" s="14">
        <v>43767.833333333336</v>
      </c>
    </row>
    <row r="28" spans="1:8" x14ac:dyDescent="0.25">
      <c r="A28">
        <v>6</v>
      </c>
      <c r="B28" t="s">
        <v>43</v>
      </c>
      <c r="C28">
        <v>5</v>
      </c>
      <c r="D28">
        <v>0</v>
      </c>
      <c r="E28">
        <v>0</v>
      </c>
      <c r="F28">
        <v>104.74</v>
      </c>
      <c r="G28">
        <v>125720.18</v>
      </c>
      <c r="H28" s="14">
        <v>43767.833333333336</v>
      </c>
    </row>
    <row r="29" spans="1:8" x14ac:dyDescent="0.25">
      <c r="A29">
        <v>6</v>
      </c>
      <c r="B29" t="s">
        <v>43</v>
      </c>
      <c r="C29">
        <v>6</v>
      </c>
      <c r="D29">
        <v>0</v>
      </c>
      <c r="E29">
        <v>0</v>
      </c>
      <c r="F29">
        <v>96.3</v>
      </c>
      <c r="G29">
        <v>124064.76</v>
      </c>
      <c r="H29" s="14">
        <v>43767.833333333336</v>
      </c>
    </row>
    <row r="30" spans="1:8" x14ac:dyDescent="0.25">
      <c r="A30">
        <v>6</v>
      </c>
      <c r="B30" t="s">
        <v>43</v>
      </c>
      <c r="C30">
        <v>7</v>
      </c>
      <c r="D30">
        <v>0</v>
      </c>
      <c r="E30">
        <v>0</v>
      </c>
      <c r="F30">
        <v>104.17</v>
      </c>
      <c r="G30">
        <v>124425.28</v>
      </c>
      <c r="H30" s="14">
        <v>43767.833333333336</v>
      </c>
    </row>
    <row r="31" spans="1:8" x14ac:dyDescent="0.25">
      <c r="A31">
        <v>6</v>
      </c>
      <c r="B31" t="s">
        <v>43</v>
      </c>
      <c r="C31">
        <v>8</v>
      </c>
      <c r="D31">
        <v>0</v>
      </c>
      <c r="E31">
        <v>0</v>
      </c>
      <c r="F31">
        <v>94.26</v>
      </c>
      <c r="G31">
        <v>124703.08</v>
      </c>
      <c r="H31" s="14">
        <v>43767.833333333336</v>
      </c>
    </row>
    <row r="32" spans="1:8" x14ac:dyDescent="0.25">
      <c r="A32">
        <v>6</v>
      </c>
      <c r="B32" t="s">
        <v>43</v>
      </c>
      <c r="C32">
        <v>9</v>
      </c>
      <c r="D32">
        <v>0</v>
      </c>
      <c r="E32">
        <v>0</v>
      </c>
      <c r="F32">
        <v>31.98</v>
      </c>
      <c r="G32">
        <v>43014.2</v>
      </c>
      <c r="H32" s="14">
        <v>43767.833333333336</v>
      </c>
    </row>
    <row r="33" spans="1:8" x14ac:dyDescent="0.25">
      <c r="A33">
        <v>8</v>
      </c>
      <c r="B33" t="s">
        <v>54</v>
      </c>
      <c r="C33">
        <v>1</v>
      </c>
      <c r="D33">
        <v>0</v>
      </c>
      <c r="E33">
        <v>0</v>
      </c>
      <c r="F33">
        <v>85.52</v>
      </c>
      <c r="G33">
        <v>124455.41</v>
      </c>
      <c r="H33" s="14">
        <v>43767.833333333336</v>
      </c>
    </row>
    <row r="34" spans="1:8" x14ac:dyDescent="0.25">
      <c r="A34">
        <v>8</v>
      </c>
      <c r="B34" t="s">
        <v>54</v>
      </c>
      <c r="C34">
        <v>2</v>
      </c>
      <c r="D34">
        <v>0</v>
      </c>
      <c r="E34">
        <v>0</v>
      </c>
      <c r="F34">
        <v>130.11000000000001</v>
      </c>
      <c r="G34">
        <v>136841.72</v>
      </c>
      <c r="H34" s="14">
        <v>43767.833333333336</v>
      </c>
    </row>
    <row r="35" spans="1:8" x14ac:dyDescent="0.25">
      <c r="A35">
        <v>8</v>
      </c>
      <c r="B35" t="s">
        <v>54</v>
      </c>
      <c r="C35">
        <v>3</v>
      </c>
      <c r="D35">
        <v>0</v>
      </c>
      <c r="E35">
        <v>0</v>
      </c>
      <c r="F35">
        <v>95.75</v>
      </c>
      <c r="G35">
        <v>123831.07</v>
      </c>
      <c r="H35" s="14">
        <v>43767.833333333336</v>
      </c>
    </row>
    <row r="36" spans="1:8" x14ac:dyDescent="0.25">
      <c r="A36">
        <v>8</v>
      </c>
      <c r="B36" t="s">
        <v>54</v>
      </c>
      <c r="C36">
        <v>4</v>
      </c>
      <c r="D36">
        <v>0</v>
      </c>
      <c r="E36">
        <v>0</v>
      </c>
      <c r="F36">
        <v>128.28</v>
      </c>
      <c r="G36">
        <v>136071.16</v>
      </c>
      <c r="H36" s="14">
        <v>43767.833333333336</v>
      </c>
    </row>
    <row r="37" spans="1:8" x14ac:dyDescent="0.25">
      <c r="A37">
        <v>8</v>
      </c>
      <c r="B37" t="s">
        <v>54</v>
      </c>
      <c r="C37">
        <v>5</v>
      </c>
      <c r="D37">
        <v>0</v>
      </c>
      <c r="E37">
        <v>0</v>
      </c>
      <c r="F37">
        <v>86.73</v>
      </c>
      <c r="G37">
        <v>118053.95</v>
      </c>
      <c r="H37" s="14">
        <v>43767.833333333336</v>
      </c>
    </row>
    <row r="38" spans="1:8" x14ac:dyDescent="0.25">
      <c r="A38">
        <v>8</v>
      </c>
      <c r="B38" t="s">
        <v>54</v>
      </c>
      <c r="C38">
        <v>6</v>
      </c>
      <c r="D38">
        <v>0</v>
      </c>
      <c r="E38">
        <v>0</v>
      </c>
      <c r="F38">
        <v>115.39</v>
      </c>
      <c r="G38">
        <v>128603.37</v>
      </c>
      <c r="H38" s="14">
        <v>43767.833333333336</v>
      </c>
    </row>
    <row r="39" spans="1:8" x14ac:dyDescent="0.25">
      <c r="A39">
        <v>8</v>
      </c>
      <c r="B39" t="s">
        <v>54</v>
      </c>
      <c r="C39">
        <v>7</v>
      </c>
      <c r="D39">
        <v>0</v>
      </c>
      <c r="E39">
        <v>0</v>
      </c>
      <c r="F39">
        <v>95.31</v>
      </c>
      <c r="G39">
        <v>117311.7</v>
      </c>
      <c r="H39" s="14">
        <v>43767.833333333336</v>
      </c>
    </row>
    <row r="40" spans="1:8" x14ac:dyDescent="0.25">
      <c r="A40">
        <v>8</v>
      </c>
      <c r="B40" t="s">
        <v>54</v>
      </c>
      <c r="C40">
        <v>8</v>
      </c>
      <c r="D40">
        <v>0</v>
      </c>
      <c r="E40">
        <v>0</v>
      </c>
      <c r="F40">
        <v>80.72</v>
      </c>
      <c r="G40">
        <v>87595.05</v>
      </c>
      <c r="H40" s="14">
        <v>43767.833333333336</v>
      </c>
    </row>
    <row r="41" spans="1:8" x14ac:dyDescent="0.25">
      <c r="A41">
        <v>8</v>
      </c>
      <c r="B41" t="s">
        <v>54</v>
      </c>
      <c r="C41">
        <v>9</v>
      </c>
      <c r="D41">
        <v>0</v>
      </c>
      <c r="E41">
        <v>0</v>
      </c>
      <c r="F41">
        <v>82.93</v>
      </c>
      <c r="G41">
        <v>91593.66</v>
      </c>
      <c r="H41" s="14">
        <v>43767.833333333336</v>
      </c>
    </row>
    <row r="42" spans="1:8" x14ac:dyDescent="0.25">
      <c r="A42">
        <v>8</v>
      </c>
      <c r="B42" t="s">
        <v>54</v>
      </c>
      <c r="C42">
        <v>10</v>
      </c>
      <c r="D42">
        <v>0</v>
      </c>
      <c r="E42">
        <v>0</v>
      </c>
      <c r="F42">
        <v>62.43</v>
      </c>
      <c r="G42">
        <v>85176.6</v>
      </c>
      <c r="H42" s="14">
        <v>43767.833333333336</v>
      </c>
    </row>
    <row r="43" spans="1:8" x14ac:dyDescent="0.25">
      <c r="A43">
        <v>8</v>
      </c>
      <c r="B43" t="s">
        <v>54</v>
      </c>
      <c r="C43">
        <v>11</v>
      </c>
      <c r="D43">
        <v>0</v>
      </c>
      <c r="E43">
        <v>0</v>
      </c>
      <c r="F43">
        <v>84.06</v>
      </c>
      <c r="G43">
        <v>94076.160000000003</v>
      </c>
      <c r="H43" s="14">
        <v>43767.833333333336</v>
      </c>
    </row>
    <row r="44" spans="1:8" x14ac:dyDescent="0.25">
      <c r="A44">
        <v>9</v>
      </c>
      <c r="B44" t="s">
        <v>60</v>
      </c>
      <c r="C44">
        <v>1</v>
      </c>
      <c r="D44">
        <v>0</v>
      </c>
      <c r="E44">
        <v>0</v>
      </c>
      <c r="F44">
        <v>18.14</v>
      </c>
      <c r="G44">
        <v>20645.59</v>
      </c>
      <c r="H44" s="14">
        <v>43767.833333333336</v>
      </c>
    </row>
    <row r="45" spans="1:8" x14ac:dyDescent="0.25">
      <c r="A45">
        <v>9</v>
      </c>
      <c r="B45" t="s">
        <v>60</v>
      </c>
      <c r="C45">
        <v>2</v>
      </c>
      <c r="D45">
        <v>0</v>
      </c>
      <c r="E45">
        <v>0</v>
      </c>
      <c r="F45">
        <v>17.96</v>
      </c>
      <c r="G45">
        <v>20433.95</v>
      </c>
      <c r="H45" s="14">
        <v>43767.833333333336</v>
      </c>
    </row>
    <row r="46" spans="1:8" x14ac:dyDescent="0.25">
      <c r="A46">
        <v>9</v>
      </c>
      <c r="B46" t="s">
        <v>60</v>
      </c>
      <c r="C46">
        <v>3</v>
      </c>
      <c r="D46">
        <v>0</v>
      </c>
      <c r="E46">
        <v>0</v>
      </c>
      <c r="F46">
        <v>18.420000000000002</v>
      </c>
      <c r="G46">
        <v>21151.33</v>
      </c>
      <c r="H46" s="14">
        <v>43767.833333333336</v>
      </c>
    </row>
    <row r="47" spans="1:8" x14ac:dyDescent="0.25">
      <c r="A47">
        <v>9</v>
      </c>
      <c r="B47" t="s">
        <v>60</v>
      </c>
      <c r="C47">
        <v>4</v>
      </c>
      <c r="D47">
        <v>0</v>
      </c>
      <c r="E47">
        <v>0</v>
      </c>
      <c r="F47">
        <v>18.39</v>
      </c>
      <c r="G47">
        <v>21173.67</v>
      </c>
      <c r="H47" s="14">
        <v>43767.833333333336</v>
      </c>
    </row>
    <row r="48" spans="1:8" x14ac:dyDescent="0.25">
      <c r="A48">
        <v>9</v>
      </c>
      <c r="B48" t="s">
        <v>60</v>
      </c>
      <c r="C48">
        <v>5</v>
      </c>
      <c r="D48">
        <v>0</v>
      </c>
      <c r="E48">
        <v>0</v>
      </c>
      <c r="F48">
        <v>18.22</v>
      </c>
      <c r="G48">
        <v>18664.7</v>
      </c>
      <c r="H48" s="14">
        <v>43767.833333333336</v>
      </c>
    </row>
    <row r="49" spans="1:8" x14ac:dyDescent="0.25">
      <c r="A49">
        <v>9</v>
      </c>
      <c r="B49" t="s">
        <v>60</v>
      </c>
      <c r="C49">
        <v>6</v>
      </c>
      <c r="D49">
        <v>0</v>
      </c>
      <c r="E49">
        <v>0</v>
      </c>
      <c r="F49">
        <v>17.899999999999999</v>
      </c>
      <c r="G49">
        <v>18088.47</v>
      </c>
      <c r="H49" s="14">
        <v>43767.833333333336</v>
      </c>
    </row>
    <row r="50" spans="1:8" x14ac:dyDescent="0.25">
      <c r="A50">
        <v>9</v>
      </c>
      <c r="B50" t="s">
        <v>60</v>
      </c>
      <c r="C50">
        <v>7</v>
      </c>
      <c r="D50">
        <v>0</v>
      </c>
      <c r="E50">
        <v>0</v>
      </c>
      <c r="F50">
        <v>17.21</v>
      </c>
      <c r="G50">
        <v>20444.259999999998</v>
      </c>
      <c r="H50" s="14">
        <v>43767.833333333336</v>
      </c>
    </row>
    <row r="51" spans="1:8" x14ac:dyDescent="0.25">
      <c r="A51">
        <v>9</v>
      </c>
      <c r="B51" t="s">
        <v>60</v>
      </c>
      <c r="C51">
        <v>8</v>
      </c>
      <c r="D51">
        <v>0</v>
      </c>
      <c r="E51">
        <v>0</v>
      </c>
      <c r="F51">
        <v>15.59</v>
      </c>
      <c r="G51">
        <v>18951.98</v>
      </c>
      <c r="H51" s="14">
        <v>43767.833333333336</v>
      </c>
    </row>
    <row r="52" spans="1:8" x14ac:dyDescent="0.25">
      <c r="A52">
        <v>9</v>
      </c>
      <c r="B52" t="s">
        <v>60</v>
      </c>
      <c r="C52">
        <v>9</v>
      </c>
      <c r="D52">
        <v>0</v>
      </c>
      <c r="E52">
        <v>0</v>
      </c>
      <c r="F52">
        <v>22.47</v>
      </c>
      <c r="G52">
        <v>20991.279999999999</v>
      </c>
      <c r="H52" s="14">
        <v>43767.833333333336</v>
      </c>
    </row>
    <row r="53" spans="1:8" x14ac:dyDescent="0.25">
      <c r="A53">
        <v>9</v>
      </c>
      <c r="B53" t="s">
        <v>60</v>
      </c>
      <c r="C53">
        <v>10</v>
      </c>
      <c r="D53">
        <v>0</v>
      </c>
      <c r="E53">
        <v>0</v>
      </c>
      <c r="F53">
        <v>22.71</v>
      </c>
      <c r="G53">
        <v>22166.38</v>
      </c>
      <c r="H53" s="14">
        <v>43767.833333333336</v>
      </c>
    </row>
    <row r="54" spans="1:8" x14ac:dyDescent="0.25">
      <c r="A54">
        <v>9</v>
      </c>
      <c r="B54" t="s">
        <v>60</v>
      </c>
      <c r="C54">
        <v>11</v>
      </c>
      <c r="D54">
        <v>0</v>
      </c>
      <c r="E54">
        <v>0</v>
      </c>
      <c r="F54">
        <v>22.5</v>
      </c>
      <c r="G54">
        <v>21517.7</v>
      </c>
      <c r="H54" s="14">
        <v>43767.833333333336</v>
      </c>
    </row>
    <row r="55" spans="1:8" x14ac:dyDescent="0.25">
      <c r="A55">
        <v>9</v>
      </c>
      <c r="B55" t="s">
        <v>60</v>
      </c>
      <c r="C55">
        <v>12</v>
      </c>
      <c r="D55">
        <v>0</v>
      </c>
      <c r="E55">
        <v>0</v>
      </c>
      <c r="F55">
        <v>22.09</v>
      </c>
      <c r="G55">
        <v>21170.2</v>
      </c>
      <c r="H55" s="14">
        <v>43767.833333333336</v>
      </c>
    </row>
    <row r="56" spans="1:8" x14ac:dyDescent="0.25">
      <c r="A56">
        <v>9</v>
      </c>
      <c r="B56" t="s">
        <v>60</v>
      </c>
      <c r="C56">
        <v>13</v>
      </c>
      <c r="D56">
        <v>0</v>
      </c>
      <c r="E56">
        <v>0</v>
      </c>
      <c r="F56">
        <v>22.41</v>
      </c>
      <c r="G56">
        <v>21241.82</v>
      </c>
      <c r="H56" s="14">
        <v>43767.833333333336</v>
      </c>
    </row>
    <row r="57" spans="1:8" x14ac:dyDescent="0.25">
      <c r="A57">
        <v>9</v>
      </c>
      <c r="B57" t="s">
        <v>60</v>
      </c>
      <c r="C57">
        <v>14</v>
      </c>
      <c r="D57">
        <v>0</v>
      </c>
      <c r="E57">
        <v>0</v>
      </c>
      <c r="F57">
        <v>21.86</v>
      </c>
      <c r="G57">
        <v>21777.85</v>
      </c>
      <c r="H57" s="14">
        <v>43767.833333333336</v>
      </c>
    </row>
    <row r="58" spans="1:8" x14ac:dyDescent="0.25">
      <c r="A58">
        <v>9</v>
      </c>
      <c r="B58" t="s">
        <v>60</v>
      </c>
      <c r="C58">
        <v>15</v>
      </c>
      <c r="D58">
        <v>0</v>
      </c>
      <c r="E58">
        <v>0</v>
      </c>
      <c r="F58">
        <v>22.48</v>
      </c>
      <c r="G58">
        <v>21613.58</v>
      </c>
      <c r="H58" s="14">
        <v>43767.833333333336</v>
      </c>
    </row>
    <row r="59" spans="1:8" x14ac:dyDescent="0.25">
      <c r="A59">
        <v>9</v>
      </c>
      <c r="B59" t="s">
        <v>60</v>
      </c>
      <c r="C59">
        <v>16</v>
      </c>
      <c r="D59">
        <v>0</v>
      </c>
      <c r="E59">
        <v>0</v>
      </c>
      <c r="F59">
        <v>22.55</v>
      </c>
      <c r="G59">
        <v>21631.49</v>
      </c>
      <c r="H59" s="14">
        <v>43767.833333333336</v>
      </c>
    </row>
    <row r="60" spans="1:8" x14ac:dyDescent="0.25">
      <c r="A60">
        <v>9</v>
      </c>
      <c r="B60" t="s">
        <v>60</v>
      </c>
      <c r="C60">
        <v>17</v>
      </c>
      <c r="D60">
        <v>0</v>
      </c>
      <c r="E60">
        <v>0</v>
      </c>
      <c r="F60">
        <v>20.74</v>
      </c>
      <c r="G60">
        <v>20917.7</v>
      </c>
      <c r="H60" s="14">
        <v>43767.833333333336</v>
      </c>
    </row>
    <row r="61" spans="1:8" x14ac:dyDescent="0.25">
      <c r="A61">
        <v>10</v>
      </c>
      <c r="B61" t="s">
        <v>63</v>
      </c>
      <c r="C61">
        <v>1</v>
      </c>
      <c r="D61">
        <v>0</v>
      </c>
      <c r="E61">
        <v>0</v>
      </c>
      <c r="F61">
        <v>76.040000000000006</v>
      </c>
      <c r="G61">
        <v>113741.82</v>
      </c>
      <c r="H61" s="14">
        <v>43767.833333333336</v>
      </c>
    </row>
    <row r="62" spans="1:8" x14ac:dyDescent="0.25">
      <c r="A62">
        <v>10</v>
      </c>
      <c r="B62" t="s">
        <v>63</v>
      </c>
      <c r="C62">
        <v>2</v>
      </c>
      <c r="D62">
        <v>0</v>
      </c>
      <c r="E62">
        <v>0</v>
      </c>
      <c r="F62">
        <v>107.7</v>
      </c>
      <c r="G62">
        <v>136545.31</v>
      </c>
      <c r="H62" s="14">
        <v>43767.833333333336</v>
      </c>
    </row>
    <row r="63" spans="1:8" x14ac:dyDescent="0.25">
      <c r="A63">
        <v>10</v>
      </c>
      <c r="B63" t="s">
        <v>63</v>
      </c>
      <c r="C63">
        <v>3</v>
      </c>
      <c r="D63">
        <v>0</v>
      </c>
      <c r="E63">
        <v>0</v>
      </c>
      <c r="F63">
        <v>62.06</v>
      </c>
      <c r="G63">
        <v>84460.68</v>
      </c>
      <c r="H63" s="14">
        <v>43767.833333333336</v>
      </c>
    </row>
    <row r="64" spans="1:8" x14ac:dyDescent="0.25">
      <c r="A64">
        <v>10</v>
      </c>
      <c r="B64" t="s">
        <v>63</v>
      </c>
      <c r="C64">
        <v>4</v>
      </c>
      <c r="D64">
        <v>0</v>
      </c>
      <c r="E64">
        <v>0</v>
      </c>
      <c r="F64">
        <v>77.010000000000005</v>
      </c>
      <c r="G64">
        <v>115453.73</v>
      </c>
      <c r="H64" s="14">
        <v>43767.833333333336</v>
      </c>
    </row>
    <row r="65" spans="1:8" x14ac:dyDescent="0.25">
      <c r="A65">
        <v>10</v>
      </c>
      <c r="B65" t="s">
        <v>63</v>
      </c>
      <c r="C65">
        <v>5</v>
      </c>
      <c r="D65">
        <v>0</v>
      </c>
      <c r="E65">
        <v>0</v>
      </c>
      <c r="F65">
        <v>108.08</v>
      </c>
      <c r="G65">
        <v>134489.82999999999</v>
      </c>
      <c r="H65" s="14">
        <v>43767.833333333336</v>
      </c>
    </row>
    <row r="66" spans="1:8" x14ac:dyDescent="0.25">
      <c r="A66">
        <v>10</v>
      </c>
      <c r="B66" t="s">
        <v>63</v>
      </c>
      <c r="C66">
        <v>6</v>
      </c>
      <c r="D66">
        <v>0</v>
      </c>
      <c r="E66">
        <v>0</v>
      </c>
      <c r="F66">
        <v>59.98</v>
      </c>
      <c r="G66">
        <v>87933.15</v>
      </c>
      <c r="H66" s="14">
        <v>43767.833333333336</v>
      </c>
    </row>
    <row r="67" spans="1:8" x14ac:dyDescent="0.25">
      <c r="A67">
        <v>10</v>
      </c>
      <c r="B67" t="s">
        <v>63</v>
      </c>
      <c r="C67">
        <v>7</v>
      </c>
      <c r="D67">
        <v>0</v>
      </c>
      <c r="E67">
        <v>0</v>
      </c>
      <c r="F67">
        <v>63.67</v>
      </c>
      <c r="G67">
        <v>114190.47</v>
      </c>
      <c r="H67" s="14">
        <v>43767.833333333336</v>
      </c>
    </row>
    <row r="68" spans="1:8" x14ac:dyDescent="0.25">
      <c r="A68">
        <v>10</v>
      </c>
      <c r="B68" t="s">
        <v>63</v>
      </c>
      <c r="C68">
        <v>8</v>
      </c>
      <c r="D68">
        <v>0</v>
      </c>
      <c r="E68">
        <v>0</v>
      </c>
      <c r="F68">
        <v>105.21</v>
      </c>
      <c r="G68">
        <v>128497.5</v>
      </c>
      <c r="H68" s="14">
        <v>43767.833333333336</v>
      </c>
    </row>
    <row r="69" spans="1:8" x14ac:dyDescent="0.25">
      <c r="A69">
        <v>10</v>
      </c>
      <c r="B69" t="s">
        <v>63</v>
      </c>
      <c r="C69">
        <v>9</v>
      </c>
      <c r="D69">
        <v>0</v>
      </c>
      <c r="E69">
        <v>0</v>
      </c>
      <c r="F69">
        <v>62.38</v>
      </c>
      <c r="G69">
        <v>48925.78</v>
      </c>
      <c r="H69" s="14">
        <v>43767.833333333336</v>
      </c>
    </row>
    <row r="70" spans="1:8" x14ac:dyDescent="0.25">
      <c r="A70">
        <v>11</v>
      </c>
      <c r="B70" t="s">
        <v>66</v>
      </c>
      <c r="C70">
        <v>1</v>
      </c>
      <c r="D70">
        <v>0</v>
      </c>
      <c r="E70">
        <v>0</v>
      </c>
      <c r="F70">
        <v>52.77</v>
      </c>
      <c r="G70">
        <v>81340.570000000007</v>
      </c>
      <c r="H70" s="14">
        <v>43767.833333333336</v>
      </c>
    </row>
    <row r="71" spans="1:8" x14ac:dyDescent="0.25">
      <c r="A71">
        <v>11</v>
      </c>
      <c r="B71" t="s">
        <v>66</v>
      </c>
      <c r="C71">
        <v>2</v>
      </c>
      <c r="D71">
        <v>0</v>
      </c>
      <c r="E71">
        <v>0</v>
      </c>
      <c r="F71">
        <v>80.08</v>
      </c>
      <c r="G71">
        <v>121355.1</v>
      </c>
      <c r="H71" s="14">
        <v>43767.833333333336</v>
      </c>
    </row>
    <row r="72" spans="1:8" x14ac:dyDescent="0.25">
      <c r="A72">
        <v>11</v>
      </c>
      <c r="B72" t="s">
        <v>66</v>
      </c>
      <c r="C72">
        <v>3</v>
      </c>
      <c r="D72">
        <v>0</v>
      </c>
      <c r="E72">
        <v>0</v>
      </c>
      <c r="F72">
        <v>80.47</v>
      </c>
      <c r="G72">
        <v>120440.93</v>
      </c>
      <c r="H72" s="14">
        <v>43767.833333333336</v>
      </c>
    </row>
    <row r="73" spans="1:8" x14ac:dyDescent="0.25">
      <c r="A73">
        <v>11</v>
      </c>
      <c r="B73" t="s">
        <v>66</v>
      </c>
      <c r="C73">
        <v>4</v>
      </c>
      <c r="D73">
        <v>0</v>
      </c>
      <c r="E73">
        <v>0</v>
      </c>
      <c r="F73">
        <v>77.23</v>
      </c>
      <c r="G73">
        <v>123180.75</v>
      </c>
      <c r="H73" s="14">
        <v>43767.833333333336</v>
      </c>
    </row>
    <row r="74" spans="1:8" x14ac:dyDescent="0.25">
      <c r="A74">
        <v>11</v>
      </c>
      <c r="B74" t="s">
        <v>66</v>
      </c>
      <c r="C74">
        <v>5</v>
      </c>
      <c r="D74">
        <v>0</v>
      </c>
      <c r="E74">
        <v>0</v>
      </c>
      <c r="F74">
        <v>84</v>
      </c>
      <c r="G74">
        <v>124247.81</v>
      </c>
      <c r="H74" s="14">
        <v>43767.833333333336</v>
      </c>
    </row>
    <row r="75" spans="1:8" x14ac:dyDescent="0.25">
      <c r="A75">
        <v>11</v>
      </c>
      <c r="B75" t="s">
        <v>66</v>
      </c>
      <c r="C75">
        <v>6</v>
      </c>
      <c r="D75">
        <v>0</v>
      </c>
      <c r="E75">
        <v>0</v>
      </c>
      <c r="F75">
        <v>71.25</v>
      </c>
      <c r="G75">
        <v>101042.37</v>
      </c>
      <c r="H75" s="14">
        <v>43767.833333333336</v>
      </c>
    </row>
    <row r="76" spans="1:8" x14ac:dyDescent="0.25">
      <c r="A76">
        <v>11</v>
      </c>
      <c r="B76" t="s">
        <v>66</v>
      </c>
      <c r="C76">
        <v>7</v>
      </c>
      <c r="D76">
        <v>0</v>
      </c>
      <c r="E76">
        <v>0</v>
      </c>
      <c r="F76">
        <v>67.56</v>
      </c>
      <c r="G76">
        <v>101625.44</v>
      </c>
      <c r="H76" s="14">
        <v>43767.833333333336</v>
      </c>
    </row>
    <row r="77" spans="1:8" x14ac:dyDescent="0.25">
      <c r="A77">
        <v>11</v>
      </c>
      <c r="B77" t="s">
        <v>66</v>
      </c>
      <c r="C77">
        <v>8</v>
      </c>
      <c r="D77">
        <v>0</v>
      </c>
      <c r="E77">
        <v>0</v>
      </c>
      <c r="F77">
        <v>72.569999999999993</v>
      </c>
      <c r="G77">
        <v>111868.87</v>
      </c>
      <c r="H77" s="14">
        <v>43767.833333333336</v>
      </c>
    </row>
    <row r="78" spans="1:8" x14ac:dyDescent="0.25">
      <c r="A78">
        <v>11</v>
      </c>
      <c r="B78" t="s">
        <v>66</v>
      </c>
      <c r="C78">
        <v>9</v>
      </c>
      <c r="D78">
        <v>0</v>
      </c>
      <c r="E78">
        <v>0</v>
      </c>
      <c r="F78">
        <v>63.9</v>
      </c>
      <c r="G78">
        <v>112526.51</v>
      </c>
      <c r="H78" s="14">
        <v>43767.833333333336</v>
      </c>
    </row>
    <row r="79" spans="1:8" x14ac:dyDescent="0.25">
      <c r="A79">
        <v>11</v>
      </c>
      <c r="B79" t="s">
        <v>66</v>
      </c>
      <c r="C79">
        <v>10</v>
      </c>
      <c r="D79">
        <v>0</v>
      </c>
      <c r="E79">
        <v>0</v>
      </c>
      <c r="F79">
        <v>79.77</v>
      </c>
      <c r="G79">
        <v>120005.73</v>
      </c>
      <c r="H79" s="14">
        <v>43767.833333333336</v>
      </c>
    </row>
    <row r="80" spans="1:8" x14ac:dyDescent="0.25">
      <c r="A80">
        <v>11</v>
      </c>
      <c r="B80" t="s">
        <v>66</v>
      </c>
      <c r="C80">
        <v>11</v>
      </c>
      <c r="D80">
        <v>0</v>
      </c>
      <c r="E80">
        <v>0</v>
      </c>
      <c r="F80">
        <v>83.37</v>
      </c>
      <c r="G80">
        <v>125513.67</v>
      </c>
      <c r="H80" s="14">
        <v>43767.833333333336</v>
      </c>
    </row>
    <row r="81" spans="1:8" x14ac:dyDescent="0.25">
      <c r="A81">
        <v>12</v>
      </c>
      <c r="B81" t="s">
        <v>69</v>
      </c>
      <c r="C81">
        <v>1</v>
      </c>
      <c r="D81">
        <v>0</v>
      </c>
      <c r="E81">
        <v>0</v>
      </c>
      <c r="F81">
        <v>88.95</v>
      </c>
      <c r="G81">
        <v>123499.91</v>
      </c>
      <c r="H81" s="14">
        <v>43767.833333333336</v>
      </c>
    </row>
    <row r="82" spans="1:8" x14ac:dyDescent="0.25">
      <c r="A82">
        <v>12</v>
      </c>
      <c r="B82" t="s">
        <v>69</v>
      </c>
      <c r="C82">
        <v>2</v>
      </c>
      <c r="D82">
        <v>0</v>
      </c>
      <c r="E82">
        <v>0</v>
      </c>
      <c r="F82">
        <v>95.27</v>
      </c>
      <c r="G82">
        <v>132092.82999999999</v>
      </c>
      <c r="H82" s="14">
        <v>43767.833333333336</v>
      </c>
    </row>
    <row r="83" spans="1:8" x14ac:dyDescent="0.25">
      <c r="A83">
        <v>12</v>
      </c>
      <c r="B83" t="s">
        <v>69</v>
      </c>
      <c r="C83">
        <v>3</v>
      </c>
      <c r="D83">
        <v>0</v>
      </c>
      <c r="E83">
        <v>0</v>
      </c>
      <c r="F83">
        <v>49</v>
      </c>
      <c r="G83">
        <v>88448.45</v>
      </c>
      <c r="H83" s="14">
        <v>43767.833333333336</v>
      </c>
    </row>
    <row r="84" spans="1:8" x14ac:dyDescent="0.25">
      <c r="A84">
        <v>12</v>
      </c>
      <c r="B84" t="s">
        <v>69</v>
      </c>
      <c r="C84">
        <v>4</v>
      </c>
      <c r="D84">
        <v>0</v>
      </c>
      <c r="E84">
        <v>0</v>
      </c>
      <c r="F84">
        <v>52.07</v>
      </c>
      <c r="G84">
        <v>88869.93</v>
      </c>
      <c r="H84" s="14">
        <v>43767.833333333336</v>
      </c>
    </row>
    <row r="85" spans="1:8" x14ac:dyDescent="0.25">
      <c r="A85">
        <v>12</v>
      </c>
      <c r="B85" t="s">
        <v>69</v>
      </c>
      <c r="C85">
        <v>5</v>
      </c>
      <c r="D85">
        <v>0</v>
      </c>
      <c r="E85">
        <v>0</v>
      </c>
      <c r="F85">
        <v>50.09</v>
      </c>
      <c r="G85">
        <v>84577.48</v>
      </c>
      <c r="H85" s="14">
        <v>43767.833333333336</v>
      </c>
    </row>
    <row r="86" spans="1:8" x14ac:dyDescent="0.25">
      <c r="A86">
        <v>12</v>
      </c>
      <c r="B86" t="s">
        <v>69</v>
      </c>
      <c r="C86">
        <v>6</v>
      </c>
      <c r="D86">
        <v>0</v>
      </c>
      <c r="E86">
        <v>0</v>
      </c>
      <c r="F86">
        <v>91.53</v>
      </c>
      <c r="G86">
        <v>136733.34</v>
      </c>
      <c r="H86" s="14">
        <v>43767.833333333336</v>
      </c>
    </row>
    <row r="87" spans="1:8" x14ac:dyDescent="0.25">
      <c r="A87">
        <v>13</v>
      </c>
      <c r="B87" t="s">
        <v>72</v>
      </c>
      <c r="C87">
        <v>1</v>
      </c>
      <c r="D87">
        <v>0</v>
      </c>
      <c r="E87">
        <v>0</v>
      </c>
      <c r="F87">
        <v>82.19</v>
      </c>
      <c r="G87">
        <v>82204.83</v>
      </c>
      <c r="H87" s="14">
        <v>43767.833333333336</v>
      </c>
    </row>
    <row r="88" spans="1:8" x14ac:dyDescent="0.25">
      <c r="A88">
        <v>13</v>
      </c>
      <c r="B88" t="s">
        <v>72</v>
      </c>
      <c r="C88">
        <v>2</v>
      </c>
      <c r="D88">
        <v>0</v>
      </c>
      <c r="E88">
        <v>0</v>
      </c>
      <c r="F88">
        <v>83.04</v>
      </c>
      <c r="G88">
        <v>133201.98000000001</v>
      </c>
      <c r="H88" s="14">
        <v>43767.833333333336</v>
      </c>
    </row>
    <row r="89" spans="1:8" x14ac:dyDescent="0.25">
      <c r="A89">
        <v>13</v>
      </c>
      <c r="B89" t="s">
        <v>72</v>
      </c>
      <c r="C89">
        <v>3</v>
      </c>
      <c r="D89">
        <v>0</v>
      </c>
      <c r="E89">
        <v>0</v>
      </c>
      <c r="F89">
        <v>83.44</v>
      </c>
      <c r="G89">
        <v>132891.49</v>
      </c>
      <c r="H89" s="14">
        <v>43767.833333333336</v>
      </c>
    </row>
    <row r="90" spans="1:8" x14ac:dyDescent="0.25">
      <c r="A90">
        <v>13</v>
      </c>
      <c r="B90" t="s">
        <v>72</v>
      </c>
      <c r="C90">
        <v>4</v>
      </c>
      <c r="D90">
        <v>0</v>
      </c>
      <c r="E90">
        <v>0</v>
      </c>
      <c r="F90">
        <v>80.83</v>
      </c>
      <c r="G90">
        <v>118259.64</v>
      </c>
      <c r="H90" s="14">
        <v>43767.833333333336</v>
      </c>
    </row>
    <row r="91" spans="1:8" x14ac:dyDescent="0.25">
      <c r="A91">
        <v>13</v>
      </c>
      <c r="B91" t="s">
        <v>72</v>
      </c>
      <c r="C91">
        <v>5</v>
      </c>
      <c r="D91">
        <v>0</v>
      </c>
      <c r="E91">
        <v>0</v>
      </c>
      <c r="F91">
        <v>82.72</v>
      </c>
      <c r="G91">
        <v>131571.5</v>
      </c>
      <c r="H91" s="14">
        <v>43767.833333333336</v>
      </c>
    </row>
    <row r="92" spans="1:8" x14ac:dyDescent="0.25">
      <c r="A92">
        <v>13</v>
      </c>
      <c r="B92" t="s">
        <v>72</v>
      </c>
      <c r="C92">
        <v>6</v>
      </c>
      <c r="D92">
        <v>0</v>
      </c>
      <c r="E92">
        <v>0</v>
      </c>
      <c r="F92">
        <v>91.94</v>
      </c>
      <c r="G92">
        <v>139803.31</v>
      </c>
      <c r="H92" s="14">
        <v>43767.833333333336</v>
      </c>
    </row>
    <row r="93" spans="1:8" x14ac:dyDescent="0.25">
      <c r="A93">
        <v>13</v>
      </c>
      <c r="B93" t="s">
        <v>72</v>
      </c>
      <c r="C93">
        <v>7</v>
      </c>
      <c r="D93">
        <v>0</v>
      </c>
      <c r="E93">
        <v>0</v>
      </c>
      <c r="F93">
        <v>81.91</v>
      </c>
      <c r="G93">
        <v>128745.01</v>
      </c>
      <c r="H93" s="14">
        <v>43767.833333333336</v>
      </c>
    </row>
    <row r="94" spans="1:8" x14ac:dyDescent="0.25">
      <c r="A94">
        <v>13</v>
      </c>
      <c r="B94" t="s">
        <v>72</v>
      </c>
      <c r="C94">
        <v>8</v>
      </c>
      <c r="D94">
        <v>0</v>
      </c>
      <c r="E94">
        <v>0</v>
      </c>
      <c r="F94">
        <v>81.52</v>
      </c>
      <c r="G94">
        <v>131426.1</v>
      </c>
      <c r="H94" s="14">
        <v>43767.833333333336</v>
      </c>
    </row>
    <row r="95" spans="1:8" x14ac:dyDescent="0.25">
      <c r="A95">
        <v>13</v>
      </c>
      <c r="B95" t="s">
        <v>72</v>
      </c>
      <c r="C95">
        <v>9</v>
      </c>
      <c r="D95">
        <v>0</v>
      </c>
      <c r="E95">
        <v>0</v>
      </c>
      <c r="F95">
        <v>80.83</v>
      </c>
      <c r="G95">
        <v>130491.41</v>
      </c>
      <c r="H95" s="14">
        <v>43767.833333333336</v>
      </c>
    </row>
    <row r="96" spans="1:8" x14ac:dyDescent="0.25">
      <c r="A96">
        <v>13</v>
      </c>
      <c r="B96" t="s">
        <v>72</v>
      </c>
      <c r="C96">
        <v>10</v>
      </c>
      <c r="D96">
        <v>0</v>
      </c>
      <c r="E96">
        <v>0</v>
      </c>
      <c r="F96">
        <v>83.42</v>
      </c>
      <c r="G96">
        <v>133537.51</v>
      </c>
      <c r="H96" s="14">
        <v>43767.833333333336</v>
      </c>
    </row>
    <row r="97" spans="1:8" x14ac:dyDescent="0.25">
      <c r="A97">
        <v>13</v>
      </c>
      <c r="B97" t="s">
        <v>72</v>
      </c>
      <c r="C97">
        <v>11</v>
      </c>
      <c r="D97">
        <v>0</v>
      </c>
      <c r="E97">
        <v>0</v>
      </c>
      <c r="F97">
        <v>81.93</v>
      </c>
      <c r="G97">
        <v>74469.19</v>
      </c>
      <c r="H97" s="14">
        <v>43767.833333333336</v>
      </c>
    </row>
    <row r="98" spans="1:8" x14ac:dyDescent="0.25">
      <c r="A98">
        <v>13</v>
      </c>
      <c r="B98" t="s">
        <v>72</v>
      </c>
      <c r="C98">
        <v>12</v>
      </c>
      <c r="D98">
        <v>0</v>
      </c>
      <c r="E98">
        <v>0</v>
      </c>
      <c r="F98">
        <v>82.03</v>
      </c>
      <c r="G98">
        <v>131657.45000000001</v>
      </c>
      <c r="H98" s="14">
        <v>43767.833333333336</v>
      </c>
    </row>
    <row r="99" spans="1:8" x14ac:dyDescent="0.25">
      <c r="A99">
        <v>13</v>
      </c>
      <c r="B99" t="s">
        <v>72</v>
      </c>
      <c r="C99">
        <v>13</v>
      </c>
      <c r="D99">
        <v>0</v>
      </c>
      <c r="E99">
        <v>0</v>
      </c>
      <c r="F99">
        <v>81.790000000000006</v>
      </c>
      <c r="G99">
        <v>132243.73000000001</v>
      </c>
      <c r="H99" s="14">
        <v>43767.833333333336</v>
      </c>
    </row>
    <row r="100" spans="1:8" x14ac:dyDescent="0.25">
      <c r="A100">
        <v>13</v>
      </c>
      <c r="B100" t="s">
        <v>72</v>
      </c>
      <c r="C100">
        <v>14</v>
      </c>
      <c r="D100">
        <v>0</v>
      </c>
      <c r="E100">
        <v>0</v>
      </c>
      <c r="F100">
        <v>60.12</v>
      </c>
      <c r="G100">
        <v>92485.32</v>
      </c>
      <c r="H100" s="14">
        <v>43767.833333333336</v>
      </c>
    </row>
    <row r="101" spans="1:8" x14ac:dyDescent="0.25">
      <c r="A101">
        <v>14</v>
      </c>
      <c r="B101" t="s">
        <v>75</v>
      </c>
      <c r="C101">
        <v>1</v>
      </c>
      <c r="D101">
        <v>0</v>
      </c>
      <c r="E101">
        <v>0</v>
      </c>
      <c r="F101">
        <v>99.43</v>
      </c>
      <c r="G101">
        <v>145213.66</v>
      </c>
      <c r="H101" s="14">
        <v>43767.833333333336</v>
      </c>
    </row>
    <row r="102" spans="1:8" x14ac:dyDescent="0.25">
      <c r="A102">
        <v>14</v>
      </c>
      <c r="B102" t="s">
        <v>75</v>
      </c>
      <c r="C102">
        <v>2</v>
      </c>
      <c r="D102">
        <v>0</v>
      </c>
      <c r="E102">
        <v>0</v>
      </c>
      <c r="F102">
        <v>100.71</v>
      </c>
      <c r="G102">
        <v>146143.69</v>
      </c>
      <c r="H102" s="14">
        <v>43767.833333333336</v>
      </c>
    </row>
    <row r="103" spans="1:8" x14ac:dyDescent="0.25">
      <c r="A103">
        <v>14</v>
      </c>
      <c r="B103" t="s">
        <v>75</v>
      </c>
      <c r="C103">
        <v>3</v>
      </c>
      <c r="D103">
        <v>0</v>
      </c>
      <c r="E103">
        <v>0</v>
      </c>
      <c r="F103">
        <v>102.33</v>
      </c>
      <c r="G103">
        <v>148500.88</v>
      </c>
      <c r="H103" s="14">
        <v>43767.833333333336</v>
      </c>
    </row>
    <row r="104" spans="1:8" x14ac:dyDescent="0.25">
      <c r="A104">
        <v>14</v>
      </c>
      <c r="B104" t="s">
        <v>75</v>
      </c>
      <c r="C104">
        <v>4</v>
      </c>
      <c r="D104">
        <v>0</v>
      </c>
      <c r="E104">
        <v>0</v>
      </c>
      <c r="F104">
        <v>102.57</v>
      </c>
      <c r="G104">
        <v>147222.13</v>
      </c>
      <c r="H104" s="14">
        <v>43767.833333333336</v>
      </c>
    </row>
    <row r="105" spans="1:8" x14ac:dyDescent="0.25">
      <c r="A105">
        <v>14</v>
      </c>
      <c r="B105" t="s">
        <v>75</v>
      </c>
      <c r="C105">
        <v>5</v>
      </c>
      <c r="D105">
        <v>0</v>
      </c>
      <c r="E105">
        <v>0</v>
      </c>
      <c r="F105">
        <v>101.03</v>
      </c>
      <c r="G105">
        <v>137460.34</v>
      </c>
      <c r="H105" s="14">
        <v>43767.833333333336</v>
      </c>
    </row>
    <row r="106" spans="1:8" x14ac:dyDescent="0.25">
      <c r="A106">
        <v>14</v>
      </c>
      <c r="B106" t="s">
        <v>75</v>
      </c>
      <c r="C106">
        <v>6</v>
      </c>
      <c r="D106">
        <v>0</v>
      </c>
      <c r="E106">
        <v>0</v>
      </c>
      <c r="F106">
        <v>101.78</v>
      </c>
      <c r="G106">
        <v>147750.85</v>
      </c>
      <c r="H106" s="14">
        <v>43767.833333333336</v>
      </c>
    </row>
    <row r="107" spans="1:8" x14ac:dyDescent="0.25">
      <c r="A107">
        <v>14</v>
      </c>
      <c r="B107" t="s">
        <v>75</v>
      </c>
      <c r="C107">
        <v>7</v>
      </c>
      <c r="D107">
        <v>0</v>
      </c>
      <c r="E107">
        <v>0</v>
      </c>
      <c r="F107">
        <v>103.12</v>
      </c>
      <c r="G107">
        <v>149601</v>
      </c>
      <c r="H107" s="14">
        <v>43767.833333333336</v>
      </c>
    </row>
    <row r="108" spans="1:8" x14ac:dyDescent="0.25">
      <c r="A108">
        <v>14</v>
      </c>
      <c r="B108" t="s">
        <v>75</v>
      </c>
      <c r="C108">
        <v>8</v>
      </c>
      <c r="D108">
        <v>0</v>
      </c>
      <c r="E108">
        <v>0</v>
      </c>
      <c r="F108">
        <v>101.69</v>
      </c>
      <c r="G108">
        <v>6883.53</v>
      </c>
      <c r="H108" s="14">
        <v>43767.833333333336</v>
      </c>
    </row>
    <row r="109" spans="1:8" x14ac:dyDescent="0.25">
      <c r="A109">
        <v>14</v>
      </c>
      <c r="B109" t="s">
        <v>75</v>
      </c>
      <c r="C109">
        <v>9</v>
      </c>
      <c r="D109">
        <v>0</v>
      </c>
      <c r="E109">
        <v>0</v>
      </c>
      <c r="F109">
        <v>98.37</v>
      </c>
      <c r="G109">
        <v>6908.5</v>
      </c>
      <c r="H109" s="14">
        <v>43767.833333333336</v>
      </c>
    </row>
    <row r="110" spans="1:8" x14ac:dyDescent="0.25">
      <c r="A110">
        <v>14</v>
      </c>
      <c r="B110" t="s">
        <v>75</v>
      </c>
      <c r="C110">
        <v>10</v>
      </c>
      <c r="D110">
        <v>0</v>
      </c>
      <c r="E110">
        <v>0</v>
      </c>
      <c r="F110">
        <v>102.21</v>
      </c>
      <c r="G110">
        <v>146989.35</v>
      </c>
      <c r="H110" s="14">
        <v>43767.833333333336</v>
      </c>
    </row>
    <row r="111" spans="1:8" x14ac:dyDescent="0.25">
      <c r="A111">
        <v>14</v>
      </c>
      <c r="B111" t="s">
        <v>75</v>
      </c>
      <c r="C111">
        <v>11</v>
      </c>
      <c r="D111">
        <v>0</v>
      </c>
      <c r="E111">
        <v>0</v>
      </c>
      <c r="F111">
        <v>102.15</v>
      </c>
      <c r="G111">
        <v>9277.1200000000008</v>
      </c>
      <c r="H111" s="14">
        <v>43767.833333333336</v>
      </c>
    </row>
    <row r="112" spans="1:8" x14ac:dyDescent="0.25">
      <c r="A112">
        <v>14</v>
      </c>
      <c r="B112" t="s">
        <v>75</v>
      </c>
      <c r="C112">
        <v>12</v>
      </c>
      <c r="D112">
        <v>0</v>
      </c>
      <c r="E112">
        <v>0</v>
      </c>
      <c r="F112">
        <v>102.73</v>
      </c>
      <c r="G112">
        <v>150379.24</v>
      </c>
      <c r="H112" s="14">
        <v>43767.833333333336</v>
      </c>
    </row>
    <row r="113" spans="1:8" x14ac:dyDescent="0.25">
      <c r="A113">
        <v>14</v>
      </c>
      <c r="B113" t="s">
        <v>75</v>
      </c>
      <c r="C113">
        <v>13</v>
      </c>
      <c r="D113">
        <v>0</v>
      </c>
      <c r="E113">
        <v>0</v>
      </c>
      <c r="F113">
        <v>100.97</v>
      </c>
      <c r="G113">
        <v>146768.85</v>
      </c>
      <c r="H113" s="14">
        <v>43767.833333333336</v>
      </c>
    </row>
    <row r="114" spans="1:8" x14ac:dyDescent="0.25">
      <c r="A114">
        <v>14</v>
      </c>
      <c r="B114" t="s">
        <v>75</v>
      </c>
      <c r="C114">
        <v>14</v>
      </c>
      <c r="D114">
        <v>0</v>
      </c>
      <c r="E114">
        <v>0</v>
      </c>
      <c r="F114">
        <v>65.3</v>
      </c>
      <c r="G114">
        <v>101294.63</v>
      </c>
      <c r="H114" s="14">
        <v>43767.833333333336</v>
      </c>
    </row>
    <row r="115" spans="1:8" x14ac:dyDescent="0.25">
      <c r="A115">
        <v>15</v>
      </c>
      <c r="B115" t="s">
        <v>78</v>
      </c>
      <c r="C115">
        <v>1</v>
      </c>
      <c r="D115">
        <v>0</v>
      </c>
      <c r="E115">
        <v>0</v>
      </c>
      <c r="F115">
        <v>83.62</v>
      </c>
      <c r="G115">
        <v>134544.5</v>
      </c>
      <c r="H115" s="14">
        <v>43767.833333333336</v>
      </c>
    </row>
    <row r="116" spans="1:8" x14ac:dyDescent="0.25">
      <c r="A116">
        <v>15</v>
      </c>
      <c r="B116" t="s">
        <v>78</v>
      </c>
      <c r="C116">
        <v>2</v>
      </c>
      <c r="D116">
        <v>0</v>
      </c>
      <c r="E116">
        <v>0</v>
      </c>
      <c r="F116">
        <v>83.42</v>
      </c>
      <c r="G116">
        <v>135710.66</v>
      </c>
      <c r="H116" s="14">
        <v>43767.833333333336</v>
      </c>
    </row>
    <row r="117" spans="1:8" x14ac:dyDescent="0.25">
      <c r="A117">
        <v>15</v>
      </c>
      <c r="B117" t="s">
        <v>78</v>
      </c>
      <c r="C117">
        <v>3</v>
      </c>
      <c r="D117">
        <v>0</v>
      </c>
      <c r="E117">
        <v>0</v>
      </c>
      <c r="F117">
        <v>97.75</v>
      </c>
      <c r="G117">
        <v>144196.79999999999</v>
      </c>
      <c r="H117" s="14">
        <v>43767.833333333336</v>
      </c>
    </row>
    <row r="118" spans="1:8" x14ac:dyDescent="0.25">
      <c r="A118">
        <v>15</v>
      </c>
      <c r="B118" t="s">
        <v>78</v>
      </c>
      <c r="C118">
        <v>4</v>
      </c>
      <c r="D118">
        <v>0</v>
      </c>
      <c r="E118">
        <v>0</v>
      </c>
      <c r="F118">
        <v>100.06</v>
      </c>
      <c r="G118">
        <v>148428.41</v>
      </c>
      <c r="H118" s="14">
        <v>43767.833333333336</v>
      </c>
    </row>
    <row r="119" spans="1:8" x14ac:dyDescent="0.25">
      <c r="A119">
        <v>15</v>
      </c>
      <c r="B119" t="s">
        <v>78</v>
      </c>
      <c r="C119">
        <v>5</v>
      </c>
      <c r="D119">
        <v>0</v>
      </c>
      <c r="E119">
        <v>0</v>
      </c>
      <c r="F119">
        <v>100.26</v>
      </c>
      <c r="G119">
        <v>147863.37</v>
      </c>
      <c r="H119" s="14">
        <v>43767.833333333336</v>
      </c>
    </row>
    <row r="120" spans="1:8" x14ac:dyDescent="0.25">
      <c r="A120">
        <v>15</v>
      </c>
      <c r="B120" t="s">
        <v>78</v>
      </c>
      <c r="C120">
        <v>6</v>
      </c>
      <c r="D120">
        <v>0</v>
      </c>
      <c r="E120">
        <v>0</v>
      </c>
      <c r="F120">
        <v>98.52</v>
      </c>
      <c r="G120">
        <v>146567.47</v>
      </c>
      <c r="H120" s="14">
        <v>43767.833333333336</v>
      </c>
    </row>
    <row r="121" spans="1:8" x14ac:dyDescent="0.25">
      <c r="A121">
        <v>15</v>
      </c>
      <c r="B121" t="s">
        <v>78</v>
      </c>
      <c r="C121">
        <v>7</v>
      </c>
      <c r="D121">
        <v>0</v>
      </c>
      <c r="E121">
        <v>0</v>
      </c>
      <c r="F121">
        <v>82.51</v>
      </c>
      <c r="G121">
        <v>132508.99</v>
      </c>
      <c r="H121" s="14">
        <v>43767.833333333336</v>
      </c>
    </row>
    <row r="122" spans="1:8" x14ac:dyDescent="0.25">
      <c r="A122">
        <v>15</v>
      </c>
      <c r="B122" t="s">
        <v>78</v>
      </c>
      <c r="C122">
        <v>8</v>
      </c>
      <c r="D122">
        <v>0</v>
      </c>
      <c r="E122">
        <v>0</v>
      </c>
      <c r="F122">
        <v>84.37</v>
      </c>
      <c r="G122">
        <v>125232.52</v>
      </c>
      <c r="H122" s="14">
        <v>43767.833333333336</v>
      </c>
    </row>
    <row r="123" spans="1:8" x14ac:dyDescent="0.25">
      <c r="A123">
        <v>15</v>
      </c>
      <c r="B123" t="s">
        <v>78</v>
      </c>
      <c r="C123">
        <v>9</v>
      </c>
      <c r="D123">
        <v>0</v>
      </c>
      <c r="E123">
        <v>0</v>
      </c>
      <c r="F123">
        <v>84.47</v>
      </c>
      <c r="G123">
        <v>135260.20000000001</v>
      </c>
      <c r="H123" s="14">
        <v>43767.833333333336</v>
      </c>
    </row>
    <row r="124" spans="1:8" x14ac:dyDescent="0.25">
      <c r="A124">
        <v>15</v>
      </c>
      <c r="B124" t="s">
        <v>78</v>
      </c>
      <c r="C124">
        <v>10</v>
      </c>
      <c r="D124">
        <v>0</v>
      </c>
      <c r="E124">
        <v>0</v>
      </c>
      <c r="F124">
        <v>82.08</v>
      </c>
      <c r="G124">
        <v>133301.14000000001</v>
      </c>
      <c r="H124" s="14">
        <v>43767.833333333336</v>
      </c>
    </row>
    <row r="125" spans="1:8" x14ac:dyDescent="0.25">
      <c r="A125">
        <v>15</v>
      </c>
      <c r="B125" t="s">
        <v>78</v>
      </c>
      <c r="C125">
        <v>11</v>
      </c>
      <c r="D125">
        <v>0</v>
      </c>
      <c r="E125">
        <v>0</v>
      </c>
      <c r="F125">
        <v>101.4</v>
      </c>
      <c r="G125">
        <v>147994.31</v>
      </c>
      <c r="H125" s="14">
        <v>43767.833333333336</v>
      </c>
    </row>
    <row r="126" spans="1:8" x14ac:dyDescent="0.25">
      <c r="A126">
        <v>15</v>
      </c>
      <c r="B126" t="s">
        <v>78</v>
      </c>
      <c r="C126">
        <v>12</v>
      </c>
      <c r="D126">
        <v>0</v>
      </c>
      <c r="E126">
        <v>0</v>
      </c>
      <c r="F126">
        <v>99.76</v>
      </c>
      <c r="G126">
        <v>146858.19</v>
      </c>
      <c r="H126" s="14">
        <v>43767.833333333336</v>
      </c>
    </row>
    <row r="127" spans="1:8" x14ac:dyDescent="0.25">
      <c r="A127">
        <v>15</v>
      </c>
      <c r="B127" t="s">
        <v>78</v>
      </c>
      <c r="C127">
        <v>13</v>
      </c>
      <c r="D127">
        <v>0</v>
      </c>
      <c r="E127">
        <v>0</v>
      </c>
      <c r="F127">
        <v>99.68</v>
      </c>
      <c r="G127">
        <v>145389.66</v>
      </c>
      <c r="H127" s="14">
        <v>43767.833333333336</v>
      </c>
    </row>
    <row r="128" spans="1:8" x14ac:dyDescent="0.25">
      <c r="A128">
        <v>15</v>
      </c>
      <c r="B128" t="s">
        <v>78</v>
      </c>
      <c r="C128">
        <v>14</v>
      </c>
      <c r="D128">
        <v>0</v>
      </c>
      <c r="E128">
        <v>0</v>
      </c>
      <c r="F128">
        <v>52.01</v>
      </c>
      <c r="G128">
        <v>89287.28</v>
      </c>
      <c r="H128" s="14">
        <v>43767.833333333336</v>
      </c>
    </row>
    <row r="129" spans="1:8" x14ac:dyDescent="0.25">
      <c r="A129">
        <v>16</v>
      </c>
      <c r="B129" t="s">
        <v>469</v>
      </c>
      <c r="C129">
        <v>1</v>
      </c>
      <c r="D129">
        <v>0</v>
      </c>
      <c r="E129">
        <v>0</v>
      </c>
      <c r="F129">
        <v>80.849999999999994</v>
      </c>
      <c r="G129">
        <v>110102.12</v>
      </c>
      <c r="H129" s="14">
        <v>43767.833333333336</v>
      </c>
    </row>
    <row r="130" spans="1:8" x14ac:dyDescent="0.25">
      <c r="A130">
        <v>16</v>
      </c>
      <c r="B130" t="s">
        <v>469</v>
      </c>
      <c r="C130">
        <v>2</v>
      </c>
      <c r="D130">
        <v>0</v>
      </c>
      <c r="E130">
        <v>0</v>
      </c>
      <c r="F130">
        <v>95.4</v>
      </c>
      <c r="G130">
        <v>118945.4</v>
      </c>
      <c r="H130" s="14">
        <v>43767.833333333336</v>
      </c>
    </row>
    <row r="131" spans="1:8" x14ac:dyDescent="0.25">
      <c r="A131">
        <v>16</v>
      </c>
      <c r="B131" t="s">
        <v>469</v>
      </c>
      <c r="C131">
        <v>3</v>
      </c>
      <c r="D131">
        <v>0</v>
      </c>
      <c r="E131">
        <v>0</v>
      </c>
      <c r="F131">
        <v>86</v>
      </c>
      <c r="G131">
        <v>111261.34</v>
      </c>
      <c r="H131" s="14">
        <v>43767.833333333336</v>
      </c>
    </row>
    <row r="132" spans="1:8" x14ac:dyDescent="0.25">
      <c r="A132">
        <v>16</v>
      </c>
      <c r="B132" t="s">
        <v>469</v>
      </c>
      <c r="C132">
        <v>4</v>
      </c>
      <c r="D132">
        <v>0</v>
      </c>
      <c r="E132">
        <v>0</v>
      </c>
      <c r="F132">
        <v>104</v>
      </c>
      <c r="G132">
        <v>122992.02</v>
      </c>
      <c r="H132" s="14">
        <v>43767.833333333336</v>
      </c>
    </row>
    <row r="133" spans="1:8" x14ac:dyDescent="0.25">
      <c r="A133">
        <v>16</v>
      </c>
      <c r="B133" t="s">
        <v>469</v>
      </c>
      <c r="C133">
        <v>5</v>
      </c>
      <c r="D133">
        <v>0</v>
      </c>
      <c r="E133">
        <v>0</v>
      </c>
      <c r="F133">
        <v>90.43</v>
      </c>
      <c r="G133">
        <v>116182.05</v>
      </c>
      <c r="H133" s="14">
        <v>43767.833333333336</v>
      </c>
    </row>
    <row r="134" spans="1:8" x14ac:dyDescent="0.25">
      <c r="A134">
        <v>16</v>
      </c>
      <c r="B134" t="s">
        <v>469</v>
      </c>
      <c r="C134">
        <v>6</v>
      </c>
      <c r="D134">
        <v>0</v>
      </c>
      <c r="E134">
        <v>0</v>
      </c>
      <c r="F134">
        <v>96.88</v>
      </c>
      <c r="G134">
        <v>110288.32000000001</v>
      </c>
      <c r="H134" s="14">
        <v>43767.833333333336</v>
      </c>
    </row>
    <row r="135" spans="1:8" x14ac:dyDescent="0.25">
      <c r="A135">
        <v>17</v>
      </c>
      <c r="B135" t="s">
        <v>84</v>
      </c>
      <c r="C135">
        <v>1</v>
      </c>
      <c r="D135">
        <v>0</v>
      </c>
      <c r="E135">
        <v>0</v>
      </c>
      <c r="F135">
        <v>119.44</v>
      </c>
      <c r="G135">
        <v>123938.55</v>
      </c>
      <c r="H135" s="14">
        <v>43767.833333333336</v>
      </c>
    </row>
    <row r="136" spans="1:8" x14ac:dyDescent="0.25">
      <c r="A136">
        <v>17</v>
      </c>
      <c r="B136" t="s">
        <v>84</v>
      </c>
      <c r="C136">
        <v>2</v>
      </c>
      <c r="D136">
        <v>0</v>
      </c>
      <c r="E136">
        <v>0</v>
      </c>
      <c r="F136">
        <v>116</v>
      </c>
      <c r="G136">
        <v>122008.79</v>
      </c>
      <c r="H136" s="14">
        <v>43767.833333333336</v>
      </c>
    </row>
    <row r="137" spans="1:8" x14ac:dyDescent="0.25">
      <c r="A137">
        <v>17</v>
      </c>
      <c r="B137" t="s">
        <v>84</v>
      </c>
      <c r="C137">
        <v>3</v>
      </c>
      <c r="D137">
        <v>0</v>
      </c>
      <c r="E137">
        <v>0</v>
      </c>
      <c r="F137">
        <v>113.92</v>
      </c>
      <c r="G137">
        <v>120213.3</v>
      </c>
      <c r="H137" s="14">
        <v>43767.833333333336</v>
      </c>
    </row>
    <row r="138" spans="1:8" x14ac:dyDescent="0.25">
      <c r="A138">
        <v>17</v>
      </c>
      <c r="B138" t="s">
        <v>84</v>
      </c>
      <c r="C138">
        <v>4</v>
      </c>
      <c r="D138">
        <v>0</v>
      </c>
      <c r="E138">
        <v>0</v>
      </c>
      <c r="F138">
        <v>115.19</v>
      </c>
      <c r="G138">
        <v>115077.53</v>
      </c>
      <c r="H138" s="14">
        <v>43767.833333333336</v>
      </c>
    </row>
    <row r="139" spans="1:8" x14ac:dyDescent="0.25">
      <c r="A139">
        <v>17</v>
      </c>
      <c r="B139" t="s">
        <v>84</v>
      </c>
      <c r="C139">
        <v>5</v>
      </c>
      <c r="D139">
        <v>0</v>
      </c>
      <c r="E139">
        <v>0</v>
      </c>
      <c r="F139">
        <v>116.1</v>
      </c>
      <c r="G139">
        <v>121104.68</v>
      </c>
      <c r="H139" s="14">
        <v>43767.833333333336</v>
      </c>
    </row>
    <row r="140" spans="1:8" x14ac:dyDescent="0.25">
      <c r="A140">
        <v>17</v>
      </c>
      <c r="B140" t="s">
        <v>84</v>
      </c>
      <c r="C140">
        <v>6</v>
      </c>
      <c r="D140">
        <v>0</v>
      </c>
      <c r="E140">
        <v>0</v>
      </c>
      <c r="F140">
        <v>115.39</v>
      </c>
      <c r="G140">
        <v>121808.19</v>
      </c>
      <c r="H140" s="14">
        <v>43767.833333333336</v>
      </c>
    </row>
    <row r="141" spans="1:8" x14ac:dyDescent="0.25">
      <c r="A141">
        <v>17</v>
      </c>
      <c r="B141" t="s">
        <v>84</v>
      </c>
      <c r="C141">
        <v>7</v>
      </c>
      <c r="D141">
        <v>0</v>
      </c>
      <c r="E141">
        <v>0</v>
      </c>
      <c r="F141">
        <v>116.15</v>
      </c>
      <c r="G141">
        <v>18986.349999999999</v>
      </c>
      <c r="H141" s="14">
        <v>43767.833333333336</v>
      </c>
    </row>
    <row r="142" spans="1:8" x14ac:dyDescent="0.25">
      <c r="A142">
        <v>17</v>
      </c>
      <c r="B142" t="s">
        <v>84</v>
      </c>
      <c r="C142">
        <v>8</v>
      </c>
      <c r="D142">
        <v>0</v>
      </c>
      <c r="E142">
        <v>0</v>
      </c>
      <c r="F142">
        <v>116.62</v>
      </c>
      <c r="G142">
        <v>112150.39</v>
      </c>
      <c r="H142" s="14">
        <v>43767.833333333336</v>
      </c>
    </row>
    <row r="143" spans="1:8" x14ac:dyDescent="0.25">
      <c r="A143">
        <v>17</v>
      </c>
      <c r="B143" t="s">
        <v>84</v>
      </c>
      <c r="C143">
        <v>9</v>
      </c>
      <c r="D143">
        <v>0</v>
      </c>
      <c r="E143">
        <v>0</v>
      </c>
      <c r="F143">
        <v>124.58</v>
      </c>
      <c r="G143">
        <v>126836.47</v>
      </c>
      <c r="H143" s="14">
        <v>43767.833333333336</v>
      </c>
    </row>
    <row r="144" spans="1:8" x14ac:dyDescent="0.25">
      <c r="A144">
        <v>17</v>
      </c>
      <c r="B144" t="s">
        <v>84</v>
      </c>
      <c r="C144">
        <v>10</v>
      </c>
      <c r="D144">
        <v>0</v>
      </c>
      <c r="E144">
        <v>0</v>
      </c>
      <c r="F144">
        <v>114.35</v>
      </c>
      <c r="G144">
        <v>119634.05</v>
      </c>
      <c r="H144" s="14">
        <v>43767.833333333336</v>
      </c>
    </row>
    <row r="145" spans="1:8" x14ac:dyDescent="0.25">
      <c r="A145">
        <v>17</v>
      </c>
      <c r="B145" t="s">
        <v>84</v>
      </c>
      <c r="C145">
        <v>11</v>
      </c>
      <c r="D145">
        <v>0</v>
      </c>
      <c r="E145">
        <v>0</v>
      </c>
      <c r="F145">
        <v>115.68</v>
      </c>
      <c r="G145">
        <v>121862.84</v>
      </c>
      <c r="H145" s="14">
        <v>43767.833333333336</v>
      </c>
    </row>
    <row r="146" spans="1:8" x14ac:dyDescent="0.25">
      <c r="A146">
        <v>17</v>
      </c>
      <c r="B146" t="s">
        <v>84</v>
      </c>
      <c r="C146">
        <v>12</v>
      </c>
      <c r="D146">
        <v>0</v>
      </c>
      <c r="E146">
        <v>0</v>
      </c>
      <c r="F146">
        <v>115.79</v>
      </c>
      <c r="G146">
        <v>122128.52</v>
      </c>
      <c r="H146" s="14">
        <v>43767.833333333336</v>
      </c>
    </row>
    <row r="147" spans="1:8" x14ac:dyDescent="0.25">
      <c r="A147">
        <v>17</v>
      </c>
      <c r="B147" t="s">
        <v>84</v>
      </c>
      <c r="C147">
        <v>13</v>
      </c>
      <c r="D147">
        <v>0</v>
      </c>
      <c r="E147">
        <v>0</v>
      </c>
      <c r="F147">
        <v>115.72</v>
      </c>
      <c r="G147">
        <v>121073.66</v>
      </c>
      <c r="H147" s="14">
        <v>43767.833333333336</v>
      </c>
    </row>
    <row r="148" spans="1:8" x14ac:dyDescent="0.25">
      <c r="A148">
        <v>17</v>
      </c>
      <c r="B148" t="s">
        <v>84</v>
      </c>
      <c r="C148">
        <v>14</v>
      </c>
      <c r="D148">
        <v>0</v>
      </c>
      <c r="E148">
        <v>0</v>
      </c>
      <c r="F148">
        <v>95.91</v>
      </c>
      <c r="G148">
        <v>85879.98</v>
      </c>
      <c r="H148" s="14">
        <v>43767.833333333336</v>
      </c>
    </row>
    <row r="149" spans="1:8" x14ac:dyDescent="0.25">
      <c r="A149">
        <v>17</v>
      </c>
      <c r="B149" t="s">
        <v>84</v>
      </c>
      <c r="C149">
        <v>15</v>
      </c>
      <c r="D149">
        <v>0</v>
      </c>
      <c r="E149">
        <v>0</v>
      </c>
      <c r="F149">
        <v>97.2</v>
      </c>
      <c r="G149">
        <v>14354.02</v>
      </c>
      <c r="H149" s="14">
        <v>43767.833333333336</v>
      </c>
    </row>
    <row r="150" spans="1:8" x14ac:dyDescent="0.25">
      <c r="A150">
        <v>18</v>
      </c>
      <c r="B150" t="s">
        <v>87</v>
      </c>
      <c r="C150">
        <v>1</v>
      </c>
      <c r="D150">
        <v>0</v>
      </c>
      <c r="E150">
        <v>0</v>
      </c>
      <c r="F150">
        <v>117.13</v>
      </c>
      <c r="G150">
        <v>118948.72</v>
      </c>
      <c r="H150" s="14">
        <v>43767.833333333336</v>
      </c>
    </row>
    <row r="151" spans="1:8" x14ac:dyDescent="0.25">
      <c r="A151">
        <v>18</v>
      </c>
      <c r="B151" t="s">
        <v>87</v>
      </c>
      <c r="C151">
        <v>2</v>
      </c>
      <c r="D151">
        <v>0</v>
      </c>
      <c r="E151">
        <v>0</v>
      </c>
      <c r="F151">
        <v>118.43</v>
      </c>
      <c r="G151">
        <v>120307.01</v>
      </c>
      <c r="H151" s="14">
        <v>43767.833333333336</v>
      </c>
    </row>
    <row r="152" spans="1:8" x14ac:dyDescent="0.25">
      <c r="A152">
        <v>18</v>
      </c>
      <c r="B152" t="s">
        <v>87</v>
      </c>
      <c r="C152">
        <v>3</v>
      </c>
      <c r="D152">
        <v>0</v>
      </c>
      <c r="E152">
        <v>0</v>
      </c>
      <c r="F152">
        <v>116.15</v>
      </c>
      <c r="G152">
        <v>120384.2</v>
      </c>
      <c r="H152" s="14">
        <v>43767.833333333336</v>
      </c>
    </row>
    <row r="153" spans="1:8" x14ac:dyDescent="0.25">
      <c r="A153">
        <v>18</v>
      </c>
      <c r="B153" t="s">
        <v>87</v>
      </c>
      <c r="C153">
        <v>4</v>
      </c>
      <c r="D153">
        <v>0</v>
      </c>
      <c r="E153">
        <v>0</v>
      </c>
      <c r="F153">
        <v>127.39</v>
      </c>
      <c r="G153">
        <v>128016.48</v>
      </c>
      <c r="H153" s="14">
        <v>43767.833333333336</v>
      </c>
    </row>
    <row r="154" spans="1:8" x14ac:dyDescent="0.25">
      <c r="A154">
        <v>18</v>
      </c>
      <c r="B154" t="s">
        <v>87</v>
      </c>
      <c r="C154">
        <v>5</v>
      </c>
      <c r="D154">
        <v>0</v>
      </c>
      <c r="E154">
        <v>0</v>
      </c>
      <c r="F154">
        <v>117.37</v>
      </c>
      <c r="G154">
        <v>122733.66</v>
      </c>
      <c r="H154" s="14">
        <v>43767.833333333336</v>
      </c>
    </row>
    <row r="155" spans="1:8" x14ac:dyDescent="0.25">
      <c r="A155">
        <v>18</v>
      </c>
      <c r="B155" t="s">
        <v>87</v>
      </c>
      <c r="C155">
        <v>6</v>
      </c>
      <c r="D155">
        <v>0</v>
      </c>
      <c r="E155">
        <v>0</v>
      </c>
      <c r="F155">
        <v>117.92</v>
      </c>
      <c r="G155">
        <v>123543.86</v>
      </c>
      <c r="H155" s="14">
        <v>43767.833333333336</v>
      </c>
    </row>
    <row r="156" spans="1:8" x14ac:dyDescent="0.25">
      <c r="A156">
        <v>18</v>
      </c>
      <c r="B156" t="s">
        <v>87</v>
      </c>
      <c r="C156">
        <v>7</v>
      </c>
      <c r="D156">
        <v>0</v>
      </c>
      <c r="E156">
        <v>0</v>
      </c>
      <c r="F156">
        <v>73.3</v>
      </c>
      <c r="G156">
        <v>79491.03</v>
      </c>
      <c r="H156" s="14">
        <v>43767.833333333336</v>
      </c>
    </row>
    <row r="157" spans="1:8" x14ac:dyDescent="0.25">
      <c r="A157">
        <v>19</v>
      </c>
      <c r="B157" t="s">
        <v>90</v>
      </c>
      <c r="C157">
        <v>1</v>
      </c>
      <c r="D157">
        <v>0</v>
      </c>
      <c r="E157">
        <v>0</v>
      </c>
      <c r="F157">
        <v>89.94</v>
      </c>
      <c r="G157">
        <v>120305.37</v>
      </c>
      <c r="H157" s="14">
        <v>43767.833333333336</v>
      </c>
    </row>
    <row r="158" spans="1:8" x14ac:dyDescent="0.25">
      <c r="A158">
        <v>19</v>
      </c>
      <c r="B158" t="s">
        <v>90</v>
      </c>
      <c r="C158">
        <v>2</v>
      </c>
      <c r="D158">
        <v>0</v>
      </c>
      <c r="E158">
        <v>0</v>
      </c>
      <c r="F158">
        <v>77.900000000000006</v>
      </c>
      <c r="G158">
        <v>97299.520000000004</v>
      </c>
      <c r="H158" s="14">
        <v>43767.833333333336</v>
      </c>
    </row>
    <row r="159" spans="1:8" x14ac:dyDescent="0.25">
      <c r="A159">
        <v>19</v>
      </c>
      <c r="B159" t="s">
        <v>90</v>
      </c>
      <c r="C159">
        <v>3</v>
      </c>
      <c r="D159">
        <v>0</v>
      </c>
      <c r="E159">
        <v>0</v>
      </c>
      <c r="F159">
        <v>45.51</v>
      </c>
      <c r="G159">
        <v>69909.59</v>
      </c>
      <c r="H159" s="14">
        <v>43767.833333333336</v>
      </c>
    </row>
    <row r="160" spans="1:8" x14ac:dyDescent="0.25">
      <c r="A160">
        <v>19</v>
      </c>
      <c r="B160" t="s">
        <v>90</v>
      </c>
      <c r="C160">
        <v>4</v>
      </c>
      <c r="D160">
        <v>0</v>
      </c>
      <c r="E160">
        <v>0</v>
      </c>
      <c r="F160">
        <v>49.48</v>
      </c>
      <c r="G160">
        <v>73822.78</v>
      </c>
      <c r="H160" s="14">
        <v>43767.833333333336</v>
      </c>
    </row>
    <row r="161" spans="1:8" x14ac:dyDescent="0.25">
      <c r="A161">
        <v>19</v>
      </c>
      <c r="B161" t="s">
        <v>90</v>
      </c>
      <c r="C161">
        <v>5</v>
      </c>
      <c r="D161">
        <v>0</v>
      </c>
      <c r="E161">
        <v>0</v>
      </c>
      <c r="F161">
        <v>58.63</v>
      </c>
      <c r="G161">
        <v>82780.08</v>
      </c>
      <c r="H161" s="14">
        <v>43767.833333333336</v>
      </c>
    </row>
    <row r="162" spans="1:8" x14ac:dyDescent="0.25">
      <c r="A162">
        <v>19</v>
      </c>
      <c r="B162" t="s">
        <v>90</v>
      </c>
      <c r="C162">
        <v>6</v>
      </c>
      <c r="D162">
        <v>0</v>
      </c>
      <c r="E162">
        <v>0</v>
      </c>
      <c r="F162">
        <v>44.07</v>
      </c>
      <c r="G162">
        <v>65669.25</v>
      </c>
      <c r="H162" s="14">
        <v>43767.833333333336</v>
      </c>
    </row>
    <row r="163" spans="1:8" x14ac:dyDescent="0.25">
      <c r="A163">
        <v>19</v>
      </c>
      <c r="B163" t="s">
        <v>90</v>
      </c>
      <c r="C163">
        <v>7</v>
      </c>
      <c r="D163">
        <v>0</v>
      </c>
      <c r="E163">
        <v>0</v>
      </c>
      <c r="F163">
        <v>63.82</v>
      </c>
      <c r="G163">
        <v>87072.89</v>
      </c>
      <c r="H163" s="14">
        <v>43767.833333333336</v>
      </c>
    </row>
    <row r="164" spans="1:8" x14ac:dyDescent="0.25">
      <c r="A164">
        <v>19</v>
      </c>
      <c r="B164" t="s">
        <v>90</v>
      </c>
      <c r="C164">
        <v>8</v>
      </c>
      <c r="D164">
        <v>0</v>
      </c>
      <c r="E164">
        <v>0</v>
      </c>
      <c r="F164">
        <v>61</v>
      </c>
      <c r="G164">
        <v>80749.710000000006</v>
      </c>
      <c r="H164" s="14">
        <v>43767.833333333336</v>
      </c>
    </row>
    <row r="165" spans="1:8" x14ac:dyDescent="0.25">
      <c r="A165">
        <v>19</v>
      </c>
      <c r="B165" t="s">
        <v>90</v>
      </c>
      <c r="C165">
        <v>9</v>
      </c>
      <c r="D165">
        <v>0</v>
      </c>
      <c r="E165">
        <v>0</v>
      </c>
      <c r="F165">
        <v>60.03</v>
      </c>
      <c r="G165">
        <v>82523.009999999995</v>
      </c>
      <c r="H165" s="14">
        <v>43767.833333333336</v>
      </c>
    </row>
    <row r="166" spans="1:8" x14ac:dyDescent="0.25">
      <c r="A166">
        <v>19</v>
      </c>
      <c r="B166" t="s">
        <v>90</v>
      </c>
      <c r="C166">
        <v>10</v>
      </c>
      <c r="D166">
        <v>0</v>
      </c>
      <c r="E166">
        <v>0</v>
      </c>
      <c r="F166">
        <v>48.07</v>
      </c>
      <c r="G166">
        <v>72383.05</v>
      </c>
      <c r="H166" s="14">
        <v>43767.833333333336</v>
      </c>
    </row>
    <row r="167" spans="1:8" x14ac:dyDescent="0.25">
      <c r="A167">
        <v>20</v>
      </c>
      <c r="B167" t="s">
        <v>94</v>
      </c>
      <c r="C167">
        <v>1</v>
      </c>
      <c r="D167">
        <v>0</v>
      </c>
      <c r="E167">
        <v>0</v>
      </c>
      <c r="F167">
        <v>0</v>
      </c>
      <c r="G167">
        <v>6205.23</v>
      </c>
      <c r="H167" s="14">
        <v>43767.833333333336</v>
      </c>
    </row>
    <row r="168" spans="1:8" x14ac:dyDescent="0.25">
      <c r="A168">
        <v>20</v>
      </c>
      <c r="B168" t="s">
        <v>94</v>
      </c>
      <c r="C168">
        <v>2</v>
      </c>
      <c r="D168">
        <v>0</v>
      </c>
      <c r="E168">
        <v>0</v>
      </c>
      <c r="F168">
        <v>90.98</v>
      </c>
      <c r="G168">
        <v>108682.57</v>
      </c>
      <c r="H168" s="14">
        <v>43767.833333333336</v>
      </c>
    </row>
    <row r="169" spans="1:8" x14ac:dyDescent="0.25">
      <c r="A169">
        <v>20</v>
      </c>
      <c r="B169" t="s">
        <v>94</v>
      </c>
      <c r="C169">
        <v>3</v>
      </c>
      <c r="D169">
        <v>0</v>
      </c>
      <c r="E169">
        <v>0</v>
      </c>
      <c r="F169">
        <v>79.19</v>
      </c>
      <c r="G169">
        <v>107300.8</v>
      </c>
      <c r="H169" s="14">
        <v>43767.833333333336</v>
      </c>
    </row>
    <row r="170" spans="1:8" x14ac:dyDescent="0.25">
      <c r="A170">
        <v>20</v>
      </c>
      <c r="B170" t="s">
        <v>94</v>
      </c>
      <c r="C170">
        <v>4</v>
      </c>
      <c r="D170">
        <v>0</v>
      </c>
      <c r="E170">
        <v>0</v>
      </c>
      <c r="F170">
        <v>101.2</v>
      </c>
      <c r="G170">
        <v>109615.98</v>
      </c>
      <c r="H170" s="14">
        <v>43767.833333333336</v>
      </c>
    </row>
    <row r="171" spans="1:8" x14ac:dyDescent="0.25">
      <c r="A171">
        <v>20</v>
      </c>
      <c r="B171" t="s">
        <v>94</v>
      </c>
      <c r="C171">
        <v>5</v>
      </c>
      <c r="D171">
        <v>0</v>
      </c>
      <c r="E171">
        <v>0</v>
      </c>
      <c r="F171">
        <v>104.33</v>
      </c>
      <c r="G171">
        <v>107760.84</v>
      </c>
      <c r="H171" s="14">
        <v>43767.833333333336</v>
      </c>
    </row>
    <row r="172" spans="1:8" x14ac:dyDescent="0.25">
      <c r="A172">
        <v>20</v>
      </c>
      <c r="B172" t="s">
        <v>94</v>
      </c>
      <c r="C172">
        <v>6</v>
      </c>
      <c r="D172">
        <v>0</v>
      </c>
      <c r="E172">
        <v>0</v>
      </c>
      <c r="F172">
        <v>101.14</v>
      </c>
      <c r="G172">
        <v>105750.15</v>
      </c>
      <c r="H172" s="14">
        <v>43767.833333333336</v>
      </c>
    </row>
    <row r="173" spans="1:8" x14ac:dyDescent="0.25">
      <c r="A173">
        <v>20</v>
      </c>
      <c r="B173" t="s">
        <v>94</v>
      </c>
      <c r="C173">
        <v>7</v>
      </c>
      <c r="D173">
        <v>0</v>
      </c>
      <c r="E173">
        <v>0</v>
      </c>
      <c r="F173">
        <v>88.74</v>
      </c>
      <c r="G173">
        <v>102115.33</v>
      </c>
      <c r="H173" s="14">
        <v>43767.833333333336</v>
      </c>
    </row>
    <row r="174" spans="1:8" x14ac:dyDescent="0.25">
      <c r="A174">
        <v>21</v>
      </c>
      <c r="B174" t="s">
        <v>97</v>
      </c>
      <c r="C174">
        <v>1</v>
      </c>
      <c r="D174">
        <v>0</v>
      </c>
      <c r="E174">
        <v>0</v>
      </c>
      <c r="F174">
        <v>108.1</v>
      </c>
      <c r="G174">
        <v>110568.16</v>
      </c>
      <c r="H174" s="14">
        <v>43767.833333333336</v>
      </c>
    </row>
    <row r="175" spans="1:8" x14ac:dyDescent="0.25">
      <c r="A175">
        <v>21</v>
      </c>
      <c r="B175" t="s">
        <v>97</v>
      </c>
      <c r="C175">
        <v>2</v>
      </c>
      <c r="D175">
        <v>0</v>
      </c>
      <c r="E175">
        <v>0</v>
      </c>
      <c r="F175">
        <v>105.79</v>
      </c>
      <c r="G175">
        <v>107019.92</v>
      </c>
      <c r="H175" s="14">
        <v>43767.833333333336</v>
      </c>
    </row>
    <row r="176" spans="1:8" x14ac:dyDescent="0.25">
      <c r="A176">
        <v>21</v>
      </c>
      <c r="B176" t="s">
        <v>97</v>
      </c>
      <c r="C176">
        <v>3</v>
      </c>
      <c r="D176">
        <v>0</v>
      </c>
      <c r="E176">
        <v>0</v>
      </c>
      <c r="F176">
        <v>104.38</v>
      </c>
      <c r="G176">
        <v>104077.09</v>
      </c>
      <c r="H176" s="14">
        <v>43767.833333333336</v>
      </c>
    </row>
    <row r="177" spans="1:8" x14ac:dyDescent="0.25">
      <c r="A177">
        <v>21</v>
      </c>
      <c r="B177" t="s">
        <v>97</v>
      </c>
      <c r="C177">
        <v>4</v>
      </c>
      <c r="D177">
        <v>0</v>
      </c>
      <c r="E177">
        <v>0</v>
      </c>
      <c r="F177">
        <v>102.99</v>
      </c>
      <c r="G177">
        <v>114388.65</v>
      </c>
      <c r="H177" s="14">
        <v>43767.833333333336</v>
      </c>
    </row>
    <row r="178" spans="1:8" x14ac:dyDescent="0.25">
      <c r="A178">
        <v>21</v>
      </c>
      <c r="B178" t="s">
        <v>97</v>
      </c>
      <c r="C178">
        <v>5</v>
      </c>
      <c r="D178">
        <v>0</v>
      </c>
      <c r="E178">
        <v>0</v>
      </c>
      <c r="F178">
        <v>62.5</v>
      </c>
      <c r="G178">
        <v>70573.259999999995</v>
      </c>
      <c r="H178" s="14">
        <v>43767.833333333336</v>
      </c>
    </row>
    <row r="179" spans="1:8" x14ac:dyDescent="0.25">
      <c r="A179">
        <v>21</v>
      </c>
      <c r="B179" t="s">
        <v>97</v>
      </c>
      <c r="C179">
        <v>6</v>
      </c>
      <c r="D179">
        <v>0</v>
      </c>
      <c r="E179">
        <v>0</v>
      </c>
      <c r="F179">
        <v>97.72</v>
      </c>
      <c r="G179">
        <v>107411.08</v>
      </c>
      <c r="H179" s="14">
        <v>43767.833333333336</v>
      </c>
    </row>
    <row r="180" spans="1:8" x14ac:dyDescent="0.25">
      <c r="A180">
        <v>21</v>
      </c>
      <c r="B180" t="s">
        <v>97</v>
      </c>
      <c r="C180">
        <v>7</v>
      </c>
      <c r="D180">
        <v>0</v>
      </c>
      <c r="E180">
        <v>0</v>
      </c>
      <c r="F180">
        <v>103.15</v>
      </c>
      <c r="G180">
        <v>102068.12</v>
      </c>
      <c r="H180" s="14">
        <v>43767.833333333336</v>
      </c>
    </row>
    <row r="181" spans="1:8" x14ac:dyDescent="0.25">
      <c r="A181">
        <v>21</v>
      </c>
      <c r="B181" t="s">
        <v>97</v>
      </c>
      <c r="C181">
        <v>8</v>
      </c>
      <c r="D181">
        <v>0</v>
      </c>
      <c r="E181">
        <v>0</v>
      </c>
      <c r="F181">
        <v>101.46</v>
      </c>
      <c r="G181">
        <v>102780.53</v>
      </c>
      <c r="H181" s="14">
        <v>43767.833333333336</v>
      </c>
    </row>
    <row r="182" spans="1:8" x14ac:dyDescent="0.25">
      <c r="A182">
        <v>21</v>
      </c>
      <c r="B182" t="s">
        <v>97</v>
      </c>
      <c r="C182">
        <v>9</v>
      </c>
      <c r="D182">
        <v>0</v>
      </c>
      <c r="E182">
        <v>0</v>
      </c>
      <c r="F182">
        <v>93.31</v>
      </c>
      <c r="G182">
        <v>107684.81</v>
      </c>
      <c r="H182" s="14">
        <v>43767.833333333336</v>
      </c>
    </row>
    <row r="183" spans="1:8" x14ac:dyDescent="0.25">
      <c r="A183">
        <v>22</v>
      </c>
      <c r="B183" t="s">
        <v>100</v>
      </c>
      <c r="C183">
        <v>1</v>
      </c>
      <c r="D183">
        <v>0</v>
      </c>
      <c r="E183">
        <v>0</v>
      </c>
      <c r="F183">
        <v>69.23</v>
      </c>
      <c r="G183">
        <v>124142.12</v>
      </c>
      <c r="H183" s="14">
        <v>43767.833333333336</v>
      </c>
    </row>
    <row r="184" spans="1:8" x14ac:dyDescent="0.25">
      <c r="A184">
        <v>22</v>
      </c>
      <c r="B184" t="s">
        <v>100</v>
      </c>
      <c r="C184">
        <v>2</v>
      </c>
      <c r="D184">
        <v>0</v>
      </c>
      <c r="E184">
        <v>0</v>
      </c>
      <c r="F184">
        <v>110.8</v>
      </c>
      <c r="G184">
        <v>151317.44</v>
      </c>
      <c r="H184" s="14">
        <v>43767.833333333336</v>
      </c>
    </row>
    <row r="185" spans="1:8" x14ac:dyDescent="0.25">
      <c r="A185">
        <v>22</v>
      </c>
      <c r="B185" t="s">
        <v>100</v>
      </c>
      <c r="C185">
        <v>3</v>
      </c>
      <c r="D185">
        <v>0</v>
      </c>
      <c r="E185">
        <v>0</v>
      </c>
      <c r="F185">
        <v>83.26</v>
      </c>
      <c r="G185">
        <v>133577.53</v>
      </c>
      <c r="H185" s="14">
        <v>43767.833333333336</v>
      </c>
    </row>
    <row r="186" spans="1:8" x14ac:dyDescent="0.25">
      <c r="A186">
        <v>22</v>
      </c>
      <c r="B186" t="s">
        <v>100</v>
      </c>
      <c r="C186">
        <v>4</v>
      </c>
      <c r="D186">
        <v>0</v>
      </c>
      <c r="E186">
        <v>0</v>
      </c>
      <c r="F186">
        <v>85.11</v>
      </c>
      <c r="G186">
        <v>127178.84</v>
      </c>
      <c r="H186" s="14">
        <v>43767.833333333336</v>
      </c>
    </row>
    <row r="187" spans="1:8" x14ac:dyDescent="0.25">
      <c r="A187">
        <v>22</v>
      </c>
      <c r="B187" t="s">
        <v>100</v>
      </c>
      <c r="C187">
        <v>5</v>
      </c>
      <c r="D187">
        <v>0</v>
      </c>
      <c r="E187">
        <v>0</v>
      </c>
      <c r="F187">
        <v>87.5</v>
      </c>
      <c r="G187">
        <v>119585.66</v>
      </c>
      <c r="H187" s="14">
        <v>43767.833333333336</v>
      </c>
    </row>
    <row r="188" spans="1:8" x14ac:dyDescent="0.25">
      <c r="A188">
        <v>22</v>
      </c>
      <c r="B188" t="s">
        <v>100</v>
      </c>
      <c r="C188">
        <v>6</v>
      </c>
      <c r="D188">
        <v>0</v>
      </c>
      <c r="E188">
        <v>0</v>
      </c>
      <c r="F188">
        <v>75.260000000000005</v>
      </c>
      <c r="G188">
        <v>130450.73</v>
      </c>
      <c r="H188" s="14">
        <v>43767.833333333336</v>
      </c>
    </row>
    <row r="189" spans="1:8" x14ac:dyDescent="0.25">
      <c r="A189">
        <v>22</v>
      </c>
      <c r="B189" t="s">
        <v>100</v>
      </c>
      <c r="C189">
        <v>7</v>
      </c>
      <c r="D189">
        <v>0</v>
      </c>
      <c r="E189">
        <v>0</v>
      </c>
      <c r="F189">
        <v>107.54</v>
      </c>
      <c r="G189">
        <v>148991.12</v>
      </c>
      <c r="H189" s="14">
        <v>43767.833333333336</v>
      </c>
    </row>
    <row r="190" spans="1:8" x14ac:dyDescent="0.25">
      <c r="A190">
        <v>22</v>
      </c>
      <c r="B190" t="s">
        <v>100</v>
      </c>
      <c r="C190">
        <v>8</v>
      </c>
      <c r="D190">
        <v>0</v>
      </c>
      <c r="E190">
        <v>0</v>
      </c>
      <c r="F190">
        <v>89.9</v>
      </c>
      <c r="G190">
        <v>131647.95000000001</v>
      </c>
      <c r="H190" s="14">
        <v>43767.833333333336</v>
      </c>
    </row>
    <row r="191" spans="1:8" x14ac:dyDescent="0.25">
      <c r="A191">
        <v>22</v>
      </c>
      <c r="B191" t="s">
        <v>100</v>
      </c>
      <c r="C191">
        <v>9</v>
      </c>
      <c r="D191">
        <v>0</v>
      </c>
      <c r="E191">
        <v>0</v>
      </c>
      <c r="F191">
        <v>89.48</v>
      </c>
      <c r="G191">
        <v>129349.82</v>
      </c>
      <c r="H191" s="14">
        <v>43767.833333333336</v>
      </c>
    </row>
    <row r="192" spans="1:8" x14ac:dyDescent="0.25">
      <c r="A192">
        <v>22</v>
      </c>
      <c r="B192" t="s">
        <v>100</v>
      </c>
      <c r="C192">
        <v>10</v>
      </c>
      <c r="D192">
        <v>0</v>
      </c>
      <c r="E192">
        <v>0</v>
      </c>
      <c r="F192">
        <v>75.89</v>
      </c>
      <c r="G192">
        <v>124539.58</v>
      </c>
      <c r="H192" s="14">
        <v>43767.833333333336</v>
      </c>
    </row>
    <row r="193" spans="1:8" x14ac:dyDescent="0.25">
      <c r="A193">
        <v>22</v>
      </c>
      <c r="B193" t="s">
        <v>100</v>
      </c>
      <c r="C193">
        <v>11</v>
      </c>
      <c r="D193">
        <v>0</v>
      </c>
      <c r="E193">
        <v>0</v>
      </c>
      <c r="F193">
        <v>109.37</v>
      </c>
      <c r="G193">
        <v>153736.73000000001</v>
      </c>
      <c r="H193" s="14">
        <v>43767.833333333336</v>
      </c>
    </row>
    <row r="194" spans="1:8" x14ac:dyDescent="0.25">
      <c r="A194">
        <v>22</v>
      </c>
      <c r="B194" t="s">
        <v>100</v>
      </c>
      <c r="C194">
        <v>12</v>
      </c>
      <c r="D194">
        <v>0</v>
      </c>
      <c r="E194">
        <v>0</v>
      </c>
      <c r="F194">
        <v>64.8</v>
      </c>
      <c r="G194">
        <v>97322.6</v>
      </c>
      <c r="H194" s="14">
        <v>43767.833333333336</v>
      </c>
    </row>
    <row r="195" spans="1:8" x14ac:dyDescent="0.25">
      <c r="A195">
        <v>23</v>
      </c>
      <c r="B195" t="s">
        <v>103</v>
      </c>
      <c r="C195">
        <v>1</v>
      </c>
      <c r="D195">
        <v>0</v>
      </c>
      <c r="E195">
        <v>0</v>
      </c>
      <c r="F195">
        <v>108.8</v>
      </c>
      <c r="G195">
        <v>118146.33</v>
      </c>
      <c r="H195" s="14">
        <v>43767.833333333336</v>
      </c>
    </row>
    <row r="196" spans="1:8" x14ac:dyDescent="0.25">
      <c r="A196">
        <v>23</v>
      </c>
      <c r="B196" t="s">
        <v>103</v>
      </c>
      <c r="C196">
        <v>2</v>
      </c>
      <c r="D196">
        <v>0</v>
      </c>
      <c r="E196">
        <v>0</v>
      </c>
      <c r="F196">
        <v>115.36</v>
      </c>
      <c r="G196">
        <v>121020.8</v>
      </c>
      <c r="H196" s="14">
        <v>43767.833333333336</v>
      </c>
    </row>
    <row r="197" spans="1:8" x14ac:dyDescent="0.25">
      <c r="A197">
        <v>23</v>
      </c>
      <c r="B197" t="s">
        <v>103</v>
      </c>
      <c r="C197">
        <v>3</v>
      </c>
      <c r="D197">
        <v>0</v>
      </c>
      <c r="E197">
        <v>0</v>
      </c>
      <c r="F197">
        <v>109.94</v>
      </c>
      <c r="G197">
        <v>121521.82</v>
      </c>
      <c r="H197" s="14">
        <v>43767.833333333336</v>
      </c>
    </row>
    <row r="198" spans="1:8" x14ac:dyDescent="0.25">
      <c r="A198">
        <v>23</v>
      </c>
      <c r="B198" t="s">
        <v>103</v>
      </c>
      <c r="C198">
        <v>4</v>
      </c>
      <c r="D198">
        <v>0</v>
      </c>
      <c r="E198">
        <v>0</v>
      </c>
      <c r="F198">
        <v>113.63</v>
      </c>
      <c r="G198">
        <v>112898.32</v>
      </c>
      <c r="H198" s="14">
        <v>43767.833333333336</v>
      </c>
    </row>
    <row r="199" spans="1:8" x14ac:dyDescent="0.25">
      <c r="A199">
        <v>23</v>
      </c>
      <c r="B199" t="s">
        <v>103</v>
      </c>
      <c r="C199">
        <v>5</v>
      </c>
      <c r="D199">
        <v>0</v>
      </c>
      <c r="E199">
        <v>0</v>
      </c>
      <c r="F199">
        <v>102.73</v>
      </c>
      <c r="G199">
        <v>100239.14</v>
      </c>
      <c r="H199" s="14">
        <v>43767.833333333336</v>
      </c>
    </row>
    <row r="200" spans="1:8" x14ac:dyDescent="0.25">
      <c r="A200">
        <v>24</v>
      </c>
      <c r="B200" t="s">
        <v>106</v>
      </c>
      <c r="C200">
        <v>1</v>
      </c>
      <c r="D200">
        <v>0</v>
      </c>
      <c r="E200">
        <v>0</v>
      </c>
      <c r="F200">
        <v>103.75</v>
      </c>
      <c r="G200">
        <v>138330.5</v>
      </c>
      <c r="H200" s="14">
        <v>43767.833333333336</v>
      </c>
    </row>
    <row r="201" spans="1:8" x14ac:dyDescent="0.25">
      <c r="A201">
        <v>24</v>
      </c>
      <c r="B201" t="s">
        <v>106</v>
      </c>
      <c r="C201">
        <v>2</v>
      </c>
      <c r="D201">
        <v>0</v>
      </c>
      <c r="E201">
        <v>0</v>
      </c>
      <c r="F201">
        <v>108.89</v>
      </c>
      <c r="G201">
        <v>138628.92000000001</v>
      </c>
      <c r="H201" s="14">
        <v>43767.833333333336</v>
      </c>
    </row>
    <row r="202" spans="1:8" x14ac:dyDescent="0.25">
      <c r="A202">
        <v>24</v>
      </c>
      <c r="B202" t="s">
        <v>106</v>
      </c>
      <c r="C202">
        <v>3</v>
      </c>
      <c r="D202">
        <v>0</v>
      </c>
      <c r="E202">
        <v>0</v>
      </c>
      <c r="F202">
        <v>110.68</v>
      </c>
      <c r="G202">
        <v>142225.79999999999</v>
      </c>
      <c r="H202" s="14">
        <v>43767.833333333336</v>
      </c>
    </row>
    <row r="203" spans="1:8" x14ac:dyDescent="0.25">
      <c r="A203">
        <v>24</v>
      </c>
      <c r="B203" t="s">
        <v>106</v>
      </c>
      <c r="C203">
        <v>4</v>
      </c>
      <c r="D203">
        <v>0</v>
      </c>
      <c r="E203">
        <v>0</v>
      </c>
      <c r="F203">
        <v>99.3</v>
      </c>
      <c r="G203">
        <v>131344.66</v>
      </c>
      <c r="H203" s="14">
        <v>43767.833333333336</v>
      </c>
    </row>
    <row r="204" spans="1:8" x14ac:dyDescent="0.25">
      <c r="A204">
        <v>24</v>
      </c>
      <c r="B204" t="s">
        <v>106</v>
      </c>
      <c r="C204">
        <v>5</v>
      </c>
      <c r="D204">
        <v>0</v>
      </c>
      <c r="E204">
        <v>0</v>
      </c>
      <c r="F204">
        <v>110.25</v>
      </c>
      <c r="G204">
        <v>135596.70000000001</v>
      </c>
      <c r="H204" s="14">
        <v>43767.833333333336</v>
      </c>
    </row>
    <row r="205" spans="1:8" x14ac:dyDescent="0.25">
      <c r="A205">
        <v>24</v>
      </c>
      <c r="B205" t="s">
        <v>106</v>
      </c>
      <c r="C205">
        <v>6</v>
      </c>
      <c r="D205">
        <v>0</v>
      </c>
      <c r="E205">
        <v>0</v>
      </c>
      <c r="F205">
        <v>100</v>
      </c>
      <c r="G205">
        <v>129348.41</v>
      </c>
      <c r="H205" s="14">
        <v>43767.833333333336</v>
      </c>
    </row>
    <row r="206" spans="1:8" x14ac:dyDescent="0.25">
      <c r="A206">
        <v>24</v>
      </c>
      <c r="B206" t="s">
        <v>106</v>
      </c>
      <c r="C206">
        <v>7</v>
      </c>
      <c r="D206">
        <v>0</v>
      </c>
      <c r="E206">
        <v>0</v>
      </c>
      <c r="F206">
        <v>110.28</v>
      </c>
      <c r="G206">
        <v>131383.31</v>
      </c>
      <c r="H206" s="14">
        <v>43767.833333333336</v>
      </c>
    </row>
    <row r="207" spans="1:8" x14ac:dyDescent="0.25">
      <c r="A207">
        <v>24</v>
      </c>
      <c r="B207" t="s">
        <v>106</v>
      </c>
      <c r="C207">
        <v>8</v>
      </c>
      <c r="D207">
        <v>0</v>
      </c>
      <c r="E207">
        <v>0</v>
      </c>
      <c r="F207">
        <v>102.97</v>
      </c>
      <c r="G207">
        <v>125247.2</v>
      </c>
      <c r="H207" s="14">
        <v>43767.833333333336</v>
      </c>
    </row>
    <row r="208" spans="1:8" x14ac:dyDescent="0.25">
      <c r="A208">
        <v>24</v>
      </c>
      <c r="B208" t="s">
        <v>106</v>
      </c>
      <c r="C208">
        <v>9</v>
      </c>
      <c r="D208">
        <v>0</v>
      </c>
      <c r="E208">
        <v>0</v>
      </c>
      <c r="F208">
        <v>110.45</v>
      </c>
      <c r="G208">
        <v>128697.29</v>
      </c>
      <c r="H208" s="14">
        <v>43767.833333333336</v>
      </c>
    </row>
    <row r="209" spans="1:8" x14ac:dyDescent="0.25">
      <c r="A209">
        <v>24</v>
      </c>
      <c r="B209" t="s">
        <v>106</v>
      </c>
      <c r="C209">
        <v>10</v>
      </c>
      <c r="D209">
        <v>0</v>
      </c>
      <c r="E209">
        <v>0</v>
      </c>
      <c r="F209">
        <v>71.31</v>
      </c>
      <c r="G209">
        <v>91705.93</v>
      </c>
      <c r="H209" s="14">
        <v>43767.833333333336</v>
      </c>
    </row>
    <row r="210" spans="1:8" x14ac:dyDescent="0.25">
      <c r="A210">
        <v>25</v>
      </c>
      <c r="B210" t="s">
        <v>109</v>
      </c>
      <c r="C210">
        <v>1</v>
      </c>
      <c r="D210">
        <v>0</v>
      </c>
      <c r="E210">
        <v>0</v>
      </c>
      <c r="F210">
        <v>81.83</v>
      </c>
      <c r="G210">
        <v>123901.27</v>
      </c>
      <c r="H210" s="14">
        <v>43767.833333333336</v>
      </c>
    </row>
    <row r="211" spans="1:8" x14ac:dyDescent="0.25">
      <c r="A211">
        <v>25</v>
      </c>
      <c r="B211" t="s">
        <v>109</v>
      </c>
      <c r="C211">
        <v>2</v>
      </c>
      <c r="D211">
        <v>0</v>
      </c>
      <c r="E211">
        <v>0</v>
      </c>
      <c r="F211">
        <v>80.23</v>
      </c>
      <c r="G211">
        <v>120717.96</v>
      </c>
      <c r="H211" s="14">
        <v>43767.833333333336</v>
      </c>
    </row>
    <row r="212" spans="1:8" x14ac:dyDescent="0.25">
      <c r="A212">
        <v>25</v>
      </c>
      <c r="B212" t="s">
        <v>109</v>
      </c>
      <c r="C212">
        <v>3</v>
      </c>
      <c r="D212">
        <v>0</v>
      </c>
      <c r="E212">
        <v>0</v>
      </c>
      <c r="F212">
        <v>81.19</v>
      </c>
      <c r="G212">
        <v>123809.52</v>
      </c>
      <c r="H212" s="14">
        <v>43767.833333333336</v>
      </c>
    </row>
    <row r="213" spans="1:8" x14ac:dyDescent="0.25">
      <c r="A213">
        <v>25</v>
      </c>
      <c r="B213" t="s">
        <v>109</v>
      </c>
      <c r="C213">
        <v>4</v>
      </c>
      <c r="D213">
        <v>0</v>
      </c>
      <c r="E213">
        <v>0</v>
      </c>
      <c r="F213">
        <v>80.92</v>
      </c>
      <c r="G213">
        <v>121346.44</v>
      </c>
      <c r="H213" s="14">
        <v>43767.833333333336</v>
      </c>
    </row>
    <row r="214" spans="1:8" x14ac:dyDescent="0.25">
      <c r="A214">
        <v>25</v>
      </c>
      <c r="B214" t="s">
        <v>109</v>
      </c>
      <c r="C214">
        <v>5</v>
      </c>
      <c r="D214">
        <v>0</v>
      </c>
      <c r="E214">
        <v>0</v>
      </c>
      <c r="F214">
        <v>79.709999999999994</v>
      </c>
      <c r="G214">
        <v>122350.62</v>
      </c>
      <c r="H214" s="14">
        <v>43767.833333333336</v>
      </c>
    </row>
    <row r="215" spans="1:8" x14ac:dyDescent="0.25">
      <c r="A215">
        <v>25</v>
      </c>
      <c r="B215" t="s">
        <v>109</v>
      </c>
      <c r="C215">
        <v>6</v>
      </c>
      <c r="D215">
        <v>0</v>
      </c>
      <c r="E215">
        <v>0</v>
      </c>
      <c r="F215">
        <v>90.22</v>
      </c>
      <c r="G215">
        <v>21260.69</v>
      </c>
      <c r="H215" s="14">
        <v>43767.833333333336</v>
      </c>
    </row>
    <row r="216" spans="1:8" x14ac:dyDescent="0.25">
      <c r="A216">
        <v>25</v>
      </c>
      <c r="B216" t="s">
        <v>109</v>
      </c>
      <c r="C216">
        <v>7</v>
      </c>
      <c r="D216">
        <v>0</v>
      </c>
      <c r="E216">
        <v>0</v>
      </c>
      <c r="F216">
        <v>90.8</v>
      </c>
      <c r="G216">
        <v>50369.57</v>
      </c>
      <c r="H216" s="14">
        <v>43767.833333333336</v>
      </c>
    </row>
    <row r="217" spans="1:8" x14ac:dyDescent="0.25">
      <c r="A217">
        <v>25</v>
      </c>
      <c r="B217" t="s">
        <v>109</v>
      </c>
      <c r="C217">
        <v>8</v>
      </c>
      <c r="D217">
        <v>0</v>
      </c>
      <c r="E217">
        <v>0</v>
      </c>
      <c r="F217">
        <v>90.24</v>
      </c>
      <c r="G217">
        <v>119833.25</v>
      </c>
      <c r="H217" s="14">
        <v>43767.833333333336</v>
      </c>
    </row>
    <row r="218" spans="1:8" x14ac:dyDescent="0.25">
      <c r="A218">
        <v>25</v>
      </c>
      <c r="B218" t="s">
        <v>109</v>
      </c>
      <c r="C218">
        <v>9</v>
      </c>
      <c r="D218">
        <v>0</v>
      </c>
      <c r="E218">
        <v>0</v>
      </c>
      <c r="F218">
        <v>90.03</v>
      </c>
      <c r="G218">
        <v>119396.37</v>
      </c>
      <c r="H218" s="14">
        <v>43767.833333333336</v>
      </c>
    </row>
    <row r="219" spans="1:8" x14ac:dyDescent="0.25">
      <c r="A219">
        <v>25</v>
      </c>
      <c r="B219" t="s">
        <v>109</v>
      </c>
      <c r="C219">
        <v>10</v>
      </c>
      <c r="D219">
        <v>0</v>
      </c>
      <c r="E219">
        <v>0</v>
      </c>
      <c r="F219">
        <v>89.14</v>
      </c>
      <c r="G219">
        <v>123376.41</v>
      </c>
      <c r="H219" s="14">
        <v>43767.833333333336</v>
      </c>
    </row>
    <row r="220" spans="1:8" x14ac:dyDescent="0.25">
      <c r="A220">
        <v>25</v>
      </c>
      <c r="B220" t="s">
        <v>109</v>
      </c>
      <c r="C220">
        <v>11</v>
      </c>
      <c r="D220">
        <v>0</v>
      </c>
      <c r="E220">
        <v>0</v>
      </c>
      <c r="F220">
        <v>90.07</v>
      </c>
      <c r="G220">
        <v>125841.14</v>
      </c>
      <c r="H220" s="14">
        <v>43767.833333333336</v>
      </c>
    </row>
    <row r="221" spans="1:8" x14ac:dyDescent="0.25">
      <c r="A221">
        <v>25</v>
      </c>
      <c r="B221" t="s">
        <v>109</v>
      </c>
      <c r="C221">
        <v>12</v>
      </c>
      <c r="D221">
        <v>0</v>
      </c>
      <c r="E221">
        <v>0</v>
      </c>
      <c r="F221">
        <v>90.03</v>
      </c>
      <c r="G221">
        <v>123120.08</v>
      </c>
      <c r="H221" s="14">
        <v>43767.833333333336</v>
      </c>
    </row>
    <row r="222" spans="1:8" x14ac:dyDescent="0.25">
      <c r="A222">
        <v>25</v>
      </c>
      <c r="B222" t="s">
        <v>109</v>
      </c>
      <c r="C222">
        <v>13</v>
      </c>
      <c r="D222">
        <v>0</v>
      </c>
      <c r="E222">
        <v>0</v>
      </c>
      <c r="F222">
        <v>89.61</v>
      </c>
      <c r="G222">
        <v>126894.12</v>
      </c>
      <c r="H222" s="14">
        <v>43767.833333333336</v>
      </c>
    </row>
    <row r="223" spans="1:8" x14ac:dyDescent="0.25">
      <c r="A223">
        <v>25</v>
      </c>
      <c r="B223" t="s">
        <v>109</v>
      </c>
      <c r="C223">
        <v>14</v>
      </c>
      <c r="D223">
        <v>0</v>
      </c>
      <c r="E223">
        <v>0</v>
      </c>
      <c r="F223">
        <v>86.7</v>
      </c>
      <c r="G223">
        <v>123953.95</v>
      </c>
      <c r="H223" s="14">
        <v>43767.833333333336</v>
      </c>
    </row>
    <row r="224" spans="1:8" x14ac:dyDescent="0.25">
      <c r="A224">
        <v>26</v>
      </c>
      <c r="B224" t="s">
        <v>112</v>
      </c>
      <c r="C224">
        <v>1</v>
      </c>
      <c r="D224">
        <v>0</v>
      </c>
      <c r="E224">
        <v>0</v>
      </c>
      <c r="F224">
        <v>79.59</v>
      </c>
      <c r="G224">
        <v>116184.28</v>
      </c>
      <c r="H224" s="14">
        <v>43767.833333333336</v>
      </c>
    </row>
    <row r="225" spans="1:8" x14ac:dyDescent="0.25">
      <c r="A225">
        <v>26</v>
      </c>
      <c r="B225" t="s">
        <v>112</v>
      </c>
      <c r="C225">
        <v>2</v>
      </c>
      <c r="D225">
        <v>0</v>
      </c>
      <c r="E225">
        <v>0</v>
      </c>
      <c r="F225">
        <v>79.72</v>
      </c>
      <c r="G225">
        <v>122754.23</v>
      </c>
      <c r="H225" s="14">
        <v>43767.833333333336</v>
      </c>
    </row>
    <row r="226" spans="1:8" x14ac:dyDescent="0.25">
      <c r="A226">
        <v>26</v>
      </c>
      <c r="B226" t="s">
        <v>112</v>
      </c>
      <c r="C226">
        <v>3</v>
      </c>
      <c r="D226">
        <v>0</v>
      </c>
      <c r="E226">
        <v>0</v>
      </c>
      <c r="F226">
        <v>79.84</v>
      </c>
      <c r="G226">
        <v>108552.18</v>
      </c>
      <c r="H226" s="14">
        <v>43767.833333333336</v>
      </c>
    </row>
    <row r="227" spans="1:8" x14ac:dyDescent="0.25">
      <c r="A227">
        <v>26</v>
      </c>
      <c r="B227" t="s">
        <v>112</v>
      </c>
      <c r="C227">
        <v>4</v>
      </c>
      <c r="D227">
        <v>0</v>
      </c>
      <c r="E227">
        <v>0</v>
      </c>
      <c r="F227">
        <v>79.349999999999994</v>
      </c>
      <c r="G227">
        <v>104446.39999999999</v>
      </c>
      <c r="H227" s="14">
        <v>43767.833333333336</v>
      </c>
    </row>
    <row r="228" spans="1:8" x14ac:dyDescent="0.25">
      <c r="A228">
        <v>26</v>
      </c>
      <c r="B228" t="s">
        <v>112</v>
      </c>
      <c r="C228">
        <v>5</v>
      </c>
      <c r="D228">
        <v>0</v>
      </c>
      <c r="E228">
        <v>0</v>
      </c>
      <c r="F228">
        <v>79.69</v>
      </c>
      <c r="G228">
        <v>115269.39</v>
      </c>
      <c r="H228" s="14">
        <v>43767.833333333336</v>
      </c>
    </row>
    <row r="229" spans="1:8" x14ac:dyDescent="0.25">
      <c r="A229">
        <v>26</v>
      </c>
      <c r="B229" t="s">
        <v>112</v>
      </c>
      <c r="C229">
        <v>6</v>
      </c>
      <c r="D229">
        <v>0</v>
      </c>
      <c r="E229">
        <v>0</v>
      </c>
      <c r="F229">
        <v>84.67</v>
      </c>
      <c r="G229">
        <v>122458.96</v>
      </c>
      <c r="H229" s="14">
        <v>43767.833333333336</v>
      </c>
    </row>
    <row r="230" spans="1:8" x14ac:dyDescent="0.25">
      <c r="A230">
        <v>26</v>
      </c>
      <c r="B230" t="s">
        <v>112</v>
      </c>
      <c r="C230">
        <v>7</v>
      </c>
      <c r="D230">
        <v>0</v>
      </c>
      <c r="E230">
        <v>0</v>
      </c>
      <c r="F230">
        <v>89.2</v>
      </c>
      <c r="G230">
        <v>118852.5</v>
      </c>
      <c r="H230" s="14">
        <v>43767.833333333336</v>
      </c>
    </row>
    <row r="231" spans="1:8" x14ac:dyDescent="0.25">
      <c r="A231">
        <v>26</v>
      </c>
      <c r="B231" t="s">
        <v>112</v>
      </c>
      <c r="C231">
        <v>8</v>
      </c>
      <c r="D231">
        <v>0</v>
      </c>
      <c r="E231">
        <v>0</v>
      </c>
      <c r="F231">
        <v>89.65</v>
      </c>
      <c r="G231">
        <v>117093.27</v>
      </c>
      <c r="H231" s="14">
        <v>43767.833333333336</v>
      </c>
    </row>
    <row r="232" spans="1:8" x14ac:dyDescent="0.25">
      <c r="A232">
        <v>26</v>
      </c>
      <c r="B232" t="s">
        <v>112</v>
      </c>
      <c r="C232">
        <v>9</v>
      </c>
      <c r="D232">
        <v>0</v>
      </c>
      <c r="E232">
        <v>0</v>
      </c>
      <c r="F232">
        <v>89.75</v>
      </c>
      <c r="G232">
        <v>113446.14</v>
      </c>
      <c r="H232" s="14">
        <v>43767.833333333336</v>
      </c>
    </row>
    <row r="233" spans="1:8" x14ac:dyDescent="0.25">
      <c r="A233">
        <v>26</v>
      </c>
      <c r="B233" t="s">
        <v>112</v>
      </c>
      <c r="C233">
        <v>10</v>
      </c>
      <c r="D233">
        <v>0</v>
      </c>
      <c r="E233">
        <v>0</v>
      </c>
      <c r="F233">
        <v>88.84</v>
      </c>
      <c r="G233">
        <v>116140.12</v>
      </c>
      <c r="H233" s="14">
        <v>43767.833333333336</v>
      </c>
    </row>
    <row r="234" spans="1:8" x14ac:dyDescent="0.25">
      <c r="A234">
        <v>26</v>
      </c>
      <c r="B234" t="s">
        <v>112</v>
      </c>
      <c r="C234">
        <v>11</v>
      </c>
      <c r="D234">
        <v>0</v>
      </c>
      <c r="E234">
        <v>0</v>
      </c>
      <c r="F234">
        <v>87.91</v>
      </c>
      <c r="G234">
        <v>126322.52</v>
      </c>
      <c r="H234" s="14">
        <v>43767.833333333336</v>
      </c>
    </row>
    <row r="235" spans="1:8" x14ac:dyDescent="0.25">
      <c r="A235">
        <v>26</v>
      </c>
      <c r="B235" t="s">
        <v>112</v>
      </c>
      <c r="C235">
        <v>12</v>
      </c>
      <c r="D235">
        <v>0</v>
      </c>
      <c r="E235">
        <v>0</v>
      </c>
      <c r="F235">
        <v>88.51</v>
      </c>
      <c r="G235">
        <v>123409.73</v>
      </c>
      <c r="H235" s="14">
        <v>43767.833333333336</v>
      </c>
    </row>
    <row r="236" spans="1:8" x14ac:dyDescent="0.25">
      <c r="A236">
        <v>26</v>
      </c>
      <c r="B236" t="s">
        <v>112</v>
      </c>
      <c r="C236">
        <v>13</v>
      </c>
      <c r="D236">
        <v>0</v>
      </c>
      <c r="E236">
        <v>0</v>
      </c>
      <c r="F236">
        <v>89.4</v>
      </c>
      <c r="G236">
        <v>123895.38</v>
      </c>
      <c r="H236" s="14">
        <v>43767.833333333336</v>
      </c>
    </row>
    <row r="237" spans="1:8" x14ac:dyDescent="0.25">
      <c r="A237">
        <v>26</v>
      </c>
      <c r="B237" t="s">
        <v>112</v>
      </c>
      <c r="C237">
        <v>14</v>
      </c>
      <c r="D237">
        <v>0</v>
      </c>
      <c r="E237">
        <v>0</v>
      </c>
      <c r="F237">
        <v>91.67</v>
      </c>
      <c r="G237">
        <v>122408.08</v>
      </c>
      <c r="H237" s="14">
        <v>43767.833333333336</v>
      </c>
    </row>
    <row r="238" spans="1:8" x14ac:dyDescent="0.25">
      <c r="A238">
        <v>27</v>
      </c>
      <c r="B238" t="s">
        <v>115</v>
      </c>
      <c r="C238">
        <v>1</v>
      </c>
      <c r="D238">
        <v>0</v>
      </c>
      <c r="E238">
        <v>0</v>
      </c>
      <c r="F238">
        <v>85</v>
      </c>
      <c r="G238">
        <v>125080.39</v>
      </c>
      <c r="H238" s="14">
        <v>43767.833333333336</v>
      </c>
    </row>
    <row r="239" spans="1:8" x14ac:dyDescent="0.25">
      <c r="A239">
        <v>27</v>
      </c>
      <c r="B239" t="s">
        <v>115</v>
      </c>
      <c r="C239">
        <v>2</v>
      </c>
      <c r="D239">
        <v>0</v>
      </c>
      <c r="E239">
        <v>0</v>
      </c>
      <c r="F239">
        <v>83.5</v>
      </c>
      <c r="G239">
        <v>111856.3</v>
      </c>
      <c r="H239" s="14">
        <v>43767.833333333336</v>
      </c>
    </row>
    <row r="240" spans="1:8" x14ac:dyDescent="0.25">
      <c r="A240">
        <v>27</v>
      </c>
      <c r="B240" t="s">
        <v>115</v>
      </c>
      <c r="C240">
        <v>3</v>
      </c>
      <c r="D240">
        <v>0</v>
      </c>
      <c r="E240">
        <v>0</v>
      </c>
      <c r="F240">
        <v>88.89</v>
      </c>
      <c r="G240">
        <v>123214.77</v>
      </c>
      <c r="H240" s="14">
        <v>43767.833333333336</v>
      </c>
    </row>
    <row r="241" spans="1:8" x14ac:dyDescent="0.25">
      <c r="A241">
        <v>27</v>
      </c>
      <c r="B241" t="s">
        <v>115</v>
      </c>
      <c r="C241">
        <v>4</v>
      </c>
      <c r="D241">
        <v>0</v>
      </c>
      <c r="E241">
        <v>0</v>
      </c>
      <c r="F241">
        <v>94.56</v>
      </c>
      <c r="G241">
        <v>127994.95</v>
      </c>
      <c r="H241" s="14">
        <v>43767.833333333336</v>
      </c>
    </row>
    <row r="242" spans="1:8" x14ac:dyDescent="0.25">
      <c r="A242">
        <v>27</v>
      </c>
      <c r="B242" t="s">
        <v>115</v>
      </c>
      <c r="C242">
        <v>5</v>
      </c>
      <c r="D242">
        <v>0</v>
      </c>
      <c r="E242">
        <v>0</v>
      </c>
      <c r="F242">
        <v>90.51</v>
      </c>
      <c r="G242">
        <v>124273.02</v>
      </c>
      <c r="H242" s="14">
        <v>43767.833333333336</v>
      </c>
    </row>
    <row r="243" spans="1:8" x14ac:dyDescent="0.25">
      <c r="A243">
        <v>27</v>
      </c>
      <c r="B243" t="s">
        <v>115</v>
      </c>
      <c r="C243">
        <v>6</v>
      </c>
      <c r="D243">
        <v>0</v>
      </c>
      <c r="E243">
        <v>0</v>
      </c>
      <c r="F243">
        <v>61.39</v>
      </c>
      <c r="G243">
        <v>86294.01</v>
      </c>
      <c r="H243" s="14">
        <v>43767.833333333336</v>
      </c>
    </row>
    <row r="244" spans="1:8" x14ac:dyDescent="0.25">
      <c r="A244">
        <v>28</v>
      </c>
      <c r="B244" t="s">
        <v>118</v>
      </c>
      <c r="C244">
        <v>1</v>
      </c>
      <c r="D244">
        <v>0</v>
      </c>
      <c r="E244">
        <v>0</v>
      </c>
      <c r="F244">
        <v>98.97</v>
      </c>
      <c r="G244">
        <v>128239.91</v>
      </c>
      <c r="H244" s="14">
        <v>43767.833333333336</v>
      </c>
    </row>
    <row r="245" spans="1:8" x14ac:dyDescent="0.25">
      <c r="A245">
        <v>28</v>
      </c>
      <c r="B245" t="s">
        <v>118</v>
      </c>
      <c r="C245">
        <v>2</v>
      </c>
      <c r="D245">
        <v>0</v>
      </c>
      <c r="E245">
        <v>0</v>
      </c>
      <c r="F245">
        <v>99.2</v>
      </c>
      <c r="G245">
        <v>127718.97</v>
      </c>
      <c r="H245" s="14">
        <v>43767.833333333336</v>
      </c>
    </row>
    <row r="246" spans="1:8" x14ac:dyDescent="0.25">
      <c r="A246">
        <v>28</v>
      </c>
      <c r="B246" t="s">
        <v>118</v>
      </c>
      <c r="C246">
        <v>3</v>
      </c>
      <c r="D246">
        <v>0</v>
      </c>
      <c r="E246">
        <v>0</v>
      </c>
      <c r="F246">
        <v>98.03</v>
      </c>
      <c r="G246">
        <v>127537.3</v>
      </c>
      <c r="H246" s="14">
        <v>43767.833333333336</v>
      </c>
    </row>
    <row r="247" spans="1:8" x14ac:dyDescent="0.25">
      <c r="A247">
        <v>28</v>
      </c>
      <c r="B247" t="s">
        <v>118</v>
      </c>
      <c r="C247">
        <v>4</v>
      </c>
      <c r="D247">
        <v>0</v>
      </c>
      <c r="E247">
        <v>0</v>
      </c>
      <c r="F247">
        <v>103.94</v>
      </c>
      <c r="G247">
        <v>137349.28</v>
      </c>
      <c r="H247" s="14">
        <v>43767.833333333336</v>
      </c>
    </row>
    <row r="248" spans="1:8" x14ac:dyDescent="0.25">
      <c r="A248">
        <v>28</v>
      </c>
      <c r="B248" t="s">
        <v>118</v>
      </c>
      <c r="C248">
        <v>5</v>
      </c>
      <c r="D248">
        <v>0</v>
      </c>
      <c r="E248">
        <v>0</v>
      </c>
      <c r="F248">
        <v>103.76</v>
      </c>
      <c r="G248">
        <v>124951.83</v>
      </c>
      <c r="H248" s="14">
        <v>43767.833333333336</v>
      </c>
    </row>
    <row r="249" spans="1:8" x14ac:dyDescent="0.25">
      <c r="A249">
        <v>28</v>
      </c>
      <c r="B249" t="s">
        <v>118</v>
      </c>
      <c r="C249">
        <v>6</v>
      </c>
      <c r="D249">
        <v>0</v>
      </c>
      <c r="E249">
        <v>0</v>
      </c>
      <c r="F249">
        <v>104.18</v>
      </c>
      <c r="G249">
        <v>127200.8</v>
      </c>
      <c r="H249" s="14">
        <v>43767.833333333336</v>
      </c>
    </row>
    <row r="250" spans="1:8" x14ac:dyDescent="0.25">
      <c r="A250">
        <v>28</v>
      </c>
      <c r="B250" t="s">
        <v>118</v>
      </c>
      <c r="C250">
        <v>7</v>
      </c>
      <c r="D250">
        <v>0</v>
      </c>
      <c r="E250">
        <v>0</v>
      </c>
      <c r="F250">
        <v>35.049999999999997</v>
      </c>
      <c r="G250">
        <v>43714.55</v>
      </c>
      <c r="H250" s="14">
        <v>43767.833333333336</v>
      </c>
    </row>
    <row r="251" spans="1:8" x14ac:dyDescent="0.25">
      <c r="A251">
        <v>28</v>
      </c>
      <c r="B251" t="s">
        <v>118</v>
      </c>
      <c r="C251">
        <v>8</v>
      </c>
      <c r="D251">
        <v>0</v>
      </c>
      <c r="E251">
        <v>0</v>
      </c>
      <c r="F251">
        <v>77.75</v>
      </c>
      <c r="G251">
        <v>117934.55</v>
      </c>
      <c r="H251" s="14">
        <v>43767.833333333336</v>
      </c>
    </row>
    <row r="252" spans="1:8" x14ac:dyDescent="0.25">
      <c r="A252">
        <v>28</v>
      </c>
      <c r="B252" t="s">
        <v>118</v>
      </c>
      <c r="C252">
        <v>9</v>
      </c>
      <c r="D252">
        <v>0</v>
      </c>
      <c r="E252">
        <v>0</v>
      </c>
      <c r="F252">
        <v>77.760000000000005</v>
      </c>
      <c r="G252">
        <v>112225.76</v>
      </c>
      <c r="H252" s="14">
        <v>43767.833333333336</v>
      </c>
    </row>
    <row r="253" spans="1:8" x14ac:dyDescent="0.25">
      <c r="A253">
        <v>28</v>
      </c>
      <c r="B253" t="s">
        <v>118</v>
      </c>
      <c r="C253">
        <v>10</v>
      </c>
      <c r="D253">
        <v>0</v>
      </c>
      <c r="E253">
        <v>0</v>
      </c>
      <c r="F253">
        <v>78.36</v>
      </c>
      <c r="G253">
        <v>118244.44</v>
      </c>
      <c r="H253" s="14">
        <v>43767.833333333336</v>
      </c>
    </row>
    <row r="254" spans="1:8" x14ac:dyDescent="0.25">
      <c r="A254">
        <v>29</v>
      </c>
      <c r="B254" t="s">
        <v>121</v>
      </c>
      <c r="C254">
        <v>1</v>
      </c>
      <c r="D254">
        <v>0</v>
      </c>
      <c r="E254">
        <v>0</v>
      </c>
      <c r="F254">
        <v>80.78</v>
      </c>
      <c r="G254">
        <v>115603.65</v>
      </c>
      <c r="H254" s="14">
        <v>43767.833333333336</v>
      </c>
    </row>
    <row r="255" spans="1:8" x14ac:dyDescent="0.25">
      <c r="A255">
        <v>29</v>
      </c>
      <c r="B255" t="s">
        <v>121</v>
      </c>
      <c r="C255">
        <v>2</v>
      </c>
      <c r="D255">
        <v>0</v>
      </c>
      <c r="E255">
        <v>0</v>
      </c>
      <c r="F255">
        <v>95.19</v>
      </c>
      <c r="G255">
        <v>126494.49</v>
      </c>
      <c r="H255" s="14">
        <v>43767.833333333336</v>
      </c>
    </row>
    <row r="256" spans="1:8" x14ac:dyDescent="0.25">
      <c r="A256">
        <v>29</v>
      </c>
      <c r="B256" t="s">
        <v>121</v>
      </c>
      <c r="C256">
        <v>3</v>
      </c>
      <c r="D256">
        <v>0</v>
      </c>
      <c r="E256">
        <v>0</v>
      </c>
      <c r="F256">
        <v>95.87</v>
      </c>
      <c r="G256">
        <v>129471.91</v>
      </c>
      <c r="H256" s="14">
        <v>43767.833333333336</v>
      </c>
    </row>
    <row r="257" spans="1:8" x14ac:dyDescent="0.25">
      <c r="A257">
        <v>29</v>
      </c>
      <c r="B257" t="s">
        <v>121</v>
      </c>
      <c r="C257">
        <v>4</v>
      </c>
      <c r="D257">
        <v>0</v>
      </c>
      <c r="E257">
        <v>0</v>
      </c>
      <c r="F257">
        <v>94.95</v>
      </c>
      <c r="G257">
        <v>129373.31</v>
      </c>
      <c r="H257" s="14">
        <v>43767.833333333336</v>
      </c>
    </row>
    <row r="258" spans="1:8" x14ac:dyDescent="0.25">
      <c r="A258">
        <v>29</v>
      </c>
      <c r="B258" t="s">
        <v>121</v>
      </c>
      <c r="C258">
        <v>5</v>
      </c>
      <c r="D258">
        <v>0</v>
      </c>
      <c r="E258">
        <v>0</v>
      </c>
      <c r="F258">
        <v>94.16</v>
      </c>
      <c r="G258">
        <v>126219.6</v>
      </c>
      <c r="H258" s="14">
        <v>43767.833333333336</v>
      </c>
    </row>
    <row r="259" spans="1:8" x14ac:dyDescent="0.25">
      <c r="A259">
        <v>29</v>
      </c>
      <c r="B259" t="s">
        <v>121</v>
      </c>
      <c r="C259">
        <v>6</v>
      </c>
      <c r="D259">
        <v>0</v>
      </c>
      <c r="E259">
        <v>0</v>
      </c>
      <c r="F259">
        <v>94.87</v>
      </c>
      <c r="G259">
        <v>127048.15</v>
      </c>
      <c r="H259" s="14">
        <v>43767.833333333336</v>
      </c>
    </row>
    <row r="260" spans="1:8" x14ac:dyDescent="0.25">
      <c r="A260">
        <v>29</v>
      </c>
      <c r="B260" t="s">
        <v>121</v>
      </c>
      <c r="C260">
        <v>7</v>
      </c>
      <c r="D260">
        <v>0</v>
      </c>
      <c r="E260">
        <v>0</v>
      </c>
      <c r="F260">
        <v>95.45</v>
      </c>
      <c r="G260">
        <v>127521.8</v>
      </c>
      <c r="H260" s="14">
        <v>43767.833333333336</v>
      </c>
    </row>
    <row r="261" spans="1:8" x14ac:dyDescent="0.25">
      <c r="A261">
        <v>29</v>
      </c>
      <c r="B261" t="s">
        <v>121</v>
      </c>
      <c r="C261">
        <v>8</v>
      </c>
      <c r="D261">
        <v>0</v>
      </c>
      <c r="E261">
        <v>0</v>
      </c>
      <c r="F261">
        <v>95.79</v>
      </c>
      <c r="G261">
        <v>128128.6</v>
      </c>
      <c r="H261" s="14">
        <v>43767.833333333336</v>
      </c>
    </row>
    <row r="262" spans="1:8" x14ac:dyDescent="0.25">
      <c r="A262">
        <v>29</v>
      </c>
      <c r="B262" t="s">
        <v>121</v>
      </c>
      <c r="C262">
        <v>9</v>
      </c>
      <c r="D262">
        <v>0</v>
      </c>
      <c r="E262">
        <v>0</v>
      </c>
      <c r="F262">
        <v>91.48</v>
      </c>
      <c r="G262">
        <v>66318.19</v>
      </c>
      <c r="H262" s="14">
        <v>43767.833333333336</v>
      </c>
    </row>
    <row r="263" spans="1:8" x14ac:dyDescent="0.25">
      <c r="A263">
        <v>29</v>
      </c>
      <c r="B263" t="s">
        <v>121</v>
      </c>
      <c r="C263">
        <v>10</v>
      </c>
      <c r="D263">
        <v>0</v>
      </c>
      <c r="E263">
        <v>0</v>
      </c>
      <c r="F263">
        <v>95.45</v>
      </c>
      <c r="G263">
        <v>127589.29</v>
      </c>
      <c r="H263" s="14">
        <v>43767.833333333336</v>
      </c>
    </row>
    <row r="264" spans="1:8" x14ac:dyDescent="0.25">
      <c r="A264">
        <v>29</v>
      </c>
      <c r="B264" t="s">
        <v>121</v>
      </c>
      <c r="C264">
        <v>11</v>
      </c>
      <c r="D264">
        <v>0</v>
      </c>
      <c r="E264">
        <v>0</v>
      </c>
      <c r="F264">
        <v>96.11</v>
      </c>
      <c r="G264">
        <v>126686.69</v>
      </c>
      <c r="H264" s="14">
        <v>43767.833333333336</v>
      </c>
    </row>
    <row r="265" spans="1:8" x14ac:dyDescent="0.25">
      <c r="A265">
        <v>29</v>
      </c>
      <c r="B265" t="s">
        <v>121</v>
      </c>
      <c r="C265">
        <v>12</v>
      </c>
      <c r="D265">
        <v>0</v>
      </c>
      <c r="E265">
        <v>0</v>
      </c>
      <c r="F265">
        <v>90.33</v>
      </c>
      <c r="G265">
        <v>125048.45</v>
      </c>
      <c r="H265" s="14">
        <v>43767.833333333336</v>
      </c>
    </row>
    <row r="266" spans="1:8" x14ac:dyDescent="0.25">
      <c r="A266">
        <v>29</v>
      </c>
      <c r="B266" t="s">
        <v>121</v>
      </c>
      <c r="C266">
        <v>13</v>
      </c>
      <c r="D266">
        <v>0</v>
      </c>
      <c r="E266">
        <v>0</v>
      </c>
      <c r="F266">
        <v>94.15</v>
      </c>
      <c r="G266">
        <v>124250.42</v>
      </c>
      <c r="H266" s="14">
        <v>43767.833333333336</v>
      </c>
    </row>
    <row r="267" spans="1:8" x14ac:dyDescent="0.25">
      <c r="A267">
        <v>29</v>
      </c>
      <c r="B267" t="s">
        <v>121</v>
      </c>
      <c r="C267">
        <v>14</v>
      </c>
      <c r="D267">
        <v>0</v>
      </c>
      <c r="E267">
        <v>0</v>
      </c>
      <c r="F267">
        <v>97.03</v>
      </c>
      <c r="G267">
        <v>127157.82</v>
      </c>
      <c r="H267" s="14">
        <v>43767.833333333336</v>
      </c>
    </row>
    <row r="268" spans="1:8" x14ac:dyDescent="0.25">
      <c r="A268">
        <v>29</v>
      </c>
      <c r="B268" t="s">
        <v>121</v>
      </c>
      <c r="C268">
        <v>15</v>
      </c>
      <c r="D268">
        <v>0</v>
      </c>
      <c r="E268">
        <v>0</v>
      </c>
      <c r="F268">
        <v>19.63</v>
      </c>
      <c r="G268">
        <v>23556.53</v>
      </c>
      <c r="H268" s="14">
        <v>43767.833333333336</v>
      </c>
    </row>
    <row r="269" spans="1:8" x14ac:dyDescent="0.25">
      <c r="A269">
        <v>30</v>
      </c>
      <c r="B269" t="s">
        <v>124</v>
      </c>
      <c r="C269">
        <v>1</v>
      </c>
      <c r="D269">
        <v>0</v>
      </c>
      <c r="E269">
        <v>0</v>
      </c>
      <c r="F269">
        <v>92.44</v>
      </c>
      <c r="G269">
        <v>121867.94</v>
      </c>
      <c r="H269" s="14">
        <v>43767.833333333336</v>
      </c>
    </row>
    <row r="270" spans="1:8" x14ac:dyDescent="0.25">
      <c r="A270">
        <v>30</v>
      </c>
      <c r="B270" t="s">
        <v>124</v>
      </c>
      <c r="C270">
        <v>2</v>
      </c>
      <c r="D270">
        <v>0</v>
      </c>
      <c r="E270">
        <v>0</v>
      </c>
      <c r="F270">
        <v>80.33</v>
      </c>
      <c r="G270">
        <v>110772.11</v>
      </c>
      <c r="H270" s="14">
        <v>43767.833333333336</v>
      </c>
    </row>
    <row r="271" spans="1:8" x14ac:dyDescent="0.25">
      <c r="A271">
        <v>30</v>
      </c>
      <c r="B271" t="s">
        <v>124</v>
      </c>
      <c r="C271">
        <v>3</v>
      </c>
      <c r="D271">
        <v>0</v>
      </c>
      <c r="E271">
        <v>0</v>
      </c>
      <c r="F271">
        <v>103.57</v>
      </c>
      <c r="G271">
        <v>122682.46</v>
      </c>
      <c r="H271" s="14">
        <v>43767.833333333336</v>
      </c>
    </row>
    <row r="272" spans="1:8" x14ac:dyDescent="0.25">
      <c r="A272">
        <v>31</v>
      </c>
      <c r="B272" t="s">
        <v>127</v>
      </c>
      <c r="C272">
        <v>1</v>
      </c>
      <c r="D272">
        <v>0</v>
      </c>
      <c r="E272">
        <v>0</v>
      </c>
      <c r="F272">
        <v>13.33</v>
      </c>
      <c r="G272">
        <v>13939.62</v>
      </c>
      <c r="H272" s="14">
        <v>43767.833333333336</v>
      </c>
    </row>
    <row r="273" spans="1:8" x14ac:dyDescent="0.25">
      <c r="A273">
        <v>31</v>
      </c>
      <c r="B273" t="s">
        <v>127</v>
      </c>
      <c r="C273">
        <v>2</v>
      </c>
      <c r="D273">
        <v>0</v>
      </c>
      <c r="E273">
        <v>0</v>
      </c>
      <c r="F273">
        <v>15.89</v>
      </c>
      <c r="G273">
        <v>15331.68</v>
      </c>
      <c r="H273" s="14">
        <v>43767.833333333336</v>
      </c>
    </row>
    <row r="274" spans="1:8" x14ac:dyDescent="0.25">
      <c r="A274">
        <v>31</v>
      </c>
      <c r="B274" t="s">
        <v>127</v>
      </c>
      <c r="C274">
        <v>3</v>
      </c>
      <c r="D274">
        <v>0</v>
      </c>
      <c r="E274">
        <v>0</v>
      </c>
      <c r="F274">
        <v>13.07</v>
      </c>
      <c r="G274">
        <v>14308.2</v>
      </c>
      <c r="H274" s="14">
        <v>43767.833333333336</v>
      </c>
    </row>
    <row r="275" spans="1:8" x14ac:dyDescent="0.25">
      <c r="A275">
        <v>31</v>
      </c>
      <c r="B275" t="s">
        <v>127</v>
      </c>
      <c r="C275">
        <v>4</v>
      </c>
      <c r="D275">
        <v>0</v>
      </c>
      <c r="E275">
        <v>0</v>
      </c>
      <c r="F275">
        <v>15.85</v>
      </c>
      <c r="G275">
        <v>14994.27</v>
      </c>
      <c r="H275" s="14">
        <v>43767.833333333336</v>
      </c>
    </row>
    <row r="276" spans="1:8" x14ac:dyDescent="0.25">
      <c r="A276">
        <v>31</v>
      </c>
      <c r="B276" t="s">
        <v>127</v>
      </c>
      <c r="C276">
        <v>5</v>
      </c>
      <c r="D276">
        <v>0</v>
      </c>
      <c r="E276">
        <v>0</v>
      </c>
      <c r="F276">
        <v>13.2</v>
      </c>
      <c r="G276">
        <v>14528.91</v>
      </c>
      <c r="H276" s="14">
        <v>43767.833333333336</v>
      </c>
    </row>
    <row r="277" spans="1:8" x14ac:dyDescent="0.25">
      <c r="A277">
        <v>31</v>
      </c>
      <c r="B277" t="s">
        <v>127</v>
      </c>
      <c r="C277">
        <v>6</v>
      </c>
      <c r="D277">
        <v>0</v>
      </c>
      <c r="E277">
        <v>0</v>
      </c>
      <c r="F277">
        <v>13.16</v>
      </c>
      <c r="G277">
        <v>14374.92</v>
      </c>
      <c r="H277" s="14">
        <v>43767.833333333336</v>
      </c>
    </row>
    <row r="278" spans="1:8" x14ac:dyDescent="0.25">
      <c r="A278">
        <v>31</v>
      </c>
      <c r="B278" t="s">
        <v>127</v>
      </c>
      <c r="C278">
        <v>7</v>
      </c>
      <c r="D278">
        <v>0</v>
      </c>
      <c r="E278">
        <v>0</v>
      </c>
      <c r="F278">
        <v>15.91</v>
      </c>
      <c r="G278">
        <v>15823.99</v>
      </c>
      <c r="H278" s="14">
        <v>43767.833333333336</v>
      </c>
    </row>
    <row r="279" spans="1:8" x14ac:dyDescent="0.25">
      <c r="A279">
        <v>31</v>
      </c>
      <c r="B279" t="s">
        <v>127</v>
      </c>
      <c r="C279">
        <v>8</v>
      </c>
      <c r="D279">
        <v>0</v>
      </c>
      <c r="E279">
        <v>0</v>
      </c>
      <c r="F279">
        <v>13.36</v>
      </c>
      <c r="G279">
        <v>13912.59</v>
      </c>
      <c r="H279" s="14">
        <v>43767.833333333336</v>
      </c>
    </row>
    <row r="280" spans="1:8" x14ac:dyDescent="0.25">
      <c r="A280">
        <v>31</v>
      </c>
      <c r="B280" t="s">
        <v>127</v>
      </c>
      <c r="C280">
        <v>9</v>
      </c>
      <c r="D280">
        <v>0</v>
      </c>
      <c r="E280">
        <v>0</v>
      </c>
      <c r="F280">
        <v>16.010000000000002</v>
      </c>
      <c r="G280">
        <v>15768.72</v>
      </c>
      <c r="H280" s="14">
        <v>43767.833333333336</v>
      </c>
    </row>
    <row r="281" spans="1:8" x14ac:dyDescent="0.25">
      <c r="A281">
        <v>31</v>
      </c>
      <c r="B281" t="s">
        <v>127</v>
      </c>
      <c r="C281">
        <v>10</v>
      </c>
      <c r="D281">
        <v>0</v>
      </c>
      <c r="E281">
        <v>0</v>
      </c>
      <c r="F281">
        <v>12.4</v>
      </c>
      <c r="G281">
        <v>13969.16</v>
      </c>
      <c r="H281" s="14">
        <v>43767.833333333336</v>
      </c>
    </row>
    <row r="282" spans="1:8" x14ac:dyDescent="0.25">
      <c r="A282">
        <v>31</v>
      </c>
      <c r="B282" t="s">
        <v>127</v>
      </c>
      <c r="C282">
        <v>11</v>
      </c>
      <c r="D282">
        <v>0</v>
      </c>
      <c r="E282">
        <v>0</v>
      </c>
      <c r="F282">
        <v>16.079999999999998</v>
      </c>
      <c r="G282">
        <v>15796.63</v>
      </c>
      <c r="H282" s="14">
        <v>43767.833333333336</v>
      </c>
    </row>
    <row r="283" spans="1:8" x14ac:dyDescent="0.25">
      <c r="A283">
        <v>31</v>
      </c>
      <c r="B283" t="s">
        <v>127</v>
      </c>
      <c r="C283">
        <v>12</v>
      </c>
      <c r="D283">
        <v>0</v>
      </c>
      <c r="E283">
        <v>0</v>
      </c>
      <c r="F283">
        <v>11.4</v>
      </c>
      <c r="G283">
        <v>12539.35</v>
      </c>
      <c r="H283" s="14">
        <v>43767.833333333336</v>
      </c>
    </row>
    <row r="284" spans="1:8" x14ac:dyDescent="0.25">
      <c r="A284">
        <v>31</v>
      </c>
      <c r="B284" t="s">
        <v>127</v>
      </c>
      <c r="C284">
        <v>13</v>
      </c>
      <c r="D284">
        <v>0</v>
      </c>
      <c r="E284">
        <v>0</v>
      </c>
      <c r="F284">
        <v>11.15</v>
      </c>
      <c r="G284">
        <v>11968.05</v>
      </c>
      <c r="H284" s="14">
        <v>43767.833333333336</v>
      </c>
    </row>
    <row r="285" spans="1:8" x14ac:dyDescent="0.25">
      <c r="A285">
        <v>31</v>
      </c>
      <c r="B285" t="s">
        <v>127</v>
      </c>
      <c r="C285">
        <v>14</v>
      </c>
      <c r="D285">
        <v>0</v>
      </c>
      <c r="E285">
        <v>0</v>
      </c>
      <c r="F285">
        <v>11.79</v>
      </c>
      <c r="G285">
        <v>10854.2</v>
      </c>
      <c r="H285" s="14">
        <v>43767.833333333336</v>
      </c>
    </row>
    <row r="286" spans="1:8" x14ac:dyDescent="0.25">
      <c r="A286">
        <v>31</v>
      </c>
      <c r="B286" t="s">
        <v>127</v>
      </c>
      <c r="C286">
        <v>15</v>
      </c>
      <c r="D286">
        <v>0</v>
      </c>
      <c r="E286">
        <v>0</v>
      </c>
      <c r="F286">
        <v>13.77</v>
      </c>
      <c r="G286">
        <v>14767.45</v>
      </c>
      <c r="H286" s="14">
        <v>43767.833333333336</v>
      </c>
    </row>
    <row r="287" spans="1:8" x14ac:dyDescent="0.25">
      <c r="A287">
        <v>31</v>
      </c>
      <c r="B287" t="s">
        <v>127</v>
      </c>
      <c r="C287">
        <v>16</v>
      </c>
      <c r="D287">
        <v>0</v>
      </c>
      <c r="E287">
        <v>0</v>
      </c>
      <c r="F287">
        <v>14.63</v>
      </c>
      <c r="G287">
        <v>14624.01</v>
      </c>
      <c r="H287" s="14">
        <v>43767.833333333336</v>
      </c>
    </row>
    <row r="288" spans="1:8" x14ac:dyDescent="0.25">
      <c r="A288">
        <v>31</v>
      </c>
      <c r="B288" t="s">
        <v>127</v>
      </c>
      <c r="C288">
        <v>17</v>
      </c>
      <c r="D288">
        <v>0</v>
      </c>
      <c r="E288">
        <v>0</v>
      </c>
      <c r="F288">
        <v>13.9</v>
      </c>
      <c r="G288">
        <v>13512.27</v>
      </c>
      <c r="H288" s="14">
        <v>43767.833333333336</v>
      </c>
    </row>
    <row r="289" spans="1:8" x14ac:dyDescent="0.25">
      <c r="A289">
        <v>31</v>
      </c>
      <c r="B289" t="s">
        <v>127</v>
      </c>
      <c r="C289">
        <v>18</v>
      </c>
      <c r="D289">
        <v>0</v>
      </c>
      <c r="E289">
        <v>0</v>
      </c>
      <c r="F289">
        <v>13.57</v>
      </c>
      <c r="G289">
        <v>13780.38</v>
      </c>
      <c r="H289" s="14">
        <v>43767.833333333336</v>
      </c>
    </row>
    <row r="290" spans="1:8" x14ac:dyDescent="0.25">
      <c r="A290">
        <v>31</v>
      </c>
      <c r="B290" t="s">
        <v>127</v>
      </c>
      <c r="C290">
        <v>19</v>
      </c>
      <c r="D290">
        <v>0</v>
      </c>
      <c r="E290">
        <v>0</v>
      </c>
      <c r="F290">
        <v>9.81</v>
      </c>
      <c r="G290">
        <v>9448.2900000000009</v>
      </c>
      <c r="H290" s="14">
        <v>43767.833333333336</v>
      </c>
    </row>
    <row r="291" spans="1:8" x14ac:dyDescent="0.25">
      <c r="A291">
        <v>31</v>
      </c>
      <c r="B291" t="s">
        <v>127</v>
      </c>
      <c r="C291">
        <v>20</v>
      </c>
      <c r="D291">
        <v>0</v>
      </c>
      <c r="E291">
        <v>0</v>
      </c>
      <c r="F291">
        <v>7.83</v>
      </c>
      <c r="G291">
        <v>8229.4699999999993</v>
      </c>
      <c r="H291" s="14">
        <v>43767.833333333336</v>
      </c>
    </row>
    <row r="292" spans="1:8" x14ac:dyDescent="0.25">
      <c r="A292">
        <v>31</v>
      </c>
      <c r="B292" t="s">
        <v>127</v>
      </c>
      <c r="C292">
        <v>21</v>
      </c>
      <c r="D292">
        <v>0</v>
      </c>
      <c r="E292">
        <v>0</v>
      </c>
      <c r="F292">
        <v>7</v>
      </c>
      <c r="G292">
        <v>7719.21</v>
      </c>
      <c r="H292" s="14">
        <v>43767.833333333336</v>
      </c>
    </row>
    <row r="293" spans="1:8" x14ac:dyDescent="0.25">
      <c r="A293">
        <v>32</v>
      </c>
      <c r="B293" t="s">
        <v>130</v>
      </c>
      <c r="C293">
        <v>1</v>
      </c>
      <c r="D293">
        <v>0</v>
      </c>
      <c r="E293">
        <v>0</v>
      </c>
      <c r="F293">
        <v>8.8699999999999992</v>
      </c>
      <c r="G293">
        <v>11282.14</v>
      </c>
      <c r="H293" s="14">
        <v>43767.833333333336</v>
      </c>
    </row>
    <row r="294" spans="1:8" x14ac:dyDescent="0.25">
      <c r="A294">
        <v>32</v>
      </c>
      <c r="B294" t="s">
        <v>130</v>
      </c>
      <c r="C294">
        <v>2</v>
      </c>
      <c r="D294">
        <v>0</v>
      </c>
      <c r="E294">
        <v>0</v>
      </c>
      <c r="F294">
        <v>9.82</v>
      </c>
      <c r="G294">
        <v>13101.74</v>
      </c>
      <c r="H294" s="14">
        <v>43767.833333333336</v>
      </c>
    </row>
    <row r="295" spans="1:8" x14ac:dyDescent="0.25">
      <c r="A295">
        <v>32</v>
      </c>
      <c r="B295" t="s">
        <v>130</v>
      </c>
      <c r="C295">
        <v>3</v>
      </c>
      <c r="D295">
        <v>0</v>
      </c>
      <c r="E295">
        <v>0</v>
      </c>
      <c r="F295">
        <v>12.79</v>
      </c>
      <c r="G295">
        <v>14242.12</v>
      </c>
      <c r="H295" s="14">
        <v>43767.833333333336</v>
      </c>
    </row>
    <row r="296" spans="1:8" x14ac:dyDescent="0.25">
      <c r="A296">
        <v>32</v>
      </c>
      <c r="B296" t="s">
        <v>130</v>
      </c>
      <c r="C296">
        <v>4</v>
      </c>
      <c r="D296">
        <v>0</v>
      </c>
      <c r="E296">
        <v>0</v>
      </c>
      <c r="F296">
        <v>12.93</v>
      </c>
      <c r="G296">
        <v>14604.74</v>
      </c>
      <c r="H296" s="14">
        <v>43767.833333333336</v>
      </c>
    </row>
    <row r="297" spans="1:8" x14ac:dyDescent="0.25">
      <c r="A297">
        <v>32</v>
      </c>
      <c r="B297" t="s">
        <v>130</v>
      </c>
      <c r="C297">
        <v>5</v>
      </c>
      <c r="D297">
        <v>0</v>
      </c>
      <c r="E297">
        <v>0</v>
      </c>
      <c r="F297">
        <v>12.49</v>
      </c>
      <c r="G297">
        <v>13801.73</v>
      </c>
      <c r="H297" s="14">
        <v>43767.833333333336</v>
      </c>
    </row>
    <row r="298" spans="1:8" x14ac:dyDescent="0.25">
      <c r="A298">
        <v>32</v>
      </c>
      <c r="B298" t="s">
        <v>130</v>
      </c>
      <c r="C298">
        <v>6</v>
      </c>
      <c r="D298">
        <v>0</v>
      </c>
      <c r="E298">
        <v>0</v>
      </c>
      <c r="F298">
        <v>7.21</v>
      </c>
      <c r="G298">
        <v>7542.19</v>
      </c>
      <c r="H298" s="14">
        <v>43767.833333333336</v>
      </c>
    </row>
    <row r="299" spans="1:8" x14ac:dyDescent="0.25">
      <c r="A299">
        <v>32</v>
      </c>
      <c r="B299" t="s">
        <v>130</v>
      </c>
      <c r="C299">
        <v>7</v>
      </c>
      <c r="D299">
        <v>0</v>
      </c>
      <c r="E299">
        <v>0</v>
      </c>
      <c r="F299">
        <v>12.47</v>
      </c>
      <c r="G299">
        <v>13294.18</v>
      </c>
      <c r="H299" s="14">
        <v>43767.833333333336</v>
      </c>
    </row>
    <row r="300" spans="1:8" x14ac:dyDescent="0.25">
      <c r="A300">
        <v>32</v>
      </c>
      <c r="B300" t="s">
        <v>130</v>
      </c>
      <c r="C300">
        <v>8</v>
      </c>
      <c r="D300">
        <v>0</v>
      </c>
      <c r="E300">
        <v>0</v>
      </c>
      <c r="F300">
        <v>13.98</v>
      </c>
      <c r="G300">
        <v>14579.59</v>
      </c>
      <c r="H300" s="14">
        <v>43767.833333333336</v>
      </c>
    </row>
    <row r="301" spans="1:8" x14ac:dyDescent="0.25">
      <c r="A301">
        <v>32</v>
      </c>
      <c r="B301" t="s">
        <v>130</v>
      </c>
      <c r="C301">
        <v>9</v>
      </c>
      <c r="D301">
        <v>0</v>
      </c>
      <c r="E301">
        <v>0</v>
      </c>
      <c r="F301">
        <v>13.13</v>
      </c>
      <c r="G301">
        <v>14708.3</v>
      </c>
      <c r="H301" s="14">
        <v>43767.833333333336</v>
      </c>
    </row>
    <row r="302" spans="1:8" x14ac:dyDescent="0.25">
      <c r="A302">
        <v>32</v>
      </c>
      <c r="B302" t="s">
        <v>130</v>
      </c>
      <c r="C302">
        <v>10</v>
      </c>
      <c r="D302">
        <v>0</v>
      </c>
      <c r="E302">
        <v>0</v>
      </c>
      <c r="F302">
        <v>15.69</v>
      </c>
      <c r="G302">
        <v>16824.11</v>
      </c>
      <c r="H302" s="14">
        <v>43767.833333333336</v>
      </c>
    </row>
    <row r="303" spans="1:8" x14ac:dyDescent="0.25">
      <c r="A303">
        <v>32</v>
      </c>
      <c r="B303" t="s">
        <v>130</v>
      </c>
      <c r="C303">
        <v>11</v>
      </c>
      <c r="D303">
        <v>0</v>
      </c>
      <c r="E303">
        <v>0</v>
      </c>
      <c r="F303">
        <v>7.95</v>
      </c>
      <c r="G303">
        <v>7831.33</v>
      </c>
      <c r="H303" s="14">
        <v>43767.833333333336</v>
      </c>
    </row>
    <row r="304" spans="1:8" x14ac:dyDescent="0.25">
      <c r="A304">
        <v>33</v>
      </c>
      <c r="B304" t="s">
        <v>133</v>
      </c>
      <c r="C304">
        <v>1</v>
      </c>
      <c r="D304">
        <v>0</v>
      </c>
      <c r="E304">
        <v>0</v>
      </c>
      <c r="F304">
        <v>79.209999999999994</v>
      </c>
      <c r="G304">
        <v>98821.55</v>
      </c>
      <c r="H304" s="14">
        <v>43767.833333333336</v>
      </c>
    </row>
    <row r="305" spans="1:8" x14ac:dyDescent="0.25">
      <c r="A305">
        <v>33</v>
      </c>
      <c r="B305" t="s">
        <v>133</v>
      </c>
      <c r="C305">
        <v>2</v>
      </c>
      <c r="D305">
        <v>0</v>
      </c>
      <c r="E305">
        <v>0</v>
      </c>
      <c r="F305">
        <v>110.33</v>
      </c>
      <c r="G305">
        <v>112663.24</v>
      </c>
      <c r="H305" s="14">
        <v>43767.833333333336</v>
      </c>
    </row>
    <row r="306" spans="1:8" x14ac:dyDescent="0.25">
      <c r="A306">
        <v>34</v>
      </c>
      <c r="B306" t="s">
        <v>136</v>
      </c>
      <c r="C306">
        <v>1</v>
      </c>
      <c r="D306">
        <v>0</v>
      </c>
      <c r="E306">
        <v>0</v>
      </c>
      <c r="F306">
        <v>14.32</v>
      </c>
      <c r="G306">
        <v>16508.189999999999</v>
      </c>
      <c r="H306" s="14">
        <v>43767.833333333336</v>
      </c>
    </row>
    <row r="307" spans="1:8" x14ac:dyDescent="0.25">
      <c r="A307">
        <v>34</v>
      </c>
      <c r="B307" t="s">
        <v>136</v>
      </c>
      <c r="C307">
        <v>2</v>
      </c>
      <c r="D307">
        <v>0</v>
      </c>
      <c r="E307">
        <v>0</v>
      </c>
      <c r="F307">
        <v>14.76</v>
      </c>
      <c r="G307">
        <v>16413.48</v>
      </c>
      <c r="H307" s="14">
        <v>43767.833333333336</v>
      </c>
    </row>
    <row r="308" spans="1:8" x14ac:dyDescent="0.25">
      <c r="A308">
        <v>34</v>
      </c>
      <c r="B308" t="s">
        <v>136</v>
      </c>
      <c r="C308">
        <v>3</v>
      </c>
      <c r="D308">
        <v>0</v>
      </c>
      <c r="E308">
        <v>0</v>
      </c>
      <c r="F308">
        <v>14.66</v>
      </c>
      <c r="G308">
        <v>16556.599999999999</v>
      </c>
      <c r="H308" s="14">
        <v>43767.833333333336</v>
      </c>
    </row>
    <row r="309" spans="1:8" x14ac:dyDescent="0.25">
      <c r="A309">
        <v>34</v>
      </c>
      <c r="B309" t="s">
        <v>136</v>
      </c>
      <c r="C309">
        <v>4</v>
      </c>
      <c r="D309">
        <v>0</v>
      </c>
      <c r="E309">
        <v>0</v>
      </c>
      <c r="F309">
        <v>14.47</v>
      </c>
      <c r="G309">
        <v>16150.65</v>
      </c>
      <c r="H309" s="14">
        <v>43767.833333333336</v>
      </c>
    </row>
    <row r="310" spans="1:8" x14ac:dyDescent="0.25">
      <c r="A310">
        <v>34</v>
      </c>
      <c r="B310" t="s">
        <v>136</v>
      </c>
      <c r="C310">
        <v>5</v>
      </c>
      <c r="D310">
        <v>0</v>
      </c>
      <c r="E310">
        <v>0</v>
      </c>
      <c r="F310">
        <v>14.35</v>
      </c>
      <c r="G310">
        <v>18165.810000000001</v>
      </c>
      <c r="H310" s="14">
        <v>43767.833333333336</v>
      </c>
    </row>
    <row r="311" spans="1:8" x14ac:dyDescent="0.25">
      <c r="A311">
        <v>34</v>
      </c>
      <c r="B311" t="s">
        <v>136</v>
      </c>
      <c r="C311">
        <v>6</v>
      </c>
      <c r="D311">
        <v>0</v>
      </c>
      <c r="E311">
        <v>0</v>
      </c>
      <c r="F311">
        <v>14.16</v>
      </c>
      <c r="G311">
        <v>17195.22</v>
      </c>
      <c r="H311" s="14">
        <v>43767.833333333336</v>
      </c>
    </row>
    <row r="312" spans="1:8" x14ac:dyDescent="0.25">
      <c r="A312">
        <v>34</v>
      </c>
      <c r="B312" t="s">
        <v>136</v>
      </c>
      <c r="C312">
        <v>7</v>
      </c>
      <c r="D312">
        <v>0</v>
      </c>
      <c r="E312">
        <v>0</v>
      </c>
      <c r="F312">
        <v>13.91</v>
      </c>
      <c r="G312">
        <v>16048.69</v>
      </c>
      <c r="H312" s="14">
        <v>43767.833333333336</v>
      </c>
    </row>
    <row r="313" spans="1:8" x14ac:dyDescent="0.25">
      <c r="A313">
        <v>34</v>
      </c>
      <c r="B313" t="s">
        <v>136</v>
      </c>
      <c r="C313">
        <v>8</v>
      </c>
      <c r="D313">
        <v>0</v>
      </c>
      <c r="E313">
        <v>0</v>
      </c>
      <c r="F313">
        <v>13.52</v>
      </c>
      <c r="G313">
        <v>17651.36</v>
      </c>
      <c r="H313" s="14">
        <v>43767.833333333336</v>
      </c>
    </row>
    <row r="314" spans="1:8" x14ac:dyDescent="0.25">
      <c r="A314">
        <v>34</v>
      </c>
      <c r="B314" t="s">
        <v>136</v>
      </c>
      <c r="C314">
        <v>9</v>
      </c>
      <c r="D314">
        <v>0</v>
      </c>
      <c r="E314">
        <v>0</v>
      </c>
      <c r="F314">
        <v>17.91</v>
      </c>
      <c r="G314">
        <v>19676.04</v>
      </c>
      <c r="H314" s="14">
        <v>43767.833333333336</v>
      </c>
    </row>
    <row r="315" spans="1:8" x14ac:dyDescent="0.25">
      <c r="A315">
        <v>34</v>
      </c>
      <c r="B315" t="s">
        <v>136</v>
      </c>
      <c r="C315">
        <v>10</v>
      </c>
      <c r="D315">
        <v>0</v>
      </c>
      <c r="E315">
        <v>0</v>
      </c>
      <c r="F315">
        <v>18.18</v>
      </c>
      <c r="G315">
        <v>19977.849999999999</v>
      </c>
      <c r="H315" s="14">
        <v>43767.833333333336</v>
      </c>
    </row>
    <row r="316" spans="1:8" x14ac:dyDescent="0.25">
      <c r="A316">
        <v>34</v>
      </c>
      <c r="B316" t="s">
        <v>136</v>
      </c>
      <c r="C316">
        <v>11</v>
      </c>
      <c r="D316">
        <v>0</v>
      </c>
      <c r="E316">
        <v>0</v>
      </c>
      <c r="F316">
        <v>18.23</v>
      </c>
      <c r="G316">
        <v>19973.34</v>
      </c>
      <c r="H316" s="14">
        <v>43767.833333333336</v>
      </c>
    </row>
    <row r="317" spans="1:8" x14ac:dyDescent="0.25">
      <c r="A317">
        <v>34</v>
      </c>
      <c r="B317" t="s">
        <v>136</v>
      </c>
      <c r="C317">
        <v>12</v>
      </c>
      <c r="D317">
        <v>0</v>
      </c>
      <c r="E317">
        <v>0</v>
      </c>
      <c r="F317">
        <v>18.260000000000002</v>
      </c>
      <c r="G317">
        <v>19952.150000000001</v>
      </c>
      <c r="H317" s="14">
        <v>43767.833333333336</v>
      </c>
    </row>
    <row r="318" spans="1:8" x14ac:dyDescent="0.25">
      <c r="A318">
        <v>34</v>
      </c>
      <c r="B318" t="s">
        <v>136</v>
      </c>
      <c r="C318">
        <v>13</v>
      </c>
      <c r="D318">
        <v>0</v>
      </c>
      <c r="E318">
        <v>0</v>
      </c>
      <c r="F318">
        <v>18.34</v>
      </c>
      <c r="G318">
        <v>19983.78</v>
      </c>
      <c r="H318" s="14">
        <v>43767.833333333336</v>
      </c>
    </row>
    <row r="319" spans="1:8" x14ac:dyDescent="0.25">
      <c r="A319">
        <v>34</v>
      </c>
      <c r="B319" t="s">
        <v>136</v>
      </c>
      <c r="C319">
        <v>14</v>
      </c>
      <c r="D319">
        <v>0</v>
      </c>
      <c r="E319">
        <v>0</v>
      </c>
      <c r="F319">
        <v>18.22</v>
      </c>
      <c r="G319">
        <v>17182.919999999998</v>
      </c>
      <c r="H319" s="14">
        <v>43767.833333333336</v>
      </c>
    </row>
    <row r="320" spans="1:8" x14ac:dyDescent="0.25">
      <c r="A320">
        <v>34</v>
      </c>
      <c r="B320" t="s">
        <v>136</v>
      </c>
      <c r="C320">
        <v>15</v>
      </c>
      <c r="D320">
        <v>0</v>
      </c>
      <c r="E320">
        <v>0</v>
      </c>
      <c r="F320">
        <v>19.510000000000002</v>
      </c>
      <c r="G320">
        <v>20826.189999999999</v>
      </c>
      <c r="H320" s="14">
        <v>43767.833333333336</v>
      </c>
    </row>
    <row r="321" spans="1:8" x14ac:dyDescent="0.25">
      <c r="A321">
        <v>34</v>
      </c>
      <c r="B321" t="s">
        <v>136</v>
      </c>
      <c r="C321">
        <v>16</v>
      </c>
      <c r="D321">
        <v>0</v>
      </c>
      <c r="E321">
        <v>0</v>
      </c>
      <c r="F321">
        <v>19.510000000000002</v>
      </c>
      <c r="G321">
        <v>20371.759999999998</v>
      </c>
      <c r="H321" s="14">
        <v>43767.833333333336</v>
      </c>
    </row>
    <row r="322" spans="1:8" x14ac:dyDescent="0.25">
      <c r="A322">
        <v>34</v>
      </c>
      <c r="B322" t="s">
        <v>136</v>
      </c>
      <c r="C322">
        <v>17</v>
      </c>
      <c r="D322">
        <v>0</v>
      </c>
      <c r="E322">
        <v>0</v>
      </c>
      <c r="F322">
        <v>19.98</v>
      </c>
      <c r="G322">
        <v>20793.47</v>
      </c>
      <c r="H322" s="14">
        <v>43767.833333333336</v>
      </c>
    </row>
    <row r="323" spans="1:8" x14ac:dyDescent="0.25">
      <c r="A323">
        <v>34</v>
      </c>
      <c r="B323" t="s">
        <v>136</v>
      </c>
      <c r="C323">
        <v>18</v>
      </c>
      <c r="D323">
        <v>0</v>
      </c>
      <c r="E323">
        <v>0</v>
      </c>
      <c r="F323">
        <v>0</v>
      </c>
      <c r="G323">
        <v>0</v>
      </c>
      <c r="H323" s="14">
        <v>36526</v>
      </c>
    </row>
    <row r="324" spans="1:8" x14ac:dyDescent="0.25">
      <c r="A324">
        <v>36</v>
      </c>
      <c r="B324" t="s">
        <v>144</v>
      </c>
      <c r="C324">
        <v>1</v>
      </c>
      <c r="D324">
        <v>0</v>
      </c>
      <c r="E324">
        <v>0</v>
      </c>
      <c r="F324">
        <v>12.2</v>
      </c>
      <c r="G324">
        <v>7561.6</v>
      </c>
      <c r="H324" s="14">
        <v>43767.833333333336</v>
      </c>
    </row>
    <row r="325" spans="1:8" x14ac:dyDescent="0.25">
      <c r="A325">
        <v>36</v>
      </c>
      <c r="B325" t="s">
        <v>144</v>
      </c>
      <c r="C325">
        <v>2</v>
      </c>
      <c r="D325">
        <v>0</v>
      </c>
      <c r="E325">
        <v>0</v>
      </c>
      <c r="F325">
        <v>6.5</v>
      </c>
      <c r="G325">
        <v>7345.4</v>
      </c>
      <c r="H325" s="14">
        <v>43767.833333333336</v>
      </c>
    </row>
    <row r="326" spans="1:8" x14ac:dyDescent="0.25">
      <c r="A326">
        <v>36</v>
      </c>
      <c r="B326" t="s">
        <v>144</v>
      </c>
      <c r="C326">
        <v>3</v>
      </c>
      <c r="D326">
        <v>0</v>
      </c>
      <c r="E326">
        <v>0</v>
      </c>
      <c r="F326">
        <v>8.8000000000000007</v>
      </c>
      <c r="G326">
        <v>7553.9</v>
      </c>
      <c r="H326" s="14">
        <v>43767.833333333336</v>
      </c>
    </row>
    <row r="327" spans="1:8" x14ac:dyDescent="0.25">
      <c r="A327">
        <v>36</v>
      </c>
      <c r="B327" t="s">
        <v>144</v>
      </c>
      <c r="C327">
        <v>4</v>
      </c>
      <c r="D327">
        <v>0</v>
      </c>
      <c r="E327">
        <v>0</v>
      </c>
      <c r="F327">
        <v>8.1</v>
      </c>
      <c r="G327">
        <v>5117.3999999999996</v>
      </c>
      <c r="H327" s="14">
        <v>43767.833333333336</v>
      </c>
    </row>
    <row r="328" spans="1:8" x14ac:dyDescent="0.25">
      <c r="A328">
        <v>36</v>
      </c>
      <c r="B328" t="s">
        <v>144</v>
      </c>
      <c r="C328">
        <v>5</v>
      </c>
      <c r="D328">
        <v>0</v>
      </c>
      <c r="E328">
        <v>0</v>
      </c>
      <c r="F328">
        <v>10</v>
      </c>
      <c r="G328">
        <v>8689</v>
      </c>
      <c r="H328" s="14">
        <v>43767.833333333336</v>
      </c>
    </row>
    <row r="329" spans="1:8" x14ac:dyDescent="0.25">
      <c r="A329">
        <v>36</v>
      </c>
      <c r="B329" t="s">
        <v>144</v>
      </c>
      <c r="C329">
        <v>6</v>
      </c>
      <c r="D329">
        <v>0</v>
      </c>
      <c r="E329">
        <v>0</v>
      </c>
      <c r="F329">
        <v>12.5</v>
      </c>
      <c r="G329">
        <v>6749.5</v>
      </c>
      <c r="H329" s="14">
        <v>43767.833333333336</v>
      </c>
    </row>
    <row r="330" spans="1:8" x14ac:dyDescent="0.25">
      <c r="A330">
        <v>37</v>
      </c>
      <c r="B330" t="s">
        <v>147</v>
      </c>
      <c r="C330">
        <v>1</v>
      </c>
      <c r="D330">
        <v>0</v>
      </c>
      <c r="E330">
        <v>0</v>
      </c>
      <c r="F330">
        <v>10</v>
      </c>
      <c r="G330">
        <v>11565</v>
      </c>
      <c r="H330" s="14">
        <v>43767.833333333336</v>
      </c>
    </row>
    <row r="331" spans="1:8" x14ac:dyDescent="0.25">
      <c r="A331">
        <v>37</v>
      </c>
      <c r="B331" t="s">
        <v>147</v>
      </c>
      <c r="C331">
        <v>2</v>
      </c>
      <c r="D331">
        <v>0</v>
      </c>
      <c r="E331">
        <v>0</v>
      </c>
      <c r="F331">
        <v>6.7</v>
      </c>
      <c r="G331">
        <v>10032.5</v>
      </c>
      <c r="H331" s="14">
        <v>43767.833333333336</v>
      </c>
    </row>
    <row r="332" spans="1:8" x14ac:dyDescent="0.25">
      <c r="A332">
        <v>37</v>
      </c>
      <c r="B332" t="s">
        <v>147</v>
      </c>
      <c r="C332">
        <v>3</v>
      </c>
      <c r="D332">
        <v>0</v>
      </c>
      <c r="E332">
        <v>0</v>
      </c>
      <c r="F332">
        <v>5.7</v>
      </c>
      <c r="G332">
        <v>10573.2</v>
      </c>
      <c r="H332" s="14">
        <v>43767.833333333336</v>
      </c>
    </row>
    <row r="333" spans="1:8" x14ac:dyDescent="0.25">
      <c r="A333">
        <v>38</v>
      </c>
      <c r="B333" t="s">
        <v>150</v>
      </c>
      <c r="C333">
        <v>1</v>
      </c>
      <c r="D333">
        <v>0</v>
      </c>
      <c r="E333">
        <v>0</v>
      </c>
      <c r="F333">
        <v>14.1</v>
      </c>
      <c r="G333">
        <v>20174</v>
      </c>
      <c r="H333" s="14">
        <v>43767.833333333336</v>
      </c>
    </row>
    <row r="334" spans="1:8" x14ac:dyDescent="0.25">
      <c r="A334">
        <v>39</v>
      </c>
      <c r="B334" t="s">
        <v>153</v>
      </c>
      <c r="C334">
        <v>1</v>
      </c>
      <c r="D334">
        <v>0</v>
      </c>
      <c r="E334">
        <v>0</v>
      </c>
      <c r="F334">
        <v>17</v>
      </c>
      <c r="G334">
        <v>1081.5999999999999</v>
      </c>
      <c r="H334" s="14">
        <v>43767.833333333336</v>
      </c>
    </row>
    <row r="335" spans="1:8" x14ac:dyDescent="0.25">
      <c r="A335">
        <v>39</v>
      </c>
      <c r="B335" t="s">
        <v>153</v>
      </c>
      <c r="C335">
        <v>2</v>
      </c>
      <c r="D335">
        <v>0</v>
      </c>
      <c r="E335">
        <v>0</v>
      </c>
      <c r="F335">
        <v>16.899999999999999</v>
      </c>
      <c r="G335">
        <v>22450.6</v>
      </c>
      <c r="H335" s="14">
        <v>43767.833333333336</v>
      </c>
    </row>
    <row r="336" spans="1:8" x14ac:dyDescent="0.25">
      <c r="A336">
        <v>39</v>
      </c>
      <c r="B336" t="s">
        <v>153</v>
      </c>
      <c r="C336">
        <v>3</v>
      </c>
      <c r="D336">
        <v>0</v>
      </c>
      <c r="E336">
        <v>0</v>
      </c>
      <c r="F336">
        <v>8.1999999999999993</v>
      </c>
      <c r="G336">
        <v>6990.1</v>
      </c>
      <c r="H336" s="14">
        <v>43767.833333333336</v>
      </c>
    </row>
    <row r="337" spans="1:8" x14ac:dyDescent="0.25">
      <c r="A337">
        <v>39</v>
      </c>
      <c r="B337" t="s">
        <v>153</v>
      </c>
      <c r="C337">
        <v>4</v>
      </c>
      <c r="D337">
        <v>0</v>
      </c>
      <c r="E337">
        <v>0</v>
      </c>
      <c r="F337">
        <v>7.3</v>
      </c>
      <c r="G337">
        <v>7340.2</v>
      </c>
      <c r="H337" s="14">
        <v>43767.833333333336</v>
      </c>
    </row>
    <row r="338" spans="1:8" x14ac:dyDescent="0.25">
      <c r="A338">
        <v>40</v>
      </c>
      <c r="B338" t="s">
        <v>156</v>
      </c>
      <c r="C338">
        <v>1</v>
      </c>
      <c r="D338">
        <v>0</v>
      </c>
      <c r="E338">
        <v>0</v>
      </c>
      <c r="F338">
        <v>17.600000000000001</v>
      </c>
      <c r="G338">
        <v>7945.4</v>
      </c>
      <c r="H338" s="14">
        <v>43767.833333333336</v>
      </c>
    </row>
    <row r="339" spans="1:8" x14ac:dyDescent="0.25">
      <c r="A339">
        <v>40</v>
      </c>
      <c r="B339" t="s">
        <v>156</v>
      </c>
      <c r="C339">
        <v>2</v>
      </c>
      <c r="D339">
        <v>0</v>
      </c>
      <c r="E339">
        <v>0</v>
      </c>
      <c r="F339">
        <v>17.100000000000001</v>
      </c>
      <c r="G339">
        <v>936.3</v>
      </c>
      <c r="H339" s="14">
        <v>43767.833333333336</v>
      </c>
    </row>
    <row r="340" spans="1:8" x14ac:dyDescent="0.25">
      <c r="A340">
        <v>40</v>
      </c>
      <c r="B340" t="s">
        <v>156</v>
      </c>
      <c r="C340">
        <v>3</v>
      </c>
      <c r="D340">
        <v>0</v>
      </c>
      <c r="E340">
        <v>0</v>
      </c>
      <c r="F340">
        <v>8.8000000000000007</v>
      </c>
      <c r="G340">
        <v>11469.7</v>
      </c>
      <c r="H340" s="14">
        <v>43767.833333333336</v>
      </c>
    </row>
    <row r="341" spans="1:8" x14ac:dyDescent="0.25">
      <c r="A341">
        <v>42</v>
      </c>
      <c r="B341" t="s">
        <v>164</v>
      </c>
      <c r="C341">
        <v>1</v>
      </c>
      <c r="D341">
        <v>0</v>
      </c>
      <c r="E341">
        <v>0</v>
      </c>
      <c r="F341">
        <v>26.95</v>
      </c>
      <c r="G341">
        <v>17564.400000000001</v>
      </c>
      <c r="H341" s="14">
        <v>43767.833333333336</v>
      </c>
    </row>
    <row r="342" spans="1:8" x14ac:dyDescent="0.25">
      <c r="A342">
        <v>42</v>
      </c>
      <c r="B342" t="s">
        <v>164</v>
      </c>
      <c r="C342">
        <v>2</v>
      </c>
      <c r="D342">
        <v>0</v>
      </c>
      <c r="E342">
        <v>0</v>
      </c>
      <c r="F342">
        <v>27.24</v>
      </c>
      <c r="G342">
        <v>17792.88</v>
      </c>
      <c r="H342" s="14">
        <v>43767.833333333336</v>
      </c>
    </row>
    <row r="343" spans="1:8" x14ac:dyDescent="0.25">
      <c r="A343">
        <v>42</v>
      </c>
      <c r="B343" t="s">
        <v>164</v>
      </c>
      <c r="C343">
        <v>3</v>
      </c>
      <c r="D343">
        <v>0</v>
      </c>
      <c r="E343">
        <v>0</v>
      </c>
      <c r="F343">
        <v>26.34</v>
      </c>
      <c r="G343">
        <v>17461.54</v>
      </c>
      <c r="H343" s="14">
        <v>43767.833333333336</v>
      </c>
    </row>
    <row r="344" spans="1:8" x14ac:dyDescent="0.25">
      <c r="A344">
        <v>42</v>
      </c>
      <c r="B344" t="s">
        <v>164</v>
      </c>
      <c r="C344">
        <v>4</v>
      </c>
      <c r="D344">
        <v>0</v>
      </c>
      <c r="E344">
        <v>0</v>
      </c>
      <c r="F344">
        <v>27.36</v>
      </c>
      <c r="G344">
        <v>17966.61</v>
      </c>
      <c r="H344" s="14">
        <v>43767.833333333336</v>
      </c>
    </row>
    <row r="345" spans="1:8" x14ac:dyDescent="0.25">
      <c r="A345">
        <v>42</v>
      </c>
      <c r="B345" t="s">
        <v>164</v>
      </c>
      <c r="C345">
        <v>5</v>
      </c>
      <c r="D345">
        <v>0</v>
      </c>
      <c r="E345">
        <v>0</v>
      </c>
      <c r="F345">
        <v>26.82</v>
      </c>
      <c r="G345">
        <v>17516.98</v>
      </c>
      <c r="H345" s="14">
        <v>43767.833333333336</v>
      </c>
    </row>
    <row r="346" spans="1:8" x14ac:dyDescent="0.25">
      <c r="A346">
        <v>43</v>
      </c>
      <c r="B346" t="s">
        <v>167</v>
      </c>
      <c r="C346">
        <v>1</v>
      </c>
      <c r="D346">
        <v>0</v>
      </c>
      <c r="E346">
        <v>0</v>
      </c>
      <c r="F346">
        <v>3.3</v>
      </c>
      <c r="G346">
        <v>1576.7</v>
      </c>
      <c r="H346" s="14">
        <v>43767.833333333336</v>
      </c>
    </row>
    <row r="347" spans="1:8" x14ac:dyDescent="0.25">
      <c r="A347">
        <v>43</v>
      </c>
      <c r="B347" t="s">
        <v>167</v>
      </c>
      <c r="C347">
        <v>2</v>
      </c>
      <c r="D347">
        <v>0</v>
      </c>
      <c r="E347">
        <v>0</v>
      </c>
      <c r="F347">
        <v>4.5999999999999996</v>
      </c>
      <c r="G347">
        <v>3194.3</v>
      </c>
      <c r="H347" s="14">
        <v>43767.833333333336</v>
      </c>
    </row>
    <row r="348" spans="1:8" x14ac:dyDescent="0.25">
      <c r="A348">
        <v>43</v>
      </c>
      <c r="B348" t="s">
        <v>167</v>
      </c>
      <c r="C348">
        <v>3</v>
      </c>
      <c r="D348">
        <v>0</v>
      </c>
      <c r="E348">
        <v>0</v>
      </c>
      <c r="F348">
        <v>5.0999999999999996</v>
      </c>
      <c r="G348">
        <v>3836.5</v>
      </c>
      <c r="H348" s="14">
        <v>43767.833333333336</v>
      </c>
    </row>
    <row r="349" spans="1:8" x14ac:dyDescent="0.25">
      <c r="A349">
        <v>43</v>
      </c>
      <c r="B349" t="s">
        <v>167</v>
      </c>
      <c r="C349">
        <v>4</v>
      </c>
      <c r="D349">
        <v>0</v>
      </c>
      <c r="E349">
        <v>0</v>
      </c>
      <c r="F349">
        <v>4.3</v>
      </c>
      <c r="G349">
        <v>4565.3</v>
      </c>
      <c r="H349" s="14">
        <v>43767.833333333336</v>
      </c>
    </row>
    <row r="350" spans="1:8" x14ac:dyDescent="0.25">
      <c r="A350">
        <v>43</v>
      </c>
      <c r="B350" t="s">
        <v>167</v>
      </c>
      <c r="C350">
        <v>5</v>
      </c>
      <c r="D350">
        <v>0</v>
      </c>
      <c r="E350">
        <v>0</v>
      </c>
      <c r="F350">
        <v>3.7</v>
      </c>
      <c r="G350">
        <v>5312.2</v>
      </c>
      <c r="H350" s="14">
        <v>43767.833333333336</v>
      </c>
    </row>
    <row r="351" spans="1:8" x14ac:dyDescent="0.25">
      <c r="A351">
        <v>43</v>
      </c>
      <c r="B351" t="s">
        <v>167</v>
      </c>
      <c r="C351">
        <v>6</v>
      </c>
      <c r="D351">
        <v>0</v>
      </c>
      <c r="E351">
        <v>0</v>
      </c>
      <c r="F351">
        <v>4.2</v>
      </c>
      <c r="G351">
        <v>3332.9</v>
      </c>
      <c r="H351" s="14">
        <v>43767.833333333336</v>
      </c>
    </row>
    <row r="352" spans="1:8" x14ac:dyDescent="0.25">
      <c r="A352">
        <v>44</v>
      </c>
      <c r="B352" t="s">
        <v>171</v>
      </c>
      <c r="C352">
        <v>1</v>
      </c>
      <c r="D352">
        <v>0</v>
      </c>
      <c r="E352">
        <v>0</v>
      </c>
      <c r="F352">
        <v>14.7</v>
      </c>
      <c r="G352">
        <v>9474.5</v>
      </c>
      <c r="H352" s="14">
        <v>43767.833333333336</v>
      </c>
    </row>
    <row r="353" spans="1:8" x14ac:dyDescent="0.25">
      <c r="A353">
        <v>44</v>
      </c>
      <c r="B353" t="s">
        <v>171</v>
      </c>
      <c r="C353">
        <v>2</v>
      </c>
      <c r="D353">
        <v>0</v>
      </c>
      <c r="E353">
        <v>0</v>
      </c>
      <c r="F353">
        <v>13.3</v>
      </c>
      <c r="G353">
        <v>2334.8000000000002</v>
      </c>
      <c r="H353" s="14">
        <v>43767.833333333336</v>
      </c>
    </row>
    <row r="354" spans="1:8" x14ac:dyDescent="0.25">
      <c r="A354">
        <v>44</v>
      </c>
      <c r="B354" t="s">
        <v>171</v>
      </c>
      <c r="C354">
        <v>3</v>
      </c>
      <c r="D354">
        <v>0</v>
      </c>
      <c r="E354">
        <v>0</v>
      </c>
      <c r="F354">
        <v>13.2</v>
      </c>
      <c r="G354">
        <v>5818.4</v>
      </c>
      <c r="H354" s="14">
        <v>43767.833333333336</v>
      </c>
    </row>
    <row r="355" spans="1:8" x14ac:dyDescent="0.25">
      <c r="A355">
        <v>44</v>
      </c>
      <c r="B355" t="s">
        <v>171</v>
      </c>
      <c r="C355">
        <v>4</v>
      </c>
      <c r="D355">
        <v>0</v>
      </c>
      <c r="E355">
        <v>0</v>
      </c>
      <c r="F355">
        <v>13.4</v>
      </c>
      <c r="G355">
        <v>6110.6</v>
      </c>
      <c r="H355" s="14">
        <v>43767.833333333336</v>
      </c>
    </row>
    <row r="356" spans="1:8" x14ac:dyDescent="0.25">
      <c r="A356">
        <v>44</v>
      </c>
      <c r="B356" t="s">
        <v>171</v>
      </c>
      <c r="C356">
        <v>5</v>
      </c>
      <c r="D356">
        <v>0</v>
      </c>
      <c r="E356">
        <v>0</v>
      </c>
      <c r="F356">
        <v>13.4</v>
      </c>
      <c r="G356">
        <v>5436.1</v>
      </c>
      <c r="H356" s="14">
        <v>43767.833333333336</v>
      </c>
    </row>
    <row r="357" spans="1:8" x14ac:dyDescent="0.25">
      <c r="A357">
        <v>44</v>
      </c>
      <c r="B357" t="s">
        <v>171</v>
      </c>
      <c r="C357">
        <v>6</v>
      </c>
      <c r="D357">
        <v>0</v>
      </c>
      <c r="E357">
        <v>0</v>
      </c>
      <c r="F357">
        <v>15</v>
      </c>
      <c r="G357">
        <v>6068.2</v>
      </c>
      <c r="H357" s="14">
        <v>43767.833333333336</v>
      </c>
    </row>
    <row r="358" spans="1:8" x14ac:dyDescent="0.25">
      <c r="A358">
        <v>45</v>
      </c>
      <c r="B358" t="s">
        <v>172</v>
      </c>
      <c r="C358">
        <v>1</v>
      </c>
      <c r="D358">
        <v>0</v>
      </c>
      <c r="E358">
        <v>0</v>
      </c>
      <c r="F358">
        <v>85.57</v>
      </c>
      <c r="G358">
        <v>90348.66</v>
      </c>
      <c r="H358" s="14">
        <v>43767.833333333336</v>
      </c>
    </row>
    <row r="359" spans="1:8" x14ac:dyDescent="0.25">
      <c r="A359">
        <v>45</v>
      </c>
      <c r="B359" t="s">
        <v>172</v>
      </c>
      <c r="C359">
        <v>2</v>
      </c>
      <c r="D359">
        <v>0</v>
      </c>
      <c r="E359">
        <v>0</v>
      </c>
      <c r="F359">
        <v>88.53</v>
      </c>
      <c r="G359">
        <v>97068.66</v>
      </c>
      <c r="H359" s="14">
        <v>43767.833333333336</v>
      </c>
    </row>
    <row r="360" spans="1:8" x14ac:dyDescent="0.25">
      <c r="A360">
        <v>45</v>
      </c>
      <c r="B360" t="s">
        <v>172</v>
      </c>
      <c r="C360">
        <v>3</v>
      </c>
      <c r="D360">
        <v>0</v>
      </c>
      <c r="E360">
        <v>0</v>
      </c>
      <c r="F360">
        <v>84.25</v>
      </c>
      <c r="G360">
        <v>100119.85</v>
      </c>
      <c r="H360" s="14">
        <v>43767.833333333336</v>
      </c>
    </row>
    <row r="361" spans="1:8" x14ac:dyDescent="0.25">
      <c r="A361">
        <v>45</v>
      </c>
      <c r="B361" t="s">
        <v>172</v>
      </c>
      <c r="C361">
        <v>4</v>
      </c>
      <c r="D361">
        <v>0</v>
      </c>
      <c r="E361">
        <v>0</v>
      </c>
      <c r="F361">
        <v>90.19</v>
      </c>
      <c r="G361">
        <v>100394.84</v>
      </c>
      <c r="H361" s="14">
        <v>43767.833333333336</v>
      </c>
    </row>
    <row r="362" spans="1:8" x14ac:dyDescent="0.25">
      <c r="A362">
        <v>45</v>
      </c>
      <c r="B362" t="s">
        <v>172</v>
      </c>
      <c r="C362">
        <v>5</v>
      </c>
      <c r="D362">
        <v>0</v>
      </c>
      <c r="E362">
        <v>0</v>
      </c>
      <c r="F362">
        <v>92.59</v>
      </c>
      <c r="G362">
        <v>101087.19</v>
      </c>
      <c r="H362" s="14">
        <v>43767.833333333336</v>
      </c>
    </row>
    <row r="363" spans="1:8" x14ac:dyDescent="0.25">
      <c r="A363">
        <v>45</v>
      </c>
      <c r="B363" t="s">
        <v>172</v>
      </c>
      <c r="C363">
        <v>6</v>
      </c>
      <c r="D363">
        <v>0</v>
      </c>
      <c r="E363">
        <v>0</v>
      </c>
      <c r="F363">
        <v>89.88</v>
      </c>
      <c r="G363">
        <v>101150.29</v>
      </c>
      <c r="H363" s="14">
        <v>43767.833333333336</v>
      </c>
    </row>
    <row r="364" spans="1:8" x14ac:dyDescent="0.25">
      <c r="A364">
        <v>45</v>
      </c>
      <c r="B364" t="s">
        <v>172</v>
      </c>
      <c r="C364">
        <v>7</v>
      </c>
      <c r="D364">
        <v>0</v>
      </c>
      <c r="E364">
        <v>0</v>
      </c>
      <c r="F364">
        <v>92.95</v>
      </c>
      <c r="G364">
        <v>103166.18</v>
      </c>
      <c r="H364" s="14">
        <v>43767.833333333336</v>
      </c>
    </row>
    <row r="365" spans="1:8" x14ac:dyDescent="0.25">
      <c r="A365">
        <v>45</v>
      </c>
      <c r="B365" t="s">
        <v>172</v>
      </c>
      <c r="C365">
        <v>8</v>
      </c>
      <c r="D365">
        <v>0</v>
      </c>
      <c r="E365">
        <v>0</v>
      </c>
      <c r="F365">
        <v>60.9</v>
      </c>
      <c r="G365">
        <v>67036.44</v>
      </c>
      <c r="H365" s="14">
        <v>43767.833333333336</v>
      </c>
    </row>
    <row r="366" spans="1:8" x14ac:dyDescent="0.25">
      <c r="A366">
        <v>45</v>
      </c>
      <c r="B366" t="s">
        <v>172</v>
      </c>
      <c r="C366">
        <v>9</v>
      </c>
      <c r="D366">
        <v>0</v>
      </c>
      <c r="E366">
        <v>0</v>
      </c>
      <c r="F366">
        <v>60.27</v>
      </c>
      <c r="G366">
        <v>66809.62</v>
      </c>
      <c r="H366" s="14">
        <v>43767.833333333336</v>
      </c>
    </row>
    <row r="367" spans="1:8" x14ac:dyDescent="0.25">
      <c r="A367">
        <v>46</v>
      </c>
      <c r="B367" t="s">
        <v>173</v>
      </c>
      <c r="C367">
        <v>1</v>
      </c>
      <c r="D367">
        <v>0</v>
      </c>
      <c r="E367">
        <v>0</v>
      </c>
      <c r="F367">
        <v>66.06</v>
      </c>
      <c r="G367">
        <v>113327.28</v>
      </c>
      <c r="H367" s="14">
        <v>43767.833333333336</v>
      </c>
    </row>
    <row r="368" spans="1:8" x14ac:dyDescent="0.25">
      <c r="A368">
        <v>46</v>
      </c>
      <c r="B368" t="s">
        <v>173</v>
      </c>
      <c r="C368">
        <v>2</v>
      </c>
      <c r="D368">
        <v>0</v>
      </c>
      <c r="E368">
        <v>0</v>
      </c>
      <c r="F368">
        <v>67.16</v>
      </c>
      <c r="G368">
        <v>114600.69</v>
      </c>
      <c r="H368" s="14">
        <v>43767.833333333336</v>
      </c>
    </row>
    <row r="369" spans="1:8" x14ac:dyDescent="0.25">
      <c r="A369">
        <v>46</v>
      </c>
      <c r="B369" t="s">
        <v>173</v>
      </c>
      <c r="C369">
        <v>3</v>
      </c>
      <c r="D369">
        <v>0</v>
      </c>
      <c r="E369">
        <v>0</v>
      </c>
      <c r="F369">
        <v>73.7</v>
      </c>
      <c r="G369">
        <v>119823.97</v>
      </c>
      <c r="H369" s="14">
        <v>43767.833333333336</v>
      </c>
    </row>
    <row r="370" spans="1:8" x14ac:dyDescent="0.25">
      <c r="A370">
        <v>46</v>
      </c>
      <c r="B370" t="s">
        <v>173</v>
      </c>
      <c r="C370">
        <v>4</v>
      </c>
      <c r="D370">
        <v>0</v>
      </c>
      <c r="E370">
        <v>0</v>
      </c>
      <c r="F370">
        <v>59.38</v>
      </c>
      <c r="G370">
        <v>107404.7</v>
      </c>
      <c r="H370" s="14">
        <v>43767.833333333336</v>
      </c>
    </row>
    <row r="371" spans="1:8" x14ac:dyDescent="0.25">
      <c r="A371">
        <v>46</v>
      </c>
      <c r="B371" t="s">
        <v>173</v>
      </c>
      <c r="C371">
        <v>5</v>
      </c>
      <c r="D371">
        <v>0</v>
      </c>
      <c r="E371">
        <v>0</v>
      </c>
      <c r="F371">
        <v>44.39</v>
      </c>
      <c r="G371">
        <v>74516.03</v>
      </c>
      <c r="H371" s="14">
        <v>43767.833333333336</v>
      </c>
    </row>
    <row r="372" spans="1:8" x14ac:dyDescent="0.25">
      <c r="A372">
        <v>46</v>
      </c>
      <c r="B372" t="s">
        <v>173</v>
      </c>
      <c r="C372">
        <v>6</v>
      </c>
      <c r="D372">
        <v>0</v>
      </c>
      <c r="E372">
        <v>0</v>
      </c>
      <c r="F372">
        <v>44.45</v>
      </c>
      <c r="G372">
        <v>75205.399999999994</v>
      </c>
      <c r="H372" s="14">
        <v>43767.833333333336</v>
      </c>
    </row>
    <row r="373" spans="1:8" x14ac:dyDescent="0.25">
      <c r="A373">
        <v>47</v>
      </c>
      <c r="B373" t="s">
        <v>174</v>
      </c>
      <c r="C373">
        <v>1</v>
      </c>
      <c r="D373">
        <v>0</v>
      </c>
      <c r="E373">
        <v>0</v>
      </c>
      <c r="F373">
        <v>101.94</v>
      </c>
      <c r="G373">
        <v>121269.3</v>
      </c>
      <c r="H373" s="14">
        <v>43767.833333333336</v>
      </c>
    </row>
    <row r="374" spans="1:8" x14ac:dyDescent="0.25">
      <c r="A374">
        <v>47</v>
      </c>
      <c r="B374" t="s">
        <v>174</v>
      </c>
      <c r="C374">
        <v>2</v>
      </c>
      <c r="D374">
        <v>0</v>
      </c>
      <c r="E374">
        <v>0</v>
      </c>
      <c r="F374">
        <v>93.45</v>
      </c>
      <c r="G374">
        <v>114939.71</v>
      </c>
      <c r="H374" s="14">
        <v>43767.833333333336</v>
      </c>
    </row>
    <row r="375" spans="1:8" x14ac:dyDescent="0.25">
      <c r="A375">
        <v>47</v>
      </c>
      <c r="B375" t="s">
        <v>174</v>
      </c>
      <c r="C375">
        <v>3</v>
      </c>
      <c r="D375">
        <v>0</v>
      </c>
      <c r="E375">
        <v>0</v>
      </c>
      <c r="F375">
        <v>83.34</v>
      </c>
      <c r="G375">
        <v>109670.57</v>
      </c>
      <c r="H375" s="14">
        <v>43767.833333333336</v>
      </c>
    </row>
    <row r="376" spans="1:8" x14ac:dyDescent="0.25">
      <c r="A376">
        <v>47</v>
      </c>
      <c r="B376" t="s">
        <v>174</v>
      </c>
      <c r="C376">
        <v>4</v>
      </c>
      <c r="D376">
        <v>0</v>
      </c>
      <c r="E376">
        <v>0</v>
      </c>
      <c r="F376">
        <v>102.14</v>
      </c>
      <c r="G376">
        <v>121196.65</v>
      </c>
      <c r="H376" s="14">
        <v>43767.833333333336</v>
      </c>
    </row>
    <row r="377" spans="1:8" x14ac:dyDescent="0.25">
      <c r="A377">
        <v>47</v>
      </c>
      <c r="B377" t="s">
        <v>174</v>
      </c>
      <c r="C377">
        <v>5</v>
      </c>
      <c r="D377">
        <v>0</v>
      </c>
      <c r="E377">
        <v>0</v>
      </c>
      <c r="F377">
        <v>89.54</v>
      </c>
      <c r="G377">
        <v>112243.38</v>
      </c>
      <c r="H377" s="14">
        <v>43767.833333333336</v>
      </c>
    </row>
    <row r="378" spans="1:8" x14ac:dyDescent="0.25">
      <c r="A378">
        <v>47</v>
      </c>
      <c r="B378" t="s">
        <v>174</v>
      </c>
      <c r="C378">
        <v>6</v>
      </c>
      <c r="D378">
        <v>0</v>
      </c>
      <c r="E378">
        <v>0</v>
      </c>
      <c r="F378">
        <v>88.17</v>
      </c>
      <c r="G378">
        <v>111144.22</v>
      </c>
      <c r="H378" s="14">
        <v>43767.833333333336</v>
      </c>
    </row>
    <row r="379" spans="1:8" x14ac:dyDescent="0.25">
      <c r="A379">
        <v>47</v>
      </c>
      <c r="B379" t="s">
        <v>174</v>
      </c>
      <c r="C379">
        <v>7</v>
      </c>
      <c r="D379">
        <v>0</v>
      </c>
      <c r="E379">
        <v>0</v>
      </c>
      <c r="F379">
        <v>105.45</v>
      </c>
      <c r="G379">
        <v>121777.45</v>
      </c>
      <c r="H379" s="14">
        <v>43767.833333333336</v>
      </c>
    </row>
    <row r="380" spans="1:8" x14ac:dyDescent="0.25">
      <c r="A380">
        <v>48</v>
      </c>
      <c r="B380" t="s">
        <v>175</v>
      </c>
      <c r="C380">
        <v>1</v>
      </c>
      <c r="D380">
        <v>0</v>
      </c>
      <c r="E380">
        <v>0</v>
      </c>
      <c r="F380">
        <v>89.47</v>
      </c>
      <c r="G380">
        <v>113464.59</v>
      </c>
      <c r="H380" s="14">
        <v>43767.833333333336</v>
      </c>
    </row>
    <row r="381" spans="1:8" x14ac:dyDescent="0.25">
      <c r="A381">
        <v>48</v>
      </c>
      <c r="B381" t="s">
        <v>175</v>
      </c>
      <c r="C381">
        <v>2</v>
      </c>
      <c r="D381">
        <v>0</v>
      </c>
      <c r="E381">
        <v>0</v>
      </c>
      <c r="F381">
        <v>88.16</v>
      </c>
      <c r="G381">
        <v>113451.44</v>
      </c>
      <c r="H381" s="14">
        <v>43767.833333333336</v>
      </c>
    </row>
    <row r="382" spans="1:8" x14ac:dyDescent="0.25">
      <c r="A382">
        <v>48</v>
      </c>
      <c r="B382" t="s">
        <v>175</v>
      </c>
      <c r="C382">
        <v>3</v>
      </c>
      <c r="D382">
        <v>0</v>
      </c>
      <c r="E382">
        <v>0</v>
      </c>
      <c r="F382">
        <v>89.53</v>
      </c>
      <c r="G382">
        <v>114206.23</v>
      </c>
      <c r="H382" s="14">
        <v>43767.833333333336</v>
      </c>
    </row>
    <row r="383" spans="1:8" x14ac:dyDescent="0.25">
      <c r="A383">
        <v>48</v>
      </c>
      <c r="B383" t="s">
        <v>175</v>
      </c>
      <c r="C383">
        <v>4</v>
      </c>
      <c r="D383">
        <v>0</v>
      </c>
      <c r="E383">
        <v>0</v>
      </c>
      <c r="F383">
        <v>90.89</v>
      </c>
      <c r="G383">
        <v>113726.77</v>
      </c>
      <c r="H383" s="14">
        <v>43767.833333333336</v>
      </c>
    </row>
    <row r="384" spans="1:8" x14ac:dyDescent="0.25">
      <c r="A384">
        <v>48</v>
      </c>
      <c r="B384" t="s">
        <v>175</v>
      </c>
      <c r="C384">
        <v>5</v>
      </c>
      <c r="D384">
        <v>0</v>
      </c>
      <c r="E384">
        <v>0</v>
      </c>
      <c r="F384">
        <v>88.84</v>
      </c>
      <c r="G384">
        <v>112463.57</v>
      </c>
      <c r="H384" s="14">
        <v>43767.833333333336</v>
      </c>
    </row>
    <row r="385" spans="1:8" x14ac:dyDescent="0.25">
      <c r="A385">
        <v>48</v>
      </c>
      <c r="B385" t="s">
        <v>175</v>
      </c>
      <c r="C385">
        <v>6</v>
      </c>
      <c r="D385">
        <v>0</v>
      </c>
      <c r="E385">
        <v>0</v>
      </c>
      <c r="F385">
        <v>86.84</v>
      </c>
      <c r="G385">
        <v>112526.84</v>
      </c>
      <c r="H385" s="14">
        <v>43767.833333333336</v>
      </c>
    </row>
    <row r="386" spans="1:8" x14ac:dyDescent="0.25">
      <c r="A386">
        <v>48</v>
      </c>
      <c r="B386" t="s">
        <v>175</v>
      </c>
      <c r="C386">
        <v>7</v>
      </c>
      <c r="D386">
        <v>0</v>
      </c>
      <c r="E386">
        <v>0</v>
      </c>
      <c r="F386">
        <v>92.65</v>
      </c>
      <c r="G386">
        <v>115947.38</v>
      </c>
      <c r="H386" s="14">
        <v>43767.833333333336</v>
      </c>
    </row>
    <row r="387" spans="1:8" x14ac:dyDescent="0.25">
      <c r="A387">
        <v>48</v>
      </c>
      <c r="B387" t="s">
        <v>175</v>
      </c>
      <c r="C387">
        <v>8</v>
      </c>
      <c r="D387">
        <v>0</v>
      </c>
      <c r="E387">
        <v>0</v>
      </c>
      <c r="F387">
        <v>89.36</v>
      </c>
      <c r="G387">
        <v>115288.55</v>
      </c>
      <c r="H387" s="14">
        <v>43767.833333333336</v>
      </c>
    </row>
    <row r="388" spans="1:8" x14ac:dyDescent="0.25">
      <c r="A388">
        <v>48</v>
      </c>
      <c r="B388" t="s">
        <v>175</v>
      </c>
      <c r="C388">
        <v>9</v>
      </c>
      <c r="D388">
        <v>0</v>
      </c>
      <c r="E388">
        <v>0</v>
      </c>
      <c r="F388">
        <v>87.54</v>
      </c>
      <c r="G388">
        <v>112964.43</v>
      </c>
      <c r="H388" s="14">
        <v>43767.833333333336</v>
      </c>
    </row>
    <row r="389" spans="1:8" x14ac:dyDescent="0.25">
      <c r="A389">
        <v>48</v>
      </c>
      <c r="B389" t="s">
        <v>175</v>
      </c>
      <c r="C389">
        <v>10</v>
      </c>
      <c r="D389">
        <v>0</v>
      </c>
      <c r="E389">
        <v>0</v>
      </c>
      <c r="F389">
        <v>92.82</v>
      </c>
      <c r="G389">
        <v>116274.8</v>
      </c>
      <c r="H389" s="14">
        <v>43767.833333333336</v>
      </c>
    </row>
    <row r="390" spans="1:8" x14ac:dyDescent="0.25">
      <c r="A390">
        <v>49</v>
      </c>
      <c r="B390" t="s">
        <v>176</v>
      </c>
      <c r="C390">
        <v>1</v>
      </c>
      <c r="D390">
        <v>0</v>
      </c>
      <c r="E390">
        <v>0</v>
      </c>
      <c r="F390">
        <v>95.56</v>
      </c>
      <c r="G390">
        <v>117094.21</v>
      </c>
      <c r="H390" s="14">
        <v>43767.833333333336</v>
      </c>
    </row>
    <row r="391" spans="1:8" x14ac:dyDescent="0.25">
      <c r="A391">
        <v>49</v>
      </c>
      <c r="B391" t="s">
        <v>176</v>
      </c>
      <c r="C391">
        <v>2</v>
      </c>
      <c r="D391">
        <v>0</v>
      </c>
      <c r="E391">
        <v>0</v>
      </c>
      <c r="F391">
        <v>92.34</v>
      </c>
      <c r="G391">
        <v>113915.2</v>
      </c>
      <c r="H391" s="14">
        <v>43767.833333333336</v>
      </c>
    </row>
    <row r="392" spans="1:8" x14ac:dyDescent="0.25">
      <c r="A392">
        <v>49</v>
      </c>
      <c r="B392" t="s">
        <v>176</v>
      </c>
      <c r="C392">
        <v>3</v>
      </c>
      <c r="D392">
        <v>0</v>
      </c>
      <c r="E392">
        <v>0</v>
      </c>
      <c r="F392">
        <v>88.91</v>
      </c>
      <c r="G392">
        <v>111541.53</v>
      </c>
      <c r="H392" s="14">
        <v>43767.833333333336</v>
      </c>
    </row>
    <row r="393" spans="1:8" x14ac:dyDescent="0.25">
      <c r="A393">
        <v>49</v>
      </c>
      <c r="B393" t="s">
        <v>176</v>
      </c>
      <c r="C393">
        <v>4</v>
      </c>
      <c r="D393">
        <v>0</v>
      </c>
      <c r="E393">
        <v>0</v>
      </c>
      <c r="F393">
        <v>98.77</v>
      </c>
      <c r="G393">
        <v>116474.95</v>
      </c>
      <c r="H393" s="14">
        <v>43767.833333333336</v>
      </c>
    </row>
    <row r="394" spans="1:8" x14ac:dyDescent="0.25">
      <c r="A394">
        <v>49</v>
      </c>
      <c r="B394" t="s">
        <v>176</v>
      </c>
      <c r="C394">
        <v>5</v>
      </c>
      <c r="D394">
        <v>0</v>
      </c>
      <c r="E394">
        <v>0</v>
      </c>
      <c r="F394">
        <v>91.25</v>
      </c>
      <c r="G394">
        <v>111572.8</v>
      </c>
      <c r="H394" s="14">
        <v>43767.833333333336</v>
      </c>
    </row>
    <row r="395" spans="1:8" x14ac:dyDescent="0.25">
      <c r="A395">
        <v>49</v>
      </c>
      <c r="B395" t="s">
        <v>176</v>
      </c>
      <c r="C395">
        <v>6</v>
      </c>
      <c r="D395">
        <v>0</v>
      </c>
      <c r="E395">
        <v>0</v>
      </c>
      <c r="F395">
        <v>87.51</v>
      </c>
      <c r="G395">
        <v>111567.01</v>
      </c>
      <c r="H395" s="14">
        <v>43767.833333333336</v>
      </c>
    </row>
    <row r="396" spans="1:8" x14ac:dyDescent="0.25">
      <c r="A396">
        <v>49</v>
      </c>
      <c r="B396" t="s">
        <v>176</v>
      </c>
      <c r="C396">
        <v>7</v>
      </c>
      <c r="D396">
        <v>0</v>
      </c>
      <c r="E396">
        <v>0</v>
      </c>
      <c r="F396">
        <v>93.9</v>
      </c>
      <c r="G396">
        <v>114700.93</v>
      </c>
      <c r="H396" s="14">
        <v>43767.833333333336</v>
      </c>
    </row>
    <row r="397" spans="1:8" x14ac:dyDescent="0.25">
      <c r="A397">
        <v>49</v>
      </c>
      <c r="B397" t="s">
        <v>176</v>
      </c>
      <c r="C397">
        <v>8</v>
      </c>
      <c r="D397">
        <v>0</v>
      </c>
      <c r="E397">
        <v>0</v>
      </c>
      <c r="F397">
        <v>98.73</v>
      </c>
      <c r="G397">
        <v>117081.44</v>
      </c>
      <c r="H397" s="14">
        <v>43767.833333333336</v>
      </c>
    </row>
    <row r="398" spans="1:8" x14ac:dyDescent="0.25">
      <c r="A398">
        <v>49</v>
      </c>
      <c r="B398" t="s">
        <v>176</v>
      </c>
      <c r="C398">
        <v>9</v>
      </c>
      <c r="D398">
        <v>0</v>
      </c>
      <c r="E398">
        <v>0</v>
      </c>
      <c r="F398">
        <v>93.96</v>
      </c>
      <c r="G398">
        <v>114709.3</v>
      </c>
      <c r="H398" s="14">
        <v>43767.833333333336</v>
      </c>
    </row>
    <row r="399" spans="1:8" x14ac:dyDescent="0.25">
      <c r="A399">
        <v>49</v>
      </c>
      <c r="B399" t="s">
        <v>176</v>
      </c>
      <c r="C399">
        <v>10</v>
      </c>
      <c r="D399">
        <v>0</v>
      </c>
      <c r="E399">
        <v>0</v>
      </c>
      <c r="F399">
        <v>86.86</v>
      </c>
      <c r="G399">
        <v>113310.26</v>
      </c>
      <c r="H399" s="14">
        <v>43767.833333333336</v>
      </c>
    </row>
    <row r="400" spans="1:8" x14ac:dyDescent="0.25">
      <c r="A400">
        <v>49</v>
      </c>
      <c r="B400" t="s">
        <v>176</v>
      </c>
      <c r="C400">
        <v>11</v>
      </c>
      <c r="D400">
        <v>0</v>
      </c>
      <c r="E400">
        <v>0</v>
      </c>
      <c r="F400">
        <v>102.06</v>
      </c>
      <c r="G400">
        <v>121098.79</v>
      </c>
      <c r="H400" s="14">
        <v>43767.833333333336</v>
      </c>
    </row>
    <row r="401" spans="1:8" x14ac:dyDescent="0.25">
      <c r="A401">
        <v>49</v>
      </c>
      <c r="B401" t="s">
        <v>176</v>
      </c>
      <c r="C401">
        <v>12</v>
      </c>
      <c r="D401">
        <v>0</v>
      </c>
      <c r="E401">
        <v>0</v>
      </c>
      <c r="F401">
        <v>88.86</v>
      </c>
      <c r="G401">
        <v>113992.41</v>
      </c>
      <c r="H401" s="14">
        <v>43767.833333333336</v>
      </c>
    </row>
    <row r="402" spans="1:8" x14ac:dyDescent="0.25">
      <c r="A402">
        <v>49</v>
      </c>
      <c r="B402" t="s">
        <v>176</v>
      </c>
      <c r="C402">
        <v>13</v>
      </c>
      <c r="D402">
        <v>0</v>
      </c>
      <c r="E402">
        <v>0</v>
      </c>
      <c r="F402">
        <v>84.75</v>
      </c>
      <c r="G402">
        <v>113283.59</v>
      </c>
      <c r="H402" s="14">
        <v>43767.833333333336</v>
      </c>
    </row>
    <row r="403" spans="1:8" x14ac:dyDescent="0.25">
      <c r="A403">
        <v>49</v>
      </c>
      <c r="B403" t="s">
        <v>176</v>
      </c>
      <c r="C403">
        <v>14</v>
      </c>
      <c r="D403">
        <v>0</v>
      </c>
      <c r="E403">
        <v>0</v>
      </c>
      <c r="F403">
        <v>64.2</v>
      </c>
      <c r="G403">
        <v>77692.850000000006</v>
      </c>
      <c r="H403" s="14">
        <v>43767.833333333336</v>
      </c>
    </row>
    <row r="404" spans="1:8" x14ac:dyDescent="0.25">
      <c r="A404">
        <v>50</v>
      </c>
      <c r="B404" t="s">
        <v>177</v>
      </c>
      <c r="C404">
        <v>1</v>
      </c>
      <c r="D404">
        <v>0</v>
      </c>
      <c r="E404">
        <v>0</v>
      </c>
      <c r="F404">
        <v>62.85</v>
      </c>
      <c r="G404">
        <v>65893.45</v>
      </c>
      <c r="H404" s="14">
        <v>43767.833333333336</v>
      </c>
    </row>
    <row r="405" spans="1:8" x14ac:dyDescent="0.25">
      <c r="A405">
        <v>50</v>
      </c>
      <c r="B405" t="s">
        <v>177</v>
      </c>
      <c r="C405">
        <v>2</v>
      </c>
      <c r="D405">
        <v>0</v>
      </c>
      <c r="E405">
        <v>0</v>
      </c>
      <c r="F405">
        <v>108.6</v>
      </c>
      <c r="G405">
        <v>108646.88</v>
      </c>
      <c r="H405" s="14">
        <v>43767.833333333336</v>
      </c>
    </row>
    <row r="406" spans="1:8" x14ac:dyDescent="0.25">
      <c r="A406">
        <v>50</v>
      </c>
      <c r="B406" t="s">
        <v>177</v>
      </c>
      <c r="C406">
        <v>3</v>
      </c>
      <c r="D406">
        <v>0</v>
      </c>
      <c r="E406">
        <v>0</v>
      </c>
      <c r="F406">
        <v>93.96</v>
      </c>
      <c r="G406">
        <v>102393.96</v>
      </c>
      <c r="H406" s="14">
        <v>43767.833333333336</v>
      </c>
    </row>
    <row r="407" spans="1:8" x14ac:dyDescent="0.25">
      <c r="A407">
        <v>50</v>
      </c>
      <c r="B407" t="s">
        <v>177</v>
      </c>
      <c r="C407">
        <v>4</v>
      </c>
      <c r="D407">
        <v>0</v>
      </c>
      <c r="E407">
        <v>0</v>
      </c>
      <c r="F407">
        <v>100.75</v>
      </c>
      <c r="G407">
        <v>106546.86</v>
      </c>
      <c r="H407" s="14">
        <v>43767.833333333336</v>
      </c>
    </row>
    <row r="408" spans="1:8" x14ac:dyDescent="0.25">
      <c r="A408">
        <v>50</v>
      </c>
      <c r="B408" t="s">
        <v>177</v>
      </c>
      <c r="C408">
        <v>5</v>
      </c>
      <c r="D408">
        <v>0</v>
      </c>
      <c r="E408">
        <v>0</v>
      </c>
      <c r="F408">
        <v>107.54</v>
      </c>
      <c r="G408">
        <v>105859.43</v>
      </c>
      <c r="H408" s="14">
        <v>43767.833333333336</v>
      </c>
    </row>
    <row r="409" spans="1:8" x14ac:dyDescent="0.25">
      <c r="A409">
        <v>50</v>
      </c>
      <c r="B409" t="s">
        <v>177</v>
      </c>
      <c r="C409">
        <v>6</v>
      </c>
      <c r="D409">
        <v>0</v>
      </c>
      <c r="E409">
        <v>0</v>
      </c>
      <c r="F409">
        <v>96.2</v>
      </c>
      <c r="G409">
        <v>103791.51</v>
      </c>
      <c r="H409" s="14">
        <v>43767.833333333336</v>
      </c>
    </row>
    <row r="410" spans="1:8" x14ac:dyDescent="0.25">
      <c r="A410">
        <v>50</v>
      </c>
      <c r="B410" t="s">
        <v>177</v>
      </c>
      <c r="C410">
        <v>7</v>
      </c>
      <c r="D410">
        <v>0</v>
      </c>
      <c r="E410">
        <v>0</v>
      </c>
      <c r="F410">
        <v>107.38</v>
      </c>
      <c r="G410">
        <v>105733.28</v>
      </c>
      <c r="H410" s="14">
        <v>43767.833333333336</v>
      </c>
    </row>
    <row r="411" spans="1:8" x14ac:dyDescent="0.25">
      <c r="A411">
        <v>50</v>
      </c>
      <c r="B411" t="s">
        <v>177</v>
      </c>
      <c r="C411">
        <v>8</v>
      </c>
      <c r="D411">
        <v>0</v>
      </c>
      <c r="E411">
        <v>0</v>
      </c>
      <c r="F411">
        <v>92.82</v>
      </c>
      <c r="G411">
        <v>99703.78</v>
      </c>
      <c r="H411" s="14">
        <v>43767.833333333336</v>
      </c>
    </row>
    <row r="412" spans="1:8" x14ac:dyDescent="0.25">
      <c r="A412">
        <v>50</v>
      </c>
      <c r="B412" t="s">
        <v>177</v>
      </c>
      <c r="C412">
        <v>9</v>
      </c>
      <c r="D412">
        <v>0</v>
      </c>
      <c r="E412">
        <v>0</v>
      </c>
      <c r="F412">
        <v>101.55</v>
      </c>
      <c r="G412">
        <v>103841.09</v>
      </c>
      <c r="H412" s="14">
        <v>43767.833333333336</v>
      </c>
    </row>
    <row r="413" spans="1:8" x14ac:dyDescent="0.25">
      <c r="A413">
        <v>50</v>
      </c>
      <c r="B413" t="s">
        <v>177</v>
      </c>
      <c r="C413">
        <v>10</v>
      </c>
      <c r="D413">
        <v>0</v>
      </c>
      <c r="E413">
        <v>0</v>
      </c>
      <c r="F413">
        <v>106.38</v>
      </c>
      <c r="G413">
        <v>104659.91</v>
      </c>
      <c r="H413" s="14">
        <v>43767.833333333336</v>
      </c>
    </row>
    <row r="414" spans="1:8" x14ac:dyDescent="0.25">
      <c r="A414">
        <v>50</v>
      </c>
      <c r="B414" t="s">
        <v>177</v>
      </c>
      <c r="C414">
        <v>11</v>
      </c>
      <c r="D414">
        <v>0</v>
      </c>
      <c r="E414">
        <v>0</v>
      </c>
      <c r="F414">
        <v>97.44</v>
      </c>
      <c r="G414">
        <v>100535.44</v>
      </c>
      <c r="H414" s="14">
        <v>43767.833333333336</v>
      </c>
    </row>
    <row r="415" spans="1:8" x14ac:dyDescent="0.25">
      <c r="A415">
        <v>50</v>
      </c>
      <c r="B415" t="s">
        <v>177</v>
      </c>
      <c r="C415">
        <v>12</v>
      </c>
      <c r="D415">
        <v>0</v>
      </c>
      <c r="E415">
        <v>0</v>
      </c>
      <c r="F415">
        <v>108.33</v>
      </c>
      <c r="G415">
        <v>108019.42</v>
      </c>
      <c r="H415" s="14">
        <v>43767.833333333336</v>
      </c>
    </row>
    <row r="416" spans="1:8" x14ac:dyDescent="0.25">
      <c r="A416">
        <v>50</v>
      </c>
      <c r="B416" t="s">
        <v>177</v>
      </c>
      <c r="C416">
        <v>13</v>
      </c>
      <c r="D416">
        <v>0</v>
      </c>
      <c r="E416">
        <v>0</v>
      </c>
      <c r="F416">
        <v>102.89</v>
      </c>
      <c r="G416">
        <v>111654.38</v>
      </c>
      <c r="H416" s="14">
        <v>43767.833333333336</v>
      </c>
    </row>
    <row r="417" spans="1:8" x14ac:dyDescent="0.25">
      <c r="A417">
        <v>50</v>
      </c>
      <c r="B417" t="s">
        <v>177</v>
      </c>
      <c r="C417">
        <v>14</v>
      </c>
      <c r="D417">
        <v>0</v>
      </c>
      <c r="E417">
        <v>0</v>
      </c>
      <c r="F417">
        <v>104.62</v>
      </c>
      <c r="G417">
        <v>49997.97</v>
      </c>
      <c r="H417" s="14">
        <v>43767.833333333336</v>
      </c>
    </row>
    <row r="418" spans="1:8" x14ac:dyDescent="0.25">
      <c r="A418">
        <v>51</v>
      </c>
      <c r="B418" t="s">
        <v>178</v>
      </c>
      <c r="C418">
        <v>1</v>
      </c>
      <c r="D418">
        <v>0</v>
      </c>
      <c r="E418">
        <v>0</v>
      </c>
      <c r="F418">
        <v>92.77</v>
      </c>
      <c r="G418">
        <v>99884.06</v>
      </c>
      <c r="H418" s="14">
        <v>43767.833333333336</v>
      </c>
    </row>
    <row r="419" spans="1:8" x14ac:dyDescent="0.25">
      <c r="A419">
        <v>51</v>
      </c>
      <c r="B419" t="s">
        <v>178</v>
      </c>
      <c r="C419">
        <v>2</v>
      </c>
      <c r="D419">
        <v>0</v>
      </c>
      <c r="E419">
        <v>0</v>
      </c>
      <c r="F419">
        <v>96.04</v>
      </c>
      <c r="G419">
        <v>8945.2199999999993</v>
      </c>
      <c r="H419" s="14">
        <v>43767.833333333336</v>
      </c>
    </row>
    <row r="420" spans="1:8" x14ac:dyDescent="0.25">
      <c r="A420">
        <v>51</v>
      </c>
      <c r="B420" t="s">
        <v>178</v>
      </c>
      <c r="C420">
        <v>3</v>
      </c>
      <c r="D420">
        <v>0</v>
      </c>
      <c r="E420">
        <v>0</v>
      </c>
      <c r="F420">
        <v>106.64</v>
      </c>
      <c r="G420">
        <v>110692.23</v>
      </c>
      <c r="H420" s="14">
        <v>43767.833333333336</v>
      </c>
    </row>
    <row r="421" spans="1:8" x14ac:dyDescent="0.25">
      <c r="A421">
        <v>51</v>
      </c>
      <c r="B421" t="s">
        <v>178</v>
      </c>
      <c r="C421">
        <v>4</v>
      </c>
      <c r="D421">
        <v>0</v>
      </c>
      <c r="E421">
        <v>0</v>
      </c>
      <c r="F421">
        <v>101.71</v>
      </c>
      <c r="G421">
        <v>103540.32</v>
      </c>
      <c r="H421" s="14">
        <v>43767.833333333336</v>
      </c>
    </row>
    <row r="422" spans="1:8" x14ac:dyDescent="0.25">
      <c r="A422">
        <v>51</v>
      </c>
      <c r="B422" t="s">
        <v>178</v>
      </c>
      <c r="C422">
        <v>5</v>
      </c>
      <c r="D422">
        <v>0</v>
      </c>
      <c r="E422">
        <v>0</v>
      </c>
      <c r="F422">
        <v>104.06</v>
      </c>
      <c r="G422">
        <v>104722.64</v>
      </c>
      <c r="H422" s="14">
        <v>43767.833333333336</v>
      </c>
    </row>
    <row r="423" spans="1:8" x14ac:dyDescent="0.25">
      <c r="A423">
        <v>51</v>
      </c>
      <c r="B423" t="s">
        <v>178</v>
      </c>
      <c r="C423">
        <v>6</v>
      </c>
      <c r="D423">
        <v>0</v>
      </c>
      <c r="E423">
        <v>0</v>
      </c>
      <c r="F423">
        <v>107.71</v>
      </c>
      <c r="G423">
        <v>31648.05</v>
      </c>
      <c r="H423" s="14">
        <v>43767.833333333336</v>
      </c>
    </row>
    <row r="424" spans="1:8" x14ac:dyDescent="0.25">
      <c r="A424">
        <v>52</v>
      </c>
      <c r="B424" t="s">
        <v>179</v>
      </c>
      <c r="C424">
        <v>1</v>
      </c>
      <c r="D424">
        <v>0</v>
      </c>
      <c r="E424">
        <v>0</v>
      </c>
      <c r="F424">
        <v>65.319999999999993</v>
      </c>
      <c r="G424">
        <v>69955.179999999993</v>
      </c>
      <c r="H424" s="14">
        <v>43767.833333333336</v>
      </c>
    </row>
    <row r="425" spans="1:8" x14ac:dyDescent="0.25">
      <c r="A425">
        <v>52</v>
      </c>
      <c r="B425" t="s">
        <v>179</v>
      </c>
      <c r="C425">
        <v>2</v>
      </c>
      <c r="D425">
        <v>0</v>
      </c>
      <c r="E425">
        <v>0</v>
      </c>
      <c r="F425">
        <v>100.77</v>
      </c>
      <c r="G425">
        <v>107585.2</v>
      </c>
      <c r="H425" s="14">
        <v>43767.833333333336</v>
      </c>
    </row>
    <row r="426" spans="1:8" x14ac:dyDescent="0.25">
      <c r="A426">
        <v>52</v>
      </c>
      <c r="B426" t="s">
        <v>179</v>
      </c>
      <c r="C426">
        <v>3</v>
      </c>
      <c r="D426">
        <v>0</v>
      </c>
      <c r="E426">
        <v>0</v>
      </c>
      <c r="F426">
        <v>98.71</v>
      </c>
      <c r="G426">
        <v>106286.43</v>
      </c>
      <c r="H426" s="14">
        <v>43767.833333333336</v>
      </c>
    </row>
    <row r="427" spans="1:8" x14ac:dyDescent="0.25">
      <c r="A427">
        <v>52</v>
      </c>
      <c r="B427" t="s">
        <v>179</v>
      </c>
      <c r="C427">
        <v>4</v>
      </c>
      <c r="D427">
        <v>0</v>
      </c>
      <c r="E427">
        <v>0</v>
      </c>
      <c r="F427">
        <v>99.19</v>
      </c>
      <c r="G427">
        <v>106764.33</v>
      </c>
      <c r="H427" s="14">
        <v>43767.833333333336</v>
      </c>
    </row>
    <row r="428" spans="1:8" x14ac:dyDescent="0.25">
      <c r="A428">
        <v>52</v>
      </c>
      <c r="B428" t="s">
        <v>179</v>
      </c>
      <c r="C428">
        <v>5</v>
      </c>
      <c r="D428">
        <v>0</v>
      </c>
      <c r="E428">
        <v>0</v>
      </c>
      <c r="F428">
        <v>100.42</v>
      </c>
      <c r="G428">
        <v>106268.5</v>
      </c>
      <c r="H428" s="14">
        <v>43767.833333333336</v>
      </c>
    </row>
    <row r="429" spans="1:8" x14ac:dyDescent="0.25">
      <c r="A429">
        <v>52</v>
      </c>
      <c r="B429" t="s">
        <v>179</v>
      </c>
      <c r="C429">
        <v>6</v>
      </c>
      <c r="D429">
        <v>0</v>
      </c>
      <c r="E429">
        <v>0</v>
      </c>
      <c r="F429">
        <v>100.05</v>
      </c>
      <c r="G429">
        <v>106898.98</v>
      </c>
      <c r="H429" s="14">
        <v>43767.833333333336</v>
      </c>
    </row>
    <row r="430" spans="1:8" x14ac:dyDescent="0.25">
      <c r="A430">
        <v>52</v>
      </c>
      <c r="B430" t="s">
        <v>179</v>
      </c>
      <c r="C430">
        <v>7</v>
      </c>
      <c r="D430">
        <v>0</v>
      </c>
      <c r="E430">
        <v>0</v>
      </c>
      <c r="F430">
        <v>100.12</v>
      </c>
      <c r="G430">
        <v>107237.34</v>
      </c>
      <c r="H430" s="14">
        <v>43767.833333333336</v>
      </c>
    </row>
    <row r="431" spans="1:8" x14ac:dyDescent="0.25">
      <c r="A431">
        <v>52</v>
      </c>
      <c r="B431" t="s">
        <v>179</v>
      </c>
      <c r="C431">
        <v>8</v>
      </c>
      <c r="D431">
        <v>0</v>
      </c>
      <c r="E431">
        <v>0</v>
      </c>
      <c r="F431">
        <v>97.96</v>
      </c>
      <c r="G431">
        <v>8315.08</v>
      </c>
      <c r="H431" s="14">
        <v>43767.833333333336</v>
      </c>
    </row>
    <row r="432" spans="1:8" x14ac:dyDescent="0.25">
      <c r="A432">
        <v>52</v>
      </c>
      <c r="B432" t="s">
        <v>179</v>
      </c>
      <c r="C432">
        <v>9</v>
      </c>
      <c r="D432">
        <v>0</v>
      </c>
      <c r="E432">
        <v>0</v>
      </c>
      <c r="F432">
        <v>100.07</v>
      </c>
      <c r="G432">
        <v>106615.57</v>
      </c>
      <c r="H432" s="14">
        <v>43767.833333333336</v>
      </c>
    </row>
    <row r="433" spans="1:8" x14ac:dyDescent="0.25">
      <c r="A433">
        <v>52</v>
      </c>
      <c r="B433" t="s">
        <v>179</v>
      </c>
      <c r="C433">
        <v>10</v>
      </c>
      <c r="D433">
        <v>0</v>
      </c>
      <c r="E433">
        <v>0</v>
      </c>
      <c r="F433">
        <v>99.68</v>
      </c>
      <c r="G433">
        <v>96398.27</v>
      </c>
      <c r="H433" s="14">
        <v>43767.833333333336</v>
      </c>
    </row>
    <row r="434" spans="1:8" x14ac:dyDescent="0.25">
      <c r="A434">
        <v>52</v>
      </c>
      <c r="B434" t="s">
        <v>179</v>
      </c>
      <c r="C434">
        <v>11</v>
      </c>
      <c r="D434">
        <v>0</v>
      </c>
      <c r="E434">
        <v>0</v>
      </c>
      <c r="F434">
        <v>99.55</v>
      </c>
      <c r="G434">
        <v>92358.71</v>
      </c>
      <c r="H434" s="14">
        <v>43767.833333333336</v>
      </c>
    </row>
    <row r="435" spans="1:8" x14ac:dyDescent="0.25">
      <c r="A435">
        <v>52</v>
      </c>
      <c r="B435" t="s">
        <v>179</v>
      </c>
      <c r="C435">
        <v>12</v>
      </c>
      <c r="D435">
        <v>0</v>
      </c>
      <c r="E435">
        <v>0</v>
      </c>
      <c r="F435">
        <v>99.81</v>
      </c>
      <c r="G435">
        <v>106161.63</v>
      </c>
      <c r="H435" s="14">
        <v>43767.833333333336</v>
      </c>
    </row>
    <row r="436" spans="1:8" x14ac:dyDescent="0.25">
      <c r="A436">
        <v>52</v>
      </c>
      <c r="B436" t="s">
        <v>179</v>
      </c>
      <c r="C436">
        <v>13</v>
      </c>
      <c r="D436">
        <v>0</v>
      </c>
      <c r="E436">
        <v>0</v>
      </c>
      <c r="F436">
        <v>97.71</v>
      </c>
      <c r="G436">
        <v>15555.02</v>
      </c>
      <c r="H436" s="14">
        <v>43767.833333333336</v>
      </c>
    </row>
    <row r="437" spans="1:8" x14ac:dyDescent="0.25">
      <c r="A437">
        <v>52</v>
      </c>
      <c r="B437" t="s">
        <v>179</v>
      </c>
      <c r="C437">
        <v>14</v>
      </c>
      <c r="D437">
        <v>0</v>
      </c>
      <c r="E437">
        <v>0</v>
      </c>
      <c r="F437">
        <v>97.29</v>
      </c>
      <c r="G437">
        <v>106530.7</v>
      </c>
      <c r="H437" s="14">
        <v>43767.833333333336</v>
      </c>
    </row>
    <row r="438" spans="1:8" x14ac:dyDescent="0.25">
      <c r="A438">
        <v>53</v>
      </c>
      <c r="B438" t="s">
        <v>180</v>
      </c>
      <c r="C438">
        <v>1</v>
      </c>
      <c r="D438">
        <v>0</v>
      </c>
      <c r="E438">
        <v>0</v>
      </c>
      <c r="F438">
        <v>93.02</v>
      </c>
      <c r="G438">
        <v>110879.73</v>
      </c>
      <c r="H438" s="14">
        <v>43767.833333333336</v>
      </c>
    </row>
    <row r="439" spans="1:8" x14ac:dyDescent="0.25">
      <c r="A439">
        <v>53</v>
      </c>
      <c r="B439" t="s">
        <v>180</v>
      </c>
      <c r="C439">
        <v>2</v>
      </c>
      <c r="D439">
        <v>0</v>
      </c>
      <c r="E439">
        <v>0</v>
      </c>
      <c r="F439">
        <v>87.8</v>
      </c>
      <c r="G439">
        <v>109854.82</v>
      </c>
      <c r="H439" s="14">
        <v>43767.833333333336</v>
      </c>
    </row>
    <row r="440" spans="1:8" x14ac:dyDescent="0.25">
      <c r="A440">
        <v>53</v>
      </c>
      <c r="B440" t="s">
        <v>180</v>
      </c>
      <c r="C440">
        <v>3</v>
      </c>
      <c r="D440">
        <v>0</v>
      </c>
      <c r="E440">
        <v>0</v>
      </c>
      <c r="F440">
        <v>85.78</v>
      </c>
      <c r="G440">
        <v>98695.64</v>
      </c>
      <c r="H440" s="14">
        <v>43767.833333333336</v>
      </c>
    </row>
    <row r="441" spans="1:8" x14ac:dyDescent="0.25">
      <c r="A441">
        <v>53</v>
      </c>
      <c r="B441" t="s">
        <v>180</v>
      </c>
      <c r="C441">
        <v>4</v>
      </c>
      <c r="D441">
        <v>0</v>
      </c>
      <c r="E441">
        <v>0</v>
      </c>
      <c r="F441">
        <v>87.3</v>
      </c>
      <c r="G441">
        <v>102109.46</v>
      </c>
      <c r="H441" s="14">
        <v>43767.833333333336</v>
      </c>
    </row>
    <row r="442" spans="1:8" x14ac:dyDescent="0.25">
      <c r="A442">
        <v>53</v>
      </c>
      <c r="B442" t="s">
        <v>180</v>
      </c>
      <c r="C442">
        <v>5</v>
      </c>
      <c r="D442">
        <v>0</v>
      </c>
      <c r="E442">
        <v>0</v>
      </c>
      <c r="F442">
        <v>95.18</v>
      </c>
      <c r="G442">
        <v>112828.89</v>
      </c>
      <c r="H442" s="14">
        <v>43767.833333333336</v>
      </c>
    </row>
    <row r="443" spans="1:8" x14ac:dyDescent="0.25">
      <c r="A443">
        <v>53</v>
      </c>
      <c r="B443" t="s">
        <v>180</v>
      </c>
      <c r="C443">
        <v>6</v>
      </c>
      <c r="D443">
        <v>0</v>
      </c>
      <c r="E443">
        <v>0</v>
      </c>
      <c r="F443">
        <v>26.97</v>
      </c>
      <c r="G443">
        <v>33672.339999999997</v>
      </c>
      <c r="H443" s="14">
        <v>43767.833333333336</v>
      </c>
    </row>
    <row r="444" spans="1:8" x14ac:dyDescent="0.25">
      <c r="A444">
        <v>54</v>
      </c>
      <c r="B444" t="s">
        <v>181</v>
      </c>
      <c r="C444">
        <v>1</v>
      </c>
      <c r="D444">
        <v>0</v>
      </c>
      <c r="E444">
        <v>0</v>
      </c>
      <c r="F444">
        <v>106.74</v>
      </c>
      <c r="G444">
        <v>96810.36</v>
      </c>
      <c r="H444" s="14">
        <v>43767.833333333336</v>
      </c>
    </row>
    <row r="445" spans="1:8" x14ac:dyDescent="0.25">
      <c r="A445">
        <v>54</v>
      </c>
      <c r="B445" t="s">
        <v>181</v>
      </c>
      <c r="C445">
        <v>2</v>
      </c>
      <c r="D445">
        <v>0</v>
      </c>
      <c r="E445">
        <v>0</v>
      </c>
      <c r="F445">
        <v>98.41</v>
      </c>
      <c r="G445">
        <v>96175.74</v>
      </c>
      <c r="H445" s="14">
        <v>43767.833333333336</v>
      </c>
    </row>
    <row r="446" spans="1:8" x14ac:dyDescent="0.25">
      <c r="A446">
        <v>54</v>
      </c>
      <c r="B446" t="s">
        <v>181</v>
      </c>
      <c r="C446">
        <v>3</v>
      </c>
      <c r="D446">
        <v>0</v>
      </c>
      <c r="E446">
        <v>0</v>
      </c>
      <c r="F446">
        <v>102.71</v>
      </c>
      <c r="G446">
        <v>99981.07</v>
      </c>
      <c r="H446" s="14">
        <v>43767.833333333336</v>
      </c>
    </row>
    <row r="447" spans="1:8" x14ac:dyDescent="0.25">
      <c r="A447">
        <v>54</v>
      </c>
      <c r="B447" t="s">
        <v>181</v>
      </c>
      <c r="C447">
        <v>4</v>
      </c>
      <c r="D447">
        <v>0</v>
      </c>
      <c r="E447">
        <v>0</v>
      </c>
      <c r="F447">
        <v>110.59</v>
      </c>
      <c r="G447">
        <v>105970.04</v>
      </c>
      <c r="H447" s="14">
        <v>43767.833333333336</v>
      </c>
    </row>
    <row r="448" spans="1:8" x14ac:dyDescent="0.25">
      <c r="A448">
        <v>54</v>
      </c>
      <c r="B448" t="s">
        <v>181</v>
      </c>
      <c r="C448">
        <v>5</v>
      </c>
      <c r="D448">
        <v>0</v>
      </c>
      <c r="E448">
        <v>0</v>
      </c>
      <c r="F448">
        <v>111.57</v>
      </c>
      <c r="G448">
        <v>106537.47</v>
      </c>
      <c r="H448" s="14">
        <v>43767.833333333336</v>
      </c>
    </row>
    <row r="449" spans="1:8" x14ac:dyDescent="0.25">
      <c r="A449">
        <v>54</v>
      </c>
      <c r="B449" t="s">
        <v>181</v>
      </c>
      <c r="C449">
        <v>6</v>
      </c>
      <c r="D449">
        <v>0</v>
      </c>
      <c r="E449">
        <v>0</v>
      </c>
      <c r="F449">
        <v>118.55</v>
      </c>
      <c r="G449">
        <v>103308.56</v>
      </c>
      <c r="H449" s="14">
        <v>43767.833333333336</v>
      </c>
    </row>
    <row r="450" spans="1:8" x14ac:dyDescent="0.25">
      <c r="A450">
        <v>54</v>
      </c>
      <c r="B450" t="s">
        <v>181</v>
      </c>
      <c r="C450">
        <v>7</v>
      </c>
      <c r="D450">
        <v>0</v>
      </c>
      <c r="E450">
        <v>0</v>
      </c>
      <c r="F450">
        <v>123.08</v>
      </c>
      <c r="G450">
        <v>103990.58</v>
      </c>
      <c r="H450" s="14">
        <v>43767.833333333336</v>
      </c>
    </row>
    <row r="451" spans="1:8" x14ac:dyDescent="0.25">
      <c r="A451">
        <v>54</v>
      </c>
      <c r="B451" t="s">
        <v>181</v>
      </c>
      <c r="C451">
        <v>8</v>
      </c>
      <c r="D451">
        <v>0</v>
      </c>
      <c r="E451">
        <v>0</v>
      </c>
      <c r="F451">
        <v>76.709999999999994</v>
      </c>
      <c r="G451">
        <v>64552.04</v>
      </c>
      <c r="H451" s="14">
        <v>43767.833333333336</v>
      </c>
    </row>
    <row r="452" spans="1:8" x14ac:dyDescent="0.25">
      <c r="A452">
        <v>54</v>
      </c>
      <c r="B452" t="s">
        <v>181</v>
      </c>
      <c r="C452">
        <v>9</v>
      </c>
      <c r="D452">
        <v>0</v>
      </c>
      <c r="E452">
        <v>0</v>
      </c>
      <c r="F452">
        <v>60.16</v>
      </c>
      <c r="G452">
        <v>54751.93</v>
      </c>
      <c r="H452" s="14">
        <v>43767.833333333336</v>
      </c>
    </row>
    <row r="453" spans="1:8" x14ac:dyDescent="0.25">
      <c r="A453">
        <v>55</v>
      </c>
      <c r="B453" t="s">
        <v>182</v>
      </c>
      <c r="C453">
        <v>1</v>
      </c>
      <c r="D453">
        <v>0</v>
      </c>
      <c r="E453">
        <v>0</v>
      </c>
      <c r="F453">
        <v>15.88</v>
      </c>
      <c r="G453">
        <v>18095.900000000001</v>
      </c>
      <c r="H453" s="14">
        <v>43767.833333333336</v>
      </c>
    </row>
    <row r="454" spans="1:8" x14ac:dyDescent="0.25">
      <c r="A454">
        <v>55</v>
      </c>
      <c r="B454" t="s">
        <v>182</v>
      </c>
      <c r="C454">
        <v>2</v>
      </c>
      <c r="D454">
        <v>0</v>
      </c>
      <c r="E454">
        <v>0</v>
      </c>
      <c r="F454">
        <v>16.45</v>
      </c>
      <c r="G454">
        <v>18279</v>
      </c>
      <c r="H454" s="14">
        <v>43767.833333333336</v>
      </c>
    </row>
    <row r="455" spans="1:8" x14ac:dyDescent="0.25">
      <c r="A455">
        <v>55</v>
      </c>
      <c r="B455" t="s">
        <v>182</v>
      </c>
      <c r="C455">
        <v>3</v>
      </c>
      <c r="D455">
        <v>0</v>
      </c>
      <c r="E455">
        <v>0</v>
      </c>
      <c r="F455">
        <v>16.88</v>
      </c>
      <c r="G455">
        <v>18365.07</v>
      </c>
      <c r="H455" s="14">
        <v>43767.833333333336</v>
      </c>
    </row>
    <row r="456" spans="1:8" x14ac:dyDescent="0.25">
      <c r="A456">
        <v>55</v>
      </c>
      <c r="B456" t="s">
        <v>182</v>
      </c>
      <c r="C456">
        <v>4</v>
      </c>
      <c r="D456">
        <v>0</v>
      </c>
      <c r="E456">
        <v>0</v>
      </c>
      <c r="F456">
        <v>15.85</v>
      </c>
      <c r="G456">
        <v>3285.98</v>
      </c>
      <c r="H456" s="14">
        <v>43767.833333333336</v>
      </c>
    </row>
    <row r="457" spans="1:8" x14ac:dyDescent="0.25">
      <c r="A457">
        <v>55</v>
      </c>
      <c r="B457" t="s">
        <v>182</v>
      </c>
      <c r="C457">
        <v>5</v>
      </c>
      <c r="D457">
        <v>0</v>
      </c>
      <c r="E457">
        <v>0</v>
      </c>
      <c r="F457">
        <v>13.69</v>
      </c>
      <c r="G457">
        <v>18511.96</v>
      </c>
      <c r="H457" s="14">
        <v>43767.833333333336</v>
      </c>
    </row>
    <row r="458" spans="1:8" x14ac:dyDescent="0.25">
      <c r="A458">
        <v>55</v>
      </c>
      <c r="B458" t="s">
        <v>182</v>
      </c>
      <c r="C458">
        <v>6</v>
      </c>
      <c r="D458">
        <v>0</v>
      </c>
      <c r="E458">
        <v>0</v>
      </c>
      <c r="F458">
        <v>16.63</v>
      </c>
      <c r="G458">
        <v>18207.28</v>
      </c>
      <c r="H458" s="14">
        <v>43767.833333333336</v>
      </c>
    </row>
    <row r="459" spans="1:8" x14ac:dyDescent="0.25">
      <c r="A459">
        <v>55</v>
      </c>
      <c r="B459" t="s">
        <v>182</v>
      </c>
      <c r="C459">
        <v>7</v>
      </c>
      <c r="D459">
        <v>0</v>
      </c>
      <c r="E459">
        <v>0</v>
      </c>
      <c r="F459">
        <v>16.82</v>
      </c>
      <c r="G459">
        <v>18801.29</v>
      </c>
      <c r="H459" s="14">
        <v>43767.833333333336</v>
      </c>
    </row>
    <row r="460" spans="1:8" x14ac:dyDescent="0.25">
      <c r="A460">
        <v>55</v>
      </c>
      <c r="B460" t="s">
        <v>182</v>
      </c>
      <c r="C460">
        <v>8</v>
      </c>
      <c r="D460">
        <v>0</v>
      </c>
      <c r="E460">
        <v>0</v>
      </c>
      <c r="F460">
        <v>16.16</v>
      </c>
      <c r="G460">
        <v>19765.05</v>
      </c>
      <c r="H460" s="14">
        <v>43767.833333333336</v>
      </c>
    </row>
    <row r="461" spans="1:8" x14ac:dyDescent="0.25">
      <c r="A461">
        <v>55</v>
      </c>
      <c r="B461" t="s">
        <v>182</v>
      </c>
      <c r="C461">
        <v>9</v>
      </c>
      <c r="D461">
        <v>0</v>
      </c>
      <c r="E461">
        <v>0</v>
      </c>
      <c r="F461">
        <v>15.12</v>
      </c>
      <c r="G461">
        <v>18881.830000000002</v>
      </c>
      <c r="H461" s="14">
        <v>43767.833333333336</v>
      </c>
    </row>
    <row r="462" spans="1:8" x14ac:dyDescent="0.25">
      <c r="A462">
        <v>55</v>
      </c>
      <c r="B462" t="s">
        <v>182</v>
      </c>
      <c r="C462">
        <v>10</v>
      </c>
      <c r="D462">
        <v>0</v>
      </c>
      <c r="E462">
        <v>0</v>
      </c>
      <c r="F462">
        <v>16.54</v>
      </c>
      <c r="G462">
        <v>18583.830000000002</v>
      </c>
      <c r="H462" s="14">
        <v>43767.833333333336</v>
      </c>
    </row>
    <row r="463" spans="1:8" x14ac:dyDescent="0.25">
      <c r="A463">
        <v>55</v>
      </c>
      <c r="B463" t="s">
        <v>182</v>
      </c>
      <c r="C463">
        <v>11</v>
      </c>
      <c r="D463">
        <v>0</v>
      </c>
      <c r="E463">
        <v>0</v>
      </c>
      <c r="F463">
        <v>16.77</v>
      </c>
      <c r="G463">
        <v>18902.990000000002</v>
      </c>
      <c r="H463" s="14">
        <v>43767.833333333336</v>
      </c>
    </row>
    <row r="464" spans="1:8" x14ac:dyDescent="0.25">
      <c r="A464">
        <v>55</v>
      </c>
      <c r="B464" t="s">
        <v>182</v>
      </c>
      <c r="C464">
        <v>12</v>
      </c>
      <c r="D464">
        <v>0</v>
      </c>
      <c r="E464">
        <v>0</v>
      </c>
      <c r="F464">
        <v>16.13</v>
      </c>
      <c r="G464">
        <v>19854.349999999999</v>
      </c>
      <c r="H464" s="14">
        <v>43767.833333333336</v>
      </c>
    </row>
    <row r="465" spans="1:8" x14ac:dyDescent="0.25">
      <c r="A465">
        <v>55</v>
      </c>
      <c r="B465" t="s">
        <v>182</v>
      </c>
      <c r="C465">
        <v>13</v>
      </c>
      <c r="D465">
        <v>0</v>
      </c>
      <c r="E465">
        <v>0</v>
      </c>
      <c r="F465">
        <v>14.61</v>
      </c>
      <c r="G465">
        <v>18828.25</v>
      </c>
      <c r="H465" s="14">
        <v>43767.833333333336</v>
      </c>
    </row>
    <row r="466" spans="1:8" x14ac:dyDescent="0.25">
      <c r="A466">
        <v>55</v>
      </c>
      <c r="B466" t="s">
        <v>182</v>
      </c>
      <c r="C466">
        <v>14</v>
      </c>
      <c r="D466">
        <v>0</v>
      </c>
      <c r="E466">
        <v>0</v>
      </c>
      <c r="F466">
        <v>15.97</v>
      </c>
      <c r="G466">
        <v>19899.23</v>
      </c>
      <c r="H466" s="14">
        <v>43767.833333333336</v>
      </c>
    </row>
    <row r="467" spans="1:8" x14ac:dyDescent="0.25">
      <c r="A467">
        <v>55</v>
      </c>
      <c r="B467" t="s">
        <v>182</v>
      </c>
      <c r="C467">
        <v>15</v>
      </c>
      <c r="D467">
        <v>0</v>
      </c>
      <c r="E467">
        <v>0</v>
      </c>
      <c r="F467">
        <v>14.7</v>
      </c>
      <c r="G467">
        <v>19273.03</v>
      </c>
      <c r="H467" s="14">
        <v>43767.833333333336</v>
      </c>
    </row>
    <row r="468" spans="1:8" x14ac:dyDescent="0.25">
      <c r="A468">
        <v>56</v>
      </c>
      <c r="B468" t="s">
        <v>183</v>
      </c>
      <c r="C468">
        <v>1</v>
      </c>
      <c r="D468">
        <v>0</v>
      </c>
      <c r="E468">
        <v>0</v>
      </c>
      <c r="F468">
        <v>149.47</v>
      </c>
      <c r="G468">
        <v>98107.22</v>
      </c>
      <c r="H468" s="14">
        <v>43767.833333333336</v>
      </c>
    </row>
    <row r="469" spans="1:8" x14ac:dyDescent="0.25">
      <c r="A469">
        <v>56</v>
      </c>
      <c r="B469" t="s">
        <v>183</v>
      </c>
      <c r="C469">
        <v>2</v>
      </c>
      <c r="D469">
        <v>0</v>
      </c>
      <c r="E469">
        <v>0</v>
      </c>
      <c r="F469">
        <v>124.21</v>
      </c>
      <c r="G469">
        <v>87898.63</v>
      </c>
      <c r="H469" s="14">
        <v>43767.833333333336</v>
      </c>
    </row>
    <row r="470" spans="1:8" x14ac:dyDescent="0.25">
      <c r="A470">
        <v>56</v>
      </c>
      <c r="B470" t="s">
        <v>183</v>
      </c>
      <c r="C470">
        <v>3</v>
      </c>
      <c r="D470">
        <v>0</v>
      </c>
      <c r="E470">
        <v>0</v>
      </c>
      <c r="F470">
        <v>148.44999999999999</v>
      </c>
      <c r="G470">
        <v>97831.44</v>
      </c>
      <c r="H470" s="14">
        <v>43767.833333333336</v>
      </c>
    </row>
    <row r="471" spans="1:8" x14ac:dyDescent="0.25">
      <c r="A471">
        <v>56</v>
      </c>
      <c r="B471" t="s">
        <v>183</v>
      </c>
      <c r="C471">
        <v>4</v>
      </c>
      <c r="D471">
        <v>0</v>
      </c>
      <c r="E471">
        <v>0</v>
      </c>
      <c r="F471">
        <v>150.07</v>
      </c>
      <c r="G471">
        <v>89393.59</v>
      </c>
      <c r="H471" s="14">
        <v>43767.833333333336</v>
      </c>
    </row>
    <row r="472" spans="1:8" x14ac:dyDescent="0.25">
      <c r="A472">
        <v>56</v>
      </c>
      <c r="B472" t="s">
        <v>183</v>
      </c>
      <c r="C472">
        <v>5</v>
      </c>
      <c r="D472">
        <v>0</v>
      </c>
      <c r="E472">
        <v>0</v>
      </c>
      <c r="F472">
        <v>148.24</v>
      </c>
      <c r="G472">
        <v>22859.84</v>
      </c>
      <c r="H472" s="14">
        <v>43767.833333333336</v>
      </c>
    </row>
    <row r="473" spans="1:8" x14ac:dyDescent="0.25">
      <c r="A473">
        <v>56</v>
      </c>
      <c r="B473" t="s">
        <v>183</v>
      </c>
      <c r="C473">
        <v>6</v>
      </c>
      <c r="D473">
        <v>0</v>
      </c>
      <c r="E473">
        <v>0</v>
      </c>
      <c r="F473">
        <v>95.46</v>
      </c>
      <c r="G473">
        <v>20591.75</v>
      </c>
      <c r="H473" s="14">
        <v>43767.833333333336</v>
      </c>
    </row>
    <row r="474" spans="1:8" x14ac:dyDescent="0.25">
      <c r="A474">
        <v>56</v>
      </c>
      <c r="B474" t="s">
        <v>183</v>
      </c>
      <c r="C474">
        <v>7</v>
      </c>
      <c r="D474">
        <v>0</v>
      </c>
      <c r="E474">
        <v>0</v>
      </c>
      <c r="F474">
        <v>86.59</v>
      </c>
      <c r="G474">
        <v>87162.43</v>
      </c>
      <c r="H474" s="14">
        <v>43767.833333333336</v>
      </c>
    </row>
    <row r="475" spans="1:8" x14ac:dyDescent="0.25">
      <c r="A475">
        <v>56</v>
      </c>
      <c r="B475" t="s">
        <v>183</v>
      </c>
      <c r="C475">
        <v>8</v>
      </c>
      <c r="D475">
        <v>0</v>
      </c>
      <c r="E475">
        <v>0</v>
      </c>
      <c r="F475">
        <v>86.05</v>
      </c>
      <c r="G475">
        <v>88652.39</v>
      </c>
      <c r="H475" s="14">
        <v>43767.833333333336</v>
      </c>
    </row>
    <row r="476" spans="1:8" x14ac:dyDescent="0.25">
      <c r="A476">
        <v>56</v>
      </c>
      <c r="B476" t="s">
        <v>183</v>
      </c>
      <c r="C476">
        <v>9</v>
      </c>
      <c r="D476">
        <v>0</v>
      </c>
      <c r="E476">
        <v>0</v>
      </c>
      <c r="F476">
        <v>99.98</v>
      </c>
      <c r="G476">
        <v>15111.85</v>
      </c>
      <c r="H476" s="14">
        <v>43767.833333333336</v>
      </c>
    </row>
    <row r="477" spans="1:8" x14ac:dyDescent="0.25">
      <c r="A477">
        <v>56</v>
      </c>
      <c r="B477" t="s">
        <v>183</v>
      </c>
      <c r="C477">
        <v>10</v>
      </c>
      <c r="D477">
        <v>0</v>
      </c>
      <c r="E477">
        <v>0</v>
      </c>
      <c r="F477">
        <v>130</v>
      </c>
      <c r="G477">
        <v>93710.82</v>
      </c>
      <c r="H477" s="14">
        <v>43767.833333333336</v>
      </c>
    </row>
    <row r="478" spans="1:8" x14ac:dyDescent="0.25">
      <c r="A478">
        <v>56</v>
      </c>
      <c r="B478" t="s">
        <v>183</v>
      </c>
      <c r="C478">
        <v>11</v>
      </c>
      <c r="D478">
        <v>0</v>
      </c>
      <c r="E478">
        <v>0</v>
      </c>
      <c r="F478">
        <v>130.31</v>
      </c>
      <c r="G478">
        <v>91394.68</v>
      </c>
      <c r="H478" s="14">
        <v>43767.833333333336</v>
      </c>
    </row>
    <row r="479" spans="1:8" x14ac:dyDescent="0.25">
      <c r="A479">
        <v>56</v>
      </c>
      <c r="B479" t="s">
        <v>183</v>
      </c>
      <c r="C479">
        <v>12</v>
      </c>
      <c r="D479">
        <v>0</v>
      </c>
      <c r="E479">
        <v>0</v>
      </c>
      <c r="F479">
        <v>130.51</v>
      </c>
      <c r="G479">
        <v>94193.01</v>
      </c>
      <c r="H479" s="14">
        <v>43767.833333333336</v>
      </c>
    </row>
    <row r="480" spans="1:8" x14ac:dyDescent="0.25">
      <c r="A480">
        <v>56</v>
      </c>
      <c r="B480" t="s">
        <v>183</v>
      </c>
      <c r="C480">
        <v>13</v>
      </c>
      <c r="D480">
        <v>0</v>
      </c>
      <c r="E480">
        <v>0</v>
      </c>
      <c r="F480">
        <v>129.55000000000001</v>
      </c>
      <c r="G480">
        <v>93948.53</v>
      </c>
      <c r="H480" s="14">
        <v>43767.833333333336</v>
      </c>
    </row>
    <row r="481" spans="1:8" x14ac:dyDescent="0.25">
      <c r="A481">
        <v>56</v>
      </c>
      <c r="B481" t="s">
        <v>183</v>
      </c>
      <c r="C481">
        <v>14</v>
      </c>
      <c r="D481">
        <v>0</v>
      </c>
      <c r="E481">
        <v>0</v>
      </c>
      <c r="F481">
        <v>130.61000000000001</v>
      </c>
      <c r="G481">
        <v>94791.62</v>
      </c>
      <c r="H481" s="14">
        <v>43767.833333333336</v>
      </c>
    </row>
    <row r="482" spans="1:8" x14ac:dyDescent="0.25">
      <c r="A482">
        <v>56</v>
      </c>
      <c r="B482" t="s">
        <v>183</v>
      </c>
      <c r="C482">
        <v>15</v>
      </c>
      <c r="D482">
        <v>0</v>
      </c>
      <c r="E482">
        <v>0</v>
      </c>
      <c r="F482">
        <v>77.91</v>
      </c>
      <c r="G482">
        <v>60087.03</v>
      </c>
      <c r="H482" s="14">
        <v>43767.833333333336</v>
      </c>
    </row>
    <row r="483" spans="1:8" x14ac:dyDescent="0.25">
      <c r="A483">
        <v>57</v>
      </c>
      <c r="B483" t="s">
        <v>184</v>
      </c>
      <c r="C483">
        <v>1</v>
      </c>
      <c r="D483">
        <v>0</v>
      </c>
      <c r="E483">
        <v>0</v>
      </c>
      <c r="F483">
        <v>147.21</v>
      </c>
      <c r="G483">
        <v>98090.63</v>
      </c>
      <c r="H483" s="14">
        <v>43767.833333333336</v>
      </c>
    </row>
    <row r="484" spans="1:8" x14ac:dyDescent="0.25">
      <c r="A484">
        <v>57</v>
      </c>
      <c r="B484" t="s">
        <v>184</v>
      </c>
      <c r="C484">
        <v>2</v>
      </c>
      <c r="D484">
        <v>0</v>
      </c>
      <c r="E484">
        <v>0</v>
      </c>
      <c r="F484">
        <v>147.66</v>
      </c>
      <c r="G484">
        <v>97993.06</v>
      </c>
      <c r="H484" s="14">
        <v>43767.833333333336</v>
      </c>
    </row>
    <row r="485" spans="1:8" x14ac:dyDescent="0.25">
      <c r="A485">
        <v>57</v>
      </c>
      <c r="B485" t="s">
        <v>184</v>
      </c>
      <c r="C485">
        <v>3</v>
      </c>
      <c r="D485">
        <v>0</v>
      </c>
      <c r="E485">
        <v>0</v>
      </c>
      <c r="F485">
        <v>147.47</v>
      </c>
      <c r="G485">
        <v>97319.44</v>
      </c>
      <c r="H485" s="14">
        <v>43767.833333333336</v>
      </c>
    </row>
    <row r="486" spans="1:8" x14ac:dyDescent="0.25">
      <c r="A486">
        <v>57</v>
      </c>
      <c r="B486" t="s">
        <v>184</v>
      </c>
      <c r="C486">
        <v>4</v>
      </c>
      <c r="D486">
        <v>0</v>
      </c>
      <c r="E486">
        <v>0</v>
      </c>
      <c r="F486">
        <v>147.77000000000001</v>
      </c>
      <c r="G486">
        <v>98373.71</v>
      </c>
      <c r="H486" s="14">
        <v>43767.833333333336</v>
      </c>
    </row>
    <row r="487" spans="1:8" x14ac:dyDescent="0.25">
      <c r="A487">
        <v>57</v>
      </c>
      <c r="B487" t="s">
        <v>184</v>
      </c>
      <c r="C487">
        <v>5</v>
      </c>
      <c r="D487">
        <v>0</v>
      </c>
      <c r="E487">
        <v>0</v>
      </c>
      <c r="F487">
        <v>148.37</v>
      </c>
      <c r="G487">
        <v>98764.76</v>
      </c>
      <c r="H487" s="14">
        <v>43767.833333333336</v>
      </c>
    </row>
    <row r="488" spans="1:8" x14ac:dyDescent="0.25">
      <c r="A488">
        <v>57</v>
      </c>
      <c r="B488" t="s">
        <v>184</v>
      </c>
      <c r="C488">
        <v>6</v>
      </c>
      <c r="D488">
        <v>0</v>
      </c>
      <c r="E488">
        <v>0</v>
      </c>
      <c r="F488">
        <v>147.88</v>
      </c>
      <c r="G488">
        <v>96262.68</v>
      </c>
      <c r="H488" s="14">
        <v>43767.833333333336</v>
      </c>
    </row>
    <row r="489" spans="1:8" x14ac:dyDescent="0.25">
      <c r="A489">
        <v>57</v>
      </c>
      <c r="B489" t="s">
        <v>184</v>
      </c>
      <c r="C489">
        <v>7</v>
      </c>
      <c r="D489">
        <v>0</v>
      </c>
      <c r="E489">
        <v>0</v>
      </c>
      <c r="F489">
        <v>148.02000000000001</v>
      </c>
      <c r="G489">
        <v>77336.5</v>
      </c>
      <c r="H489" s="14">
        <v>43767.833333333336</v>
      </c>
    </row>
    <row r="490" spans="1:8" x14ac:dyDescent="0.25">
      <c r="A490">
        <v>57</v>
      </c>
      <c r="B490" t="s">
        <v>184</v>
      </c>
      <c r="C490">
        <v>8</v>
      </c>
      <c r="D490">
        <v>0</v>
      </c>
      <c r="E490">
        <v>0</v>
      </c>
      <c r="F490">
        <v>135.94</v>
      </c>
      <c r="G490">
        <v>54327.48</v>
      </c>
      <c r="H490" s="14">
        <v>43767.833333333336</v>
      </c>
    </row>
    <row r="491" spans="1:8" x14ac:dyDescent="0.25">
      <c r="A491">
        <v>57</v>
      </c>
      <c r="B491" t="s">
        <v>184</v>
      </c>
      <c r="C491">
        <v>9</v>
      </c>
      <c r="D491">
        <v>0</v>
      </c>
      <c r="E491">
        <v>0</v>
      </c>
      <c r="F491">
        <v>129.1</v>
      </c>
      <c r="G491">
        <v>93500.24</v>
      </c>
      <c r="H491" s="14">
        <v>43767.833333333336</v>
      </c>
    </row>
    <row r="492" spans="1:8" x14ac:dyDescent="0.25">
      <c r="A492">
        <v>57</v>
      </c>
      <c r="B492" t="s">
        <v>184</v>
      </c>
      <c r="C492">
        <v>10</v>
      </c>
      <c r="D492">
        <v>0</v>
      </c>
      <c r="E492">
        <v>0</v>
      </c>
      <c r="F492">
        <v>131.05000000000001</v>
      </c>
      <c r="G492">
        <v>94182.27</v>
      </c>
      <c r="H492" s="14">
        <v>43767.833333333336</v>
      </c>
    </row>
    <row r="493" spans="1:8" x14ac:dyDescent="0.25">
      <c r="A493">
        <v>57</v>
      </c>
      <c r="B493" t="s">
        <v>184</v>
      </c>
      <c r="C493">
        <v>11</v>
      </c>
      <c r="D493">
        <v>0</v>
      </c>
      <c r="E493">
        <v>0</v>
      </c>
      <c r="F493">
        <v>130.61000000000001</v>
      </c>
      <c r="G493">
        <v>93705.24</v>
      </c>
      <c r="H493" s="14">
        <v>43767.833333333336</v>
      </c>
    </row>
    <row r="494" spans="1:8" x14ac:dyDescent="0.25">
      <c r="A494">
        <v>57</v>
      </c>
      <c r="B494" t="s">
        <v>184</v>
      </c>
      <c r="C494">
        <v>12</v>
      </c>
      <c r="D494">
        <v>0</v>
      </c>
      <c r="E494">
        <v>0</v>
      </c>
      <c r="F494">
        <v>129.47</v>
      </c>
      <c r="G494">
        <v>74349.119999999995</v>
      </c>
      <c r="H494" s="14">
        <v>43767.833333333336</v>
      </c>
    </row>
    <row r="495" spans="1:8" x14ac:dyDescent="0.25">
      <c r="A495">
        <v>57</v>
      </c>
      <c r="B495" t="s">
        <v>184</v>
      </c>
      <c r="C495">
        <v>13</v>
      </c>
      <c r="D495">
        <v>0</v>
      </c>
      <c r="E495">
        <v>0</v>
      </c>
      <c r="F495">
        <v>130.04</v>
      </c>
      <c r="G495">
        <v>92822.12</v>
      </c>
      <c r="H495" s="14">
        <v>43767.833333333336</v>
      </c>
    </row>
    <row r="496" spans="1:8" x14ac:dyDescent="0.25">
      <c r="A496">
        <v>57</v>
      </c>
      <c r="B496" t="s">
        <v>184</v>
      </c>
      <c r="C496">
        <v>14</v>
      </c>
      <c r="D496">
        <v>0</v>
      </c>
      <c r="E496">
        <v>0</v>
      </c>
      <c r="F496">
        <v>84.35</v>
      </c>
      <c r="G496">
        <v>60867.37</v>
      </c>
      <c r="H496" s="14">
        <v>43767.833333333336</v>
      </c>
    </row>
    <row r="497" spans="1:8" x14ac:dyDescent="0.25">
      <c r="A497">
        <v>57</v>
      </c>
      <c r="B497" t="s">
        <v>184</v>
      </c>
      <c r="C497">
        <v>15</v>
      </c>
      <c r="D497">
        <v>0</v>
      </c>
      <c r="E497">
        <v>0</v>
      </c>
      <c r="F497">
        <v>83.49</v>
      </c>
      <c r="G497">
        <v>59580.09</v>
      </c>
      <c r="H497" s="14">
        <v>43767.833333333336</v>
      </c>
    </row>
    <row r="498" spans="1:8" x14ac:dyDescent="0.25">
      <c r="A498">
        <v>58</v>
      </c>
      <c r="B498" t="s">
        <v>185</v>
      </c>
      <c r="C498">
        <v>1</v>
      </c>
      <c r="D498">
        <v>0</v>
      </c>
      <c r="E498">
        <v>0</v>
      </c>
      <c r="F498">
        <v>149.36000000000001</v>
      </c>
      <c r="G498">
        <v>98014.35</v>
      </c>
      <c r="H498" s="14">
        <v>43767.833333333336</v>
      </c>
    </row>
    <row r="499" spans="1:8" x14ac:dyDescent="0.25">
      <c r="A499">
        <v>58</v>
      </c>
      <c r="B499" t="s">
        <v>185</v>
      </c>
      <c r="C499">
        <v>2</v>
      </c>
      <c r="D499">
        <v>0</v>
      </c>
      <c r="E499">
        <v>0</v>
      </c>
      <c r="F499">
        <v>149.97</v>
      </c>
      <c r="G499">
        <v>98702.01</v>
      </c>
      <c r="H499" s="14">
        <v>43767.833333333336</v>
      </c>
    </row>
    <row r="500" spans="1:8" x14ac:dyDescent="0.25">
      <c r="A500">
        <v>58</v>
      </c>
      <c r="B500" t="s">
        <v>185</v>
      </c>
      <c r="C500">
        <v>3</v>
      </c>
      <c r="D500">
        <v>0</v>
      </c>
      <c r="E500">
        <v>0</v>
      </c>
      <c r="F500">
        <v>97.6</v>
      </c>
      <c r="G500">
        <v>63481.75</v>
      </c>
      <c r="H500" s="14">
        <v>43767.833333333336</v>
      </c>
    </row>
    <row r="501" spans="1:8" x14ac:dyDescent="0.25">
      <c r="A501">
        <v>59</v>
      </c>
      <c r="B501" t="s">
        <v>186</v>
      </c>
      <c r="C501">
        <v>1</v>
      </c>
      <c r="D501">
        <v>0</v>
      </c>
      <c r="E501">
        <v>0</v>
      </c>
      <c r="F501">
        <v>98.85</v>
      </c>
      <c r="G501">
        <v>89791.3</v>
      </c>
      <c r="H501" s="14">
        <v>43767.833333333336</v>
      </c>
    </row>
    <row r="502" spans="1:8" x14ac:dyDescent="0.25">
      <c r="A502">
        <v>59</v>
      </c>
      <c r="B502" t="s">
        <v>186</v>
      </c>
      <c r="C502">
        <v>2</v>
      </c>
      <c r="D502">
        <v>0</v>
      </c>
      <c r="E502">
        <v>0</v>
      </c>
      <c r="F502">
        <v>96.3</v>
      </c>
      <c r="G502">
        <v>88028.59</v>
      </c>
      <c r="H502" s="14">
        <v>43767.833333333336</v>
      </c>
    </row>
    <row r="503" spans="1:8" x14ac:dyDescent="0.25">
      <c r="A503">
        <v>59</v>
      </c>
      <c r="B503" t="s">
        <v>186</v>
      </c>
      <c r="C503">
        <v>3</v>
      </c>
      <c r="D503">
        <v>0</v>
      </c>
      <c r="E503">
        <v>0</v>
      </c>
      <c r="F503">
        <v>87.4</v>
      </c>
      <c r="G503">
        <v>81328.070000000007</v>
      </c>
      <c r="H503" s="14">
        <v>43767.833333333336</v>
      </c>
    </row>
    <row r="504" spans="1:8" x14ac:dyDescent="0.25">
      <c r="A504">
        <v>59</v>
      </c>
      <c r="B504" t="s">
        <v>186</v>
      </c>
      <c r="C504">
        <v>4</v>
      </c>
      <c r="D504">
        <v>0</v>
      </c>
      <c r="E504">
        <v>0</v>
      </c>
      <c r="F504">
        <v>120.33</v>
      </c>
      <c r="G504">
        <v>97864.04</v>
      </c>
      <c r="H504" s="14">
        <v>43767.833333333336</v>
      </c>
    </row>
    <row r="505" spans="1:8" x14ac:dyDescent="0.25">
      <c r="A505">
        <v>59</v>
      </c>
      <c r="B505" t="s">
        <v>186</v>
      </c>
      <c r="C505">
        <v>5</v>
      </c>
      <c r="D505">
        <v>0</v>
      </c>
      <c r="E505">
        <v>0</v>
      </c>
      <c r="F505">
        <v>119.18</v>
      </c>
      <c r="G505">
        <v>96391.48</v>
      </c>
      <c r="H505" s="14">
        <v>43767.833333333336</v>
      </c>
    </row>
    <row r="506" spans="1:8" x14ac:dyDescent="0.25">
      <c r="A506">
        <v>59</v>
      </c>
      <c r="B506" t="s">
        <v>186</v>
      </c>
      <c r="C506">
        <v>6</v>
      </c>
      <c r="D506">
        <v>0</v>
      </c>
      <c r="E506">
        <v>0</v>
      </c>
      <c r="F506">
        <v>121.39</v>
      </c>
      <c r="G506">
        <v>98379.57</v>
      </c>
      <c r="H506" s="14">
        <v>43767.833333333336</v>
      </c>
    </row>
    <row r="507" spans="1:8" x14ac:dyDescent="0.25">
      <c r="A507">
        <v>59</v>
      </c>
      <c r="B507" t="s">
        <v>186</v>
      </c>
      <c r="C507">
        <v>7</v>
      </c>
      <c r="D507">
        <v>0</v>
      </c>
      <c r="E507">
        <v>0</v>
      </c>
      <c r="F507">
        <v>142.4</v>
      </c>
      <c r="G507">
        <v>103638.84</v>
      </c>
      <c r="H507" s="14">
        <v>43767.833333333336</v>
      </c>
    </row>
    <row r="508" spans="1:8" x14ac:dyDescent="0.25">
      <c r="A508">
        <v>59</v>
      </c>
      <c r="B508" t="s">
        <v>186</v>
      </c>
      <c r="C508">
        <v>8</v>
      </c>
      <c r="D508">
        <v>0</v>
      </c>
      <c r="E508">
        <v>0</v>
      </c>
      <c r="F508">
        <v>84.33</v>
      </c>
      <c r="G508">
        <v>60528.32</v>
      </c>
      <c r="H508" s="14">
        <v>43767.833333333336</v>
      </c>
    </row>
    <row r="509" spans="1:8" x14ac:dyDescent="0.25">
      <c r="A509">
        <v>60</v>
      </c>
      <c r="B509" t="s">
        <v>187</v>
      </c>
      <c r="C509">
        <v>1</v>
      </c>
      <c r="D509">
        <v>0</v>
      </c>
      <c r="E509">
        <v>0</v>
      </c>
      <c r="F509">
        <v>84.24</v>
      </c>
      <c r="G509">
        <v>81538.240000000005</v>
      </c>
      <c r="H509" s="14">
        <v>43767.833333333336</v>
      </c>
    </row>
    <row r="510" spans="1:8" x14ac:dyDescent="0.25">
      <c r="A510">
        <v>60</v>
      </c>
      <c r="B510" t="s">
        <v>187</v>
      </c>
      <c r="C510">
        <v>2</v>
      </c>
      <c r="D510">
        <v>0</v>
      </c>
      <c r="E510">
        <v>0</v>
      </c>
      <c r="F510">
        <v>87.09</v>
      </c>
      <c r="G510">
        <v>82719.61</v>
      </c>
      <c r="H510" s="14">
        <v>43767.833333333336</v>
      </c>
    </row>
    <row r="511" spans="1:8" x14ac:dyDescent="0.25">
      <c r="A511">
        <v>60</v>
      </c>
      <c r="B511" t="s">
        <v>187</v>
      </c>
      <c r="C511">
        <v>3</v>
      </c>
      <c r="D511">
        <v>0</v>
      </c>
      <c r="E511">
        <v>0</v>
      </c>
      <c r="F511">
        <v>126.85</v>
      </c>
      <c r="G511">
        <v>97355.55</v>
      </c>
      <c r="H511" s="14">
        <v>43767.833333333336</v>
      </c>
    </row>
    <row r="512" spans="1:8" x14ac:dyDescent="0.25">
      <c r="A512">
        <v>60</v>
      </c>
      <c r="B512" t="s">
        <v>187</v>
      </c>
      <c r="C512">
        <v>4</v>
      </c>
      <c r="D512">
        <v>0</v>
      </c>
      <c r="E512">
        <v>0</v>
      </c>
      <c r="F512">
        <v>60.76</v>
      </c>
      <c r="G512">
        <v>45698.7</v>
      </c>
      <c r="H512" s="14">
        <v>43767.833333333336</v>
      </c>
    </row>
    <row r="513" spans="1:8" x14ac:dyDescent="0.25">
      <c r="A513">
        <v>60</v>
      </c>
      <c r="B513" t="s">
        <v>187</v>
      </c>
      <c r="C513">
        <v>5</v>
      </c>
      <c r="D513">
        <v>0</v>
      </c>
      <c r="E513">
        <v>0</v>
      </c>
      <c r="F513">
        <v>54.49</v>
      </c>
      <c r="G513">
        <v>41979.99</v>
      </c>
      <c r="H513" s="14">
        <v>43767.833333333336</v>
      </c>
    </row>
    <row r="514" spans="1:8" x14ac:dyDescent="0.25">
      <c r="A514">
        <v>61</v>
      </c>
      <c r="B514" t="s">
        <v>189</v>
      </c>
      <c r="C514">
        <v>1</v>
      </c>
      <c r="D514">
        <v>0</v>
      </c>
      <c r="E514">
        <v>0</v>
      </c>
      <c r="F514">
        <v>89.18</v>
      </c>
      <c r="G514">
        <v>82570.100000000006</v>
      </c>
      <c r="H514" s="14">
        <v>43767.833333333336</v>
      </c>
    </row>
    <row r="515" spans="1:8" x14ac:dyDescent="0.25">
      <c r="A515">
        <v>61</v>
      </c>
      <c r="B515" t="s">
        <v>189</v>
      </c>
      <c r="C515">
        <v>2</v>
      </c>
      <c r="D515">
        <v>0</v>
      </c>
      <c r="E515">
        <v>0</v>
      </c>
      <c r="F515">
        <v>76.42</v>
      </c>
      <c r="G515">
        <v>49033.03</v>
      </c>
      <c r="H515" s="14">
        <v>43767.833333333336</v>
      </c>
    </row>
    <row r="516" spans="1:8" x14ac:dyDescent="0.25">
      <c r="A516">
        <v>61</v>
      </c>
      <c r="B516" t="s">
        <v>189</v>
      </c>
      <c r="C516">
        <v>3</v>
      </c>
      <c r="D516">
        <v>0</v>
      </c>
      <c r="E516">
        <v>0</v>
      </c>
      <c r="F516">
        <v>84.91</v>
      </c>
      <c r="G516">
        <v>77847.02</v>
      </c>
      <c r="H516" s="14">
        <v>43767.833333333336</v>
      </c>
    </row>
    <row r="517" spans="1:8" x14ac:dyDescent="0.25">
      <c r="A517">
        <v>61</v>
      </c>
      <c r="B517" t="s">
        <v>189</v>
      </c>
      <c r="C517">
        <v>4</v>
      </c>
      <c r="D517">
        <v>0</v>
      </c>
      <c r="E517">
        <v>0</v>
      </c>
      <c r="F517">
        <v>70.17</v>
      </c>
      <c r="G517">
        <v>77362.06</v>
      </c>
      <c r="H517" s="14">
        <v>43767.833333333336</v>
      </c>
    </row>
    <row r="518" spans="1:8" x14ac:dyDescent="0.25">
      <c r="A518">
        <v>61</v>
      </c>
      <c r="B518" t="s">
        <v>189</v>
      </c>
      <c r="C518">
        <v>5</v>
      </c>
      <c r="D518">
        <v>0</v>
      </c>
      <c r="E518">
        <v>0</v>
      </c>
      <c r="F518">
        <v>84.08</v>
      </c>
      <c r="G518">
        <v>81495.83</v>
      </c>
      <c r="H518" s="14">
        <v>43767.833333333336</v>
      </c>
    </row>
    <row r="519" spans="1:8" x14ac:dyDescent="0.25">
      <c r="A519">
        <v>61</v>
      </c>
      <c r="B519" t="s">
        <v>189</v>
      </c>
      <c r="C519">
        <v>6</v>
      </c>
      <c r="D519">
        <v>0</v>
      </c>
      <c r="E519">
        <v>0</v>
      </c>
      <c r="F519">
        <v>87.86</v>
      </c>
      <c r="G519">
        <v>87009.14</v>
      </c>
      <c r="H519" s="14">
        <v>43767.833333333336</v>
      </c>
    </row>
    <row r="520" spans="1:8" x14ac:dyDescent="0.25">
      <c r="A520">
        <v>61</v>
      </c>
      <c r="B520" t="s">
        <v>189</v>
      </c>
      <c r="C520">
        <v>7</v>
      </c>
      <c r="D520">
        <v>0</v>
      </c>
      <c r="E520">
        <v>0</v>
      </c>
      <c r="F520">
        <v>89.71</v>
      </c>
      <c r="G520">
        <v>80308.44</v>
      </c>
      <c r="H520" s="14">
        <v>43767.833333333336</v>
      </c>
    </row>
    <row r="521" spans="1:8" x14ac:dyDescent="0.25">
      <c r="A521">
        <v>61</v>
      </c>
      <c r="B521" t="s">
        <v>189</v>
      </c>
      <c r="C521">
        <v>8</v>
      </c>
      <c r="D521">
        <v>0</v>
      </c>
      <c r="E521">
        <v>0</v>
      </c>
      <c r="F521">
        <v>45.77</v>
      </c>
      <c r="G521">
        <v>45181.73</v>
      </c>
      <c r="H521" s="14">
        <v>43767.833333333336</v>
      </c>
    </row>
    <row r="522" spans="1:8" x14ac:dyDescent="0.25">
      <c r="A522">
        <v>62</v>
      </c>
      <c r="B522" t="s">
        <v>190</v>
      </c>
      <c r="C522">
        <v>1</v>
      </c>
      <c r="D522">
        <v>0</v>
      </c>
      <c r="E522">
        <v>0</v>
      </c>
      <c r="F522">
        <v>119.76</v>
      </c>
      <c r="G522">
        <v>93993.69</v>
      </c>
      <c r="H522" s="14">
        <v>43767.833333333336</v>
      </c>
    </row>
    <row r="523" spans="1:8" x14ac:dyDescent="0.25">
      <c r="A523">
        <v>62</v>
      </c>
      <c r="B523" t="s">
        <v>190</v>
      </c>
      <c r="C523">
        <v>2</v>
      </c>
      <c r="D523">
        <v>0</v>
      </c>
      <c r="E523">
        <v>0</v>
      </c>
      <c r="F523">
        <v>155.43</v>
      </c>
      <c r="G523">
        <v>102469.12</v>
      </c>
      <c r="H523" s="14">
        <v>43767.833333333336</v>
      </c>
    </row>
    <row r="524" spans="1:8" x14ac:dyDescent="0.25">
      <c r="A524">
        <v>62</v>
      </c>
      <c r="B524" t="s">
        <v>190</v>
      </c>
      <c r="C524">
        <v>3</v>
      </c>
      <c r="D524">
        <v>0</v>
      </c>
      <c r="E524">
        <v>0</v>
      </c>
      <c r="F524">
        <v>117.02</v>
      </c>
      <c r="G524">
        <v>92741.28</v>
      </c>
      <c r="H524" s="14">
        <v>43767.833333333336</v>
      </c>
    </row>
    <row r="525" spans="1:8" x14ac:dyDescent="0.25">
      <c r="A525">
        <v>62</v>
      </c>
      <c r="B525" t="s">
        <v>190</v>
      </c>
      <c r="C525">
        <v>4</v>
      </c>
      <c r="D525">
        <v>0</v>
      </c>
      <c r="E525">
        <v>0</v>
      </c>
      <c r="F525">
        <v>156.1</v>
      </c>
      <c r="G525">
        <v>101796.69</v>
      </c>
      <c r="H525" s="14">
        <v>43767.833333333336</v>
      </c>
    </row>
    <row r="526" spans="1:8" x14ac:dyDescent="0.25">
      <c r="A526">
        <v>62</v>
      </c>
      <c r="B526" t="s">
        <v>190</v>
      </c>
      <c r="C526">
        <v>5</v>
      </c>
      <c r="D526">
        <v>0</v>
      </c>
      <c r="E526">
        <v>0</v>
      </c>
      <c r="F526">
        <v>101.65</v>
      </c>
      <c r="G526">
        <v>10590.1</v>
      </c>
      <c r="H526" s="14">
        <v>43767.833333333336</v>
      </c>
    </row>
    <row r="527" spans="1:8" x14ac:dyDescent="0.25">
      <c r="A527">
        <v>62</v>
      </c>
      <c r="B527" t="s">
        <v>190</v>
      </c>
      <c r="C527">
        <v>6</v>
      </c>
      <c r="D527">
        <v>0</v>
      </c>
      <c r="E527">
        <v>0</v>
      </c>
      <c r="F527">
        <v>155.97</v>
      </c>
      <c r="G527">
        <v>102135.77</v>
      </c>
      <c r="H527" s="14">
        <v>43767.833333333336</v>
      </c>
    </row>
    <row r="528" spans="1:8" x14ac:dyDescent="0.25">
      <c r="A528">
        <v>62</v>
      </c>
      <c r="B528" t="s">
        <v>190</v>
      </c>
      <c r="C528">
        <v>7</v>
      </c>
      <c r="D528">
        <v>0</v>
      </c>
      <c r="E528">
        <v>0</v>
      </c>
      <c r="F528">
        <v>138.12</v>
      </c>
      <c r="G528">
        <v>97839.01</v>
      </c>
      <c r="H528" s="14">
        <v>43767.833333333336</v>
      </c>
    </row>
    <row r="529" spans="1:8" x14ac:dyDescent="0.25">
      <c r="A529">
        <v>62</v>
      </c>
      <c r="B529" t="s">
        <v>190</v>
      </c>
      <c r="C529">
        <v>8</v>
      </c>
      <c r="D529">
        <v>0</v>
      </c>
      <c r="E529">
        <v>0</v>
      </c>
      <c r="F529">
        <v>87.19</v>
      </c>
      <c r="G529">
        <v>62587.98</v>
      </c>
      <c r="H529" s="14">
        <v>43767.833333333336</v>
      </c>
    </row>
    <row r="530" spans="1:8" x14ac:dyDescent="0.25">
      <c r="A530">
        <v>62</v>
      </c>
      <c r="B530" t="s">
        <v>190</v>
      </c>
      <c r="C530">
        <v>9</v>
      </c>
      <c r="D530">
        <v>0</v>
      </c>
      <c r="E530">
        <v>0</v>
      </c>
      <c r="F530">
        <v>90.46</v>
      </c>
      <c r="G530">
        <v>63832.05</v>
      </c>
      <c r="H530" s="14">
        <v>43767.833333333336</v>
      </c>
    </row>
    <row r="531" spans="1:8" x14ac:dyDescent="0.25">
      <c r="A531">
        <v>63</v>
      </c>
      <c r="B531" t="s">
        <v>191</v>
      </c>
      <c r="C531">
        <v>1</v>
      </c>
      <c r="D531">
        <v>0</v>
      </c>
      <c r="E531">
        <v>0</v>
      </c>
      <c r="F531">
        <v>117.51</v>
      </c>
      <c r="G531">
        <v>91801.22</v>
      </c>
      <c r="H531" s="14">
        <v>43767.833333333336</v>
      </c>
    </row>
    <row r="532" spans="1:8" x14ac:dyDescent="0.25">
      <c r="A532">
        <v>63</v>
      </c>
      <c r="B532" t="s">
        <v>191</v>
      </c>
      <c r="C532">
        <v>2</v>
      </c>
      <c r="D532">
        <v>0</v>
      </c>
      <c r="E532">
        <v>0</v>
      </c>
      <c r="F532">
        <v>106.7</v>
      </c>
      <c r="G532">
        <v>82255.710000000006</v>
      </c>
      <c r="H532" s="14">
        <v>43767.833333333336</v>
      </c>
    </row>
    <row r="533" spans="1:8" x14ac:dyDescent="0.25">
      <c r="A533">
        <v>63</v>
      </c>
      <c r="B533" t="s">
        <v>191</v>
      </c>
      <c r="C533">
        <v>3</v>
      </c>
      <c r="D533">
        <v>0</v>
      </c>
      <c r="E533">
        <v>0</v>
      </c>
      <c r="F533">
        <v>144.91999999999999</v>
      </c>
      <c r="G533">
        <v>94261.59</v>
      </c>
      <c r="H533" s="14">
        <v>43767.833333333336</v>
      </c>
    </row>
    <row r="534" spans="1:8" x14ac:dyDescent="0.25">
      <c r="A534">
        <v>63</v>
      </c>
      <c r="B534" t="s">
        <v>191</v>
      </c>
      <c r="C534">
        <v>4</v>
      </c>
      <c r="D534">
        <v>0</v>
      </c>
      <c r="E534">
        <v>0</v>
      </c>
      <c r="F534">
        <v>112.31</v>
      </c>
      <c r="G534">
        <v>87166.65</v>
      </c>
      <c r="H534" s="14">
        <v>43767.833333333336</v>
      </c>
    </row>
    <row r="535" spans="1:8" x14ac:dyDescent="0.25">
      <c r="A535">
        <v>63</v>
      </c>
      <c r="B535" t="s">
        <v>191</v>
      </c>
      <c r="C535">
        <v>5</v>
      </c>
      <c r="D535">
        <v>0</v>
      </c>
      <c r="E535">
        <v>0</v>
      </c>
      <c r="F535">
        <v>150.97999999999999</v>
      </c>
      <c r="G535">
        <v>98715.09</v>
      </c>
      <c r="H535" s="14">
        <v>43767.833333333336</v>
      </c>
    </row>
    <row r="536" spans="1:8" x14ac:dyDescent="0.25">
      <c r="A536">
        <v>63</v>
      </c>
      <c r="B536" t="s">
        <v>191</v>
      </c>
      <c r="C536">
        <v>6</v>
      </c>
      <c r="D536">
        <v>0</v>
      </c>
      <c r="E536">
        <v>0</v>
      </c>
      <c r="F536">
        <v>100.51</v>
      </c>
      <c r="G536">
        <v>63378.75</v>
      </c>
      <c r="H536" s="14">
        <v>43767.833333333336</v>
      </c>
    </row>
    <row r="537" spans="1:8" x14ac:dyDescent="0.25">
      <c r="A537">
        <v>64</v>
      </c>
      <c r="B537" t="s">
        <v>192</v>
      </c>
      <c r="C537">
        <v>1</v>
      </c>
      <c r="D537">
        <v>0</v>
      </c>
      <c r="E537">
        <v>0</v>
      </c>
      <c r="F537">
        <v>113.66</v>
      </c>
      <c r="G537">
        <v>85132.02</v>
      </c>
      <c r="H537" s="14">
        <v>43767.833333333336</v>
      </c>
    </row>
    <row r="538" spans="1:8" x14ac:dyDescent="0.25">
      <c r="A538">
        <v>64</v>
      </c>
      <c r="B538" t="s">
        <v>192</v>
      </c>
      <c r="C538">
        <v>2</v>
      </c>
      <c r="D538">
        <v>0</v>
      </c>
      <c r="E538">
        <v>0</v>
      </c>
      <c r="F538">
        <v>113.1</v>
      </c>
      <c r="G538">
        <v>85035.83</v>
      </c>
      <c r="H538" s="14">
        <v>43767.833333333336</v>
      </c>
    </row>
    <row r="539" spans="1:8" x14ac:dyDescent="0.25">
      <c r="A539">
        <v>64</v>
      </c>
      <c r="B539" t="s">
        <v>192</v>
      </c>
      <c r="C539">
        <v>3</v>
      </c>
      <c r="D539">
        <v>0</v>
      </c>
      <c r="E539">
        <v>0</v>
      </c>
      <c r="F539">
        <v>153.24</v>
      </c>
      <c r="G539">
        <v>97546.26</v>
      </c>
      <c r="H539" s="14">
        <v>43767.833333333336</v>
      </c>
    </row>
    <row r="540" spans="1:8" x14ac:dyDescent="0.25">
      <c r="A540">
        <v>64</v>
      </c>
      <c r="B540" t="s">
        <v>192</v>
      </c>
      <c r="C540">
        <v>4</v>
      </c>
      <c r="D540">
        <v>0</v>
      </c>
      <c r="E540">
        <v>0</v>
      </c>
      <c r="F540">
        <v>154.85</v>
      </c>
      <c r="G540">
        <v>98209.41</v>
      </c>
      <c r="H540" s="14">
        <v>43767.833333333336</v>
      </c>
    </row>
    <row r="541" spans="1:8" x14ac:dyDescent="0.25">
      <c r="A541">
        <v>64</v>
      </c>
      <c r="B541" t="s">
        <v>192</v>
      </c>
      <c r="C541">
        <v>5</v>
      </c>
      <c r="D541">
        <v>0</v>
      </c>
      <c r="E541">
        <v>0</v>
      </c>
      <c r="F541">
        <v>155.75</v>
      </c>
      <c r="G541">
        <v>98356.68</v>
      </c>
      <c r="H541" s="14">
        <v>43767.833333333336</v>
      </c>
    </row>
    <row r="542" spans="1:8" x14ac:dyDescent="0.25">
      <c r="A542">
        <v>64</v>
      </c>
      <c r="B542" t="s">
        <v>192</v>
      </c>
      <c r="C542">
        <v>6</v>
      </c>
      <c r="D542">
        <v>0</v>
      </c>
      <c r="E542">
        <v>0</v>
      </c>
      <c r="F542">
        <v>113.31</v>
      </c>
      <c r="G542">
        <v>85785.72</v>
      </c>
      <c r="H542" s="14">
        <v>43767.833333333336</v>
      </c>
    </row>
    <row r="543" spans="1:8" x14ac:dyDescent="0.25">
      <c r="A543">
        <v>64</v>
      </c>
      <c r="B543" t="s">
        <v>192</v>
      </c>
      <c r="C543">
        <v>7</v>
      </c>
      <c r="D543">
        <v>0</v>
      </c>
      <c r="E543">
        <v>0</v>
      </c>
      <c r="F543">
        <v>114.27</v>
      </c>
      <c r="G543">
        <v>86503.29</v>
      </c>
      <c r="H543" s="14">
        <v>43767.833333333336</v>
      </c>
    </row>
    <row r="544" spans="1:8" x14ac:dyDescent="0.25">
      <c r="A544">
        <v>64</v>
      </c>
      <c r="B544" t="s">
        <v>192</v>
      </c>
      <c r="C544">
        <v>8</v>
      </c>
      <c r="D544">
        <v>0</v>
      </c>
      <c r="E544">
        <v>0</v>
      </c>
      <c r="F544">
        <v>113.02</v>
      </c>
      <c r="G544">
        <v>86104.85</v>
      </c>
      <c r="H544" s="14">
        <v>43767.833333333336</v>
      </c>
    </row>
    <row r="545" spans="1:8" x14ac:dyDescent="0.25">
      <c r="A545">
        <v>64</v>
      </c>
      <c r="B545" t="s">
        <v>192</v>
      </c>
      <c r="C545">
        <v>9</v>
      </c>
      <c r="D545">
        <v>0</v>
      </c>
      <c r="E545">
        <v>0</v>
      </c>
      <c r="F545">
        <v>149.38999999999999</v>
      </c>
      <c r="G545">
        <v>95481.47</v>
      </c>
      <c r="H545" s="14">
        <v>43767.833333333336</v>
      </c>
    </row>
    <row r="546" spans="1:8" x14ac:dyDescent="0.25">
      <c r="A546">
        <v>64</v>
      </c>
      <c r="B546" t="s">
        <v>192</v>
      </c>
      <c r="C546">
        <v>10</v>
      </c>
      <c r="D546">
        <v>0</v>
      </c>
      <c r="E546">
        <v>0</v>
      </c>
      <c r="F546">
        <v>154.27000000000001</v>
      </c>
      <c r="G546">
        <v>97811.58</v>
      </c>
      <c r="H546" s="14">
        <v>43767.833333333336</v>
      </c>
    </row>
    <row r="547" spans="1:8" x14ac:dyDescent="0.25">
      <c r="A547">
        <v>64</v>
      </c>
      <c r="B547" t="s">
        <v>192</v>
      </c>
      <c r="C547">
        <v>11</v>
      </c>
      <c r="D547">
        <v>0</v>
      </c>
      <c r="E547">
        <v>0</v>
      </c>
      <c r="F547">
        <v>154.09</v>
      </c>
      <c r="G547">
        <v>97815.27</v>
      </c>
      <c r="H547" s="14">
        <v>43767.833333333336</v>
      </c>
    </row>
    <row r="548" spans="1:8" x14ac:dyDescent="0.25">
      <c r="A548">
        <v>65</v>
      </c>
      <c r="B548" t="s">
        <v>193</v>
      </c>
      <c r="C548">
        <v>1</v>
      </c>
      <c r="D548">
        <v>0</v>
      </c>
      <c r="E548">
        <v>0</v>
      </c>
      <c r="F548">
        <v>128.29</v>
      </c>
      <c r="G548">
        <v>92515.29</v>
      </c>
      <c r="H548" s="14">
        <v>43767.833333333336</v>
      </c>
    </row>
    <row r="549" spans="1:8" x14ac:dyDescent="0.25">
      <c r="A549">
        <v>65</v>
      </c>
      <c r="B549" t="s">
        <v>193</v>
      </c>
      <c r="C549">
        <v>2</v>
      </c>
      <c r="D549">
        <v>0</v>
      </c>
      <c r="E549">
        <v>0</v>
      </c>
      <c r="F549">
        <v>130.11000000000001</v>
      </c>
      <c r="G549">
        <v>93296.2</v>
      </c>
      <c r="H549" s="14">
        <v>43767.833333333336</v>
      </c>
    </row>
    <row r="550" spans="1:8" x14ac:dyDescent="0.25">
      <c r="A550">
        <v>65</v>
      </c>
      <c r="B550" t="s">
        <v>193</v>
      </c>
      <c r="C550">
        <v>3</v>
      </c>
      <c r="D550">
        <v>0</v>
      </c>
      <c r="E550">
        <v>0</v>
      </c>
      <c r="F550">
        <v>129.82</v>
      </c>
      <c r="G550">
        <v>91938.31</v>
      </c>
      <c r="H550" s="14">
        <v>43767.833333333336</v>
      </c>
    </row>
    <row r="551" spans="1:8" x14ac:dyDescent="0.25">
      <c r="A551">
        <v>65</v>
      </c>
      <c r="B551" t="s">
        <v>193</v>
      </c>
      <c r="C551">
        <v>4</v>
      </c>
      <c r="D551">
        <v>0</v>
      </c>
      <c r="E551">
        <v>0</v>
      </c>
      <c r="F551">
        <v>130.38999999999999</v>
      </c>
      <c r="G551">
        <v>93663.57</v>
      </c>
      <c r="H551" s="14">
        <v>43767.833333333336</v>
      </c>
    </row>
    <row r="552" spans="1:8" x14ac:dyDescent="0.25">
      <c r="A552">
        <v>65</v>
      </c>
      <c r="B552" t="s">
        <v>193</v>
      </c>
      <c r="C552">
        <v>5</v>
      </c>
      <c r="D552">
        <v>0</v>
      </c>
      <c r="E552">
        <v>0</v>
      </c>
      <c r="F552">
        <v>135.44999999999999</v>
      </c>
      <c r="G552">
        <v>93236.49</v>
      </c>
      <c r="H552" s="14">
        <v>43767.833333333336</v>
      </c>
    </row>
    <row r="553" spans="1:8" x14ac:dyDescent="0.25">
      <c r="A553">
        <v>65</v>
      </c>
      <c r="B553" t="s">
        <v>193</v>
      </c>
      <c r="C553">
        <v>6</v>
      </c>
      <c r="D553">
        <v>0</v>
      </c>
      <c r="E553">
        <v>0</v>
      </c>
      <c r="F553">
        <v>137.77000000000001</v>
      </c>
      <c r="G553">
        <v>94321.07</v>
      </c>
      <c r="H553" s="14">
        <v>43767.833333333336</v>
      </c>
    </row>
    <row r="554" spans="1:8" x14ac:dyDescent="0.25">
      <c r="A554">
        <v>65</v>
      </c>
      <c r="B554" t="s">
        <v>193</v>
      </c>
      <c r="C554">
        <v>7</v>
      </c>
      <c r="D554">
        <v>0</v>
      </c>
      <c r="E554">
        <v>0</v>
      </c>
      <c r="F554">
        <v>142.69999999999999</v>
      </c>
      <c r="G554">
        <v>94440.42</v>
      </c>
      <c r="H554" s="14">
        <v>43767.833333333336</v>
      </c>
    </row>
    <row r="555" spans="1:8" x14ac:dyDescent="0.25">
      <c r="A555">
        <v>65</v>
      </c>
      <c r="B555" t="s">
        <v>193</v>
      </c>
      <c r="C555">
        <v>8</v>
      </c>
      <c r="D555">
        <v>0</v>
      </c>
      <c r="E555">
        <v>0</v>
      </c>
      <c r="F555">
        <v>142.21</v>
      </c>
      <c r="G555">
        <v>95427.58</v>
      </c>
      <c r="H555" s="14">
        <v>43767.833333333336</v>
      </c>
    </row>
    <row r="556" spans="1:8" x14ac:dyDescent="0.25">
      <c r="A556">
        <v>66</v>
      </c>
      <c r="B556" t="s">
        <v>194</v>
      </c>
      <c r="C556">
        <v>1</v>
      </c>
      <c r="D556">
        <v>0</v>
      </c>
      <c r="E556">
        <v>0</v>
      </c>
      <c r="F556">
        <v>108.21</v>
      </c>
      <c r="G556">
        <v>81283.44</v>
      </c>
      <c r="H556" s="14">
        <v>43767.833333333336</v>
      </c>
    </row>
    <row r="557" spans="1:8" x14ac:dyDescent="0.25">
      <c r="A557">
        <v>66</v>
      </c>
      <c r="B557" t="s">
        <v>194</v>
      </c>
      <c r="C557">
        <v>2</v>
      </c>
      <c r="D557">
        <v>0</v>
      </c>
      <c r="E557">
        <v>0</v>
      </c>
      <c r="F557">
        <v>130.9</v>
      </c>
      <c r="G557">
        <v>87121.84</v>
      </c>
      <c r="H557" s="14">
        <v>43767.833333333336</v>
      </c>
    </row>
    <row r="558" spans="1:8" x14ac:dyDescent="0.25">
      <c r="A558">
        <v>66</v>
      </c>
      <c r="B558" t="s">
        <v>194</v>
      </c>
      <c r="C558">
        <v>3</v>
      </c>
      <c r="D558">
        <v>0</v>
      </c>
      <c r="E558">
        <v>0</v>
      </c>
      <c r="F558">
        <v>104.12</v>
      </c>
      <c r="G558">
        <v>80385.3</v>
      </c>
      <c r="H558" s="14">
        <v>43767.833333333336</v>
      </c>
    </row>
    <row r="559" spans="1:8" x14ac:dyDescent="0.25">
      <c r="A559">
        <v>66</v>
      </c>
      <c r="B559" t="s">
        <v>194</v>
      </c>
      <c r="C559">
        <v>4</v>
      </c>
      <c r="D559">
        <v>0</v>
      </c>
      <c r="E559">
        <v>0</v>
      </c>
      <c r="F559">
        <v>124.63</v>
      </c>
      <c r="G559">
        <v>86986.1</v>
      </c>
      <c r="H559" s="14">
        <v>43767.833333333336</v>
      </c>
    </row>
    <row r="560" spans="1:8" x14ac:dyDescent="0.25">
      <c r="A560">
        <v>66</v>
      </c>
      <c r="B560" t="s">
        <v>194</v>
      </c>
      <c r="C560">
        <v>5</v>
      </c>
      <c r="D560">
        <v>0</v>
      </c>
      <c r="E560">
        <v>0</v>
      </c>
      <c r="F560">
        <v>111.59</v>
      </c>
      <c r="G560">
        <v>83879.25</v>
      </c>
      <c r="H560" s="14">
        <v>43767.833333333336</v>
      </c>
    </row>
    <row r="561" spans="1:8" x14ac:dyDescent="0.25">
      <c r="A561">
        <v>66</v>
      </c>
      <c r="B561" t="s">
        <v>194</v>
      </c>
      <c r="C561">
        <v>6</v>
      </c>
      <c r="D561">
        <v>0</v>
      </c>
      <c r="E561">
        <v>0</v>
      </c>
      <c r="F561">
        <v>119.1</v>
      </c>
      <c r="G561">
        <v>85792.960000000006</v>
      </c>
      <c r="H561" s="14">
        <v>43767.833333333336</v>
      </c>
    </row>
    <row r="562" spans="1:8" x14ac:dyDescent="0.25">
      <c r="A562">
        <v>67</v>
      </c>
      <c r="B562" t="s">
        <v>195</v>
      </c>
      <c r="C562">
        <v>1</v>
      </c>
      <c r="D562">
        <v>0</v>
      </c>
      <c r="E562">
        <v>0</v>
      </c>
      <c r="F562">
        <v>54.53</v>
      </c>
      <c r="G562">
        <v>46106.81</v>
      </c>
      <c r="H562" s="14">
        <v>43767.833333333336</v>
      </c>
    </row>
    <row r="563" spans="1:8" x14ac:dyDescent="0.25">
      <c r="A563">
        <v>67</v>
      </c>
      <c r="B563" t="s">
        <v>195</v>
      </c>
      <c r="C563">
        <v>2</v>
      </c>
      <c r="D563">
        <v>0</v>
      </c>
      <c r="E563">
        <v>0</v>
      </c>
      <c r="F563">
        <v>73</v>
      </c>
      <c r="G563">
        <v>51796.23</v>
      </c>
      <c r="H563" s="14">
        <v>43767.833333333336</v>
      </c>
    </row>
    <row r="564" spans="1:8" x14ac:dyDescent="0.25">
      <c r="A564">
        <v>67</v>
      </c>
      <c r="B564" t="s">
        <v>195</v>
      </c>
      <c r="C564">
        <v>3</v>
      </c>
      <c r="D564">
        <v>0</v>
      </c>
      <c r="E564">
        <v>0</v>
      </c>
      <c r="F564">
        <v>53.21</v>
      </c>
      <c r="G564">
        <v>37277.919999999998</v>
      </c>
      <c r="H564" s="14">
        <v>43767.833333333336</v>
      </c>
    </row>
    <row r="565" spans="1:8" x14ac:dyDescent="0.25">
      <c r="A565">
        <v>68</v>
      </c>
      <c r="B565" t="s">
        <v>196</v>
      </c>
      <c r="C565">
        <v>1</v>
      </c>
      <c r="D565">
        <v>0</v>
      </c>
      <c r="E565">
        <v>0</v>
      </c>
      <c r="F565">
        <v>94.82</v>
      </c>
      <c r="G565">
        <v>65373.54</v>
      </c>
      <c r="H565" s="14">
        <v>43767.833333333336</v>
      </c>
    </row>
    <row r="566" spans="1:8" x14ac:dyDescent="0.25">
      <c r="A566">
        <v>68</v>
      </c>
      <c r="B566" t="s">
        <v>196</v>
      </c>
      <c r="C566">
        <v>2</v>
      </c>
      <c r="D566">
        <v>0</v>
      </c>
      <c r="E566">
        <v>0</v>
      </c>
      <c r="F566">
        <v>95.6</v>
      </c>
      <c r="G566">
        <v>75654.09</v>
      </c>
      <c r="H566" s="14">
        <v>43767.833333333336</v>
      </c>
    </row>
    <row r="567" spans="1:8" x14ac:dyDescent="0.25">
      <c r="A567">
        <v>68</v>
      </c>
      <c r="B567" t="s">
        <v>196</v>
      </c>
      <c r="C567">
        <v>3</v>
      </c>
      <c r="D567">
        <v>0</v>
      </c>
      <c r="E567">
        <v>0</v>
      </c>
      <c r="F567">
        <v>84.42</v>
      </c>
      <c r="G567">
        <v>69530.37</v>
      </c>
      <c r="H567" s="14">
        <v>43767.833333333336</v>
      </c>
    </row>
    <row r="568" spans="1:8" x14ac:dyDescent="0.25">
      <c r="A568">
        <v>68</v>
      </c>
      <c r="B568" t="s">
        <v>196</v>
      </c>
      <c r="C568">
        <v>4</v>
      </c>
      <c r="D568">
        <v>0</v>
      </c>
      <c r="E568">
        <v>0</v>
      </c>
      <c r="F568">
        <v>90.28</v>
      </c>
      <c r="G568">
        <v>73617.69</v>
      </c>
      <c r="H568" s="14">
        <v>43767.833333333336</v>
      </c>
    </row>
    <row r="569" spans="1:8" x14ac:dyDescent="0.25">
      <c r="A569">
        <v>68</v>
      </c>
      <c r="B569" t="s">
        <v>196</v>
      </c>
      <c r="C569">
        <v>5</v>
      </c>
      <c r="D569">
        <v>0</v>
      </c>
      <c r="E569">
        <v>0</v>
      </c>
      <c r="F569">
        <v>59.12</v>
      </c>
      <c r="G569">
        <v>49881.08</v>
      </c>
      <c r="H569" s="14">
        <v>43767.833333333336</v>
      </c>
    </row>
    <row r="570" spans="1:8" x14ac:dyDescent="0.25">
      <c r="A570">
        <v>68</v>
      </c>
      <c r="B570" t="s">
        <v>196</v>
      </c>
      <c r="C570">
        <v>6</v>
      </c>
      <c r="D570">
        <v>0</v>
      </c>
      <c r="E570">
        <v>0</v>
      </c>
      <c r="F570">
        <v>62.34</v>
      </c>
      <c r="G570">
        <v>49503.76</v>
      </c>
      <c r="H570" s="14">
        <v>43767.833333333336</v>
      </c>
    </row>
    <row r="571" spans="1:8" x14ac:dyDescent="0.25">
      <c r="A571">
        <v>68</v>
      </c>
      <c r="B571" t="s">
        <v>196</v>
      </c>
      <c r="C571">
        <v>7</v>
      </c>
      <c r="D571">
        <v>0</v>
      </c>
      <c r="E571">
        <v>0</v>
      </c>
      <c r="F571">
        <v>28.26</v>
      </c>
      <c r="G571">
        <v>21761.22</v>
      </c>
      <c r="H571" s="14">
        <v>43767.833333333336</v>
      </c>
    </row>
    <row r="572" spans="1:8" x14ac:dyDescent="0.25">
      <c r="A572">
        <v>68</v>
      </c>
      <c r="B572" t="s">
        <v>196</v>
      </c>
      <c r="C572">
        <v>8</v>
      </c>
      <c r="D572">
        <v>0</v>
      </c>
      <c r="E572">
        <v>0</v>
      </c>
      <c r="F572">
        <v>20.87</v>
      </c>
      <c r="G572">
        <v>17219.490000000002</v>
      </c>
      <c r="H572" s="14">
        <v>43767.833333333336</v>
      </c>
    </row>
    <row r="573" spans="1:8" x14ac:dyDescent="0.25">
      <c r="A573">
        <v>69</v>
      </c>
      <c r="B573" t="s">
        <v>197</v>
      </c>
      <c r="C573">
        <v>1</v>
      </c>
      <c r="D573">
        <v>0</v>
      </c>
      <c r="E573">
        <v>0</v>
      </c>
      <c r="F573">
        <v>42.95</v>
      </c>
      <c r="G573">
        <v>36713.46</v>
      </c>
      <c r="H573" s="14">
        <v>43767.833333333336</v>
      </c>
    </row>
    <row r="574" spans="1:8" x14ac:dyDescent="0.25">
      <c r="A574">
        <v>69</v>
      </c>
      <c r="B574" t="s">
        <v>197</v>
      </c>
      <c r="C574">
        <v>2</v>
      </c>
      <c r="D574">
        <v>0</v>
      </c>
      <c r="E574">
        <v>0</v>
      </c>
      <c r="F574">
        <v>63.49</v>
      </c>
      <c r="G574">
        <v>51984.98</v>
      </c>
      <c r="H574" s="14">
        <v>43767.833333333336</v>
      </c>
    </row>
    <row r="575" spans="1:8" x14ac:dyDescent="0.25">
      <c r="A575">
        <v>69</v>
      </c>
      <c r="B575" t="s">
        <v>197</v>
      </c>
      <c r="C575">
        <v>3</v>
      </c>
      <c r="D575">
        <v>0</v>
      </c>
      <c r="E575">
        <v>0</v>
      </c>
      <c r="F575">
        <v>95</v>
      </c>
      <c r="G575">
        <v>77556.710000000006</v>
      </c>
      <c r="H575" s="14">
        <v>43767.833333333336</v>
      </c>
    </row>
    <row r="576" spans="1:8" x14ac:dyDescent="0.25">
      <c r="A576">
        <v>70</v>
      </c>
      <c r="B576" t="s">
        <v>198</v>
      </c>
      <c r="C576">
        <v>1</v>
      </c>
      <c r="D576">
        <v>0</v>
      </c>
      <c r="E576">
        <v>0</v>
      </c>
      <c r="F576">
        <v>48.16</v>
      </c>
      <c r="G576">
        <v>47635.53</v>
      </c>
      <c r="H576" s="14">
        <v>43767.833333333336</v>
      </c>
    </row>
    <row r="577" spans="1:8" x14ac:dyDescent="0.25">
      <c r="A577">
        <v>70</v>
      </c>
      <c r="B577" t="s">
        <v>198</v>
      </c>
      <c r="C577">
        <v>2</v>
      </c>
      <c r="D577">
        <v>0</v>
      </c>
      <c r="E577">
        <v>0</v>
      </c>
      <c r="F577">
        <v>58.77</v>
      </c>
      <c r="G577">
        <v>58810.28</v>
      </c>
      <c r="H577" s="14">
        <v>43767.833333333336</v>
      </c>
    </row>
    <row r="578" spans="1:8" x14ac:dyDescent="0.25">
      <c r="A578">
        <v>70</v>
      </c>
      <c r="B578" t="s">
        <v>198</v>
      </c>
      <c r="C578">
        <v>3</v>
      </c>
      <c r="D578">
        <v>0</v>
      </c>
      <c r="E578">
        <v>0</v>
      </c>
      <c r="F578">
        <v>87.96</v>
      </c>
      <c r="G578">
        <v>86417.73</v>
      </c>
      <c r="H578" s="14">
        <v>43767.833333333336</v>
      </c>
    </row>
    <row r="579" spans="1:8" x14ac:dyDescent="0.25">
      <c r="A579">
        <v>70</v>
      </c>
      <c r="B579" t="s">
        <v>198</v>
      </c>
      <c r="C579">
        <v>4</v>
      </c>
      <c r="D579">
        <v>0</v>
      </c>
      <c r="E579">
        <v>0</v>
      </c>
      <c r="F579">
        <v>88.1</v>
      </c>
      <c r="G579">
        <v>87584.39</v>
      </c>
      <c r="H579" s="14">
        <v>43767.833333333336</v>
      </c>
    </row>
    <row r="580" spans="1:8" x14ac:dyDescent="0.25">
      <c r="A580">
        <v>70</v>
      </c>
      <c r="B580" t="s">
        <v>198</v>
      </c>
      <c r="C580">
        <v>5</v>
      </c>
      <c r="D580">
        <v>0</v>
      </c>
      <c r="E580">
        <v>0</v>
      </c>
      <c r="F580">
        <v>81.93</v>
      </c>
      <c r="G580">
        <v>35319.800000000003</v>
      </c>
      <c r="H580" s="14">
        <v>43767.833333333336</v>
      </c>
    </row>
    <row r="581" spans="1:8" x14ac:dyDescent="0.25">
      <c r="A581">
        <v>70</v>
      </c>
      <c r="B581" t="s">
        <v>198</v>
      </c>
      <c r="C581">
        <v>6</v>
      </c>
      <c r="D581">
        <v>0</v>
      </c>
      <c r="E581">
        <v>0</v>
      </c>
      <c r="F581">
        <v>83.06</v>
      </c>
      <c r="G581">
        <v>85515.83</v>
      </c>
      <c r="H581" s="14">
        <v>43767.833333333336</v>
      </c>
    </row>
    <row r="582" spans="1:8" x14ac:dyDescent="0.25">
      <c r="A582">
        <v>71</v>
      </c>
      <c r="B582" t="s">
        <v>199</v>
      </c>
      <c r="C582">
        <v>1</v>
      </c>
      <c r="D582">
        <v>0</v>
      </c>
      <c r="E582">
        <v>0</v>
      </c>
      <c r="F582">
        <v>83.8</v>
      </c>
      <c r="G582">
        <v>79245.119999999995</v>
      </c>
      <c r="H582" s="14">
        <v>43767.833333333336</v>
      </c>
    </row>
    <row r="583" spans="1:8" x14ac:dyDescent="0.25">
      <c r="A583">
        <v>71</v>
      </c>
      <c r="B583" t="s">
        <v>199</v>
      </c>
      <c r="C583">
        <v>2</v>
      </c>
      <c r="D583">
        <v>0</v>
      </c>
      <c r="E583">
        <v>0</v>
      </c>
      <c r="F583">
        <v>53.16</v>
      </c>
      <c r="G583">
        <v>76669.75</v>
      </c>
      <c r="H583" s="14">
        <v>43767.833333333336</v>
      </c>
    </row>
    <row r="584" spans="1:8" x14ac:dyDescent="0.25">
      <c r="A584">
        <v>71</v>
      </c>
      <c r="B584" t="s">
        <v>199</v>
      </c>
      <c r="C584">
        <v>3</v>
      </c>
      <c r="D584">
        <v>0</v>
      </c>
      <c r="E584">
        <v>0</v>
      </c>
      <c r="F584">
        <v>88</v>
      </c>
      <c r="G584">
        <v>81725.19</v>
      </c>
      <c r="H584" s="14">
        <v>43767.833333333336</v>
      </c>
    </row>
    <row r="585" spans="1:8" x14ac:dyDescent="0.25">
      <c r="A585">
        <v>71</v>
      </c>
      <c r="B585" t="s">
        <v>199</v>
      </c>
      <c r="C585">
        <v>4</v>
      </c>
      <c r="D585">
        <v>0</v>
      </c>
      <c r="E585">
        <v>0</v>
      </c>
      <c r="F585">
        <v>17.5</v>
      </c>
      <c r="G585">
        <v>78622.179999999993</v>
      </c>
      <c r="H585" s="14">
        <v>43767.833333333336</v>
      </c>
    </row>
    <row r="586" spans="1:8" x14ac:dyDescent="0.25">
      <c r="A586">
        <v>71</v>
      </c>
      <c r="B586" t="s">
        <v>199</v>
      </c>
      <c r="C586">
        <v>5</v>
      </c>
      <c r="D586">
        <v>0</v>
      </c>
      <c r="E586">
        <v>0</v>
      </c>
      <c r="F586">
        <v>40.770000000000003</v>
      </c>
      <c r="G586">
        <v>10903.34</v>
      </c>
      <c r="H586" s="14">
        <v>43767.833333333336</v>
      </c>
    </row>
    <row r="587" spans="1:8" x14ac:dyDescent="0.25">
      <c r="A587">
        <v>72</v>
      </c>
      <c r="B587" t="s">
        <v>200</v>
      </c>
      <c r="C587">
        <v>1</v>
      </c>
      <c r="D587">
        <v>0</v>
      </c>
      <c r="E587">
        <v>0</v>
      </c>
      <c r="F587">
        <v>98.22</v>
      </c>
      <c r="G587">
        <v>71540.66</v>
      </c>
      <c r="H587" s="14">
        <v>43767.833333333336</v>
      </c>
    </row>
    <row r="588" spans="1:8" x14ac:dyDescent="0.25">
      <c r="A588">
        <v>72</v>
      </c>
      <c r="B588" t="s">
        <v>200</v>
      </c>
      <c r="C588">
        <v>2</v>
      </c>
      <c r="D588">
        <v>0</v>
      </c>
      <c r="E588">
        <v>0</v>
      </c>
      <c r="F588">
        <v>99.11</v>
      </c>
      <c r="G588">
        <v>71618.75</v>
      </c>
      <c r="H588" s="14">
        <v>43767.833333333336</v>
      </c>
    </row>
    <row r="589" spans="1:8" x14ac:dyDescent="0.25">
      <c r="A589">
        <v>73</v>
      </c>
      <c r="B589" t="s">
        <v>201</v>
      </c>
      <c r="C589">
        <v>1</v>
      </c>
      <c r="D589">
        <v>0</v>
      </c>
      <c r="E589">
        <v>0</v>
      </c>
      <c r="F589">
        <v>115.4</v>
      </c>
      <c r="G589">
        <v>77898.09</v>
      </c>
      <c r="H589" s="14">
        <v>43767.833333333336</v>
      </c>
    </row>
    <row r="590" spans="1:8" x14ac:dyDescent="0.25">
      <c r="A590">
        <v>73</v>
      </c>
      <c r="B590" t="s">
        <v>201</v>
      </c>
      <c r="C590">
        <v>2</v>
      </c>
      <c r="D590">
        <v>0</v>
      </c>
      <c r="E590">
        <v>0</v>
      </c>
      <c r="F590">
        <v>114.58</v>
      </c>
      <c r="G590">
        <v>71513.899999999994</v>
      </c>
      <c r="H590" s="14">
        <v>43767.833333333336</v>
      </c>
    </row>
    <row r="591" spans="1:8" x14ac:dyDescent="0.25">
      <c r="A591">
        <v>73</v>
      </c>
      <c r="B591" t="s">
        <v>201</v>
      </c>
      <c r="C591">
        <v>3</v>
      </c>
      <c r="D591">
        <v>0</v>
      </c>
      <c r="E591">
        <v>0</v>
      </c>
      <c r="F591">
        <v>129.6</v>
      </c>
      <c r="G591">
        <v>81576.45</v>
      </c>
      <c r="H591" s="14">
        <v>43767.833333333336</v>
      </c>
    </row>
    <row r="592" spans="1:8" x14ac:dyDescent="0.25">
      <c r="A592">
        <v>73</v>
      </c>
      <c r="B592" t="s">
        <v>201</v>
      </c>
      <c r="C592">
        <v>4</v>
      </c>
      <c r="D592">
        <v>0</v>
      </c>
      <c r="E592">
        <v>0</v>
      </c>
      <c r="F592">
        <v>119.95</v>
      </c>
      <c r="G592">
        <v>74845.899999999994</v>
      </c>
      <c r="H592" s="14">
        <v>43767.833333333336</v>
      </c>
    </row>
    <row r="593" spans="1:8" x14ac:dyDescent="0.25">
      <c r="A593">
        <v>73</v>
      </c>
      <c r="B593" t="s">
        <v>201</v>
      </c>
      <c r="C593">
        <v>5</v>
      </c>
      <c r="D593">
        <v>0</v>
      </c>
      <c r="E593">
        <v>0</v>
      </c>
      <c r="F593">
        <v>119.22</v>
      </c>
      <c r="G593">
        <v>74709.149999999994</v>
      </c>
      <c r="H593" s="14">
        <v>43767.833333333336</v>
      </c>
    </row>
    <row r="594" spans="1:8" x14ac:dyDescent="0.25">
      <c r="A594">
        <v>73</v>
      </c>
      <c r="B594" t="s">
        <v>201</v>
      </c>
      <c r="C594">
        <v>6</v>
      </c>
      <c r="D594">
        <v>0</v>
      </c>
      <c r="E594">
        <v>0</v>
      </c>
      <c r="F594">
        <v>114.03</v>
      </c>
      <c r="G594">
        <v>69835.45</v>
      </c>
      <c r="H594" s="14">
        <v>43767.833333333336</v>
      </c>
    </row>
    <row r="595" spans="1:8" x14ac:dyDescent="0.25">
      <c r="A595">
        <v>73</v>
      </c>
      <c r="B595" t="s">
        <v>201</v>
      </c>
      <c r="C595">
        <v>7</v>
      </c>
      <c r="D595">
        <v>0</v>
      </c>
      <c r="E595">
        <v>0</v>
      </c>
      <c r="F595">
        <v>54.41</v>
      </c>
      <c r="G595">
        <v>42868.9</v>
      </c>
      <c r="H595" s="14">
        <v>43767.833333333336</v>
      </c>
    </row>
    <row r="596" spans="1:8" x14ac:dyDescent="0.25">
      <c r="A596">
        <v>74</v>
      </c>
      <c r="B596" t="s">
        <v>202</v>
      </c>
      <c r="C596">
        <v>1</v>
      </c>
      <c r="D596">
        <v>0</v>
      </c>
      <c r="E596">
        <v>0</v>
      </c>
      <c r="F596">
        <v>43.95</v>
      </c>
      <c r="G596">
        <v>67008.92</v>
      </c>
      <c r="H596" s="14">
        <v>43767.833333333336</v>
      </c>
    </row>
    <row r="597" spans="1:8" x14ac:dyDescent="0.25">
      <c r="A597">
        <v>74</v>
      </c>
      <c r="B597" t="s">
        <v>202</v>
      </c>
      <c r="C597">
        <v>2</v>
      </c>
      <c r="D597">
        <v>0</v>
      </c>
      <c r="E597">
        <v>0</v>
      </c>
      <c r="F597">
        <v>88.41</v>
      </c>
      <c r="G597">
        <v>90109.7</v>
      </c>
      <c r="H597" s="14">
        <v>43767.833333333336</v>
      </c>
    </row>
    <row r="598" spans="1:8" x14ac:dyDescent="0.25">
      <c r="A598">
        <v>74</v>
      </c>
      <c r="B598" t="s">
        <v>202</v>
      </c>
      <c r="C598">
        <v>3</v>
      </c>
      <c r="D598">
        <v>0</v>
      </c>
      <c r="E598">
        <v>0</v>
      </c>
      <c r="F598">
        <v>88.83</v>
      </c>
      <c r="G598">
        <v>83118.44</v>
      </c>
      <c r="H598" s="14">
        <v>43767.833333333336</v>
      </c>
    </row>
    <row r="599" spans="1:8" x14ac:dyDescent="0.25">
      <c r="A599">
        <v>74</v>
      </c>
      <c r="B599" t="s">
        <v>202</v>
      </c>
      <c r="C599">
        <v>4</v>
      </c>
      <c r="D599">
        <v>0</v>
      </c>
      <c r="E599">
        <v>0</v>
      </c>
      <c r="F599">
        <v>93.16</v>
      </c>
      <c r="G599">
        <v>94815.95</v>
      </c>
      <c r="H599" s="14">
        <v>43767.833333333336</v>
      </c>
    </row>
    <row r="600" spans="1:8" x14ac:dyDescent="0.25">
      <c r="A600">
        <v>74</v>
      </c>
      <c r="B600" t="s">
        <v>202</v>
      </c>
      <c r="C600">
        <v>5</v>
      </c>
      <c r="D600">
        <v>0</v>
      </c>
      <c r="E600">
        <v>0</v>
      </c>
      <c r="F600">
        <v>93</v>
      </c>
      <c r="G600">
        <v>95452.26</v>
      </c>
      <c r="H600" s="14">
        <v>43767.833333333336</v>
      </c>
    </row>
    <row r="601" spans="1:8" x14ac:dyDescent="0.25">
      <c r="A601">
        <v>74</v>
      </c>
      <c r="B601" t="s">
        <v>202</v>
      </c>
      <c r="C601">
        <v>6</v>
      </c>
      <c r="D601">
        <v>0</v>
      </c>
      <c r="E601">
        <v>0</v>
      </c>
      <c r="F601">
        <v>90.3</v>
      </c>
      <c r="G601">
        <v>94946.78</v>
      </c>
      <c r="H601" s="14">
        <v>43767.833333333336</v>
      </c>
    </row>
    <row r="602" spans="1:8" x14ac:dyDescent="0.25">
      <c r="A602">
        <v>74</v>
      </c>
      <c r="B602" t="s">
        <v>202</v>
      </c>
      <c r="C602">
        <v>7</v>
      </c>
      <c r="D602">
        <v>0</v>
      </c>
      <c r="E602">
        <v>0</v>
      </c>
      <c r="F602">
        <v>90.9</v>
      </c>
      <c r="G602">
        <v>95920.82</v>
      </c>
      <c r="H602" s="14">
        <v>43767.833333333336</v>
      </c>
    </row>
    <row r="603" spans="1:8" x14ac:dyDescent="0.25">
      <c r="A603">
        <v>74</v>
      </c>
      <c r="B603" t="s">
        <v>202</v>
      </c>
      <c r="C603">
        <v>8</v>
      </c>
      <c r="D603">
        <v>0</v>
      </c>
      <c r="E603">
        <v>0</v>
      </c>
      <c r="F603">
        <v>96.58</v>
      </c>
      <c r="G603">
        <v>97021.04</v>
      </c>
      <c r="H603" s="14">
        <v>43767.833333333336</v>
      </c>
    </row>
    <row r="604" spans="1:8" x14ac:dyDescent="0.25">
      <c r="A604">
        <v>74</v>
      </c>
      <c r="B604" t="s">
        <v>202</v>
      </c>
      <c r="C604">
        <v>9</v>
      </c>
      <c r="D604">
        <v>0</v>
      </c>
      <c r="E604">
        <v>0</v>
      </c>
      <c r="F604">
        <v>93.7</v>
      </c>
      <c r="G604">
        <v>96238.79</v>
      </c>
      <c r="H604" s="14">
        <v>43767.833333333336</v>
      </c>
    </row>
    <row r="605" spans="1:8" x14ac:dyDescent="0.25">
      <c r="A605">
        <v>74</v>
      </c>
      <c r="B605" t="s">
        <v>202</v>
      </c>
      <c r="C605">
        <v>10</v>
      </c>
      <c r="D605">
        <v>0</v>
      </c>
      <c r="E605">
        <v>0</v>
      </c>
      <c r="F605">
        <v>90.65</v>
      </c>
      <c r="G605">
        <v>95969.46</v>
      </c>
      <c r="H605" s="14">
        <v>43767.833333333336</v>
      </c>
    </row>
    <row r="606" spans="1:8" x14ac:dyDescent="0.25">
      <c r="A606">
        <v>74</v>
      </c>
      <c r="B606" t="s">
        <v>202</v>
      </c>
      <c r="C606">
        <v>11</v>
      </c>
      <c r="D606">
        <v>0</v>
      </c>
      <c r="E606">
        <v>0</v>
      </c>
      <c r="F606">
        <v>91.08</v>
      </c>
      <c r="G606">
        <v>96515.83</v>
      </c>
      <c r="H606" s="14">
        <v>43767.833333333336</v>
      </c>
    </row>
    <row r="607" spans="1:8" x14ac:dyDescent="0.25">
      <c r="A607">
        <v>74</v>
      </c>
      <c r="B607" t="s">
        <v>202</v>
      </c>
      <c r="C607">
        <v>12</v>
      </c>
      <c r="D607">
        <v>0</v>
      </c>
      <c r="E607">
        <v>0</v>
      </c>
      <c r="F607">
        <v>90.31</v>
      </c>
      <c r="G607">
        <v>96747.75</v>
      </c>
      <c r="H607" s="14">
        <v>43767.833333333336</v>
      </c>
    </row>
    <row r="608" spans="1:8" x14ac:dyDescent="0.25">
      <c r="A608">
        <v>74</v>
      </c>
      <c r="B608" t="s">
        <v>202</v>
      </c>
      <c r="C608">
        <v>13</v>
      </c>
      <c r="D608">
        <v>0</v>
      </c>
      <c r="E608">
        <v>0</v>
      </c>
      <c r="F608">
        <v>90.81</v>
      </c>
      <c r="G608">
        <v>96203.75</v>
      </c>
      <c r="H608" s="14">
        <v>43767.833333333336</v>
      </c>
    </row>
    <row r="609" spans="1:8" x14ac:dyDescent="0.25">
      <c r="A609">
        <v>74</v>
      </c>
      <c r="B609" t="s">
        <v>202</v>
      </c>
      <c r="C609">
        <v>14</v>
      </c>
      <c r="D609">
        <v>0</v>
      </c>
      <c r="E609">
        <v>0</v>
      </c>
      <c r="F609">
        <v>57.66</v>
      </c>
      <c r="G609">
        <v>63252.44</v>
      </c>
      <c r="H609" s="14">
        <v>43767.833333333336</v>
      </c>
    </row>
    <row r="610" spans="1:8" x14ac:dyDescent="0.25">
      <c r="A610">
        <v>75</v>
      </c>
      <c r="B610" t="s">
        <v>203</v>
      </c>
      <c r="C610">
        <v>1</v>
      </c>
      <c r="D610">
        <v>0</v>
      </c>
      <c r="E610">
        <v>0</v>
      </c>
      <c r="F610">
        <v>55.19</v>
      </c>
      <c r="G610">
        <v>58713.49</v>
      </c>
      <c r="H610" s="14">
        <v>43767.833333333336</v>
      </c>
    </row>
    <row r="611" spans="1:8" x14ac:dyDescent="0.25">
      <c r="A611">
        <v>75</v>
      </c>
      <c r="B611" t="s">
        <v>203</v>
      </c>
      <c r="C611">
        <v>2</v>
      </c>
      <c r="D611">
        <v>0</v>
      </c>
      <c r="E611">
        <v>0</v>
      </c>
      <c r="F611">
        <v>0</v>
      </c>
      <c r="G611">
        <v>88069.54</v>
      </c>
      <c r="H611" s="14">
        <v>43767.833333333336</v>
      </c>
    </row>
    <row r="612" spans="1:8" x14ac:dyDescent="0.25">
      <c r="A612">
        <v>75</v>
      </c>
      <c r="B612" t="s">
        <v>203</v>
      </c>
      <c r="C612">
        <v>3</v>
      </c>
      <c r="D612">
        <v>0</v>
      </c>
      <c r="E612">
        <v>0</v>
      </c>
      <c r="F612">
        <v>92.56</v>
      </c>
      <c r="G612">
        <v>42657.34</v>
      </c>
      <c r="H612" s="14">
        <v>43767.833333333336</v>
      </c>
    </row>
    <row r="613" spans="1:8" x14ac:dyDescent="0.25">
      <c r="A613">
        <v>75</v>
      </c>
      <c r="B613" t="s">
        <v>203</v>
      </c>
      <c r="C613">
        <v>4</v>
      </c>
      <c r="D613">
        <v>0</v>
      </c>
      <c r="E613">
        <v>0</v>
      </c>
      <c r="F613">
        <v>94.14</v>
      </c>
      <c r="G613">
        <v>97853.78</v>
      </c>
      <c r="H613" s="14">
        <v>43767.833333333336</v>
      </c>
    </row>
    <row r="614" spans="1:8" x14ac:dyDescent="0.25">
      <c r="A614">
        <v>75</v>
      </c>
      <c r="B614" t="s">
        <v>203</v>
      </c>
      <c r="C614">
        <v>5</v>
      </c>
      <c r="D614">
        <v>0</v>
      </c>
      <c r="E614">
        <v>0</v>
      </c>
      <c r="F614">
        <v>85.4</v>
      </c>
      <c r="G614">
        <v>89095.32</v>
      </c>
      <c r="H614" s="14">
        <v>43767.833333333336</v>
      </c>
    </row>
    <row r="615" spans="1:8" x14ac:dyDescent="0.25">
      <c r="A615">
        <v>75</v>
      </c>
      <c r="B615" t="s">
        <v>203</v>
      </c>
      <c r="C615">
        <v>6</v>
      </c>
      <c r="D615">
        <v>0</v>
      </c>
      <c r="E615">
        <v>0</v>
      </c>
      <c r="F615">
        <v>85.01</v>
      </c>
      <c r="G615">
        <v>88255.99</v>
      </c>
      <c r="H615" s="14">
        <v>43767.833333333336</v>
      </c>
    </row>
    <row r="616" spans="1:8" x14ac:dyDescent="0.25">
      <c r="A616">
        <v>75</v>
      </c>
      <c r="B616" t="s">
        <v>203</v>
      </c>
      <c r="C616">
        <v>7</v>
      </c>
      <c r="D616">
        <v>0</v>
      </c>
      <c r="E616">
        <v>0</v>
      </c>
      <c r="F616">
        <v>89.48</v>
      </c>
      <c r="G616">
        <v>93261.97</v>
      </c>
      <c r="H616" s="14">
        <v>43767.833333333336</v>
      </c>
    </row>
    <row r="617" spans="1:8" x14ac:dyDescent="0.25">
      <c r="A617">
        <v>75</v>
      </c>
      <c r="B617" t="s">
        <v>203</v>
      </c>
      <c r="C617">
        <v>8</v>
      </c>
      <c r="D617">
        <v>0</v>
      </c>
      <c r="E617">
        <v>0</v>
      </c>
      <c r="F617">
        <v>87.85</v>
      </c>
      <c r="G617">
        <v>88991.75</v>
      </c>
      <c r="H617" s="14">
        <v>43767.833333333336</v>
      </c>
    </row>
    <row r="618" spans="1:8" x14ac:dyDescent="0.25">
      <c r="A618">
        <v>75</v>
      </c>
      <c r="B618" t="s">
        <v>203</v>
      </c>
      <c r="C618">
        <v>9</v>
      </c>
      <c r="D618">
        <v>0</v>
      </c>
      <c r="E618">
        <v>0</v>
      </c>
      <c r="F618">
        <v>89.83</v>
      </c>
      <c r="G618">
        <v>93437.42</v>
      </c>
      <c r="H618" s="14">
        <v>43767.833333333336</v>
      </c>
    </row>
    <row r="619" spans="1:8" x14ac:dyDescent="0.25">
      <c r="A619">
        <v>75</v>
      </c>
      <c r="B619" t="s">
        <v>203</v>
      </c>
      <c r="C619">
        <v>10</v>
      </c>
      <c r="D619">
        <v>0</v>
      </c>
      <c r="E619">
        <v>0</v>
      </c>
      <c r="F619">
        <v>83.09</v>
      </c>
      <c r="G619">
        <v>88590.71</v>
      </c>
      <c r="H619" s="14">
        <v>43767.833333333336</v>
      </c>
    </row>
    <row r="620" spans="1:8" x14ac:dyDescent="0.25">
      <c r="A620">
        <v>75</v>
      </c>
      <c r="B620" t="s">
        <v>203</v>
      </c>
      <c r="C620">
        <v>11</v>
      </c>
      <c r="D620">
        <v>0</v>
      </c>
      <c r="E620">
        <v>0</v>
      </c>
      <c r="F620">
        <v>93.09</v>
      </c>
      <c r="G620">
        <v>94658.47</v>
      </c>
      <c r="H620" s="14">
        <v>43767.833333333336</v>
      </c>
    </row>
    <row r="621" spans="1:8" x14ac:dyDescent="0.25">
      <c r="A621">
        <v>75</v>
      </c>
      <c r="B621" t="s">
        <v>203</v>
      </c>
      <c r="C621">
        <v>12</v>
      </c>
      <c r="D621">
        <v>0</v>
      </c>
      <c r="E621">
        <v>0</v>
      </c>
      <c r="F621">
        <v>96.49</v>
      </c>
      <c r="G621">
        <v>96048.21</v>
      </c>
      <c r="H621" s="14">
        <v>43767.833333333336</v>
      </c>
    </row>
    <row r="622" spans="1:8" x14ac:dyDescent="0.25">
      <c r="A622">
        <v>75</v>
      </c>
      <c r="B622" t="s">
        <v>203</v>
      </c>
      <c r="C622">
        <v>13</v>
      </c>
      <c r="D622">
        <v>0</v>
      </c>
      <c r="E622">
        <v>0</v>
      </c>
      <c r="F622">
        <v>58.74</v>
      </c>
      <c r="G622">
        <v>59095.99</v>
      </c>
      <c r="H622" s="14">
        <v>43767.833333333336</v>
      </c>
    </row>
    <row r="623" spans="1:8" x14ac:dyDescent="0.25">
      <c r="A623">
        <v>75</v>
      </c>
      <c r="B623" t="s">
        <v>203</v>
      </c>
      <c r="C623">
        <v>14</v>
      </c>
      <c r="D623">
        <v>0</v>
      </c>
      <c r="E623">
        <v>0</v>
      </c>
      <c r="F623">
        <v>58.45</v>
      </c>
      <c r="G623">
        <v>58988.63</v>
      </c>
      <c r="H623" s="14">
        <v>43767.833333333336</v>
      </c>
    </row>
    <row r="624" spans="1:8" x14ac:dyDescent="0.25">
      <c r="A624">
        <v>75</v>
      </c>
      <c r="B624" t="s">
        <v>203</v>
      </c>
      <c r="C624">
        <v>15</v>
      </c>
      <c r="D624">
        <v>0</v>
      </c>
      <c r="E624">
        <v>0</v>
      </c>
      <c r="F624">
        <v>58.55</v>
      </c>
      <c r="G624">
        <v>58916.7</v>
      </c>
      <c r="H624" s="14">
        <v>43767.833333333336</v>
      </c>
    </row>
    <row r="625" spans="1:8" x14ac:dyDescent="0.25">
      <c r="A625">
        <v>76</v>
      </c>
      <c r="B625" t="s">
        <v>204</v>
      </c>
      <c r="C625">
        <v>1</v>
      </c>
      <c r="D625">
        <v>0</v>
      </c>
      <c r="E625">
        <v>0</v>
      </c>
      <c r="F625">
        <v>100.64</v>
      </c>
      <c r="G625">
        <v>103799.77</v>
      </c>
      <c r="H625" s="14">
        <v>43767.833333333336</v>
      </c>
    </row>
    <row r="626" spans="1:8" x14ac:dyDescent="0.25">
      <c r="A626">
        <v>76</v>
      </c>
      <c r="B626" t="s">
        <v>204</v>
      </c>
      <c r="C626">
        <v>2</v>
      </c>
      <c r="D626">
        <v>0</v>
      </c>
      <c r="E626">
        <v>0</v>
      </c>
      <c r="F626">
        <v>101.24</v>
      </c>
      <c r="G626">
        <v>102548.46</v>
      </c>
      <c r="H626" s="14">
        <v>43767.833333333336</v>
      </c>
    </row>
    <row r="627" spans="1:8" x14ac:dyDescent="0.25">
      <c r="A627">
        <v>76</v>
      </c>
      <c r="B627" t="s">
        <v>204</v>
      </c>
      <c r="C627">
        <v>3</v>
      </c>
      <c r="D627">
        <v>0</v>
      </c>
      <c r="E627">
        <v>0</v>
      </c>
      <c r="F627">
        <v>100.32</v>
      </c>
      <c r="G627">
        <v>100680.96000000001</v>
      </c>
      <c r="H627" s="14">
        <v>43767.833333333336</v>
      </c>
    </row>
    <row r="628" spans="1:8" x14ac:dyDescent="0.25">
      <c r="A628">
        <v>76</v>
      </c>
      <c r="B628" t="s">
        <v>204</v>
      </c>
      <c r="C628">
        <v>4</v>
      </c>
      <c r="D628">
        <v>0</v>
      </c>
      <c r="E628">
        <v>0</v>
      </c>
      <c r="F628">
        <v>99.51</v>
      </c>
      <c r="G628">
        <v>101278.15</v>
      </c>
      <c r="H628" s="14">
        <v>43767.833333333336</v>
      </c>
    </row>
    <row r="629" spans="1:8" x14ac:dyDescent="0.25">
      <c r="A629">
        <v>76</v>
      </c>
      <c r="B629" t="s">
        <v>204</v>
      </c>
      <c r="C629">
        <v>5</v>
      </c>
      <c r="D629">
        <v>0</v>
      </c>
      <c r="E629">
        <v>0</v>
      </c>
      <c r="F629">
        <v>100.68</v>
      </c>
      <c r="G629">
        <v>101800.25</v>
      </c>
      <c r="H629" s="14">
        <v>43767.833333333336</v>
      </c>
    </row>
    <row r="630" spans="1:8" x14ac:dyDescent="0.25">
      <c r="A630">
        <v>76</v>
      </c>
      <c r="B630" t="s">
        <v>204</v>
      </c>
      <c r="C630">
        <v>6</v>
      </c>
      <c r="D630">
        <v>0</v>
      </c>
      <c r="E630">
        <v>0</v>
      </c>
      <c r="F630">
        <v>100.43</v>
      </c>
      <c r="G630">
        <v>102476.16</v>
      </c>
      <c r="H630" s="14">
        <v>43767.833333333336</v>
      </c>
    </row>
    <row r="631" spans="1:8" x14ac:dyDescent="0.25">
      <c r="A631">
        <v>76</v>
      </c>
      <c r="B631" t="s">
        <v>204</v>
      </c>
      <c r="C631">
        <v>7</v>
      </c>
      <c r="D631">
        <v>0</v>
      </c>
      <c r="E631">
        <v>0</v>
      </c>
      <c r="F631">
        <v>100.43</v>
      </c>
      <c r="G631">
        <v>93875.03</v>
      </c>
      <c r="H631" s="14">
        <v>43767.833333333336</v>
      </c>
    </row>
    <row r="632" spans="1:8" x14ac:dyDescent="0.25">
      <c r="A632">
        <v>76</v>
      </c>
      <c r="B632" t="s">
        <v>204</v>
      </c>
      <c r="C632">
        <v>8</v>
      </c>
      <c r="D632">
        <v>0</v>
      </c>
      <c r="E632">
        <v>0</v>
      </c>
      <c r="F632">
        <v>99.61</v>
      </c>
      <c r="G632">
        <v>102116.52</v>
      </c>
      <c r="H632" s="14">
        <v>43767.833333333336</v>
      </c>
    </row>
    <row r="633" spans="1:8" x14ac:dyDescent="0.25">
      <c r="A633">
        <v>76</v>
      </c>
      <c r="B633" t="s">
        <v>204</v>
      </c>
      <c r="C633">
        <v>9</v>
      </c>
      <c r="D633">
        <v>0</v>
      </c>
      <c r="E633">
        <v>0</v>
      </c>
      <c r="F633">
        <v>99.57</v>
      </c>
      <c r="G633">
        <v>101983.59</v>
      </c>
      <c r="H633" s="14">
        <v>43767.833333333336</v>
      </c>
    </row>
    <row r="634" spans="1:8" x14ac:dyDescent="0.25">
      <c r="A634">
        <v>76</v>
      </c>
      <c r="B634" t="s">
        <v>204</v>
      </c>
      <c r="C634">
        <v>10</v>
      </c>
      <c r="D634">
        <v>0</v>
      </c>
      <c r="E634">
        <v>0</v>
      </c>
      <c r="F634">
        <v>99.76</v>
      </c>
      <c r="G634">
        <v>102033.12</v>
      </c>
      <c r="H634" s="14">
        <v>43767.833333333336</v>
      </c>
    </row>
    <row r="635" spans="1:8" x14ac:dyDescent="0.25">
      <c r="A635">
        <v>76</v>
      </c>
      <c r="B635" t="s">
        <v>204</v>
      </c>
      <c r="C635">
        <v>11</v>
      </c>
      <c r="D635">
        <v>0</v>
      </c>
      <c r="E635">
        <v>0</v>
      </c>
      <c r="F635">
        <v>100.05</v>
      </c>
      <c r="G635">
        <v>102087.48</v>
      </c>
      <c r="H635" s="14">
        <v>43767.833333333336</v>
      </c>
    </row>
    <row r="636" spans="1:8" x14ac:dyDescent="0.25">
      <c r="A636">
        <v>76</v>
      </c>
      <c r="B636" t="s">
        <v>204</v>
      </c>
      <c r="C636">
        <v>12</v>
      </c>
      <c r="D636">
        <v>0</v>
      </c>
      <c r="E636">
        <v>0</v>
      </c>
      <c r="F636">
        <v>100.84</v>
      </c>
      <c r="G636">
        <v>103283.93</v>
      </c>
      <c r="H636" s="14">
        <v>43767.833333333336</v>
      </c>
    </row>
    <row r="637" spans="1:8" x14ac:dyDescent="0.25">
      <c r="A637">
        <v>76</v>
      </c>
      <c r="B637" t="s">
        <v>204</v>
      </c>
      <c r="C637">
        <v>13</v>
      </c>
      <c r="D637">
        <v>0</v>
      </c>
      <c r="E637">
        <v>0</v>
      </c>
      <c r="F637">
        <v>101.8</v>
      </c>
      <c r="G637">
        <v>103807.31</v>
      </c>
      <c r="H637" s="14">
        <v>43767.833333333336</v>
      </c>
    </row>
    <row r="638" spans="1:8" x14ac:dyDescent="0.25">
      <c r="A638">
        <v>77</v>
      </c>
      <c r="B638" t="s">
        <v>470</v>
      </c>
      <c r="C638">
        <v>1</v>
      </c>
      <c r="D638">
        <v>0</v>
      </c>
      <c r="E638">
        <v>0</v>
      </c>
      <c r="F638">
        <v>120.15</v>
      </c>
      <c r="G638">
        <v>87684.28</v>
      </c>
      <c r="H638" s="14">
        <v>43767.833333333336</v>
      </c>
    </row>
    <row r="639" spans="1:8" x14ac:dyDescent="0.25">
      <c r="A639">
        <v>77</v>
      </c>
      <c r="B639" t="s">
        <v>470</v>
      </c>
      <c r="C639">
        <v>2</v>
      </c>
      <c r="D639">
        <v>0</v>
      </c>
      <c r="E639">
        <v>0</v>
      </c>
      <c r="F639">
        <v>119.13</v>
      </c>
      <c r="G639">
        <v>82193.14</v>
      </c>
      <c r="H639" s="14">
        <v>43767.833333333336</v>
      </c>
    </row>
    <row r="640" spans="1:8" x14ac:dyDescent="0.25">
      <c r="A640">
        <v>77</v>
      </c>
      <c r="B640" t="s">
        <v>470</v>
      </c>
      <c r="C640">
        <v>3</v>
      </c>
      <c r="D640">
        <v>0</v>
      </c>
      <c r="E640">
        <v>0</v>
      </c>
      <c r="F640">
        <v>137.35</v>
      </c>
      <c r="G640">
        <v>91669.66</v>
      </c>
      <c r="H640" s="14">
        <v>43767.833333333336</v>
      </c>
    </row>
    <row r="641" spans="1:8" x14ac:dyDescent="0.25">
      <c r="A641">
        <v>77</v>
      </c>
      <c r="B641" t="s">
        <v>470</v>
      </c>
      <c r="C641">
        <v>4</v>
      </c>
      <c r="D641">
        <v>0</v>
      </c>
      <c r="E641">
        <v>0</v>
      </c>
      <c r="F641">
        <v>135.76</v>
      </c>
      <c r="G641">
        <v>92175.71</v>
      </c>
      <c r="H641" s="14">
        <v>43767.833333333336</v>
      </c>
    </row>
    <row r="642" spans="1:8" x14ac:dyDescent="0.25">
      <c r="A642">
        <v>77</v>
      </c>
      <c r="B642" t="s">
        <v>470</v>
      </c>
      <c r="C642">
        <v>5</v>
      </c>
      <c r="D642">
        <v>0</v>
      </c>
      <c r="E642">
        <v>0</v>
      </c>
      <c r="F642">
        <v>122.16</v>
      </c>
      <c r="G642">
        <v>89456.24</v>
      </c>
      <c r="H642" s="14">
        <v>43767.833333333336</v>
      </c>
    </row>
    <row r="643" spans="1:8" x14ac:dyDescent="0.25">
      <c r="A643">
        <v>77</v>
      </c>
      <c r="B643" t="s">
        <v>470</v>
      </c>
      <c r="C643">
        <v>6</v>
      </c>
      <c r="D643">
        <v>0</v>
      </c>
      <c r="E643">
        <v>0</v>
      </c>
      <c r="F643">
        <v>121.91</v>
      </c>
      <c r="G643">
        <v>88003.81</v>
      </c>
      <c r="H643" s="14">
        <v>43767.833333333336</v>
      </c>
    </row>
    <row r="644" spans="1:8" x14ac:dyDescent="0.25">
      <c r="A644">
        <v>77</v>
      </c>
      <c r="B644" t="s">
        <v>470</v>
      </c>
      <c r="C644">
        <v>7</v>
      </c>
      <c r="D644">
        <v>0</v>
      </c>
      <c r="E644">
        <v>0</v>
      </c>
      <c r="F644">
        <v>134.66</v>
      </c>
      <c r="G644">
        <v>92734.6</v>
      </c>
      <c r="H644" s="14">
        <v>43767.833333333336</v>
      </c>
    </row>
    <row r="645" spans="1:8" x14ac:dyDescent="0.25">
      <c r="A645">
        <v>77</v>
      </c>
      <c r="B645" t="s">
        <v>470</v>
      </c>
      <c r="C645">
        <v>8</v>
      </c>
      <c r="D645">
        <v>0</v>
      </c>
      <c r="E645">
        <v>0</v>
      </c>
      <c r="F645">
        <v>137.66</v>
      </c>
      <c r="G645">
        <v>91657.66</v>
      </c>
      <c r="H645" s="14">
        <v>43767.833333333336</v>
      </c>
    </row>
    <row r="646" spans="1:8" x14ac:dyDescent="0.25">
      <c r="A646">
        <v>77</v>
      </c>
      <c r="B646" t="s">
        <v>470</v>
      </c>
      <c r="C646">
        <v>9</v>
      </c>
      <c r="D646">
        <v>0</v>
      </c>
      <c r="E646">
        <v>0</v>
      </c>
      <c r="F646">
        <v>109.22</v>
      </c>
      <c r="G646">
        <v>85728.46</v>
      </c>
      <c r="H646" s="14">
        <v>43767.833333333336</v>
      </c>
    </row>
    <row r="647" spans="1:8" x14ac:dyDescent="0.25">
      <c r="A647">
        <v>77</v>
      </c>
      <c r="B647" t="s">
        <v>470</v>
      </c>
      <c r="C647">
        <v>10</v>
      </c>
      <c r="D647">
        <v>0</v>
      </c>
      <c r="E647">
        <v>0</v>
      </c>
      <c r="F647">
        <v>146.55000000000001</v>
      </c>
      <c r="G647">
        <v>94753.4</v>
      </c>
      <c r="H647" s="14">
        <v>43767.833333333336</v>
      </c>
    </row>
    <row r="648" spans="1:8" x14ac:dyDescent="0.25">
      <c r="A648">
        <v>77</v>
      </c>
      <c r="B648" t="s">
        <v>470</v>
      </c>
      <c r="C648">
        <v>11</v>
      </c>
      <c r="D648">
        <v>0</v>
      </c>
      <c r="E648">
        <v>0</v>
      </c>
      <c r="F648">
        <v>114.14</v>
      </c>
      <c r="G648">
        <v>79847.199999999997</v>
      </c>
      <c r="H648" s="14">
        <v>43767.833333333336</v>
      </c>
    </row>
    <row r="649" spans="1:8" x14ac:dyDescent="0.25">
      <c r="A649">
        <v>78</v>
      </c>
      <c r="B649" t="s">
        <v>471</v>
      </c>
      <c r="C649">
        <v>1</v>
      </c>
      <c r="D649">
        <v>0</v>
      </c>
      <c r="E649">
        <v>0</v>
      </c>
      <c r="F649">
        <v>100.71</v>
      </c>
      <c r="G649">
        <v>57518.67</v>
      </c>
      <c r="H649" s="14">
        <v>43767.833333333336</v>
      </c>
    </row>
    <row r="650" spans="1:8" x14ac:dyDescent="0.25">
      <c r="A650">
        <v>78</v>
      </c>
      <c r="B650" t="s">
        <v>471</v>
      </c>
      <c r="C650">
        <v>2</v>
      </c>
      <c r="D650">
        <v>0</v>
      </c>
      <c r="E650">
        <v>0</v>
      </c>
      <c r="F650">
        <v>85.65</v>
      </c>
      <c r="G650">
        <v>57117.84</v>
      </c>
      <c r="H650" s="14">
        <v>43767.833333333336</v>
      </c>
    </row>
    <row r="651" spans="1:8" x14ac:dyDescent="0.25">
      <c r="A651">
        <v>78</v>
      </c>
      <c r="B651" t="s">
        <v>471</v>
      </c>
      <c r="C651">
        <v>3</v>
      </c>
      <c r="D651">
        <v>0</v>
      </c>
      <c r="E651">
        <v>0</v>
      </c>
      <c r="F651">
        <v>71.099999999999994</v>
      </c>
      <c r="G651">
        <v>50866.89</v>
      </c>
      <c r="H651" s="14">
        <v>43767.833333333336</v>
      </c>
    </row>
    <row r="652" spans="1:8" x14ac:dyDescent="0.25">
      <c r="A652">
        <v>78</v>
      </c>
      <c r="B652" t="s">
        <v>471</v>
      </c>
      <c r="C652">
        <v>4</v>
      </c>
      <c r="D652">
        <v>0</v>
      </c>
      <c r="E652">
        <v>0</v>
      </c>
      <c r="F652">
        <v>41.48</v>
      </c>
      <c r="G652">
        <v>23022.49</v>
      </c>
      <c r="H652" s="14">
        <v>43767.833333333336</v>
      </c>
    </row>
    <row r="653" spans="1:8" x14ac:dyDescent="0.25">
      <c r="A653">
        <v>79</v>
      </c>
      <c r="B653" t="s">
        <v>207</v>
      </c>
      <c r="C653">
        <v>1</v>
      </c>
      <c r="D653">
        <v>0</v>
      </c>
      <c r="E653">
        <v>0</v>
      </c>
      <c r="F653">
        <v>41.42</v>
      </c>
      <c r="G653">
        <v>89660.28</v>
      </c>
      <c r="H653" s="14">
        <v>43767.833333333336</v>
      </c>
    </row>
    <row r="654" spans="1:8" x14ac:dyDescent="0.25">
      <c r="A654">
        <v>79</v>
      </c>
      <c r="B654" t="s">
        <v>207</v>
      </c>
      <c r="C654">
        <v>2</v>
      </c>
      <c r="D654">
        <v>0</v>
      </c>
      <c r="E654">
        <v>0</v>
      </c>
      <c r="F654">
        <v>39.729999999999997</v>
      </c>
      <c r="G654">
        <v>85739.72</v>
      </c>
      <c r="H654" s="14">
        <v>43767.833333333336</v>
      </c>
    </row>
    <row r="655" spans="1:8" x14ac:dyDescent="0.25">
      <c r="A655">
        <v>79</v>
      </c>
      <c r="B655" t="s">
        <v>207</v>
      </c>
      <c r="C655">
        <v>3</v>
      </c>
      <c r="D655">
        <v>0</v>
      </c>
      <c r="E655">
        <v>0</v>
      </c>
      <c r="F655">
        <v>41.06</v>
      </c>
      <c r="G655">
        <v>72303.97</v>
      </c>
      <c r="H655" s="14">
        <v>43767.833333333336</v>
      </c>
    </row>
    <row r="656" spans="1:8" x14ac:dyDescent="0.25">
      <c r="A656">
        <v>79</v>
      </c>
      <c r="B656" t="s">
        <v>207</v>
      </c>
      <c r="C656">
        <v>4</v>
      </c>
      <c r="D656">
        <v>0</v>
      </c>
      <c r="E656">
        <v>0</v>
      </c>
      <c r="F656">
        <v>37.04</v>
      </c>
      <c r="G656">
        <v>80742.179999999993</v>
      </c>
      <c r="H656" s="14">
        <v>43767.833333333336</v>
      </c>
    </row>
    <row r="657" spans="1:8" x14ac:dyDescent="0.25">
      <c r="A657">
        <v>79</v>
      </c>
      <c r="B657" t="s">
        <v>207</v>
      </c>
      <c r="C657">
        <v>5</v>
      </c>
      <c r="D657">
        <v>0</v>
      </c>
      <c r="E657">
        <v>0</v>
      </c>
      <c r="F657">
        <v>30.36</v>
      </c>
      <c r="G657">
        <v>13312.97</v>
      </c>
      <c r="H657" s="14">
        <v>43767.833333333336</v>
      </c>
    </row>
    <row r="658" spans="1:8" x14ac:dyDescent="0.25">
      <c r="A658">
        <v>79</v>
      </c>
      <c r="B658" t="s">
        <v>207</v>
      </c>
      <c r="C658">
        <v>6</v>
      </c>
      <c r="D658">
        <v>0</v>
      </c>
      <c r="E658">
        <v>0</v>
      </c>
      <c r="F658">
        <v>30.73</v>
      </c>
      <c r="G658">
        <v>65303.62</v>
      </c>
      <c r="H658" s="14">
        <v>43767.833333333336</v>
      </c>
    </row>
    <row r="659" spans="1:8" x14ac:dyDescent="0.25">
      <c r="A659">
        <v>79</v>
      </c>
      <c r="B659" t="s">
        <v>207</v>
      </c>
      <c r="C659">
        <v>7</v>
      </c>
      <c r="D659">
        <v>0</v>
      </c>
      <c r="E659">
        <v>0</v>
      </c>
      <c r="F659">
        <v>30.21</v>
      </c>
      <c r="G659">
        <v>68493.86</v>
      </c>
      <c r="H659" s="14">
        <v>43767.833333333336</v>
      </c>
    </row>
    <row r="660" spans="1:8" x14ac:dyDescent="0.25">
      <c r="A660">
        <v>79</v>
      </c>
      <c r="B660" t="s">
        <v>207</v>
      </c>
      <c r="C660">
        <v>8</v>
      </c>
      <c r="D660">
        <v>0</v>
      </c>
      <c r="E660">
        <v>0</v>
      </c>
      <c r="F660">
        <v>30.69</v>
      </c>
      <c r="G660">
        <v>71002.69</v>
      </c>
      <c r="H660" s="14">
        <v>43767.833333333336</v>
      </c>
    </row>
    <row r="661" spans="1:8" x14ac:dyDescent="0.25">
      <c r="A661">
        <v>79</v>
      </c>
      <c r="B661" t="s">
        <v>207</v>
      </c>
      <c r="C661">
        <v>9</v>
      </c>
      <c r="D661">
        <v>0</v>
      </c>
      <c r="E661">
        <v>0</v>
      </c>
      <c r="F661">
        <v>34.18</v>
      </c>
      <c r="G661">
        <v>73041.789999999994</v>
      </c>
      <c r="H661" s="14">
        <v>43767.833333333336</v>
      </c>
    </row>
    <row r="662" spans="1:8" x14ac:dyDescent="0.25">
      <c r="A662">
        <v>79</v>
      </c>
      <c r="B662" t="s">
        <v>207</v>
      </c>
      <c r="C662">
        <v>10</v>
      </c>
      <c r="D662">
        <v>0</v>
      </c>
      <c r="E662">
        <v>0</v>
      </c>
      <c r="F662">
        <v>32.44</v>
      </c>
      <c r="G662">
        <v>73860.56</v>
      </c>
      <c r="H662" s="14">
        <v>43767.833333333336</v>
      </c>
    </row>
    <row r="663" spans="1:8" x14ac:dyDescent="0.25">
      <c r="A663">
        <v>79</v>
      </c>
      <c r="B663" t="s">
        <v>207</v>
      </c>
      <c r="C663">
        <v>11</v>
      </c>
      <c r="D663">
        <v>0</v>
      </c>
      <c r="E663">
        <v>0</v>
      </c>
      <c r="F663">
        <v>31.74</v>
      </c>
      <c r="G663">
        <v>72495.25</v>
      </c>
      <c r="H663" s="14">
        <v>43767.833333333336</v>
      </c>
    </row>
    <row r="664" spans="1:8" x14ac:dyDescent="0.25">
      <c r="A664">
        <v>79</v>
      </c>
      <c r="B664" t="s">
        <v>207</v>
      </c>
      <c r="C664">
        <v>12</v>
      </c>
      <c r="D664">
        <v>0</v>
      </c>
      <c r="E664">
        <v>0</v>
      </c>
      <c r="F664">
        <v>32</v>
      </c>
      <c r="G664">
        <v>68132.009999999995</v>
      </c>
      <c r="H664" s="14">
        <v>43767.833333333336</v>
      </c>
    </row>
    <row r="665" spans="1:8" x14ac:dyDescent="0.25">
      <c r="A665">
        <v>79</v>
      </c>
      <c r="B665" t="s">
        <v>207</v>
      </c>
      <c r="C665">
        <v>13</v>
      </c>
      <c r="D665">
        <v>0</v>
      </c>
      <c r="E665">
        <v>0</v>
      </c>
      <c r="F665">
        <v>33.07</v>
      </c>
      <c r="G665">
        <v>69858.429999999993</v>
      </c>
      <c r="H665" s="14">
        <v>43767.833333333336</v>
      </c>
    </row>
    <row r="666" spans="1:8" x14ac:dyDescent="0.25">
      <c r="A666">
        <v>79</v>
      </c>
      <c r="B666" t="s">
        <v>207</v>
      </c>
      <c r="C666">
        <v>14</v>
      </c>
      <c r="D666">
        <v>0</v>
      </c>
      <c r="E666">
        <v>0</v>
      </c>
      <c r="F666">
        <v>24.48</v>
      </c>
      <c r="G666">
        <v>58571.519999999997</v>
      </c>
      <c r="H666" s="14">
        <v>43767.833333333336</v>
      </c>
    </row>
    <row r="667" spans="1:8" x14ac:dyDescent="0.25">
      <c r="A667">
        <v>79</v>
      </c>
      <c r="B667" t="s">
        <v>207</v>
      </c>
      <c r="C667">
        <v>15</v>
      </c>
      <c r="D667">
        <v>0</v>
      </c>
      <c r="E667">
        <v>0</v>
      </c>
      <c r="F667">
        <v>27.36</v>
      </c>
      <c r="G667">
        <v>53820.86</v>
      </c>
      <c r="H667" s="14">
        <v>43767.833333333336</v>
      </c>
    </row>
    <row r="668" spans="1:8" x14ac:dyDescent="0.25">
      <c r="A668">
        <v>80</v>
      </c>
      <c r="B668" t="s">
        <v>209</v>
      </c>
      <c r="C668">
        <v>1</v>
      </c>
      <c r="D668">
        <v>0</v>
      </c>
      <c r="E668">
        <v>0</v>
      </c>
      <c r="F668">
        <v>28.74</v>
      </c>
      <c r="G668">
        <v>76712.41</v>
      </c>
      <c r="H668" s="14">
        <v>43767.833333333336</v>
      </c>
    </row>
    <row r="669" spans="1:8" x14ac:dyDescent="0.25">
      <c r="A669">
        <v>80</v>
      </c>
      <c r="B669" t="s">
        <v>209</v>
      </c>
      <c r="C669">
        <v>2</v>
      </c>
      <c r="D669">
        <v>0</v>
      </c>
      <c r="E669">
        <v>0</v>
      </c>
      <c r="F669">
        <v>39.299999999999997</v>
      </c>
      <c r="G669">
        <v>84099.57</v>
      </c>
      <c r="H669" s="14">
        <v>43767.833333333336</v>
      </c>
    </row>
    <row r="670" spans="1:8" x14ac:dyDescent="0.25">
      <c r="A670">
        <v>80</v>
      </c>
      <c r="B670" t="s">
        <v>209</v>
      </c>
      <c r="C670">
        <v>3</v>
      </c>
      <c r="D670">
        <v>0</v>
      </c>
      <c r="E670">
        <v>0</v>
      </c>
      <c r="F670">
        <v>40.380000000000003</v>
      </c>
      <c r="G670">
        <v>89434.54</v>
      </c>
      <c r="H670" s="14">
        <v>43767.833333333336</v>
      </c>
    </row>
    <row r="671" spans="1:8" x14ac:dyDescent="0.25">
      <c r="A671">
        <v>80</v>
      </c>
      <c r="B671" t="s">
        <v>209</v>
      </c>
      <c r="C671">
        <v>4</v>
      </c>
      <c r="D671">
        <v>0</v>
      </c>
      <c r="E671">
        <v>0</v>
      </c>
      <c r="F671">
        <v>40.11</v>
      </c>
      <c r="G671">
        <v>83925.29</v>
      </c>
      <c r="H671" s="14">
        <v>43767.833333333336</v>
      </c>
    </row>
    <row r="672" spans="1:8" x14ac:dyDescent="0.25">
      <c r="A672">
        <v>80</v>
      </c>
      <c r="B672" t="s">
        <v>209</v>
      </c>
      <c r="C672">
        <v>5</v>
      </c>
      <c r="D672">
        <v>0</v>
      </c>
      <c r="E672">
        <v>0</v>
      </c>
      <c r="F672">
        <v>32</v>
      </c>
      <c r="G672">
        <v>82905.960000000006</v>
      </c>
      <c r="H672" s="14">
        <v>43767.833333333336</v>
      </c>
    </row>
    <row r="673" spans="1:8" x14ac:dyDescent="0.25">
      <c r="A673">
        <v>80</v>
      </c>
      <c r="B673" t="s">
        <v>209</v>
      </c>
      <c r="C673">
        <v>6</v>
      </c>
      <c r="D673">
        <v>0</v>
      </c>
      <c r="E673">
        <v>0</v>
      </c>
      <c r="F673">
        <v>38.479999999999997</v>
      </c>
      <c r="G673">
        <v>86498.559999999998</v>
      </c>
      <c r="H673" s="14">
        <v>43767.833333333336</v>
      </c>
    </row>
    <row r="674" spans="1:8" x14ac:dyDescent="0.25">
      <c r="A674">
        <v>80</v>
      </c>
      <c r="B674" t="s">
        <v>209</v>
      </c>
      <c r="C674">
        <v>7</v>
      </c>
      <c r="D674">
        <v>0</v>
      </c>
      <c r="E674">
        <v>0</v>
      </c>
      <c r="F674">
        <v>37.78</v>
      </c>
      <c r="G674">
        <v>80271.850000000006</v>
      </c>
      <c r="H674" s="14">
        <v>43767.833333333336</v>
      </c>
    </row>
    <row r="675" spans="1:8" x14ac:dyDescent="0.25">
      <c r="A675">
        <v>80</v>
      </c>
      <c r="B675" t="s">
        <v>209</v>
      </c>
      <c r="C675">
        <v>8</v>
      </c>
      <c r="D675">
        <v>0</v>
      </c>
      <c r="E675">
        <v>0</v>
      </c>
      <c r="F675">
        <v>38.17</v>
      </c>
      <c r="G675">
        <v>83186.16</v>
      </c>
      <c r="H675" s="14">
        <v>43767.833333333336</v>
      </c>
    </row>
    <row r="676" spans="1:8" x14ac:dyDescent="0.25">
      <c r="A676">
        <v>80</v>
      </c>
      <c r="B676" t="s">
        <v>209</v>
      </c>
      <c r="C676">
        <v>9</v>
      </c>
      <c r="D676">
        <v>0</v>
      </c>
      <c r="E676">
        <v>0</v>
      </c>
      <c r="F676">
        <v>30.8</v>
      </c>
      <c r="G676">
        <v>65805.95</v>
      </c>
      <c r="H676" s="14">
        <v>43767.833333333336</v>
      </c>
    </row>
    <row r="677" spans="1:8" x14ac:dyDescent="0.25">
      <c r="A677">
        <v>80</v>
      </c>
      <c r="B677" t="s">
        <v>209</v>
      </c>
      <c r="C677">
        <v>10</v>
      </c>
      <c r="D677">
        <v>0</v>
      </c>
      <c r="E677">
        <v>0</v>
      </c>
      <c r="F677">
        <v>41.45</v>
      </c>
      <c r="G677">
        <v>91355.67</v>
      </c>
      <c r="H677" s="14">
        <v>43767.833333333336</v>
      </c>
    </row>
    <row r="678" spans="1:8" x14ac:dyDescent="0.25">
      <c r="A678">
        <v>80</v>
      </c>
      <c r="B678" t="s">
        <v>209</v>
      </c>
      <c r="C678">
        <v>11</v>
      </c>
      <c r="D678">
        <v>0</v>
      </c>
      <c r="E678">
        <v>0</v>
      </c>
      <c r="F678">
        <v>41.51</v>
      </c>
      <c r="G678">
        <v>91842.81</v>
      </c>
      <c r="H678" s="14">
        <v>43767.833333333336</v>
      </c>
    </row>
    <row r="679" spans="1:8" x14ac:dyDescent="0.25">
      <c r="A679">
        <v>80</v>
      </c>
      <c r="B679" t="s">
        <v>209</v>
      </c>
      <c r="C679">
        <v>12</v>
      </c>
      <c r="D679">
        <v>0</v>
      </c>
      <c r="E679">
        <v>0</v>
      </c>
      <c r="F679">
        <v>41.11</v>
      </c>
      <c r="G679">
        <v>88004.11</v>
      </c>
      <c r="H679" s="14">
        <v>43767.833333333336</v>
      </c>
    </row>
    <row r="680" spans="1:8" x14ac:dyDescent="0.25">
      <c r="A680">
        <v>80</v>
      </c>
      <c r="B680" t="s">
        <v>209</v>
      </c>
      <c r="C680">
        <v>13</v>
      </c>
      <c r="D680">
        <v>0</v>
      </c>
      <c r="E680">
        <v>0</v>
      </c>
      <c r="F680">
        <v>18.5</v>
      </c>
      <c r="G680">
        <v>42285.75</v>
      </c>
      <c r="H680" s="14">
        <v>43767.833333333336</v>
      </c>
    </row>
    <row r="681" spans="1:8" x14ac:dyDescent="0.25">
      <c r="A681">
        <v>81</v>
      </c>
      <c r="B681" t="s">
        <v>210</v>
      </c>
      <c r="C681">
        <v>1</v>
      </c>
      <c r="D681">
        <v>0</v>
      </c>
      <c r="E681">
        <v>0</v>
      </c>
      <c r="F681">
        <v>86.02</v>
      </c>
      <c r="G681">
        <v>69069.509999999995</v>
      </c>
      <c r="H681" s="14">
        <v>43767.833333333336</v>
      </c>
    </row>
    <row r="682" spans="1:8" x14ac:dyDescent="0.25">
      <c r="A682">
        <v>81</v>
      </c>
      <c r="B682" t="s">
        <v>210</v>
      </c>
      <c r="C682">
        <v>2</v>
      </c>
      <c r="D682">
        <v>0</v>
      </c>
      <c r="E682">
        <v>0</v>
      </c>
      <c r="F682">
        <v>82.25</v>
      </c>
      <c r="G682">
        <v>68458.47</v>
      </c>
      <c r="H682" s="14">
        <v>43767.833333333336</v>
      </c>
    </row>
    <row r="683" spans="1:8" x14ac:dyDescent="0.25">
      <c r="A683">
        <v>81</v>
      </c>
      <c r="B683" t="s">
        <v>210</v>
      </c>
      <c r="C683">
        <v>3</v>
      </c>
      <c r="D683">
        <v>0</v>
      </c>
      <c r="E683">
        <v>0</v>
      </c>
      <c r="F683">
        <v>86.57</v>
      </c>
      <c r="G683">
        <v>68383.850000000006</v>
      </c>
      <c r="H683" s="14">
        <v>43767.833333333336</v>
      </c>
    </row>
    <row r="684" spans="1:8" x14ac:dyDescent="0.25">
      <c r="A684">
        <v>81</v>
      </c>
      <c r="B684" t="s">
        <v>210</v>
      </c>
      <c r="C684">
        <v>4</v>
      </c>
      <c r="D684">
        <v>0</v>
      </c>
      <c r="E684">
        <v>0</v>
      </c>
      <c r="F684">
        <v>98.34</v>
      </c>
      <c r="G684">
        <v>72261.84</v>
      </c>
      <c r="H684" s="14">
        <v>43767.833333333336</v>
      </c>
    </row>
    <row r="685" spans="1:8" x14ac:dyDescent="0.25">
      <c r="A685">
        <v>81</v>
      </c>
      <c r="B685" t="s">
        <v>210</v>
      </c>
      <c r="C685">
        <v>5</v>
      </c>
      <c r="D685">
        <v>0</v>
      </c>
      <c r="E685">
        <v>0</v>
      </c>
      <c r="F685">
        <v>97.21</v>
      </c>
      <c r="G685">
        <v>72792.25</v>
      </c>
      <c r="H685" s="14">
        <v>43767.833333333336</v>
      </c>
    </row>
    <row r="686" spans="1:8" x14ac:dyDescent="0.25">
      <c r="A686">
        <v>81</v>
      </c>
      <c r="B686" t="s">
        <v>210</v>
      </c>
      <c r="C686">
        <v>6</v>
      </c>
      <c r="D686">
        <v>0</v>
      </c>
      <c r="E686">
        <v>0</v>
      </c>
      <c r="F686">
        <v>104.43</v>
      </c>
      <c r="G686">
        <v>73827.59</v>
      </c>
      <c r="H686" s="14">
        <v>43767.833333333336</v>
      </c>
    </row>
    <row r="687" spans="1:8" x14ac:dyDescent="0.25">
      <c r="A687">
        <v>81</v>
      </c>
      <c r="B687" t="s">
        <v>210</v>
      </c>
      <c r="C687">
        <v>7</v>
      </c>
      <c r="D687">
        <v>0</v>
      </c>
      <c r="E687">
        <v>0</v>
      </c>
      <c r="F687">
        <v>100.06</v>
      </c>
      <c r="G687">
        <v>73064.53</v>
      </c>
      <c r="H687" s="14">
        <v>43767.833333333336</v>
      </c>
    </row>
    <row r="688" spans="1:8" x14ac:dyDescent="0.25">
      <c r="A688">
        <v>81</v>
      </c>
      <c r="B688" t="s">
        <v>210</v>
      </c>
      <c r="C688">
        <v>8</v>
      </c>
      <c r="D688">
        <v>0</v>
      </c>
      <c r="E688">
        <v>0</v>
      </c>
      <c r="F688">
        <v>99.29</v>
      </c>
      <c r="G688">
        <v>72676.06</v>
      </c>
      <c r="H688" s="14">
        <v>43767.833333333336</v>
      </c>
    </row>
    <row r="689" spans="1:8" x14ac:dyDescent="0.25">
      <c r="A689">
        <v>81</v>
      </c>
      <c r="B689" t="s">
        <v>210</v>
      </c>
      <c r="C689">
        <v>9</v>
      </c>
      <c r="D689">
        <v>0</v>
      </c>
      <c r="E689">
        <v>0</v>
      </c>
      <c r="F689">
        <v>104.36</v>
      </c>
      <c r="G689">
        <v>80456.570000000007</v>
      </c>
      <c r="H689" s="14">
        <v>43767.833333333336</v>
      </c>
    </row>
    <row r="690" spans="1:8" x14ac:dyDescent="0.25">
      <c r="A690">
        <v>81</v>
      </c>
      <c r="B690" t="s">
        <v>210</v>
      </c>
      <c r="C690">
        <v>10</v>
      </c>
      <c r="D690">
        <v>0</v>
      </c>
      <c r="E690">
        <v>0</v>
      </c>
      <c r="F690">
        <v>104.87</v>
      </c>
      <c r="G690">
        <v>76469.350000000006</v>
      </c>
      <c r="H690" s="14">
        <v>43767.833333333336</v>
      </c>
    </row>
    <row r="691" spans="1:8" x14ac:dyDescent="0.25">
      <c r="A691">
        <v>81</v>
      </c>
      <c r="B691" t="s">
        <v>210</v>
      </c>
      <c r="C691">
        <v>11</v>
      </c>
      <c r="D691">
        <v>0</v>
      </c>
      <c r="E691">
        <v>0</v>
      </c>
      <c r="F691">
        <v>105.33</v>
      </c>
      <c r="G691">
        <v>76517.5</v>
      </c>
      <c r="H691" s="14">
        <v>43767.833333333336</v>
      </c>
    </row>
    <row r="692" spans="1:8" x14ac:dyDescent="0.25">
      <c r="A692">
        <v>81</v>
      </c>
      <c r="B692" t="s">
        <v>210</v>
      </c>
      <c r="C692">
        <v>12</v>
      </c>
      <c r="D692">
        <v>0</v>
      </c>
      <c r="E692">
        <v>0</v>
      </c>
      <c r="F692">
        <v>103.05</v>
      </c>
      <c r="G692">
        <v>75612.53</v>
      </c>
      <c r="H692" s="14">
        <v>43767.833333333336</v>
      </c>
    </row>
    <row r="693" spans="1:8" x14ac:dyDescent="0.25">
      <c r="A693">
        <v>81</v>
      </c>
      <c r="B693" t="s">
        <v>210</v>
      </c>
      <c r="C693">
        <v>13</v>
      </c>
      <c r="D693">
        <v>0</v>
      </c>
      <c r="E693">
        <v>0</v>
      </c>
      <c r="F693">
        <v>103.36</v>
      </c>
      <c r="G693">
        <v>75589.38</v>
      </c>
      <c r="H693" s="14">
        <v>43767.833333333336</v>
      </c>
    </row>
    <row r="694" spans="1:8" x14ac:dyDescent="0.25">
      <c r="A694">
        <v>81</v>
      </c>
      <c r="B694" t="s">
        <v>210</v>
      </c>
      <c r="C694">
        <v>14</v>
      </c>
      <c r="D694">
        <v>0</v>
      </c>
      <c r="E694">
        <v>0</v>
      </c>
      <c r="F694">
        <v>105.57</v>
      </c>
      <c r="G694">
        <v>76200.58</v>
      </c>
      <c r="H694" s="14">
        <v>43767.833333333336</v>
      </c>
    </row>
    <row r="695" spans="1:8" x14ac:dyDescent="0.25">
      <c r="A695">
        <v>82</v>
      </c>
      <c r="B695" t="s">
        <v>211</v>
      </c>
      <c r="C695">
        <v>1</v>
      </c>
      <c r="D695">
        <v>0</v>
      </c>
      <c r="E695">
        <v>0</v>
      </c>
      <c r="F695">
        <v>91.27</v>
      </c>
      <c r="G695">
        <v>70749.64</v>
      </c>
      <c r="H695" s="14">
        <v>43767.833333333336</v>
      </c>
    </row>
    <row r="696" spans="1:8" x14ac:dyDescent="0.25">
      <c r="A696">
        <v>82</v>
      </c>
      <c r="B696" t="s">
        <v>211</v>
      </c>
      <c r="C696">
        <v>2</v>
      </c>
      <c r="D696">
        <v>0</v>
      </c>
      <c r="E696">
        <v>0</v>
      </c>
      <c r="F696">
        <v>102.64</v>
      </c>
      <c r="G696">
        <v>72863.87</v>
      </c>
      <c r="H696" s="14">
        <v>43767.833333333336</v>
      </c>
    </row>
    <row r="697" spans="1:8" x14ac:dyDescent="0.25">
      <c r="A697">
        <v>82</v>
      </c>
      <c r="B697" t="s">
        <v>211</v>
      </c>
      <c r="C697">
        <v>3</v>
      </c>
      <c r="D697">
        <v>0</v>
      </c>
      <c r="E697">
        <v>0</v>
      </c>
      <c r="F697">
        <v>94.95</v>
      </c>
      <c r="G697">
        <v>69712.61</v>
      </c>
      <c r="H697" s="14">
        <v>43767.833333333336</v>
      </c>
    </row>
    <row r="698" spans="1:8" x14ac:dyDescent="0.25">
      <c r="A698">
        <v>82</v>
      </c>
      <c r="B698" t="s">
        <v>211</v>
      </c>
      <c r="C698">
        <v>4</v>
      </c>
      <c r="D698">
        <v>0</v>
      </c>
      <c r="E698">
        <v>0</v>
      </c>
      <c r="F698">
        <v>95.94</v>
      </c>
      <c r="G698">
        <v>71975.460000000006</v>
      </c>
      <c r="H698" s="14">
        <v>43767.833333333336</v>
      </c>
    </row>
    <row r="699" spans="1:8" x14ac:dyDescent="0.25">
      <c r="A699">
        <v>82</v>
      </c>
      <c r="B699" t="s">
        <v>211</v>
      </c>
      <c r="C699">
        <v>5</v>
      </c>
      <c r="D699">
        <v>0</v>
      </c>
      <c r="E699">
        <v>0</v>
      </c>
      <c r="F699">
        <v>88.46</v>
      </c>
      <c r="G699">
        <v>69533.679999999993</v>
      </c>
      <c r="H699" s="14">
        <v>43767.833333333336</v>
      </c>
    </row>
    <row r="700" spans="1:8" x14ac:dyDescent="0.25">
      <c r="A700">
        <v>82</v>
      </c>
      <c r="B700" t="s">
        <v>211</v>
      </c>
      <c r="C700">
        <v>6</v>
      </c>
      <c r="D700">
        <v>0</v>
      </c>
      <c r="E700">
        <v>0</v>
      </c>
      <c r="F700">
        <v>87.51</v>
      </c>
      <c r="G700">
        <v>70076.509999999995</v>
      </c>
      <c r="H700" s="14">
        <v>43767.833333333336</v>
      </c>
    </row>
    <row r="701" spans="1:8" x14ac:dyDescent="0.25">
      <c r="A701">
        <v>82</v>
      </c>
      <c r="B701" t="s">
        <v>211</v>
      </c>
      <c r="C701">
        <v>7</v>
      </c>
      <c r="D701">
        <v>0</v>
      </c>
      <c r="E701">
        <v>0</v>
      </c>
      <c r="F701">
        <v>99.34</v>
      </c>
      <c r="G701">
        <v>75223.64</v>
      </c>
      <c r="H701" s="14">
        <v>43767.833333333336</v>
      </c>
    </row>
    <row r="702" spans="1:8" x14ac:dyDescent="0.25">
      <c r="A702">
        <v>82</v>
      </c>
      <c r="B702" t="s">
        <v>211</v>
      </c>
      <c r="C702">
        <v>8</v>
      </c>
      <c r="D702">
        <v>0</v>
      </c>
      <c r="E702">
        <v>0</v>
      </c>
      <c r="F702">
        <v>91.48</v>
      </c>
      <c r="G702">
        <v>70539.77</v>
      </c>
      <c r="H702" s="14">
        <v>43767.833333333336</v>
      </c>
    </row>
    <row r="703" spans="1:8" x14ac:dyDescent="0.25">
      <c r="A703">
        <v>82</v>
      </c>
      <c r="B703" t="s">
        <v>211</v>
      </c>
      <c r="C703">
        <v>9</v>
      </c>
      <c r="D703">
        <v>0</v>
      </c>
      <c r="E703">
        <v>0</v>
      </c>
      <c r="F703">
        <v>102.96</v>
      </c>
      <c r="G703">
        <v>70438.45</v>
      </c>
      <c r="H703" s="14">
        <v>43767.833333333336</v>
      </c>
    </row>
    <row r="704" spans="1:8" x14ac:dyDescent="0.25">
      <c r="A704">
        <v>82</v>
      </c>
      <c r="B704" t="s">
        <v>211</v>
      </c>
      <c r="C704">
        <v>10</v>
      </c>
      <c r="D704">
        <v>0</v>
      </c>
      <c r="E704">
        <v>0</v>
      </c>
      <c r="F704">
        <v>96.33</v>
      </c>
      <c r="G704">
        <v>72343.38</v>
      </c>
      <c r="H704" s="14">
        <v>43767.833333333336</v>
      </c>
    </row>
    <row r="705" spans="1:8" x14ac:dyDescent="0.25">
      <c r="A705">
        <v>82</v>
      </c>
      <c r="B705" t="s">
        <v>211</v>
      </c>
      <c r="C705">
        <v>11</v>
      </c>
      <c r="D705">
        <v>0</v>
      </c>
      <c r="E705">
        <v>0</v>
      </c>
      <c r="F705">
        <v>98.1</v>
      </c>
      <c r="G705">
        <v>75519.98</v>
      </c>
      <c r="H705" s="14">
        <v>43767.833333333336</v>
      </c>
    </row>
    <row r="706" spans="1:8" x14ac:dyDescent="0.25">
      <c r="A706">
        <v>82</v>
      </c>
      <c r="B706" t="s">
        <v>211</v>
      </c>
      <c r="C706">
        <v>12</v>
      </c>
      <c r="D706">
        <v>0</v>
      </c>
      <c r="E706">
        <v>0</v>
      </c>
      <c r="F706">
        <v>102.8</v>
      </c>
      <c r="G706">
        <v>76754</v>
      </c>
      <c r="H706" s="14">
        <v>43767.833333333336</v>
      </c>
    </row>
    <row r="707" spans="1:8" x14ac:dyDescent="0.25">
      <c r="A707">
        <v>82</v>
      </c>
      <c r="B707" t="s">
        <v>211</v>
      </c>
      <c r="C707">
        <v>13</v>
      </c>
      <c r="D707">
        <v>0</v>
      </c>
      <c r="E707">
        <v>0</v>
      </c>
      <c r="F707">
        <v>102.2</v>
      </c>
      <c r="G707">
        <v>75438.83</v>
      </c>
      <c r="H707" s="14">
        <v>43767.833333333336</v>
      </c>
    </row>
    <row r="708" spans="1:8" x14ac:dyDescent="0.25">
      <c r="A708">
        <v>82</v>
      </c>
      <c r="B708" t="s">
        <v>211</v>
      </c>
      <c r="C708">
        <v>14</v>
      </c>
      <c r="D708">
        <v>0</v>
      </c>
      <c r="E708">
        <v>0</v>
      </c>
      <c r="F708">
        <v>68.11</v>
      </c>
      <c r="G708">
        <v>48480.89</v>
      </c>
      <c r="H708" s="14">
        <v>43767.833333333336</v>
      </c>
    </row>
    <row r="709" spans="1:8" x14ac:dyDescent="0.25">
      <c r="A709">
        <v>82</v>
      </c>
      <c r="B709" t="s">
        <v>211</v>
      </c>
      <c r="C709">
        <v>15</v>
      </c>
      <c r="D709">
        <v>0</v>
      </c>
      <c r="E709">
        <v>0</v>
      </c>
      <c r="F709">
        <v>30.02</v>
      </c>
      <c r="G709">
        <v>24405.69</v>
      </c>
      <c r="H709" s="14">
        <v>43767.833333333336</v>
      </c>
    </row>
    <row r="710" spans="1:8" x14ac:dyDescent="0.25">
      <c r="A710">
        <v>83</v>
      </c>
      <c r="B710" t="s">
        <v>212</v>
      </c>
      <c r="C710">
        <v>1</v>
      </c>
      <c r="D710">
        <v>0</v>
      </c>
      <c r="E710">
        <v>0</v>
      </c>
      <c r="F710">
        <v>102.8</v>
      </c>
      <c r="G710">
        <v>74913.31</v>
      </c>
      <c r="H710" s="14">
        <v>43767.833333333336</v>
      </c>
    </row>
    <row r="711" spans="1:8" x14ac:dyDescent="0.25">
      <c r="A711">
        <v>83</v>
      </c>
      <c r="B711" t="s">
        <v>212</v>
      </c>
      <c r="C711">
        <v>2</v>
      </c>
      <c r="D711">
        <v>0</v>
      </c>
      <c r="E711">
        <v>0</v>
      </c>
      <c r="F711">
        <v>100.54</v>
      </c>
      <c r="G711">
        <v>74843.789999999994</v>
      </c>
      <c r="H711" s="14">
        <v>43767.833333333336</v>
      </c>
    </row>
    <row r="712" spans="1:8" x14ac:dyDescent="0.25">
      <c r="A712">
        <v>83</v>
      </c>
      <c r="B712" t="s">
        <v>212</v>
      </c>
      <c r="C712">
        <v>3</v>
      </c>
      <c r="D712">
        <v>0</v>
      </c>
      <c r="E712">
        <v>0</v>
      </c>
      <c r="F712">
        <v>100.54</v>
      </c>
      <c r="G712">
        <v>75321.649999999994</v>
      </c>
      <c r="H712" s="14">
        <v>43767.833333333336</v>
      </c>
    </row>
    <row r="713" spans="1:8" x14ac:dyDescent="0.25">
      <c r="A713">
        <v>83</v>
      </c>
      <c r="B713" t="s">
        <v>212</v>
      </c>
      <c r="C713">
        <v>4</v>
      </c>
      <c r="D713">
        <v>0</v>
      </c>
      <c r="E713">
        <v>0</v>
      </c>
      <c r="F713">
        <v>97.53</v>
      </c>
      <c r="G713">
        <v>71565.14</v>
      </c>
      <c r="H713" s="14">
        <v>43767.833333333336</v>
      </c>
    </row>
    <row r="714" spans="1:8" x14ac:dyDescent="0.25">
      <c r="A714">
        <v>83</v>
      </c>
      <c r="B714" t="s">
        <v>212</v>
      </c>
      <c r="C714">
        <v>5</v>
      </c>
      <c r="D714">
        <v>0</v>
      </c>
      <c r="E714">
        <v>0</v>
      </c>
      <c r="F714">
        <v>95.53</v>
      </c>
      <c r="G714">
        <v>72251.100000000006</v>
      </c>
      <c r="H714" s="14">
        <v>43767.833333333336</v>
      </c>
    </row>
    <row r="715" spans="1:8" x14ac:dyDescent="0.25">
      <c r="A715">
        <v>83</v>
      </c>
      <c r="B715" t="s">
        <v>212</v>
      </c>
      <c r="C715">
        <v>6</v>
      </c>
      <c r="D715">
        <v>0</v>
      </c>
      <c r="E715">
        <v>0</v>
      </c>
      <c r="F715">
        <v>96.55</v>
      </c>
      <c r="G715">
        <v>72355.16</v>
      </c>
      <c r="H715" s="14">
        <v>43767.833333333336</v>
      </c>
    </row>
    <row r="716" spans="1:8" x14ac:dyDescent="0.25">
      <c r="A716">
        <v>83</v>
      </c>
      <c r="B716" t="s">
        <v>212</v>
      </c>
      <c r="C716">
        <v>7</v>
      </c>
      <c r="D716">
        <v>0</v>
      </c>
      <c r="E716">
        <v>0</v>
      </c>
      <c r="F716">
        <v>101.15</v>
      </c>
      <c r="G716">
        <v>73681.070000000007</v>
      </c>
      <c r="H716" s="14">
        <v>43767.833333333336</v>
      </c>
    </row>
    <row r="717" spans="1:8" x14ac:dyDescent="0.25">
      <c r="A717">
        <v>83</v>
      </c>
      <c r="B717" t="s">
        <v>212</v>
      </c>
      <c r="C717">
        <v>8</v>
      </c>
      <c r="D717">
        <v>0</v>
      </c>
      <c r="E717">
        <v>0</v>
      </c>
      <c r="F717">
        <v>103.5</v>
      </c>
      <c r="G717">
        <v>76325.55</v>
      </c>
      <c r="H717" s="14">
        <v>43767.833333333336</v>
      </c>
    </row>
    <row r="718" spans="1:8" x14ac:dyDescent="0.25">
      <c r="A718">
        <v>83</v>
      </c>
      <c r="B718" t="s">
        <v>212</v>
      </c>
      <c r="C718">
        <v>9</v>
      </c>
      <c r="D718">
        <v>0</v>
      </c>
      <c r="E718">
        <v>0</v>
      </c>
      <c r="F718">
        <v>99.63</v>
      </c>
      <c r="G718">
        <v>75846.69</v>
      </c>
      <c r="H718" s="14">
        <v>43767.833333333336</v>
      </c>
    </row>
    <row r="719" spans="1:8" x14ac:dyDescent="0.25">
      <c r="A719">
        <v>83</v>
      </c>
      <c r="B719" t="s">
        <v>212</v>
      </c>
      <c r="C719">
        <v>10</v>
      </c>
      <c r="D719">
        <v>0</v>
      </c>
      <c r="E719">
        <v>0</v>
      </c>
      <c r="F719">
        <v>93.64</v>
      </c>
      <c r="G719">
        <v>70219.039999999994</v>
      </c>
      <c r="H719" s="14">
        <v>43767.833333333336</v>
      </c>
    </row>
    <row r="720" spans="1:8" x14ac:dyDescent="0.25">
      <c r="A720">
        <v>83</v>
      </c>
      <c r="B720" t="s">
        <v>212</v>
      </c>
      <c r="C720">
        <v>11</v>
      </c>
      <c r="D720">
        <v>0</v>
      </c>
      <c r="E720">
        <v>0</v>
      </c>
      <c r="F720">
        <v>88.58</v>
      </c>
      <c r="G720">
        <v>68579.320000000007</v>
      </c>
      <c r="H720" s="14">
        <v>43767.833333333336</v>
      </c>
    </row>
    <row r="721" spans="1:8" x14ac:dyDescent="0.25">
      <c r="A721">
        <v>83</v>
      </c>
      <c r="B721" t="s">
        <v>212</v>
      </c>
      <c r="C721">
        <v>12</v>
      </c>
      <c r="D721">
        <v>0</v>
      </c>
      <c r="E721">
        <v>0</v>
      </c>
      <c r="F721">
        <v>90.29</v>
      </c>
      <c r="G721">
        <v>70565.05</v>
      </c>
      <c r="H721" s="14">
        <v>43767.833333333336</v>
      </c>
    </row>
    <row r="722" spans="1:8" x14ac:dyDescent="0.25">
      <c r="A722">
        <v>83</v>
      </c>
      <c r="B722" t="s">
        <v>212</v>
      </c>
      <c r="C722">
        <v>13</v>
      </c>
      <c r="D722">
        <v>0</v>
      </c>
      <c r="E722">
        <v>0</v>
      </c>
      <c r="F722">
        <v>63.8</v>
      </c>
      <c r="G722">
        <v>47319.09</v>
      </c>
      <c r="H722" s="14">
        <v>43767.833333333336</v>
      </c>
    </row>
    <row r="723" spans="1:8" x14ac:dyDescent="0.25">
      <c r="A723">
        <v>83</v>
      </c>
      <c r="B723" t="s">
        <v>212</v>
      </c>
      <c r="C723">
        <v>14</v>
      </c>
      <c r="D723">
        <v>0</v>
      </c>
      <c r="E723">
        <v>0</v>
      </c>
      <c r="F723">
        <v>60.92</v>
      </c>
      <c r="G723">
        <v>45743.99</v>
      </c>
      <c r="H723" s="14">
        <v>43767.833333333336</v>
      </c>
    </row>
    <row r="724" spans="1:8" x14ac:dyDescent="0.25">
      <c r="A724">
        <v>83</v>
      </c>
      <c r="B724" t="s">
        <v>212</v>
      </c>
      <c r="C724">
        <v>15</v>
      </c>
      <c r="D724">
        <v>0</v>
      </c>
      <c r="E724">
        <v>0</v>
      </c>
      <c r="F724">
        <v>66.010000000000005</v>
      </c>
      <c r="G724">
        <v>48702.37</v>
      </c>
      <c r="H724" s="14">
        <v>43767.833333333336</v>
      </c>
    </row>
    <row r="725" spans="1:8" x14ac:dyDescent="0.25">
      <c r="A725">
        <v>84</v>
      </c>
      <c r="B725" t="s">
        <v>213</v>
      </c>
      <c r="C725">
        <v>1</v>
      </c>
      <c r="D725">
        <v>0</v>
      </c>
      <c r="E725">
        <v>0</v>
      </c>
      <c r="F725">
        <v>88.77</v>
      </c>
      <c r="G725">
        <v>74057.289999999994</v>
      </c>
      <c r="H725" s="14">
        <v>43767.833333333336</v>
      </c>
    </row>
    <row r="726" spans="1:8" x14ac:dyDescent="0.25">
      <c r="A726">
        <v>84</v>
      </c>
      <c r="B726" t="s">
        <v>213</v>
      </c>
      <c r="C726">
        <v>2</v>
      </c>
      <c r="D726">
        <v>0</v>
      </c>
      <c r="E726">
        <v>0</v>
      </c>
      <c r="F726">
        <v>93.46</v>
      </c>
      <c r="G726">
        <v>72383.929999999993</v>
      </c>
      <c r="H726" s="14">
        <v>43767.833333333336</v>
      </c>
    </row>
    <row r="727" spans="1:8" x14ac:dyDescent="0.25">
      <c r="A727">
        <v>84</v>
      </c>
      <c r="B727" t="s">
        <v>213</v>
      </c>
      <c r="C727">
        <v>3</v>
      </c>
      <c r="D727">
        <v>0</v>
      </c>
      <c r="E727">
        <v>0</v>
      </c>
      <c r="F727">
        <v>88</v>
      </c>
      <c r="G727">
        <v>73366.570000000007</v>
      </c>
      <c r="H727" s="14">
        <v>43767.833333333336</v>
      </c>
    </row>
    <row r="728" spans="1:8" x14ac:dyDescent="0.25">
      <c r="A728">
        <v>84</v>
      </c>
      <c r="B728" t="s">
        <v>213</v>
      </c>
      <c r="C728">
        <v>4</v>
      </c>
      <c r="D728">
        <v>0</v>
      </c>
      <c r="E728">
        <v>0</v>
      </c>
      <c r="F728">
        <v>100.99</v>
      </c>
      <c r="G728">
        <v>72773.69</v>
      </c>
      <c r="H728" s="14">
        <v>43767.833333333336</v>
      </c>
    </row>
    <row r="729" spans="1:8" x14ac:dyDescent="0.25">
      <c r="A729">
        <v>84</v>
      </c>
      <c r="B729" t="s">
        <v>213</v>
      </c>
      <c r="C729">
        <v>5</v>
      </c>
      <c r="D729">
        <v>0</v>
      </c>
      <c r="E729">
        <v>0</v>
      </c>
      <c r="F729">
        <v>101.7</v>
      </c>
      <c r="G729">
        <v>71584.69</v>
      </c>
      <c r="H729" s="14">
        <v>43767.833333333336</v>
      </c>
    </row>
    <row r="730" spans="1:8" x14ac:dyDescent="0.25">
      <c r="A730">
        <v>84</v>
      </c>
      <c r="B730" t="s">
        <v>213</v>
      </c>
      <c r="C730">
        <v>6</v>
      </c>
      <c r="D730">
        <v>0</v>
      </c>
      <c r="E730">
        <v>0</v>
      </c>
      <c r="F730">
        <v>98.52</v>
      </c>
      <c r="G730">
        <v>72258.33</v>
      </c>
      <c r="H730" s="14">
        <v>43767.833333333336</v>
      </c>
    </row>
    <row r="731" spans="1:8" x14ac:dyDescent="0.25">
      <c r="A731">
        <v>84</v>
      </c>
      <c r="B731" t="s">
        <v>213</v>
      </c>
      <c r="C731">
        <v>7</v>
      </c>
      <c r="D731">
        <v>0</v>
      </c>
      <c r="E731">
        <v>0</v>
      </c>
      <c r="F731">
        <v>89.08</v>
      </c>
      <c r="G731">
        <v>73034.350000000006</v>
      </c>
      <c r="H731" s="14">
        <v>43767.833333333336</v>
      </c>
    </row>
    <row r="732" spans="1:8" x14ac:dyDescent="0.25">
      <c r="A732">
        <v>84</v>
      </c>
      <c r="B732" t="s">
        <v>213</v>
      </c>
      <c r="C732">
        <v>8</v>
      </c>
      <c r="D732">
        <v>0</v>
      </c>
      <c r="E732">
        <v>0</v>
      </c>
      <c r="F732">
        <v>89.13</v>
      </c>
      <c r="G732">
        <v>76303.710000000006</v>
      </c>
      <c r="H732" s="14">
        <v>43767.833333333336</v>
      </c>
    </row>
    <row r="733" spans="1:8" x14ac:dyDescent="0.25">
      <c r="A733">
        <v>84</v>
      </c>
      <c r="B733" t="s">
        <v>213</v>
      </c>
      <c r="C733">
        <v>9</v>
      </c>
      <c r="D733">
        <v>0</v>
      </c>
      <c r="E733">
        <v>0</v>
      </c>
      <c r="F733">
        <v>67.53</v>
      </c>
      <c r="G733">
        <v>68787.240000000005</v>
      </c>
      <c r="H733" s="14">
        <v>43767.833333333336</v>
      </c>
    </row>
    <row r="734" spans="1:8" x14ac:dyDescent="0.25">
      <c r="A734">
        <v>84</v>
      </c>
      <c r="B734" t="s">
        <v>213</v>
      </c>
      <c r="C734">
        <v>10</v>
      </c>
      <c r="D734">
        <v>0</v>
      </c>
      <c r="E734">
        <v>0</v>
      </c>
      <c r="F734">
        <v>64.73</v>
      </c>
      <c r="G734">
        <v>70250.259999999995</v>
      </c>
      <c r="H734" s="14">
        <v>43767.833333333336</v>
      </c>
    </row>
    <row r="735" spans="1:8" x14ac:dyDescent="0.25">
      <c r="A735">
        <v>84</v>
      </c>
      <c r="B735" t="s">
        <v>213</v>
      </c>
      <c r="C735">
        <v>11</v>
      </c>
      <c r="D735">
        <v>0</v>
      </c>
      <c r="E735">
        <v>0</v>
      </c>
      <c r="F735">
        <v>59.07</v>
      </c>
      <c r="G735">
        <v>68253.8</v>
      </c>
      <c r="H735" s="14">
        <v>43767.833333333336</v>
      </c>
    </row>
    <row r="736" spans="1:8" x14ac:dyDescent="0.25">
      <c r="A736">
        <v>84</v>
      </c>
      <c r="B736" t="s">
        <v>213</v>
      </c>
      <c r="C736">
        <v>12</v>
      </c>
      <c r="D736">
        <v>0</v>
      </c>
      <c r="E736">
        <v>0</v>
      </c>
      <c r="F736">
        <v>92.42</v>
      </c>
      <c r="G736">
        <v>75240.84</v>
      </c>
      <c r="H736" s="14">
        <v>43767.833333333336</v>
      </c>
    </row>
    <row r="737" spans="1:8" x14ac:dyDescent="0.25">
      <c r="A737">
        <v>84</v>
      </c>
      <c r="B737" t="s">
        <v>213</v>
      </c>
      <c r="C737">
        <v>13</v>
      </c>
      <c r="D737">
        <v>0</v>
      </c>
      <c r="E737">
        <v>0</v>
      </c>
      <c r="F737">
        <v>90.8</v>
      </c>
      <c r="G737">
        <v>73293.38</v>
      </c>
      <c r="H737" s="14">
        <v>43767.833333333336</v>
      </c>
    </row>
    <row r="738" spans="1:8" x14ac:dyDescent="0.25">
      <c r="A738">
        <v>84</v>
      </c>
      <c r="B738" t="s">
        <v>213</v>
      </c>
      <c r="C738">
        <v>14</v>
      </c>
      <c r="D738">
        <v>0</v>
      </c>
      <c r="E738">
        <v>0</v>
      </c>
      <c r="F738">
        <v>94.85</v>
      </c>
      <c r="G738">
        <v>74237.740000000005</v>
      </c>
      <c r="H738" s="14">
        <v>43767.833333333336</v>
      </c>
    </row>
    <row r="739" spans="1:8" x14ac:dyDescent="0.25">
      <c r="A739">
        <v>85</v>
      </c>
      <c r="B739" t="s">
        <v>214</v>
      </c>
      <c r="C739">
        <v>1</v>
      </c>
      <c r="D739">
        <v>0</v>
      </c>
      <c r="E739">
        <v>0</v>
      </c>
      <c r="F739">
        <v>102.72</v>
      </c>
      <c r="G739">
        <v>67626.080000000002</v>
      </c>
      <c r="H739" s="14">
        <v>43767.833333333336</v>
      </c>
    </row>
    <row r="740" spans="1:8" x14ac:dyDescent="0.25">
      <c r="A740">
        <v>85</v>
      </c>
      <c r="B740" t="s">
        <v>214</v>
      </c>
      <c r="C740">
        <v>2</v>
      </c>
      <c r="D740">
        <v>0</v>
      </c>
      <c r="E740">
        <v>0</v>
      </c>
      <c r="F740">
        <v>100.25</v>
      </c>
      <c r="G740">
        <v>67996.41</v>
      </c>
      <c r="H740" s="14">
        <v>43767.833333333336</v>
      </c>
    </row>
    <row r="741" spans="1:8" x14ac:dyDescent="0.25">
      <c r="A741">
        <v>85</v>
      </c>
      <c r="B741" t="s">
        <v>214</v>
      </c>
      <c r="C741">
        <v>3</v>
      </c>
      <c r="D741">
        <v>0</v>
      </c>
      <c r="E741">
        <v>0</v>
      </c>
      <c r="F741">
        <v>101.58</v>
      </c>
      <c r="G741">
        <v>68717.009999999995</v>
      </c>
      <c r="H741" s="14">
        <v>43767.833333333336</v>
      </c>
    </row>
    <row r="742" spans="1:8" x14ac:dyDescent="0.25">
      <c r="A742">
        <v>85</v>
      </c>
      <c r="B742" t="s">
        <v>214</v>
      </c>
      <c r="C742">
        <v>4</v>
      </c>
      <c r="D742">
        <v>0</v>
      </c>
      <c r="E742">
        <v>0</v>
      </c>
      <c r="F742">
        <v>104.01</v>
      </c>
      <c r="G742">
        <v>68017.429999999993</v>
      </c>
      <c r="H742" s="14">
        <v>43767.833333333336</v>
      </c>
    </row>
    <row r="743" spans="1:8" x14ac:dyDescent="0.25">
      <c r="A743">
        <v>85</v>
      </c>
      <c r="B743" t="s">
        <v>214</v>
      </c>
      <c r="C743">
        <v>5</v>
      </c>
      <c r="D743">
        <v>0</v>
      </c>
      <c r="E743">
        <v>0</v>
      </c>
      <c r="F743">
        <v>105.46</v>
      </c>
      <c r="G743">
        <v>67956.009999999995</v>
      </c>
      <c r="H743" s="14">
        <v>43767.833333333336</v>
      </c>
    </row>
    <row r="744" spans="1:8" x14ac:dyDescent="0.25">
      <c r="A744">
        <v>85</v>
      </c>
      <c r="B744" t="s">
        <v>214</v>
      </c>
      <c r="C744">
        <v>6</v>
      </c>
      <c r="D744">
        <v>0</v>
      </c>
      <c r="E744">
        <v>0</v>
      </c>
      <c r="F744">
        <v>103.79</v>
      </c>
      <c r="G744">
        <v>68893.59</v>
      </c>
      <c r="H744" s="14">
        <v>43767.833333333336</v>
      </c>
    </row>
    <row r="745" spans="1:8" x14ac:dyDescent="0.25">
      <c r="A745">
        <v>85</v>
      </c>
      <c r="B745" t="s">
        <v>214</v>
      </c>
      <c r="C745">
        <v>7</v>
      </c>
      <c r="D745">
        <v>0</v>
      </c>
      <c r="E745">
        <v>0</v>
      </c>
      <c r="F745">
        <v>106.45</v>
      </c>
      <c r="G745">
        <v>68404.41</v>
      </c>
      <c r="H745" s="14">
        <v>43767.833333333336</v>
      </c>
    </row>
    <row r="746" spans="1:8" x14ac:dyDescent="0.25">
      <c r="A746">
        <v>85</v>
      </c>
      <c r="B746" t="s">
        <v>214</v>
      </c>
      <c r="C746">
        <v>8</v>
      </c>
      <c r="D746">
        <v>0</v>
      </c>
      <c r="E746">
        <v>0</v>
      </c>
      <c r="F746">
        <v>105.92</v>
      </c>
      <c r="G746">
        <v>68410.570000000007</v>
      </c>
      <c r="H746" s="14">
        <v>43767.833333333336</v>
      </c>
    </row>
    <row r="747" spans="1:8" x14ac:dyDescent="0.25">
      <c r="A747">
        <v>85</v>
      </c>
      <c r="B747" t="s">
        <v>214</v>
      </c>
      <c r="C747">
        <v>9</v>
      </c>
      <c r="D747">
        <v>0</v>
      </c>
      <c r="E747">
        <v>0</v>
      </c>
      <c r="F747">
        <v>105.68</v>
      </c>
      <c r="G747">
        <v>68239.789999999994</v>
      </c>
      <c r="H747" s="14">
        <v>43767.833333333336</v>
      </c>
    </row>
    <row r="748" spans="1:8" x14ac:dyDescent="0.25">
      <c r="A748">
        <v>85</v>
      </c>
      <c r="B748" t="s">
        <v>214</v>
      </c>
      <c r="C748">
        <v>10</v>
      </c>
      <c r="D748">
        <v>0</v>
      </c>
      <c r="E748">
        <v>0</v>
      </c>
      <c r="F748">
        <v>105.59</v>
      </c>
      <c r="G748">
        <v>39819.919999999998</v>
      </c>
      <c r="H748" s="14">
        <v>43767.833333333336</v>
      </c>
    </row>
    <row r="749" spans="1:8" x14ac:dyDescent="0.25">
      <c r="A749">
        <v>85</v>
      </c>
      <c r="B749" t="s">
        <v>214</v>
      </c>
      <c r="C749">
        <v>11</v>
      </c>
      <c r="D749">
        <v>0</v>
      </c>
      <c r="E749">
        <v>0</v>
      </c>
      <c r="F749">
        <v>107.44</v>
      </c>
      <c r="G749">
        <v>69119.5</v>
      </c>
      <c r="H749" s="14">
        <v>43767.833333333336</v>
      </c>
    </row>
    <row r="750" spans="1:8" x14ac:dyDescent="0.25">
      <c r="A750">
        <v>85</v>
      </c>
      <c r="B750" t="s">
        <v>214</v>
      </c>
      <c r="C750">
        <v>12</v>
      </c>
      <c r="D750">
        <v>0</v>
      </c>
      <c r="E750">
        <v>0</v>
      </c>
      <c r="F750">
        <v>30.67</v>
      </c>
      <c r="G750">
        <v>22067.78</v>
      </c>
      <c r="H750" s="14">
        <v>43767.833333333336</v>
      </c>
    </row>
    <row r="751" spans="1:8" x14ac:dyDescent="0.25">
      <c r="A751">
        <v>86</v>
      </c>
      <c r="B751" t="s">
        <v>215</v>
      </c>
      <c r="C751">
        <v>1</v>
      </c>
      <c r="D751">
        <v>0</v>
      </c>
      <c r="E751">
        <v>0</v>
      </c>
      <c r="F751">
        <v>93.93</v>
      </c>
      <c r="G751">
        <v>68127.87</v>
      </c>
      <c r="H751" s="14">
        <v>43767.833333333336</v>
      </c>
    </row>
    <row r="752" spans="1:8" x14ac:dyDescent="0.25">
      <c r="A752">
        <v>86</v>
      </c>
      <c r="B752" t="s">
        <v>215</v>
      </c>
      <c r="C752">
        <v>2</v>
      </c>
      <c r="D752">
        <v>0</v>
      </c>
      <c r="E752">
        <v>0</v>
      </c>
      <c r="F752">
        <v>86.9</v>
      </c>
      <c r="G752">
        <v>67251.759999999995</v>
      </c>
      <c r="H752" s="14">
        <v>43767.833333333336</v>
      </c>
    </row>
    <row r="753" spans="1:8" x14ac:dyDescent="0.25">
      <c r="A753">
        <v>86</v>
      </c>
      <c r="B753" t="s">
        <v>215</v>
      </c>
      <c r="C753">
        <v>3</v>
      </c>
      <c r="D753">
        <v>0</v>
      </c>
      <c r="E753">
        <v>0</v>
      </c>
      <c r="F753">
        <v>80.319999999999993</v>
      </c>
      <c r="G753">
        <v>64824.56</v>
      </c>
      <c r="H753" s="14">
        <v>43767.833333333336</v>
      </c>
    </row>
    <row r="754" spans="1:8" x14ac:dyDescent="0.25">
      <c r="A754">
        <v>87</v>
      </c>
      <c r="B754" t="s">
        <v>216</v>
      </c>
      <c r="C754">
        <v>1</v>
      </c>
      <c r="D754">
        <v>0</v>
      </c>
      <c r="E754">
        <v>0</v>
      </c>
      <c r="F754">
        <v>105.8</v>
      </c>
      <c r="G754">
        <v>71146.94</v>
      </c>
      <c r="H754" s="14">
        <v>43767.833333333336</v>
      </c>
    </row>
    <row r="755" spans="1:8" x14ac:dyDescent="0.25">
      <c r="A755">
        <v>87</v>
      </c>
      <c r="B755" t="s">
        <v>216</v>
      </c>
      <c r="C755">
        <v>2</v>
      </c>
      <c r="D755">
        <v>0</v>
      </c>
      <c r="E755">
        <v>0</v>
      </c>
      <c r="F755">
        <v>106.18</v>
      </c>
      <c r="G755">
        <v>71273.52</v>
      </c>
      <c r="H755" s="14">
        <v>43767.833333333336</v>
      </c>
    </row>
    <row r="756" spans="1:8" x14ac:dyDescent="0.25">
      <c r="A756">
        <v>87</v>
      </c>
      <c r="B756" t="s">
        <v>216</v>
      </c>
      <c r="C756">
        <v>3</v>
      </c>
      <c r="D756">
        <v>0</v>
      </c>
      <c r="E756">
        <v>0</v>
      </c>
      <c r="F756">
        <v>107.83</v>
      </c>
      <c r="G756">
        <v>70832.539999999994</v>
      </c>
      <c r="H756" s="14">
        <v>43767.833333333336</v>
      </c>
    </row>
    <row r="757" spans="1:8" x14ac:dyDescent="0.25">
      <c r="A757">
        <v>87</v>
      </c>
      <c r="B757" t="s">
        <v>216</v>
      </c>
      <c r="C757">
        <v>4</v>
      </c>
      <c r="D757">
        <v>0</v>
      </c>
      <c r="E757">
        <v>0</v>
      </c>
      <c r="F757">
        <v>88.81</v>
      </c>
      <c r="G757">
        <v>65172.9</v>
      </c>
      <c r="H757" s="14">
        <v>43767.833333333336</v>
      </c>
    </row>
    <row r="758" spans="1:8" x14ac:dyDescent="0.25">
      <c r="A758">
        <v>87</v>
      </c>
      <c r="B758" t="s">
        <v>216</v>
      </c>
      <c r="C758">
        <v>5</v>
      </c>
      <c r="D758">
        <v>0</v>
      </c>
      <c r="E758">
        <v>0</v>
      </c>
      <c r="F758">
        <v>107.58</v>
      </c>
      <c r="G758">
        <v>73005.710000000006</v>
      </c>
      <c r="H758" s="14">
        <v>43767.833333333336</v>
      </c>
    </row>
    <row r="759" spans="1:8" x14ac:dyDescent="0.25">
      <c r="A759">
        <v>87</v>
      </c>
      <c r="B759" t="s">
        <v>216</v>
      </c>
      <c r="C759">
        <v>6</v>
      </c>
      <c r="D759">
        <v>0</v>
      </c>
      <c r="E759">
        <v>0</v>
      </c>
      <c r="F759">
        <v>107.44</v>
      </c>
      <c r="G759">
        <v>72639.009999999995</v>
      </c>
      <c r="H759" s="14">
        <v>43767.833333333336</v>
      </c>
    </row>
    <row r="760" spans="1:8" x14ac:dyDescent="0.25">
      <c r="A760">
        <v>87</v>
      </c>
      <c r="B760" t="s">
        <v>216</v>
      </c>
      <c r="C760">
        <v>7</v>
      </c>
      <c r="D760">
        <v>0</v>
      </c>
      <c r="E760">
        <v>0</v>
      </c>
      <c r="F760">
        <v>108.45</v>
      </c>
      <c r="G760">
        <v>71256.490000000005</v>
      </c>
      <c r="H760" s="14">
        <v>43767.833333333336</v>
      </c>
    </row>
    <row r="761" spans="1:8" x14ac:dyDescent="0.25">
      <c r="A761">
        <v>87</v>
      </c>
      <c r="B761" t="s">
        <v>216</v>
      </c>
      <c r="C761">
        <v>8</v>
      </c>
      <c r="D761">
        <v>0</v>
      </c>
      <c r="E761">
        <v>0</v>
      </c>
      <c r="F761">
        <v>105.75</v>
      </c>
      <c r="G761">
        <v>71380.94</v>
      </c>
      <c r="H761" s="14">
        <v>43767.833333333336</v>
      </c>
    </row>
    <row r="762" spans="1:8" x14ac:dyDescent="0.25">
      <c r="A762">
        <v>87</v>
      </c>
      <c r="B762" t="s">
        <v>216</v>
      </c>
      <c r="C762">
        <v>9</v>
      </c>
      <c r="D762">
        <v>0</v>
      </c>
      <c r="E762">
        <v>0</v>
      </c>
      <c r="F762">
        <v>109.3</v>
      </c>
      <c r="G762">
        <v>72522.759999999995</v>
      </c>
      <c r="H762" s="14">
        <v>43767.833333333336</v>
      </c>
    </row>
    <row r="763" spans="1:8" x14ac:dyDescent="0.25">
      <c r="A763">
        <v>87</v>
      </c>
      <c r="B763" t="s">
        <v>216</v>
      </c>
      <c r="C763">
        <v>10</v>
      </c>
      <c r="D763">
        <v>0</v>
      </c>
      <c r="E763">
        <v>0</v>
      </c>
      <c r="F763">
        <v>106.92</v>
      </c>
      <c r="G763">
        <v>71675.320000000007</v>
      </c>
      <c r="H763" s="14">
        <v>43767.833333333336</v>
      </c>
    </row>
    <row r="764" spans="1:8" x14ac:dyDescent="0.25">
      <c r="A764">
        <v>87</v>
      </c>
      <c r="B764" t="s">
        <v>216</v>
      </c>
      <c r="C764">
        <v>11</v>
      </c>
      <c r="D764">
        <v>0</v>
      </c>
      <c r="E764">
        <v>0</v>
      </c>
      <c r="F764">
        <v>106.64</v>
      </c>
      <c r="G764">
        <v>67574.62</v>
      </c>
      <c r="H764" s="14">
        <v>43767.833333333336</v>
      </c>
    </row>
    <row r="765" spans="1:8" x14ac:dyDescent="0.25">
      <c r="A765">
        <v>87</v>
      </c>
      <c r="B765" t="s">
        <v>216</v>
      </c>
      <c r="C765">
        <v>12</v>
      </c>
      <c r="D765">
        <v>0</v>
      </c>
      <c r="E765">
        <v>0</v>
      </c>
      <c r="F765">
        <v>107.55</v>
      </c>
      <c r="G765">
        <v>72390.929999999993</v>
      </c>
      <c r="H765" s="14">
        <v>43767.833333333336</v>
      </c>
    </row>
    <row r="766" spans="1:8" x14ac:dyDescent="0.25">
      <c r="A766">
        <v>87</v>
      </c>
      <c r="B766" t="s">
        <v>216</v>
      </c>
      <c r="C766">
        <v>13</v>
      </c>
      <c r="D766">
        <v>0</v>
      </c>
      <c r="E766">
        <v>0</v>
      </c>
      <c r="F766">
        <v>109.56</v>
      </c>
      <c r="G766">
        <v>72960.34</v>
      </c>
      <c r="H766" s="14">
        <v>43767.833333333336</v>
      </c>
    </row>
    <row r="767" spans="1:8" x14ac:dyDescent="0.25">
      <c r="A767">
        <v>87</v>
      </c>
      <c r="B767" t="s">
        <v>216</v>
      </c>
      <c r="C767">
        <v>14</v>
      </c>
      <c r="D767">
        <v>0</v>
      </c>
      <c r="E767">
        <v>0</v>
      </c>
      <c r="F767">
        <v>107.67</v>
      </c>
      <c r="G767">
        <v>72746.95</v>
      </c>
      <c r="H767" s="14">
        <v>43767.833333333336</v>
      </c>
    </row>
    <row r="768" spans="1:8" x14ac:dyDescent="0.25">
      <c r="A768">
        <v>87</v>
      </c>
      <c r="B768" t="s">
        <v>216</v>
      </c>
      <c r="C768">
        <v>15</v>
      </c>
      <c r="D768">
        <v>0</v>
      </c>
      <c r="E768">
        <v>0</v>
      </c>
      <c r="F768">
        <v>37.04</v>
      </c>
      <c r="G768">
        <v>22955.23</v>
      </c>
      <c r="H768" s="14">
        <v>43767.833333333336</v>
      </c>
    </row>
    <row r="769" spans="1:8" x14ac:dyDescent="0.25">
      <c r="A769">
        <v>88</v>
      </c>
      <c r="B769" t="s">
        <v>217</v>
      </c>
      <c r="C769">
        <v>1</v>
      </c>
      <c r="D769">
        <v>0</v>
      </c>
      <c r="E769">
        <v>0</v>
      </c>
      <c r="F769">
        <v>101.96</v>
      </c>
      <c r="G769">
        <v>71662.929999999993</v>
      </c>
      <c r="H769" s="14">
        <v>43767.833333333336</v>
      </c>
    </row>
    <row r="770" spans="1:8" x14ac:dyDescent="0.25">
      <c r="A770">
        <v>88</v>
      </c>
      <c r="B770" t="s">
        <v>217</v>
      </c>
      <c r="C770">
        <v>2</v>
      </c>
      <c r="D770">
        <v>0</v>
      </c>
      <c r="E770">
        <v>0</v>
      </c>
      <c r="F770">
        <v>104.52</v>
      </c>
      <c r="G770">
        <v>72014.47</v>
      </c>
      <c r="H770" s="14">
        <v>43767.833333333336</v>
      </c>
    </row>
    <row r="771" spans="1:8" x14ac:dyDescent="0.25">
      <c r="A771">
        <v>88</v>
      </c>
      <c r="B771" t="s">
        <v>217</v>
      </c>
      <c r="C771">
        <v>3</v>
      </c>
      <c r="D771">
        <v>0</v>
      </c>
      <c r="E771">
        <v>0</v>
      </c>
      <c r="F771">
        <v>105.05</v>
      </c>
      <c r="G771">
        <v>71336.820000000007</v>
      </c>
      <c r="H771" s="14">
        <v>43767.833333333336</v>
      </c>
    </row>
    <row r="772" spans="1:8" x14ac:dyDescent="0.25">
      <c r="A772">
        <v>88</v>
      </c>
      <c r="B772" t="s">
        <v>217</v>
      </c>
      <c r="C772">
        <v>4</v>
      </c>
      <c r="D772">
        <v>0</v>
      </c>
      <c r="E772">
        <v>0</v>
      </c>
      <c r="F772">
        <v>110.85</v>
      </c>
      <c r="G772">
        <v>72139.679999999993</v>
      </c>
      <c r="H772" s="14">
        <v>43767.833333333336</v>
      </c>
    </row>
    <row r="773" spans="1:8" x14ac:dyDescent="0.25">
      <c r="A773">
        <v>88</v>
      </c>
      <c r="B773" t="s">
        <v>217</v>
      </c>
      <c r="C773">
        <v>5</v>
      </c>
      <c r="D773">
        <v>0</v>
      </c>
      <c r="E773">
        <v>0</v>
      </c>
      <c r="F773">
        <v>110.8</v>
      </c>
      <c r="G773">
        <v>73302.460000000006</v>
      </c>
      <c r="H773" s="14">
        <v>43767.833333333336</v>
      </c>
    </row>
    <row r="774" spans="1:8" x14ac:dyDescent="0.25">
      <c r="A774">
        <v>88</v>
      </c>
      <c r="B774" t="s">
        <v>217</v>
      </c>
      <c r="C774">
        <v>6</v>
      </c>
      <c r="D774">
        <v>0</v>
      </c>
      <c r="E774">
        <v>0</v>
      </c>
      <c r="F774">
        <v>113.42</v>
      </c>
      <c r="G774">
        <v>73845.919999999998</v>
      </c>
      <c r="H774" s="14">
        <v>43767.833333333336</v>
      </c>
    </row>
    <row r="775" spans="1:8" x14ac:dyDescent="0.25">
      <c r="A775">
        <v>88</v>
      </c>
      <c r="B775" t="s">
        <v>217</v>
      </c>
      <c r="C775">
        <v>7</v>
      </c>
      <c r="D775">
        <v>0</v>
      </c>
      <c r="E775">
        <v>0</v>
      </c>
      <c r="F775">
        <v>111.24</v>
      </c>
      <c r="G775">
        <v>73192.83</v>
      </c>
      <c r="H775" s="14">
        <v>43767.833333333336</v>
      </c>
    </row>
    <row r="776" spans="1:8" x14ac:dyDescent="0.25">
      <c r="A776">
        <v>88</v>
      </c>
      <c r="B776" t="s">
        <v>217</v>
      </c>
      <c r="C776">
        <v>8</v>
      </c>
      <c r="D776">
        <v>0</v>
      </c>
      <c r="E776">
        <v>0</v>
      </c>
      <c r="F776">
        <v>111.48</v>
      </c>
      <c r="G776">
        <v>74676.960000000006</v>
      </c>
      <c r="H776" s="14">
        <v>43767.833333333336</v>
      </c>
    </row>
    <row r="777" spans="1:8" x14ac:dyDescent="0.25">
      <c r="A777">
        <v>88</v>
      </c>
      <c r="B777" t="s">
        <v>217</v>
      </c>
      <c r="C777">
        <v>9</v>
      </c>
      <c r="D777">
        <v>0</v>
      </c>
      <c r="E777">
        <v>0</v>
      </c>
      <c r="F777">
        <v>112.86</v>
      </c>
      <c r="G777">
        <v>75004.639999999999</v>
      </c>
      <c r="H777" s="14">
        <v>43767.833333333336</v>
      </c>
    </row>
    <row r="778" spans="1:8" x14ac:dyDescent="0.25">
      <c r="A778">
        <v>88</v>
      </c>
      <c r="B778" t="s">
        <v>217</v>
      </c>
      <c r="C778">
        <v>10</v>
      </c>
      <c r="D778">
        <v>0</v>
      </c>
      <c r="E778">
        <v>0</v>
      </c>
      <c r="F778">
        <v>109.77</v>
      </c>
      <c r="G778">
        <v>72990.66</v>
      </c>
      <c r="H778" s="14">
        <v>43767.833333333336</v>
      </c>
    </row>
    <row r="779" spans="1:8" x14ac:dyDescent="0.25">
      <c r="A779">
        <v>88</v>
      </c>
      <c r="B779" t="s">
        <v>217</v>
      </c>
      <c r="C779">
        <v>11</v>
      </c>
      <c r="D779">
        <v>0</v>
      </c>
      <c r="E779">
        <v>0</v>
      </c>
      <c r="F779">
        <v>113.16</v>
      </c>
      <c r="G779">
        <v>73526.44</v>
      </c>
      <c r="H779" s="14">
        <v>43767.833333333336</v>
      </c>
    </row>
    <row r="780" spans="1:8" x14ac:dyDescent="0.25">
      <c r="A780">
        <v>88</v>
      </c>
      <c r="B780" t="s">
        <v>217</v>
      </c>
      <c r="C780">
        <v>12</v>
      </c>
      <c r="D780">
        <v>0</v>
      </c>
      <c r="E780">
        <v>0</v>
      </c>
      <c r="F780">
        <v>110.58</v>
      </c>
      <c r="G780">
        <v>73449.09</v>
      </c>
      <c r="H780" s="14">
        <v>43767.833333333336</v>
      </c>
    </row>
    <row r="781" spans="1:8" x14ac:dyDescent="0.25">
      <c r="A781">
        <v>88</v>
      </c>
      <c r="B781" t="s">
        <v>217</v>
      </c>
      <c r="C781">
        <v>13</v>
      </c>
      <c r="D781">
        <v>0</v>
      </c>
      <c r="E781">
        <v>0</v>
      </c>
      <c r="F781">
        <v>111.35</v>
      </c>
      <c r="G781">
        <v>73392.36</v>
      </c>
      <c r="H781" s="14">
        <v>43767.833333333336</v>
      </c>
    </row>
    <row r="782" spans="1:8" x14ac:dyDescent="0.25">
      <c r="A782">
        <v>88</v>
      </c>
      <c r="B782" t="s">
        <v>217</v>
      </c>
      <c r="C782">
        <v>14</v>
      </c>
      <c r="D782">
        <v>0</v>
      </c>
      <c r="E782">
        <v>0</v>
      </c>
      <c r="F782">
        <v>111.17</v>
      </c>
      <c r="G782">
        <v>72081.47</v>
      </c>
      <c r="H782" s="14">
        <v>43767.833333333336</v>
      </c>
    </row>
    <row r="783" spans="1:8" x14ac:dyDescent="0.25">
      <c r="A783">
        <v>88</v>
      </c>
      <c r="B783" t="s">
        <v>217</v>
      </c>
      <c r="C783">
        <v>15</v>
      </c>
      <c r="D783">
        <v>0</v>
      </c>
      <c r="E783">
        <v>0</v>
      </c>
      <c r="F783">
        <v>30.19</v>
      </c>
      <c r="G783">
        <v>24244.02</v>
      </c>
      <c r="H783" s="14">
        <v>43767.833333333336</v>
      </c>
    </row>
    <row r="784" spans="1:8" x14ac:dyDescent="0.25">
      <c r="A784">
        <v>89</v>
      </c>
      <c r="B784" t="s">
        <v>218</v>
      </c>
      <c r="C784">
        <v>1</v>
      </c>
      <c r="D784">
        <v>0</v>
      </c>
      <c r="E784">
        <v>0</v>
      </c>
      <c r="F784">
        <v>108.67</v>
      </c>
      <c r="G784">
        <v>71598.25</v>
      </c>
      <c r="H784" s="14">
        <v>43767.833333333336</v>
      </c>
    </row>
    <row r="785" spans="1:8" x14ac:dyDescent="0.25">
      <c r="A785">
        <v>89</v>
      </c>
      <c r="B785" t="s">
        <v>218</v>
      </c>
      <c r="C785">
        <v>2</v>
      </c>
      <c r="D785">
        <v>0</v>
      </c>
      <c r="E785">
        <v>0</v>
      </c>
      <c r="F785">
        <v>104.5</v>
      </c>
      <c r="G785">
        <v>69090.17</v>
      </c>
      <c r="H785" s="14">
        <v>43767.833333333336</v>
      </c>
    </row>
    <row r="786" spans="1:8" x14ac:dyDescent="0.25">
      <c r="A786">
        <v>89</v>
      </c>
      <c r="B786" t="s">
        <v>218</v>
      </c>
      <c r="C786">
        <v>3</v>
      </c>
      <c r="D786">
        <v>0</v>
      </c>
      <c r="E786">
        <v>0</v>
      </c>
      <c r="F786">
        <v>104.1</v>
      </c>
      <c r="G786">
        <v>68939.87</v>
      </c>
      <c r="H786" s="14">
        <v>43767.833333333336</v>
      </c>
    </row>
    <row r="787" spans="1:8" x14ac:dyDescent="0.25">
      <c r="A787">
        <v>89</v>
      </c>
      <c r="B787" t="s">
        <v>218</v>
      </c>
      <c r="C787">
        <v>4</v>
      </c>
      <c r="D787">
        <v>0</v>
      </c>
      <c r="E787">
        <v>0</v>
      </c>
      <c r="F787">
        <v>114.4</v>
      </c>
      <c r="G787">
        <v>75033.52</v>
      </c>
      <c r="H787" s="14">
        <v>43767.833333333336</v>
      </c>
    </row>
    <row r="788" spans="1:8" x14ac:dyDescent="0.25">
      <c r="A788">
        <v>89</v>
      </c>
      <c r="B788" t="s">
        <v>218</v>
      </c>
      <c r="C788">
        <v>5</v>
      </c>
      <c r="D788">
        <v>0</v>
      </c>
      <c r="E788">
        <v>0</v>
      </c>
      <c r="F788">
        <v>115.76</v>
      </c>
      <c r="G788">
        <v>76874.759999999995</v>
      </c>
      <c r="H788" s="14">
        <v>43767.833333333336</v>
      </c>
    </row>
    <row r="789" spans="1:8" x14ac:dyDescent="0.25">
      <c r="A789">
        <v>89</v>
      </c>
      <c r="B789" t="s">
        <v>218</v>
      </c>
      <c r="C789">
        <v>6</v>
      </c>
      <c r="D789">
        <v>0</v>
      </c>
      <c r="E789">
        <v>0</v>
      </c>
      <c r="F789">
        <v>116.44</v>
      </c>
      <c r="G789">
        <v>77050.91</v>
      </c>
      <c r="H789" s="14">
        <v>43767.833333333336</v>
      </c>
    </row>
    <row r="790" spans="1:8" x14ac:dyDescent="0.25">
      <c r="A790">
        <v>89</v>
      </c>
      <c r="B790" t="s">
        <v>218</v>
      </c>
      <c r="C790">
        <v>7</v>
      </c>
      <c r="D790">
        <v>0</v>
      </c>
      <c r="E790">
        <v>0</v>
      </c>
      <c r="F790">
        <v>113.06</v>
      </c>
      <c r="G790">
        <v>75611.19</v>
      </c>
      <c r="H790" s="14">
        <v>43767.833333333336</v>
      </c>
    </row>
    <row r="791" spans="1:8" x14ac:dyDescent="0.25">
      <c r="A791">
        <v>89</v>
      </c>
      <c r="B791" t="s">
        <v>218</v>
      </c>
      <c r="C791">
        <v>8</v>
      </c>
      <c r="D791">
        <v>0</v>
      </c>
      <c r="E791">
        <v>0</v>
      </c>
      <c r="F791">
        <v>109.55</v>
      </c>
      <c r="G791">
        <v>75163.58</v>
      </c>
      <c r="H791" s="14">
        <v>43767.833333333336</v>
      </c>
    </row>
    <row r="792" spans="1:8" x14ac:dyDescent="0.25">
      <c r="A792">
        <v>89</v>
      </c>
      <c r="B792" t="s">
        <v>218</v>
      </c>
      <c r="C792">
        <v>9</v>
      </c>
      <c r="D792">
        <v>0</v>
      </c>
      <c r="E792">
        <v>0</v>
      </c>
      <c r="F792">
        <v>111.23</v>
      </c>
      <c r="G792">
        <v>75469.31</v>
      </c>
      <c r="H792" s="14">
        <v>43767.833333333336</v>
      </c>
    </row>
    <row r="793" spans="1:8" x14ac:dyDescent="0.25">
      <c r="A793">
        <v>89</v>
      </c>
      <c r="B793" t="s">
        <v>218</v>
      </c>
      <c r="C793">
        <v>10</v>
      </c>
      <c r="D793">
        <v>0</v>
      </c>
      <c r="E793">
        <v>0</v>
      </c>
      <c r="F793">
        <v>105.07</v>
      </c>
      <c r="G793">
        <v>73799.27</v>
      </c>
      <c r="H793" s="14">
        <v>43767.833333333336</v>
      </c>
    </row>
    <row r="794" spans="1:8" x14ac:dyDescent="0.25">
      <c r="A794">
        <v>89</v>
      </c>
      <c r="B794" t="s">
        <v>218</v>
      </c>
      <c r="C794">
        <v>11</v>
      </c>
      <c r="D794">
        <v>0</v>
      </c>
      <c r="E794">
        <v>0</v>
      </c>
      <c r="F794">
        <v>102.89</v>
      </c>
      <c r="G794">
        <v>71741.33</v>
      </c>
      <c r="H794" s="14">
        <v>43767.833333333336</v>
      </c>
    </row>
    <row r="795" spans="1:8" x14ac:dyDescent="0.25">
      <c r="A795">
        <v>89</v>
      </c>
      <c r="B795" t="s">
        <v>218</v>
      </c>
      <c r="C795">
        <v>12</v>
      </c>
      <c r="D795">
        <v>0</v>
      </c>
      <c r="E795">
        <v>0</v>
      </c>
      <c r="F795">
        <v>109.8</v>
      </c>
      <c r="G795">
        <v>74281.570000000007</v>
      </c>
      <c r="H795" s="14">
        <v>43767.833333333336</v>
      </c>
    </row>
    <row r="796" spans="1:8" x14ac:dyDescent="0.25">
      <c r="A796">
        <v>89</v>
      </c>
      <c r="B796" t="s">
        <v>218</v>
      </c>
      <c r="C796">
        <v>13</v>
      </c>
      <c r="D796">
        <v>0</v>
      </c>
      <c r="E796">
        <v>0</v>
      </c>
      <c r="F796">
        <v>107.55</v>
      </c>
      <c r="G796">
        <v>73843.429999999993</v>
      </c>
      <c r="H796" s="14">
        <v>43767.833333333336</v>
      </c>
    </row>
    <row r="797" spans="1:8" x14ac:dyDescent="0.25">
      <c r="A797">
        <v>89</v>
      </c>
      <c r="B797" t="s">
        <v>218</v>
      </c>
      <c r="C797">
        <v>14</v>
      </c>
      <c r="D797">
        <v>0</v>
      </c>
      <c r="E797">
        <v>0</v>
      </c>
      <c r="F797">
        <v>102.34</v>
      </c>
      <c r="G797">
        <v>67780.509999999995</v>
      </c>
      <c r="H797" s="14">
        <v>43767.833333333336</v>
      </c>
    </row>
    <row r="798" spans="1:8" x14ac:dyDescent="0.25">
      <c r="A798">
        <v>89</v>
      </c>
      <c r="B798" t="s">
        <v>218</v>
      </c>
      <c r="C798">
        <v>15</v>
      </c>
      <c r="D798">
        <v>0</v>
      </c>
      <c r="E798">
        <v>0</v>
      </c>
      <c r="F798">
        <v>66.73</v>
      </c>
      <c r="G798">
        <v>44736.26</v>
      </c>
      <c r="H798" s="14">
        <v>43767.833333333336</v>
      </c>
    </row>
    <row r="799" spans="1:8" x14ac:dyDescent="0.25">
      <c r="A799">
        <v>90</v>
      </c>
      <c r="B799" t="s">
        <v>219</v>
      </c>
      <c r="C799">
        <v>1</v>
      </c>
      <c r="D799">
        <v>0</v>
      </c>
      <c r="E799">
        <v>0</v>
      </c>
      <c r="F799">
        <v>85.52</v>
      </c>
      <c r="G799">
        <v>60560.67</v>
      </c>
      <c r="H799" s="14">
        <v>43767.833333333336</v>
      </c>
    </row>
    <row r="800" spans="1:8" x14ac:dyDescent="0.25">
      <c r="A800">
        <v>90</v>
      </c>
      <c r="B800" t="s">
        <v>219</v>
      </c>
      <c r="C800">
        <v>2</v>
      </c>
      <c r="D800">
        <v>0</v>
      </c>
      <c r="E800">
        <v>0</v>
      </c>
      <c r="F800">
        <v>105.2</v>
      </c>
      <c r="G800">
        <v>69313.37</v>
      </c>
      <c r="H800" s="14">
        <v>43767.833333333336</v>
      </c>
    </row>
    <row r="801" spans="1:8" x14ac:dyDescent="0.25">
      <c r="A801">
        <v>90</v>
      </c>
      <c r="B801" t="s">
        <v>219</v>
      </c>
      <c r="C801">
        <v>3</v>
      </c>
      <c r="D801">
        <v>0</v>
      </c>
      <c r="E801">
        <v>0</v>
      </c>
      <c r="F801">
        <v>114.91</v>
      </c>
      <c r="G801">
        <v>76283.710000000006</v>
      </c>
      <c r="H801" s="14">
        <v>43767.833333333336</v>
      </c>
    </row>
    <row r="802" spans="1:8" x14ac:dyDescent="0.25">
      <c r="A802">
        <v>90</v>
      </c>
      <c r="B802" t="s">
        <v>219</v>
      </c>
      <c r="C802">
        <v>4</v>
      </c>
      <c r="D802">
        <v>0</v>
      </c>
      <c r="E802">
        <v>0</v>
      </c>
      <c r="F802">
        <v>114.71</v>
      </c>
      <c r="G802">
        <v>76425.97</v>
      </c>
      <c r="H802" s="14">
        <v>43767.833333333336</v>
      </c>
    </row>
    <row r="803" spans="1:8" x14ac:dyDescent="0.25">
      <c r="A803">
        <v>90</v>
      </c>
      <c r="B803" t="s">
        <v>219</v>
      </c>
      <c r="C803">
        <v>5</v>
      </c>
      <c r="D803">
        <v>0</v>
      </c>
      <c r="E803">
        <v>0</v>
      </c>
      <c r="F803">
        <v>101.05</v>
      </c>
      <c r="G803">
        <v>69971.05</v>
      </c>
      <c r="H803" s="14">
        <v>43767.833333333336</v>
      </c>
    </row>
    <row r="804" spans="1:8" x14ac:dyDescent="0.25">
      <c r="A804">
        <v>90</v>
      </c>
      <c r="B804" t="s">
        <v>219</v>
      </c>
      <c r="C804">
        <v>6</v>
      </c>
      <c r="D804">
        <v>0</v>
      </c>
      <c r="E804">
        <v>0</v>
      </c>
      <c r="F804">
        <v>105.57</v>
      </c>
      <c r="G804">
        <v>72036.009999999995</v>
      </c>
      <c r="H804" s="14">
        <v>43767.833333333336</v>
      </c>
    </row>
    <row r="805" spans="1:8" x14ac:dyDescent="0.25">
      <c r="A805">
        <v>90</v>
      </c>
      <c r="B805" t="s">
        <v>219</v>
      </c>
      <c r="C805">
        <v>7</v>
      </c>
      <c r="D805">
        <v>0</v>
      </c>
      <c r="E805">
        <v>0</v>
      </c>
      <c r="F805">
        <v>101.64</v>
      </c>
      <c r="G805">
        <v>57856.66</v>
      </c>
      <c r="H805" s="14">
        <v>43767.833333333336</v>
      </c>
    </row>
    <row r="806" spans="1:8" x14ac:dyDescent="0.25">
      <c r="A806">
        <v>90</v>
      </c>
      <c r="B806" t="s">
        <v>219</v>
      </c>
      <c r="C806">
        <v>8</v>
      </c>
      <c r="D806">
        <v>0</v>
      </c>
      <c r="E806">
        <v>0</v>
      </c>
      <c r="F806">
        <v>101.67</v>
      </c>
      <c r="G806">
        <v>67956.61</v>
      </c>
      <c r="H806" s="14">
        <v>43767.833333333336</v>
      </c>
    </row>
    <row r="807" spans="1:8" x14ac:dyDescent="0.25">
      <c r="A807">
        <v>90</v>
      </c>
      <c r="B807" t="s">
        <v>219</v>
      </c>
      <c r="C807">
        <v>9</v>
      </c>
      <c r="D807">
        <v>0</v>
      </c>
      <c r="E807">
        <v>0</v>
      </c>
      <c r="F807">
        <v>102.97</v>
      </c>
      <c r="G807">
        <v>68234.399999999994</v>
      </c>
      <c r="H807" s="14">
        <v>43767.833333333336</v>
      </c>
    </row>
    <row r="808" spans="1:8" x14ac:dyDescent="0.25">
      <c r="A808">
        <v>90</v>
      </c>
      <c r="B808" t="s">
        <v>219</v>
      </c>
      <c r="C808">
        <v>10</v>
      </c>
      <c r="D808">
        <v>0</v>
      </c>
      <c r="E808">
        <v>0</v>
      </c>
      <c r="F808">
        <v>89.13</v>
      </c>
      <c r="G808">
        <v>70331.649999999994</v>
      </c>
      <c r="H808" s="14">
        <v>43767.833333333336</v>
      </c>
    </row>
    <row r="809" spans="1:8" x14ac:dyDescent="0.25">
      <c r="A809">
        <v>90</v>
      </c>
      <c r="B809" t="s">
        <v>219</v>
      </c>
      <c r="C809">
        <v>11</v>
      </c>
      <c r="D809">
        <v>0</v>
      </c>
      <c r="E809">
        <v>0</v>
      </c>
      <c r="F809">
        <v>108.13</v>
      </c>
      <c r="G809">
        <v>74994.8</v>
      </c>
      <c r="H809" s="14">
        <v>43767.833333333336</v>
      </c>
    </row>
    <row r="810" spans="1:8" x14ac:dyDescent="0.25">
      <c r="A810">
        <v>90</v>
      </c>
      <c r="B810" t="s">
        <v>219</v>
      </c>
      <c r="C810">
        <v>12</v>
      </c>
      <c r="D810">
        <v>0</v>
      </c>
      <c r="E810">
        <v>0</v>
      </c>
      <c r="F810">
        <v>109.57</v>
      </c>
      <c r="G810">
        <v>75228.67</v>
      </c>
      <c r="H810" s="14">
        <v>43767.833333333336</v>
      </c>
    </row>
    <row r="811" spans="1:8" x14ac:dyDescent="0.25">
      <c r="A811">
        <v>90</v>
      </c>
      <c r="B811" t="s">
        <v>219</v>
      </c>
      <c r="C811">
        <v>13</v>
      </c>
      <c r="D811">
        <v>0</v>
      </c>
      <c r="E811">
        <v>0</v>
      </c>
      <c r="F811">
        <v>111.29</v>
      </c>
      <c r="G811">
        <v>75688.08</v>
      </c>
      <c r="H811" s="14">
        <v>43767.833333333336</v>
      </c>
    </row>
    <row r="812" spans="1:8" x14ac:dyDescent="0.25">
      <c r="A812">
        <v>90</v>
      </c>
      <c r="B812" t="s">
        <v>219</v>
      </c>
      <c r="C812">
        <v>14</v>
      </c>
      <c r="D812">
        <v>0</v>
      </c>
      <c r="E812">
        <v>0</v>
      </c>
      <c r="F812">
        <v>115.3</v>
      </c>
      <c r="G812">
        <v>77031.7</v>
      </c>
      <c r="H812" s="14">
        <v>43767.833333333336</v>
      </c>
    </row>
    <row r="813" spans="1:8" x14ac:dyDescent="0.25">
      <c r="A813">
        <v>90</v>
      </c>
      <c r="B813" t="s">
        <v>219</v>
      </c>
      <c r="C813">
        <v>15</v>
      </c>
      <c r="D813">
        <v>0</v>
      </c>
      <c r="E813">
        <v>0</v>
      </c>
      <c r="F813">
        <v>75.09</v>
      </c>
      <c r="G813">
        <v>50168.72</v>
      </c>
      <c r="H813" s="14">
        <v>43767.833333333336</v>
      </c>
    </row>
    <row r="814" spans="1:8" x14ac:dyDescent="0.25">
      <c r="A814">
        <v>91</v>
      </c>
      <c r="B814" t="s">
        <v>220</v>
      </c>
      <c r="C814">
        <v>1</v>
      </c>
      <c r="D814">
        <v>0</v>
      </c>
      <c r="E814">
        <v>0</v>
      </c>
      <c r="F814">
        <v>0</v>
      </c>
      <c r="G814">
        <v>0</v>
      </c>
      <c r="H814" s="14">
        <v>43760.336805555555</v>
      </c>
    </row>
    <row r="815" spans="1:8" x14ac:dyDescent="0.25">
      <c r="A815">
        <v>91</v>
      </c>
      <c r="B815" t="s">
        <v>220</v>
      </c>
      <c r="C815">
        <v>2</v>
      </c>
      <c r="D815">
        <v>0</v>
      </c>
      <c r="E815">
        <v>0</v>
      </c>
      <c r="F815">
        <v>0</v>
      </c>
      <c r="G815">
        <v>0</v>
      </c>
      <c r="H815" s="14">
        <v>43760.336805555555</v>
      </c>
    </row>
    <row r="816" spans="1:8" x14ac:dyDescent="0.25">
      <c r="A816">
        <v>91</v>
      </c>
      <c r="B816" t="s">
        <v>220</v>
      </c>
      <c r="C816">
        <v>3</v>
      </c>
      <c r="D816">
        <v>0</v>
      </c>
      <c r="E816">
        <v>0</v>
      </c>
      <c r="F816">
        <v>0</v>
      </c>
      <c r="G816">
        <v>0</v>
      </c>
      <c r="H816" s="14">
        <v>43760.336805555555</v>
      </c>
    </row>
    <row r="817" spans="1:8" x14ac:dyDescent="0.25">
      <c r="A817">
        <v>91</v>
      </c>
      <c r="B817" t="s">
        <v>220</v>
      </c>
      <c r="C817">
        <v>4</v>
      </c>
      <c r="D817">
        <v>0</v>
      </c>
      <c r="E817">
        <v>0</v>
      </c>
      <c r="F817">
        <v>0</v>
      </c>
      <c r="G817">
        <v>0</v>
      </c>
      <c r="H817" s="14">
        <v>43760.336805555555</v>
      </c>
    </row>
    <row r="818" spans="1:8" x14ac:dyDescent="0.25">
      <c r="A818">
        <v>91</v>
      </c>
      <c r="B818" t="s">
        <v>220</v>
      </c>
      <c r="C818">
        <v>5</v>
      </c>
      <c r="D818">
        <v>0</v>
      </c>
      <c r="E818">
        <v>0</v>
      </c>
      <c r="F818">
        <v>0</v>
      </c>
      <c r="G818">
        <v>0</v>
      </c>
      <c r="H818" s="14">
        <v>43760.336805555555</v>
      </c>
    </row>
    <row r="819" spans="1:8" x14ac:dyDescent="0.25">
      <c r="A819">
        <v>91</v>
      </c>
      <c r="B819" t="s">
        <v>220</v>
      </c>
      <c r="C819">
        <v>6</v>
      </c>
      <c r="D819">
        <v>0</v>
      </c>
      <c r="E819">
        <v>0</v>
      </c>
      <c r="F819">
        <v>0</v>
      </c>
      <c r="G819">
        <v>0</v>
      </c>
      <c r="H819" s="14">
        <v>43760.336805555555</v>
      </c>
    </row>
    <row r="820" spans="1:8" x14ac:dyDescent="0.25">
      <c r="A820">
        <v>91</v>
      </c>
      <c r="B820" t="s">
        <v>220</v>
      </c>
      <c r="C820">
        <v>7</v>
      </c>
      <c r="D820">
        <v>0</v>
      </c>
      <c r="E820">
        <v>0</v>
      </c>
      <c r="F820">
        <v>0</v>
      </c>
      <c r="G820">
        <v>0</v>
      </c>
      <c r="H820" s="14">
        <v>43760.336805555555</v>
      </c>
    </row>
    <row r="821" spans="1:8" x14ac:dyDescent="0.25">
      <c r="A821">
        <v>91</v>
      </c>
      <c r="B821" t="s">
        <v>220</v>
      </c>
      <c r="C821">
        <v>8</v>
      </c>
      <c r="D821">
        <v>0</v>
      </c>
      <c r="E821">
        <v>0</v>
      </c>
      <c r="F821">
        <v>0</v>
      </c>
      <c r="G821">
        <v>0</v>
      </c>
      <c r="H821" s="14">
        <v>43760.336805555555</v>
      </c>
    </row>
    <row r="822" spans="1:8" x14ac:dyDescent="0.25">
      <c r="A822">
        <v>91</v>
      </c>
      <c r="B822" t="s">
        <v>220</v>
      </c>
      <c r="C822">
        <v>9</v>
      </c>
      <c r="D822">
        <v>0</v>
      </c>
      <c r="E822">
        <v>0</v>
      </c>
      <c r="F822">
        <v>0</v>
      </c>
      <c r="G822">
        <v>0</v>
      </c>
      <c r="H822" s="14">
        <v>43760.336805555555</v>
      </c>
    </row>
    <row r="823" spans="1:8" x14ac:dyDescent="0.25">
      <c r="A823">
        <v>91</v>
      </c>
      <c r="B823" t="s">
        <v>220</v>
      </c>
      <c r="C823">
        <v>10</v>
      </c>
      <c r="D823">
        <v>0</v>
      </c>
      <c r="E823">
        <v>0</v>
      </c>
      <c r="F823">
        <v>0</v>
      </c>
      <c r="G823">
        <v>0</v>
      </c>
      <c r="H823" s="14">
        <v>43760.336805555555</v>
      </c>
    </row>
    <row r="824" spans="1:8" x14ac:dyDescent="0.25">
      <c r="A824">
        <v>91</v>
      </c>
      <c r="B824" t="s">
        <v>220</v>
      </c>
      <c r="C824">
        <v>11</v>
      </c>
      <c r="D824">
        <v>0</v>
      </c>
      <c r="E824">
        <v>0</v>
      </c>
      <c r="F824">
        <v>0</v>
      </c>
      <c r="G824">
        <v>0</v>
      </c>
      <c r="H824" s="14">
        <v>43760.336805555555</v>
      </c>
    </row>
    <row r="825" spans="1:8" x14ac:dyDescent="0.25">
      <c r="A825">
        <v>91</v>
      </c>
      <c r="B825" t="s">
        <v>220</v>
      </c>
      <c r="C825">
        <v>12</v>
      </c>
      <c r="D825">
        <v>0</v>
      </c>
      <c r="E825">
        <v>0</v>
      </c>
      <c r="F825">
        <v>0</v>
      </c>
      <c r="G825">
        <v>0</v>
      </c>
      <c r="H825" s="14">
        <v>43760.336805555555</v>
      </c>
    </row>
    <row r="826" spans="1:8" x14ac:dyDescent="0.25">
      <c r="A826">
        <v>91</v>
      </c>
      <c r="B826" t="s">
        <v>220</v>
      </c>
      <c r="C826">
        <v>13</v>
      </c>
      <c r="D826">
        <v>0</v>
      </c>
      <c r="E826">
        <v>0</v>
      </c>
      <c r="F826">
        <v>0</v>
      </c>
      <c r="G826">
        <v>0</v>
      </c>
      <c r="H826" s="14">
        <v>43760.336805555555</v>
      </c>
    </row>
    <row r="827" spans="1:8" x14ac:dyDescent="0.25">
      <c r="A827">
        <v>91</v>
      </c>
      <c r="B827" t="s">
        <v>220</v>
      </c>
      <c r="C827">
        <v>14</v>
      </c>
      <c r="D827">
        <v>0</v>
      </c>
      <c r="E827">
        <v>0</v>
      </c>
      <c r="F827">
        <v>0</v>
      </c>
      <c r="G827">
        <v>0</v>
      </c>
      <c r="H827" s="14">
        <v>43760.336805555555</v>
      </c>
    </row>
    <row r="828" spans="1:8" x14ac:dyDescent="0.25">
      <c r="A828">
        <v>91</v>
      </c>
      <c r="B828" t="s">
        <v>220</v>
      </c>
      <c r="C828">
        <v>15</v>
      </c>
      <c r="D828">
        <v>0</v>
      </c>
      <c r="E828">
        <v>0</v>
      </c>
      <c r="F828">
        <v>0</v>
      </c>
      <c r="G828">
        <v>0</v>
      </c>
      <c r="H828" s="14">
        <v>43760.336805555555</v>
      </c>
    </row>
    <row r="829" spans="1:8" x14ac:dyDescent="0.25">
      <c r="A829">
        <v>92</v>
      </c>
      <c r="B829" t="s">
        <v>222</v>
      </c>
      <c r="C829">
        <v>1</v>
      </c>
      <c r="D829">
        <v>0</v>
      </c>
      <c r="E829">
        <v>0</v>
      </c>
      <c r="F829">
        <v>26.5</v>
      </c>
      <c r="G829">
        <v>83823.25</v>
      </c>
      <c r="H829" s="14">
        <v>43767.833333333336</v>
      </c>
    </row>
    <row r="830" spans="1:8" x14ac:dyDescent="0.25">
      <c r="A830">
        <v>92</v>
      </c>
      <c r="B830" t="s">
        <v>222</v>
      </c>
      <c r="C830">
        <v>2</v>
      </c>
      <c r="D830">
        <v>0</v>
      </c>
      <c r="E830">
        <v>0</v>
      </c>
      <c r="F830">
        <v>26.37</v>
      </c>
      <c r="G830">
        <v>83710.75</v>
      </c>
      <c r="H830" s="14">
        <v>43767.833333333336</v>
      </c>
    </row>
    <row r="831" spans="1:8" x14ac:dyDescent="0.25">
      <c r="A831">
        <v>92</v>
      </c>
      <c r="B831" t="s">
        <v>222</v>
      </c>
      <c r="C831">
        <v>3</v>
      </c>
      <c r="D831">
        <v>0</v>
      </c>
      <c r="E831">
        <v>0</v>
      </c>
      <c r="F831">
        <v>26.48</v>
      </c>
      <c r="G831">
        <v>84409.39</v>
      </c>
      <c r="H831" s="14">
        <v>43767.833333333336</v>
      </c>
    </row>
    <row r="832" spans="1:8" x14ac:dyDescent="0.25">
      <c r="A832">
        <v>92</v>
      </c>
      <c r="B832" t="s">
        <v>222</v>
      </c>
      <c r="C832">
        <v>4</v>
      </c>
      <c r="D832">
        <v>0</v>
      </c>
      <c r="E832">
        <v>0</v>
      </c>
      <c r="F832">
        <v>26.37</v>
      </c>
      <c r="G832">
        <v>84076.73</v>
      </c>
      <c r="H832" s="14">
        <v>43767.833333333336</v>
      </c>
    </row>
    <row r="833" spans="1:8" x14ac:dyDescent="0.25">
      <c r="A833">
        <v>92</v>
      </c>
      <c r="B833" t="s">
        <v>222</v>
      </c>
      <c r="C833">
        <v>5</v>
      </c>
      <c r="D833">
        <v>0</v>
      </c>
      <c r="E833">
        <v>0</v>
      </c>
      <c r="F833">
        <v>26.35</v>
      </c>
      <c r="G833">
        <v>83146.740000000005</v>
      </c>
      <c r="H833" s="14">
        <v>43767.833333333336</v>
      </c>
    </row>
    <row r="834" spans="1:8" x14ac:dyDescent="0.25">
      <c r="A834">
        <v>92</v>
      </c>
      <c r="B834" t="s">
        <v>222</v>
      </c>
      <c r="C834">
        <v>6</v>
      </c>
      <c r="D834">
        <v>0</v>
      </c>
      <c r="E834">
        <v>0</v>
      </c>
      <c r="F834">
        <v>26.78</v>
      </c>
      <c r="G834">
        <v>83987.44</v>
      </c>
      <c r="H834" s="14">
        <v>43767.833333333336</v>
      </c>
    </row>
    <row r="835" spans="1:8" x14ac:dyDescent="0.25">
      <c r="A835">
        <v>92</v>
      </c>
      <c r="B835" t="s">
        <v>222</v>
      </c>
      <c r="C835">
        <v>7</v>
      </c>
      <c r="D835">
        <v>0</v>
      </c>
      <c r="E835">
        <v>0</v>
      </c>
      <c r="F835">
        <v>26.5</v>
      </c>
      <c r="G835">
        <v>83475.81</v>
      </c>
      <c r="H835" s="14">
        <v>43767.833333333336</v>
      </c>
    </row>
    <row r="836" spans="1:8" x14ac:dyDescent="0.25">
      <c r="A836">
        <v>92</v>
      </c>
      <c r="B836" t="s">
        <v>222</v>
      </c>
      <c r="C836">
        <v>8</v>
      </c>
      <c r="D836">
        <v>0</v>
      </c>
      <c r="E836">
        <v>0</v>
      </c>
      <c r="F836">
        <v>26.45</v>
      </c>
      <c r="G836">
        <v>82839.63</v>
      </c>
      <c r="H836" s="14">
        <v>43767.833333333336</v>
      </c>
    </row>
    <row r="837" spans="1:8" x14ac:dyDescent="0.25">
      <c r="A837">
        <v>92</v>
      </c>
      <c r="B837" t="s">
        <v>222</v>
      </c>
      <c r="C837">
        <v>9</v>
      </c>
      <c r="D837">
        <v>0</v>
      </c>
      <c r="E837">
        <v>0</v>
      </c>
      <c r="F837">
        <v>26.48</v>
      </c>
      <c r="G837">
        <v>82566.25</v>
      </c>
      <c r="H837" s="14">
        <v>43767.833333333336</v>
      </c>
    </row>
    <row r="838" spans="1:8" x14ac:dyDescent="0.25">
      <c r="A838">
        <v>92</v>
      </c>
      <c r="B838" t="s">
        <v>222</v>
      </c>
      <c r="C838">
        <v>10</v>
      </c>
      <c r="D838">
        <v>0</v>
      </c>
      <c r="E838">
        <v>0</v>
      </c>
      <c r="F838">
        <v>26.71</v>
      </c>
      <c r="G838">
        <v>85962.52</v>
      </c>
      <c r="H838" s="14">
        <v>43767.833333333336</v>
      </c>
    </row>
    <row r="839" spans="1:8" x14ac:dyDescent="0.25">
      <c r="A839">
        <v>92</v>
      </c>
      <c r="B839" t="s">
        <v>222</v>
      </c>
      <c r="C839">
        <v>11</v>
      </c>
      <c r="D839">
        <v>0</v>
      </c>
      <c r="E839">
        <v>0</v>
      </c>
      <c r="F839">
        <v>26.9</v>
      </c>
      <c r="G839">
        <v>86452.93</v>
      </c>
      <c r="H839" s="14">
        <v>43767.833333333336</v>
      </c>
    </row>
    <row r="840" spans="1:8" x14ac:dyDescent="0.25">
      <c r="A840">
        <v>92</v>
      </c>
      <c r="B840" t="s">
        <v>222</v>
      </c>
      <c r="C840">
        <v>12</v>
      </c>
      <c r="D840">
        <v>0</v>
      </c>
      <c r="E840">
        <v>0</v>
      </c>
      <c r="F840">
        <v>27.14</v>
      </c>
      <c r="G840">
        <v>85300.05</v>
      </c>
      <c r="H840" s="14">
        <v>43767.833333333336</v>
      </c>
    </row>
    <row r="841" spans="1:8" x14ac:dyDescent="0.25">
      <c r="A841">
        <v>92</v>
      </c>
      <c r="B841" t="s">
        <v>222</v>
      </c>
      <c r="C841">
        <v>13</v>
      </c>
      <c r="D841">
        <v>0</v>
      </c>
      <c r="E841">
        <v>0</v>
      </c>
      <c r="F841">
        <v>26.71</v>
      </c>
      <c r="G841">
        <v>86084.57</v>
      </c>
      <c r="H841" s="14">
        <v>43767.833333333336</v>
      </c>
    </row>
    <row r="842" spans="1:8" x14ac:dyDescent="0.25">
      <c r="A842">
        <v>92</v>
      </c>
      <c r="B842" t="s">
        <v>222</v>
      </c>
      <c r="C842">
        <v>14</v>
      </c>
      <c r="D842">
        <v>0</v>
      </c>
      <c r="E842">
        <v>0</v>
      </c>
      <c r="F842">
        <v>17.22</v>
      </c>
      <c r="G842">
        <v>54908.4</v>
      </c>
      <c r="H842" s="14">
        <v>43767.833333333336</v>
      </c>
    </row>
    <row r="843" spans="1:8" x14ac:dyDescent="0.25">
      <c r="A843">
        <v>93</v>
      </c>
      <c r="B843" t="s">
        <v>223</v>
      </c>
      <c r="C843">
        <v>1</v>
      </c>
      <c r="D843">
        <v>0</v>
      </c>
      <c r="E843">
        <v>0</v>
      </c>
      <c r="F843">
        <v>22.49</v>
      </c>
      <c r="G843">
        <v>76698.97</v>
      </c>
      <c r="H843" s="14">
        <v>43767.833333333336</v>
      </c>
    </row>
    <row r="844" spans="1:8" x14ac:dyDescent="0.25">
      <c r="A844">
        <v>93</v>
      </c>
      <c r="B844" t="s">
        <v>223</v>
      </c>
      <c r="C844">
        <v>2</v>
      </c>
      <c r="D844">
        <v>0</v>
      </c>
      <c r="E844">
        <v>0</v>
      </c>
      <c r="F844">
        <v>24.41</v>
      </c>
      <c r="G844">
        <v>75773.289999999994</v>
      </c>
      <c r="H844" s="14">
        <v>43767.833333333336</v>
      </c>
    </row>
    <row r="845" spans="1:8" x14ac:dyDescent="0.25">
      <c r="A845">
        <v>93</v>
      </c>
      <c r="B845" t="s">
        <v>223</v>
      </c>
      <c r="C845">
        <v>3</v>
      </c>
      <c r="D845">
        <v>0</v>
      </c>
      <c r="E845">
        <v>0</v>
      </c>
      <c r="F845">
        <v>22.4</v>
      </c>
      <c r="G845">
        <v>78725.399999999994</v>
      </c>
      <c r="H845" s="14">
        <v>43767.833333333336</v>
      </c>
    </row>
    <row r="846" spans="1:8" x14ac:dyDescent="0.25">
      <c r="A846">
        <v>93</v>
      </c>
      <c r="B846" t="s">
        <v>223</v>
      </c>
      <c r="C846">
        <v>4</v>
      </c>
      <c r="D846">
        <v>0</v>
      </c>
      <c r="E846">
        <v>0</v>
      </c>
      <c r="F846">
        <v>22.99</v>
      </c>
      <c r="G846">
        <v>79197.09</v>
      </c>
      <c r="H846" s="14">
        <v>43767.833333333336</v>
      </c>
    </row>
    <row r="847" spans="1:8" x14ac:dyDescent="0.25">
      <c r="A847">
        <v>93</v>
      </c>
      <c r="B847" t="s">
        <v>223</v>
      </c>
      <c r="C847">
        <v>5</v>
      </c>
      <c r="D847">
        <v>0</v>
      </c>
      <c r="E847">
        <v>0</v>
      </c>
      <c r="F847">
        <v>25.04</v>
      </c>
      <c r="G847">
        <v>80073.62</v>
      </c>
      <c r="H847" s="14">
        <v>43767.833333333336</v>
      </c>
    </row>
    <row r="848" spans="1:8" x14ac:dyDescent="0.25">
      <c r="A848">
        <v>93</v>
      </c>
      <c r="B848" t="s">
        <v>223</v>
      </c>
      <c r="C848">
        <v>6</v>
      </c>
      <c r="D848">
        <v>0</v>
      </c>
      <c r="E848">
        <v>0</v>
      </c>
      <c r="F848">
        <v>25.45</v>
      </c>
      <c r="G848">
        <v>78454.080000000002</v>
      </c>
      <c r="H848" s="14">
        <v>43767.833333333336</v>
      </c>
    </row>
    <row r="849" spans="1:8" x14ac:dyDescent="0.25">
      <c r="A849">
        <v>93</v>
      </c>
      <c r="B849" t="s">
        <v>223</v>
      </c>
      <c r="C849">
        <v>7</v>
      </c>
      <c r="D849">
        <v>0</v>
      </c>
      <c r="E849">
        <v>0</v>
      </c>
      <c r="F849">
        <v>25.69</v>
      </c>
      <c r="G849">
        <v>77740.47</v>
      </c>
      <c r="H849" s="14">
        <v>43767.833333333336</v>
      </c>
    </row>
    <row r="850" spans="1:8" x14ac:dyDescent="0.25">
      <c r="A850">
        <v>93</v>
      </c>
      <c r="B850" t="s">
        <v>223</v>
      </c>
      <c r="C850">
        <v>8</v>
      </c>
      <c r="D850">
        <v>0</v>
      </c>
      <c r="E850">
        <v>0</v>
      </c>
      <c r="F850">
        <v>24.19</v>
      </c>
      <c r="G850">
        <v>3434.21</v>
      </c>
      <c r="H850" s="14">
        <v>43767.833333333336</v>
      </c>
    </row>
    <row r="851" spans="1:8" x14ac:dyDescent="0.25">
      <c r="A851">
        <v>93</v>
      </c>
      <c r="B851" t="s">
        <v>223</v>
      </c>
      <c r="C851">
        <v>9</v>
      </c>
      <c r="D851">
        <v>0</v>
      </c>
      <c r="E851">
        <v>0</v>
      </c>
      <c r="F851">
        <v>24.51</v>
      </c>
      <c r="G851">
        <v>78865.509999999995</v>
      </c>
      <c r="H851" s="14">
        <v>43767.833333333336</v>
      </c>
    </row>
    <row r="852" spans="1:8" x14ac:dyDescent="0.25">
      <c r="A852">
        <v>93</v>
      </c>
      <c r="B852" t="s">
        <v>223</v>
      </c>
      <c r="C852">
        <v>10</v>
      </c>
      <c r="D852">
        <v>0</v>
      </c>
      <c r="E852">
        <v>0</v>
      </c>
      <c r="F852">
        <v>24.72</v>
      </c>
      <c r="G852">
        <v>80166.399999999994</v>
      </c>
      <c r="H852" s="14">
        <v>43767.833333333336</v>
      </c>
    </row>
    <row r="853" spans="1:8" x14ac:dyDescent="0.25">
      <c r="A853">
        <v>93</v>
      </c>
      <c r="B853" t="s">
        <v>223</v>
      </c>
      <c r="C853">
        <v>11</v>
      </c>
      <c r="D853">
        <v>0</v>
      </c>
      <c r="E853">
        <v>0</v>
      </c>
      <c r="F853">
        <v>27.32</v>
      </c>
      <c r="G853">
        <v>84691.73</v>
      </c>
      <c r="H853" s="14">
        <v>43767.833333333336</v>
      </c>
    </row>
    <row r="854" spans="1:8" x14ac:dyDescent="0.25">
      <c r="A854">
        <v>93</v>
      </c>
      <c r="B854" t="s">
        <v>223</v>
      </c>
      <c r="C854">
        <v>12</v>
      </c>
      <c r="D854">
        <v>0</v>
      </c>
      <c r="E854">
        <v>0</v>
      </c>
      <c r="F854">
        <v>25.87</v>
      </c>
      <c r="G854">
        <v>83190.66</v>
      </c>
      <c r="H854" s="14">
        <v>43767.833333333336</v>
      </c>
    </row>
    <row r="855" spans="1:8" x14ac:dyDescent="0.25">
      <c r="A855">
        <v>93</v>
      </c>
      <c r="B855" t="s">
        <v>223</v>
      </c>
      <c r="C855">
        <v>13</v>
      </c>
      <c r="D855">
        <v>0</v>
      </c>
      <c r="E855">
        <v>0</v>
      </c>
      <c r="F855">
        <v>25.39</v>
      </c>
      <c r="G855">
        <v>82519.27</v>
      </c>
      <c r="H855" s="14">
        <v>43767.833333333336</v>
      </c>
    </row>
    <row r="856" spans="1:8" x14ac:dyDescent="0.25">
      <c r="A856">
        <v>93</v>
      </c>
      <c r="B856" t="s">
        <v>223</v>
      </c>
      <c r="C856">
        <v>14</v>
      </c>
      <c r="D856">
        <v>0</v>
      </c>
      <c r="E856">
        <v>0</v>
      </c>
      <c r="F856">
        <v>15.97</v>
      </c>
      <c r="G856">
        <v>53531.15</v>
      </c>
      <c r="H856" s="14">
        <v>43767.833333333336</v>
      </c>
    </row>
    <row r="857" spans="1:8" x14ac:dyDescent="0.25">
      <c r="A857">
        <v>94</v>
      </c>
      <c r="B857" t="s">
        <v>225</v>
      </c>
      <c r="C857">
        <v>1</v>
      </c>
      <c r="D857">
        <v>0</v>
      </c>
      <c r="E857">
        <v>0</v>
      </c>
      <c r="F857">
        <v>13.73</v>
      </c>
      <c r="G857">
        <v>57701.15</v>
      </c>
      <c r="H857" s="14">
        <v>43767.833333333336</v>
      </c>
    </row>
    <row r="858" spans="1:8" x14ac:dyDescent="0.25">
      <c r="A858">
        <v>94</v>
      </c>
      <c r="B858" t="s">
        <v>225</v>
      </c>
      <c r="C858">
        <v>2</v>
      </c>
      <c r="D858">
        <v>0</v>
      </c>
      <c r="E858">
        <v>0</v>
      </c>
      <c r="F858">
        <v>23.95</v>
      </c>
      <c r="G858">
        <v>70191.03</v>
      </c>
      <c r="H858" s="14">
        <v>43767.833333333336</v>
      </c>
    </row>
    <row r="859" spans="1:8" x14ac:dyDescent="0.25">
      <c r="A859">
        <v>94</v>
      </c>
      <c r="B859" t="s">
        <v>225</v>
      </c>
      <c r="C859">
        <v>3</v>
      </c>
      <c r="D859">
        <v>0</v>
      </c>
      <c r="E859">
        <v>0</v>
      </c>
      <c r="F859">
        <v>25.97</v>
      </c>
      <c r="G859">
        <v>75876.320000000007</v>
      </c>
      <c r="H859" s="14">
        <v>43767.833333333336</v>
      </c>
    </row>
    <row r="860" spans="1:8" x14ac:dyDescent="0.25">
      <c r="A860">
        <v>94</v>
      </c>
      <c r="B860" t="s">
        <v>225</v>
      </c>
      <c r="C860">
        <v>4</v>
      </c>
      <c r="D860">
        <v>0</v>
      </c>
      <c r="E860">
        <v>0</v>
      </c>
      <c r="F860">
        <v>24.15</v>
      </c>
      <c r="G860">
        <v>73023.399999999994</v>
      </c>
      <c r="H860" s="14">
        <v>43767.833333333336</v>
      </c>
    </row>
    <row r="861" spans="1:8" x14ac:dyDescent="0.25">
      <c r="A861">
        <v>94</v>
      </c>
      <c r="B861" t="s">
        <v>225</v>
      </c>
      <c r="C861">
        <v>5</v>
      </c>
      <c r="D861">
        <v>0</v>
      </c>
      <c r="E861">
        <v>0</v>
      </c>
      <c r="F861">
        <v>22.4</v>
      </c>
      <c r="G861">
        <v>71643.14</v>
      </c>
      <c r="H861" s="14">
        <v>43767.833333333336</v>
      </c>
    </row>
    <row r="862" spans="1:8" x14ac:dyDescent="0.25">
      <c r="A862">
        <v>94</v>
      </c>
      <c r="B862" t="s">
        <v>225</v>
      </c>
      <c r="C862">
        <v>6</v>
      </c>
      <c r="D862">
        <v>0</v>
      </c>
      <c r="E862">
        <v>0</v>
      </c>
      <c r="F862">
        <v>21.09</v>
      </c>
      <c r="G862">
        <v>69386.240000000005</v>
      </c>
      <c r="H862" s="14">
        <v>43767.833333333336</v>
      </c>
    </row>
    <row r="863" spans="1:8" x14ac:dyDescent="0.25">
      <c r="A863">
        <v>94</v>
      </c>
      <c r="B863" t="s">
        <v>225</v>
      </c>
      <c r="C863">
        <v>7</v>
      </c>
      <c r="D863">
        <v>0</v>
      </c>
      <c r="E863">
        <v>0</v>
      </c>
      <c r="F863">
        <v>16.37</v>
      </c>
      <c r="G863">
        <v>67864.72</v>
      </c>
      <c r="H863" s="14">
        <v>43767.833333333336</v>
      </c>
    </row>
    <row r="864" spans="1:8" x14ac:dyDescent="0.25">
      <c r="A864">
        <v>94</v>
      </c>
      <c r="B864" t="s">
        <v>225</v>
      </c>
      <c r="C864">
        <v>8</v>
      </c>
      <c r="D864">
        <v>0</v>
      </c>
      <c r="E864">
        <v>0</v>
      </c>
      <c r="F864">
        <v>25.3</v>
      </c>
      <c r="G864">
        <v>75224.179999999993</v>
      </c>
      <c r="H864" s="14">
        <v>43767.833333333336</v>
      </c>
    </row>
    <row r="865" spans="1:8" x14ac:dyDescent="0.25">
      <c r="A865">
        <v>94</v>
      </c>
      <c r="B865" t="s">
        <v>225</v>
      </c>
      <c r="C865">
        <v>9</v>
      </c>
      <c r="D865">
        <v>0</v>
      </c>
      <c r="E865">
        <v>0</v>
      </c>
      <c r="F865">
        <v>26.81</v>
      </c>
      <c r="G865">
        <v>76956.149999999994</v>
      </c>
      <c r="H865" s="14">
        <v>43767.833333333336</v>
      </c>
    </row>
    <row r="866" spans="1:8" x14ac:dyDescent="0.25">
      <c r="A866">
        <v>94</v>
      </c>
      <c r="B866" t="s">
        <v>225</v>
      </c>
      <c r="C866">
        <v>10</v>
      </c>
      <c r="D866">
        <v>0</v>
      </c>
      <c r="E866">
        <v>0</v>
      </c>
      <c r="F866">
        <v>26.74</v>
      </c>
      <c r="G866">
        <v>77209.91</v>
      </c>
      <c r="H866" s="14">
        <v>43767.833333333336</v>
      </c>
    </row>
    <row r="867" spans="1:8" x14ac:dyDescent="0.25">
      <c r="A867">
        <v>94</v>
      </c>
      <c r="B867" t="s">
        <v>225</v>
      </c>
      <c r="C867">
        <v>11</v>
      </c>
      <c r="D867">
        <v>0</v>
      </c>
      <c r="E867">
        <v>0</v>
      </c>
      <c r="F867">
        <v>26.61</v>
      </c>
      <c r="G867">
        <v>76869.259999999995</v>
      </c>
      <c r="H867" s="14">
        <v>43767.833333333336</v>
      </c>
    </row>
    <row r="868" spans="1:8" x14ac:dyDescent="0.25">
      <c r="A868">
        <v>94</v>
      </c>
      <c r="B868" t="s">
        <v>225</v>
      </c>
      <c r="C868">
        <v>12</v>
      </c>
      <c r="D868">
        <v>0</v>
      </c>
      <c r="E868">
        <v>0</v>
      </c>
      <c r="F868">
        <v>25.94</v>
      </c>
      <c r="G868">
        <v>73965.919999999998</v>
      </c>
      <c r="H868" s="14">
        <v>43767.833333333336</v>
      </c>
    </row>
    <row r="869" spans="1:8" x14ac:dyDescent="0.25">
      <c r="A869">
        <v>94</v>
      </c>
      <c r="B869" t="s">
        <v>225</v>
      </c>
      <c r="C869">
        <v>13</v>
      </c>
      <c r="D869">
        <v>0</v>
      </c>
      <c r="E869">
        <v>0</v>
      </c>
      <c r="F869">
        <v>16.41</v>
      </c>
      <c r="G869">
        <v>48030.45</v>
      </c>
      <c r="H869" s="14">
        <v>43767.833333333336</v>
      </c>
    </row>
    <row r="870" spans="1:8" x14ac:dyDescent="0.25">
      <c r="A870">
        <v>94</v>
      </c>
      <c r="B870" t="s">
        <v>225</v>
      </c>
      <c r="C870">
        <v>14</v>
      </c>
      <c r="D870">
        <v>0</v>
      </c>
      <c r="E870">
        <v>0</v>
      </c>
      <c r="F870">
        <v>16.329999999999998</v>
      </c>
      <c r="G870">
        <v>48351.43</v>
      </c>
      <c r="H870" s="14">
        <v>43767.833333333336</v>
      </c>
    </row>
    <row r="871" spans="1:8" x14ac:dyDescent="0.25">
      <c r="A871">
        <v>94</v>
      </c>
      <c r="B871" t="s">
        <v>225</v>
      </c>
      <c r="C871">
        <v>15</v>
      </c>
      <c r="D871">
        <v>0</v>
      </c>
      <c r="E871">
        <v>0</v>
      </c>
      <c r="F871">
        <v>14.78</v>
      </c>
      <c r="G871">
        <v>43607.11</v>
      </c>
      <c r="H871" s="14">
        <v>43767.833333333336</v>
      </c>
    </row>
    <row r="872" spans="1:8" x14ac:dyDescent="0.25">
      <c r="A872">
        <v>95</v>
      </c>
      <c r="B872" t="s">
        <v>226</v>
      </c>
      <c r="C872">
        <v>1</v>
      </c>
      <c r="D872">
        <v>0</v>
      </c>
      <c r="E872">
        <v>0</v>
      </c>
      <c r="F872">
        <v>25.94</v>
      </c>
      <c r="G872">
        <v>84132.31</v>
      </c>
      <c r="H872" s="14">
        <v>43767.833333333336</v>
      </c>
    </row>
    <row r="873" spans="1:8" x14ac:dyDescent="0.25">
      <c r="A873">
        <v>95</v>
      </c>
      <c r="B873" t="s">
        <v>226</v>
      </c>
      <c r="C873">
        <v>2</v>
      </c>
      <c r="D873">
        <v>0</v>
      </c>
      <c r="E873">
        <v>0</v>
      </c>
      <c r="F873">
        <v>26</v>
      </c>
      <c r="G873">
        <v>83815.460000000006</v>
      </c>
      <c r="H873" s="14">
        <v>43767.833333333336</v>
      </c>
    </row>
    <row r="874" spans="1:8" x14ac:dyDescent="0.25">
      <c r="A874">
        <v>95</v>
      </c>
      <c r="B874" t="s">
        <v>226</v>
      </c>
      <c r="C874">
        <v>3</v>
      </c>
      <c r="D874">
        <v>0</v>
      </c>
      <c r="E874">
        <v>0</v>
      </c>
      <c r="F874">
        <v>24.78</v>
      </c>
      <c r="G874">
        <v>80027.59</v>
      </c>
      <c r="H874" s="14">
        <v>43767.833333333336</v>
      </c>
    </row>
    <row r="875" spans="1:8" x14ac:dyDescent="0.25">
      <c r="A875">
        <v>95</v>
      </c>
      <c r="B875" t="s">
        <v>226</v>
      </c>
      <c r="C875">
        <v>4</v>
      </c>
      <c r="D875">
        <v>0</v>
      </c>
      <c r="E875">
        <v>0</v>
      </c>
      <c r="F875">
        <v>24.4</v>
      </c>
      <c r="G875">
        <v>79432.22</v>
      </c>
      <c r="H875" s="14">
        <v>43767.833333333336</v>
      </c>
    </row>
    <row r="876" spans="1:8" x14ac:dyDescent="0.25">
      <c r="A876">
        <v>95</v>
      </c>
      <c r="B876" t="s">
        <v>226</v>
      </c>
      <c r="C876">
        <v>5</v>
      </c>
      <c r="D876">
        <v>0</v>
      </c>
      <c r="E876">
        <v>0</v>
      </c>
      <c r="F876">
        <v>22.55</v>
      </c>
      <c r="G876">
        <v>74491.55</v>
      </c>
      <c r="H876" s="14">
        <v>43767.833333333336</v>
      </c>
    </row>
    <row r="877" spans="1:8" x14ac:dyDescent="0.25">
      <c r="A877">
        <v>95</v>
      </c>
      <c r="B877" t="s">
        <v>226</v>
      </c>
      <c r="C877">
        <v>6</v>
      </c>
      <c r="D877">
        <v>0</v>
      </c>
      <c r="E877">
        <v>0</v>
      </c>
      <c r="F877">
        <v>24.88</v>
      </c>
      <c r="G877">
        <v>80057.460000000006</v>
      </c>
      <c r="H877" s="14">
        <v>43767.833333333336</v>
      </c>
    </row>
    <row r="878" spans="1:8" x14ac:dyDescent="0.25">
      <c r="A878">
        <v>95</v>
      </c>
      <c r="B878" t="s">
        <v>226</v>
      </c>
      <c r="C878">
        <v>7</v>
      </c>
      <c r="D878">
        <v>0</v>
      </c>
      <c r="E878">
        <v>0</v>
      </c>
      <c r="F878">
        <v>23.3</v>
      </c>
      <c r="G878">
        <v>77122.289999999994</v>
      </c>
      <c r="H878" s="14">
        <v>43767.833333333336</v>
      </c>
    </row>
    <row r="879" spans="1:8" x14ac:dyDescent="0.25">
      <c r="A879">
        <v>95</v>
      </c>
      <c r="B879" t="s">
        <v>226</v>
      </c>
      <c r="C879">
        <v>8</v>
      </c>
      <c r="D879">
        <v>0</v>
      </c>
      <c r="E879">
        <v>0</v>
      </c>
      <c r="F879">
        <v>20.75</v>
      </c>
      <c r="G879">
        <v>67910.36</v>
      </c>
      <c r="H879" s="14">
        <v>43767.833333333336</v>
      </c>
    </row>
    <row r="880" spans="1:8" x14ac:dyDescent="0.25">
      <c r="A880">
        <v>95</v>
      </c>
      <c r="B880" t="s">
        <v>226</v>
      </c>
      <c r="C880">
        <v>9</v>
      </c>
      <c r="D880">
        <v>0</v>
      </c>
      <c r="E880">
        <v>0</v>
      </c>
      <c r="F880">
        <v>21.73</v>
      </c>
      <c r="G880">
        <v>71554.92</v>
      </c>
      <c r="H880" s="14">
        <v>43767.833333333336</v>
      </c>
    </row>
    <row r="881" spans="1:8" x14ac:dyDescent="0.25">
      <c r="A881">
        <v>95</v>
      </c>
      <c r="B881" t="s">
        <v>226</v>
      </c>
      <c r="C881">
        <v>10</v>
      </c>
      <c r="D881">
        <v>0</v>
      </c>
      <c r="E881">
        <v>0</v>
      </c>
      <c r="F881">
        <v>24.52</v>
      </c>
      <c r="G881">
        <v>79427.289999999994</v>
      </c>
      <c r="H881" s="14">
        <v>43767.833333333336</v>
      </c>
    </row>
    <row r="882" spans="1:8" x14ac:dyDescent="0.25">
      <c r="A882">
        <v>95</v>
      </c>
      <c r="B882" t="s">
        <v>226</v>
      </c>
      <c r="C882">
        <v>11</v>
      </c>
      <c r="D882">
        <v>0</v>
      </c>
      <c r="E882">
        <v>0</v>
      </c>
      <c r="F882">
        <v>22.62</v>
      </c>
      <c r="G882">
        <v>72399.11</v>
      </c>
      <c r="H882" s="14">
        <v>43767.833333333336</v>
      </c>
    </row>
    <row r="883" spans="1:8" x14ac:dyDescent="0.25">
      <c r="A883">
        <v>95</v>
      </c>
      <c r="B883" t="s">
        <v>226</v>
      </c>
      <c r="C883">
        <v>12</v>
      </c>
      <c r="D883">
        <v>0</v>
      </c>
      <c r="E883">
        <v>0</v>
      </c>
      <c r="F883">
        <v>26.44</v>
      </c>
      <c r="G883">
        <v>82601.78</v>
      </c>
      <c r="H883" s="14">
        <v>43767.833333333336</v>
      </c>
    </row>
    <row r="884" spans="1:8" x14ac:dyDescent="0.25">
      <c r="A884">
        <v>95</v>
      </c>
      <c r="B884" t="s">
        <v>226</v>
      </c>
      <c r="C884">
        <v>13</v>
      </c>
      <c r="D884">
        <v>0</v>
      </c>
      <c r="E884">
        <v>0</v>
      </c>
      <c r="F884">
        <v>26.42</v>
      </c>
      <c r="G884">
        <v>83178.92</v>
      </c>
      <c r="H884" s="14">
        <v>43767.833333333336</v>
      </c>
    </row>
    <row r="885" spans="1:8" x14ac:dyDescent="0.25">
      <c r="A885">
        <v>95</v>
      </c>
      <c r="B885" t="s">
        <v>226</v>
      </c>
      <c r="C885">
        <v>14</v>
      </c>
      <c r="D885">
        <v>0</v>
      </c>
      <c r="E885">
        <v>0</v>
      </c>
      <c r="F885">
        <v>16.84</v>
      </c>
      <c r="G885">
        <v>54953.14</v>
      </c>
      <c r="H885" s="14">
        <v>43767.833333333336</v>
      </c>
    </row>
    <row r="886" spans="1:8" x14ac:dyDescent="0.25">
      <c r="A886">
        <v>95</v>
      </c>
      <c r="B886" t="s">
        <v>226</v>
      </c>
      <c r="C886">
        <v>15</v>
      </c>
      <c r="D886">
        <v>0</v>
      </c>
      <c r="E886">
        <v>0</v>
      </c>
      <c r="F886">
        <v>16.88</v>
      </c>
      <c r="G886">
        <v>53594.26</v>
      </c>
      <c r="H886" s="14">
        <v>43767.833333333336</v>
      </c>
    </row>
    <row r="887" spans="1:8" x14ac:dyDescent="0.25">
      <c r="A887">
        <v>96</v>
      </c>
      <c r="B887" t="s">
        <v>227</v>
      </c>
      <c r="C887">
        <v>1</v>
      </c>
      <c r="D887">
        <v>0</v>
      </c>
      <c r="E887">
        <v>0</v>
      </c>
      <c r="F887">
        <v>24.72</v>
      </c>
      <c r="G887">
        <v>78537.38</v>
      </c>
      <c r="H887" s="14">
        <v>43767.833333333336</v>
      </c>
    </row>
    <row r="888" spans="1:8" x14ac:dyDescent="0.25">
      <c r="A888">
        <v>96</v>
      </c>
      <c r="B888" t="s">
        <v>227</v>
      </c>
      <c r="C888">
        <v>2</v>
      </c>
      <c r="D888">
        <v>0</v>
      </c>
      <c r="E888">
        <v>0</v>
      </c>
      <c r="F888">
        <v>24.37</v>
      </c>
      <c r="G888">
        <v>69615.41</v>
      </c>
      <c r="H888" s="14">
        <v>43767.833333333336</v>
      </c>
    </row>
    <row r="889" spans="1:8" x14ac:dyDescent="0.25">
      <c r="A889">
        <v>96</v>
      </c>
      <c r="B889" t="s">
        <v>227</v>
      </c>
      <c r="C889">
        <v>3</v>
      </c>
      <c r="D889">
        <v>0</v>
      </c>
      <c r="E889">
        <v>0</v>
      </c>
      <c r="F889">
        <v>24.46</v>
      </c>
      <c r="G889">
        <v>77207.5</v>
      </c>
      <c r="H889" s="14">
        <v>43767.833333333336</v>
      </c>
    </row>
    <row r="890" spans="1:8" x14ac:dyDescent="0.25">
      <c r="A890">
        <v>96</v>
      </c>
      <c r="B890" t="s">
        <v>227</v>
      </c>
      <c r="C890">
        <v>4</v>
      </c>
      <c r="D890">
        <v>0</v>
      </c>
      <c r="E890">
        <v>0</v>
      </c>
      <c r="F890">
        <v>24.63</v>
      </c>
      <c r="G890">
        <v>77785.539999999994</v>
      </c>
      <c r="H890" s="14">
        <v>43767.833333333336</v>
      </c>
    </row>
    <row r="891" spans="1:8" x14ac:dyDescent="0.25">
      <c r="A891">
        <v>96</v>
      </c>
      <c r="B891" t="s">
        <v>227</v>
      </c>
      <c r="C891">
        <v>5</v>
      </c>
      <c r="D891">
        <v>0</v>
      </c>
      <c r="E891">
        <v>0</v>
      </c>
      <c r="F891">
        <v>24.44</v>
      </c>
      <c r="G891">
        <v>76586.460000000006</v>
      </c>
      <c r="H891" s="14">
        <v>43767.833333333336</v>
      </c>
    </row>
    <row r="892" spans="1:8" x14ac:dyDescent="0.25">
      <c r="A892">
        <v>96</v>
      </c>
      <c r="B892" t="s">
        <v>227</v>
      </c>
      <c r="C892">
        <v>6</v>
      </c>
      <c r="D892">
        <v>0</v>
      </c>
      <c r="E892">
        <v>0</v>
      </c>
      <c r="F892">
        <v>24.55</v>
      </c>
      <c r="G892">
        <v>76554.509999999995</v>
      </c>
      <c r="H892" s="14">
        <v>43767.833333333336</v>
      </c>
    </row>
    <row r="893" spans="1:8" x14ac:dyDescent="0.25">
      <c r="A893">
        <v>96</v>
      </c>
      <c r="B893" t="s">
        <v>227</v>
      </c>
      <c r="C893">
        <v>7</v>
      </c>
      <c r="D893">
        <v>0</v>
      </c>
      <c r="E893">
        <v>0</v>
      </c>
      <c r="F893">
        <v>24.35</v>
      </c>
      <c r="G893">
        <v>76496.210000000006</v>
      </c>
      <c r="H893" s="14">
        <v>43767.833333333336</v>
      </c>
    </row>
    <row r="894" spans="1:8" x14ac:dyDescent="0.25">
      <c r="A894">
        <v>96</v>
      </c>
      <c r="B894" t="s">
        <v>227</v>
      </c>
      <c r="C894">
        <v>8</v>
      </c>
      <c r="D894">
        <v>0</v>
      </c>
      <c r="E894">
        <v>0</v>
      </c>
      <c r="F894">
        <v>24.16</v>
      </c>
      <c r="G894">
        <v>75638.350000000006</v>
      </c>
      <c r="H894" s="14">
        <v>43767.833333333336</v>
      </c>
    </row>
    <row r="895" spans="1:8" x14ac:dyDescent="0.25">
      <c r="A895">
        <v>96</v>
      </c>
      <c r="B895" t="s">
        <v>227</v>
      </c>
      <c r="C895">
        <v>9</v>
      </c>
      <c r="D895">
        <v>0</v>
      </c>
      <c r="E895">
        <v>0</v>
      </c>
      <c r="F895">
        <v>23.36</v>
      </c>
      <c r="G895">
        <v>73033.56</v>
      </c>
      <c r="H895" s="14">
        <v>43767.833333333336</v>
      </c>
    </row>
    <row r="896" spans="1:8" x14ac:dyDescent="0.25">
      <c r="A896">
        <v>96</v>
      </c>
      <c r="B896" t="s">
        <v>227</v>
      </c>
      <c r="C896">
        <v>10</v>
      </c>
      <c r="D896">
        <v>0</v>
      </c>
      <c r="E896">
        <v>0</v>
      </c>
      <c r="F896">
        <v>22.98</v>
      </c>
      <c r="G896">
        <v>70557.490000000005</v>
      </c>
      <c r="H896" s="14">
        <v>43767.833333333336</v>
      </c>
    </row>
    <row r="897" spans="1:8" x14ac:dyDescent="0.25">
      <c r="A897">
        <v>96</v>
      </c>
      <c r="B897" t="s">
        <v>227</v>
      </c>
      <c r="C897">
        <v>11</v>
      </c>
      <c r="D897">
        <v>0</v>
      </c>
      <c r="E897">
        <v>0</v>
      </c>
      <c r="F897">
        <v>20.8</v>
      </c>
      <c r="G897">
        <v>66202.100000000006</v>
      </c>
      <c r="H897" s="14">
        <v>43767.833333333336</v>
      </c>
    </row>
    <row r="898" spans="1:8" x14ac:dyDescent="0.25">
      <c r="A898">
        <v>96</v>
      </c>
      <c r="B898" t="s">
        <v>227</v>
      </c>
      <c r="C898">
        <v>12</v>
      </c>
      <c r="D898">
        <v>0</v>
      </c>
      <c r="E898">
        <v>0</v>
      </c>
      <c r="F898">
        <v>20.149999999999999</v>
      </c>
      <c r="G898">
        <v>62602.01</v>
      </c>
      <c r="H898" s="14">
        <v>43767.833333333336</v>
      </c>
    </row>
    <row r="899" spans="1:8" x14ac:dyDescent="0.25">
      <c r="A899">
        <v>96</v>
      </c>
      <c r="B899" t="s">
        <v>227</v>
      </c>
      <c r="C899">
        <v>13</v>
      </c>
      <c r="D899">
        <v>0</v>
      </c>
      <c r="E899">
        <v>0</v>
      </c>
      <c r="F899">
        <v>21.17</v>
      </c>
      <c r="G899">
        <v>66739.05</v>
      </c>
      <c r="H899" s="14">
        <v>43767.833333333336</v>
      </c>
    </row>
    <row r="900" spans="1:8" x14ac:dyDescent="0.25">
      <c r="A900">
        <v>96</v>
      </c>
      <c r="B900" t="s">
        <v>227</v>
      </c>
      <c r="C900">
        <v>14</v>
      </c>
      <c r="D900">
        <v>0</v>
      </c>
      <c r="E900">
        <v>0</v>
      </c>
      <c r="F900">
        <v>18.55</v>
      </c>
      <c r="G900">
        <v>58029.440000000002</v>
      </c>
      <c r="H900" s="14">
        <v>43767.833333333336</v>
      </c>
    </row>
    <row r="901" spans="1:8" x14ac:dyDescent="0.25">
      <c r="A901">
        <v>96</v>
      </c>
      <c r="B901" t="s">
        <v>227</v>
      </c>
      <c r="C901">
        <v>15</v>
      </c>
      <c r="D901">
        <v>0</v>
      </c>
      <c r="E901">
        <v>0</v>
      </c>
      <c r="F901">
        <v>21.29</v>
      </c>
      <c r="G901">
        <v>59985</v>
      </c>
      <c r="H901" s="14">
        <v>43767.833333333336</v>
      </c>
    </row>
    <row r="902" spans="1:8" x14ac:dyDescent="0.25">
      <c r="A902">
        <v>96</v>
      </c>
      <c r="B902" t="s">
        <v>227</v>
      </c>
      <c r="C902">
        <v>16</v>
      </c>
      <c r="D902">
        <v>0</v>
      </c>
      <c r="E902">
        <v>0</v>
      </c>
      <c r="F902">
        <v>0</v>
      </c>
      <c r="G902">
        <v>0</v>
      </c>
      <c r="H902" s="14">
        <v>36526</v>
      </c>
    </row>
    <row r="903" spans="1:8" x14ac:dyDescent="0.25">
      <c r="A903">
        <v>96</v>
      </c>
      <c r="B903" t="s">
        <v>227</v>
      </c>
      <c r="C903">
        <v>17</v>
      </c>
      <c r="D903">
        <v>0</v>
      </c>
      <c r="E903">
        <v>0</v>
      </c>
      <c r="F903">
        <v>0</v>
      </c>
      <c r="G903">
        <v>0</v>
      </c>
      <c r="H903" s="14">
        <v>36526</v>
      </c>
    </row>
    <row r="904" spans="1:8" x14ac:dyDescent="0.25">
      <c r="A904">
        <v>96</v>
      </c>
      <c r="B904" t="s">
        <v>227</v>
      </c>
      <c r="C904">
        <v>18</v>
      </c>
      <c r="D904">
        <v>0</v>
      </c>
      <c r="E904">
        <v>0</v>
      </c>
      <c r="F904">
        <v>0</v>
      </c>
      <c r="G904">
        <v>0</v>
      </c>
      <c r="H904" s="14">
        <v>36526</v>
      </c>
    </row>
    <row r="905" spans="1:8" x14ac:dyDescent="0.25">
      <c r="A905">
        <v>96</v>
      </c>
      <c r="B905" t="s">
        <v>227</v>
      </c>
      <c r="C905">
        <v>19</v>
      </c>
      <c r="D905">
        <v>0</v>
      </c>
      <c r="E905">
        <v>0</v>
      </c>
      <c r="F905">
        <v>0</v>
      </c>
      <c r="G905">
        <v>0</v>
      </c>
      <c r="H905" s="14">
        <v>36526</v>
      </c>
    </row>
    <row r="906" spans="1:8" x14ac:dyDescent="0.25">
      <c r="A906">
        <v>96</v>
      </c>
      <c r="B906" t="s">
        <v>227</v>
      </c>
      <c r="C906">
        <v>20</v>
      </c>
      <c r="D906">
        <v>0</v>
      </c>
      <c r="E906">
        <v>0</v>
      </c>
      <c r="F906">
        <v>0</v>
      </c>
      <c r="G906">
        <v>0</v>
      </c>
      <c r="H906" s="14">
        <v>36526</v>
      </c>
    </row>
    <row r="907" spans="1:8" x14ac:dyDescent="0.25">
      <c r="A907">
        <v>97</v>
      </c>
      <c r="B907" t="s">
        <v>228</v>
      </c>
      <c r="C907">
        <v>1</v>
      </c>
      <c r="D907">
        <v>0</v>
      </c>
      <c r="E907">
        <v>0</v>
      </c>
      <c r="F907">
        <v>11.44</v>
      </c>
      <c r="G907">
        <v>53329.48</v>
      </c>
      <c r="H907" s="14">
        <v>43767.833333333336</v>
      </c>
    </row>
    <row r="908" spans="1:8" x14ac:dyDescent="0.25">
      <c r="A908">
        <v>97</v>
      </c>
      <c r="B908" t="s">
        <v>228</v>
      </c>
      <c r="C908">
        <v>2</v>
      </c>
      <c r="D908">
        <v>0</v>
      </c>
      <c r="E908">
        <v>0</v>
      </c>
      <c r="F908">
        <v>21.01</v>
      </c>
      <c r="G908">
        <v>68626.84</v>
      </c>
      <c r="H908" s="14">
        <v>43767.833333333336</v>
      </c>
    </row>
    <row r="909" spans="1:8" x14ac:dyDescent="0.25">
      <c r="A909">
        <v>97</v>
      </c>
      <c r="B909" t="s">
        <v>228</v>
      </c>
      <c r="C909">
        <v>3</v>
      </c>
      <c r="D909">
        <v>0</v>
      </c>
      <c r="E909">
        <v>0</v>
      </c>
      <c r="F909">
        <v>22.33</v>
      </c>
      <c r="G909">
        <v>74530.87</v>
      </c>
      <c r="H909" s="14">
        <v>43767.833333333336</v>
      </c>
    </row>
    <row r="910" spans="1:8" x14ac:dyDescent="0.25">
      <c r="A910">
        <v>97</v>
      </c>
      <c r="B910" t="s">
        <v>228</v>
      </c>
      <c r="C910">
        <v>4</v>
      </c>
      <c r="D910">
        <v>0</v>
      </c>
      <c r="E910">
        <v>0</v>
      </c>
      <c r="F910">
        <v>23.2</v>
      </c>
      <c r="G910">
        <v>76830.52</v>
      </c>
      <c r="H910" s="14">
        <v>43767.833333333336</v>
      </c>
    </row>
    <row r="911" spans="1:8" x14ac:dyDescent="0.25">
      <c r="A911">
        <v>97</v>
      </c>
      <c r="B911" t="s">
        <v>228</v>
      </c>
      <c r="C911">
        <v>5</v>
      </c>
      <c r="D911">
        <v>0</v>
      </c>
      <c r="E911">
        <v>0</v>
      </c>
      <c r="F911">
        <v>22.93</v>
      </c>
      <c r="G911">
        <v>72313.91</v>
      </c>
      <c r="H911" s="14">
        <v>43767.833333333336</v>
      </c>
    </row>
    <row r="912" spans="1:8" x14ac:dyDescent="0.25">
      <c r="A912">
        <v>97</v>
      </c>
      <c r="B912" t="s">
        <v>228</v>
      </c>
      <c r="C912">
        <v>6</v>
      </c>
      <c r="D912">
        <v>0</v>
      </c>
      <c r="E912">
        <v>0</v>
      </c>
      <c r="F912">
        <v>20.5</v>
      </c>
      <c r="G912">
        <v>70683.240000000005</v>
      </c>
      <c r="H912" s="14">
        <v>43767.833333333336</v>
      </c>
    </row>
    <row r="913" spans="1:8" x14ac:dyDescent="0.25">
      <c r="A913">
        <v>97</v>
      </c>
      <c r="B913" t="s">
        <v>228</v>
      </c>
      <c r="C913">
        <v>7</v>
      </c>
      <c r="D913">
        <v>0</v>
      </c>
      <c r="E913">
        <v>0</v>
      </c>
      <c r="F913">
        <v>22.38</v>
      </c>
      <c r="G913">
        <v>74098.009999999995</v>
      </c>
      <c r="H913" s="14">
        <v>43767.833333333336</v>
      </c>
    </row>
    <row r="914" spans="1:8" x14ac:dyDescent="0.25">
      <c r="A914">
        <v>97</v>
      </c>
      <c r="B914" t="s">
        <v>228</v>
      </c>
      <c r="C914">
        <v>8</v>
      </c>
      <c r="D914">
        <v>0</v>
      </c>
      <c r="E914">
        <v>0</v>
      </c>
      <c r="F914">
        <v>22.82</v>
      </c>
      <c r="G914">
        <v>72594.91</v>
      </c>
      <c r="H914" s="14">
        <v>43767.833333333336</v>
      </c>
    </row>
    <row r="915" spans="1:8" x14ac:dyDescent="0.25">
      <c r="A915">
        <v>97</v>
      </c>
      <c r="B915" t="s">
        <v>228</v>
      </c>
      <c r="C915">
        <v>9</v>
      </c>
      <c r="D915">
        <v>0</v>
      </c>
      <c r="E915">
        <v>0</v>
      </c>
      <c r="F915">
        <v>17.510000000000002</v>
      </c>
      <c r="G915">
        <v>58583.32</v>
      </c>
      <c r="H915" s="14">
        <v>43767.833333333336</v>
      </c>
    </row>
    <row r="916" spans="1:8" x14ac:dyDescent="0.25">
      <c r="A916">
        <v>97</v>
      </c>
      <c r="B916" t="s">
        <v>228</v>
      </c>
      <c r="C916">
        <v>10</v>
      </c>
      <c r="D916">
        <v>0</v>
      </c>
      <c r="E916">
        <v>0</v>
      </c>
      <c r="F916">
        <v>11.38</v>
      </c>
      <c r="G916">
        <v>52589.87</v>
      </c>
      <c r="H916" s="14">
        <v>43767.833333333336</v>
      </c>
    </row>
    <row r="917" spans="1:8" x14ac:dyDescent="0.25">
      <c r="A917">
        <v>97</v>
      </c>
      <c r="B917" t="s">
        <v>228</v>
      </c>
      <c r="C917">
        <v>11</v>
      </c>
      <c r="D917">
        <v>0</v>
      </c>
      <c r="E917">
        <v>0</v>
      </c>
      <c r="F917">
        <v>17.760000000000002</v>
      </c>
      <c r="G917">
        <v>65207.11</v>
      </c>
      <c r="H917" s="14">
        <v>43767.833333333336</v>
      </c>
    </row>
    <row r="918" spans="1:8" x14ac:dyDescent="0.25">
      <c r="A918">
        <v>97</v>
      </c>
      <c r="B918" t="s">
        <v>228</v>
      </c>
      <c r="C918">
        <v>12</v>
      </c>
      <c r="D918">
        <v>0</v>
      </c>
      <c r="E918">
        <v>0</v>
      </c>
      <c r="F918">
        <v>21.98</v>
      </c>
      <c r="G918">
        <v>75884.539999999994</v>
      </c>
      <c r="H918" s="14">
        <v>43767.833333333336</v>
      </c>
    </row>
    <row r="919" spans="1:8" x14ac:dyDescent="0.25">
      <c r="A919">
        <v>97</v>
      </c>
      <c r="B919" t="s">
        <v>228</v>
      </c>
      <c r="C919">
        <v>13</v>
      </c>
      <c r="D919">
        <v>0</v>
      </c>
      <c r="E919">
        <v>0</v>
      </c>
      <c r="F919">
        <v>22.57</v>
      </c>
      <c r="G919">
        <v>76692.179999999993</v>
      </c>
      <c r="H919" s="14">
        <v>43767.833333333336</v>
      </c>
    </row>
    <row r="920" spans="1:8" x14ac:dyDescent="0.25">
      <c r="A920">
        <v>97</v>
      </c>
      <c r="B920" t="s">
        <v>228</v>
      </c>
      <c r="C920">
        <v>14</v>
      </c>
      <c r="D920">
        <v>0</v>
      </c>
      <c r="E920">
        <v>0</v>
      </c>
      <c r="F920">
        <v>22.63</v>
      </c>
      <c r="G920">
        <v>76841.19</v>
      </c>
      <c r="H920" s="14">
        <v>43767.833333333336</v>
      </c>
    </row>
    <row r="921" spans="1:8" x14ac:dyDescent="0.25">
      <c r="A921">
        <v>97</v>
      </c>
      <c r="B921" t="s">
        <v>228</v>
      </c>
      <c r="C921">
        <v>15</v>
      </c>
      <c r="D921">
        <v>0</v>
      </c>
      <c r="E921">
        <v>0</v>
      </c>
      <c r="F921">
        <v>15.86</v>
      </c>
      <c r="G921">
        <v>53715.61</v>
      </c>
      <c r="H921" s="14">
        <v>43767.833333333336</v>
      </c>
    </row>
    <row r="922" spans="1:8" x14ac:dyDescent="0.25">
      <c r="A922">
        <v>97</v>
      </c>
      <c r="B922" t="s">
        <v>228</v>
      </c>
      <c r="C922">
        <v>16</v>
      </c>
      <c r="D922">
        <v>0</v>
      </c>
      <c r="E922">
        <v>0</v>
      </c>
      <c r="F922">
        <v>0</v>
      </c>
      <c r="G922">
        <v>0</v>
      </c>
      <c r="H922" s="14">
        <v>36526</v>
      </c>
    </row>
    <row r="923" spans="1:8" x14ac:dyDescent="0.25">
      <c r="A923">
        <v>97</v>
      </c>
      <c r="B923" t="s">
        <v>228</v>
      </c>
      <c r="C923">
        <v>17</v>
      </c>
      <c r="D923">
        <v>0</v>
      </c>
      <c r="E923">
        <v>0</v>
      </c>
      <c r="F923">
        <v>0</v>
      </c>
      <c r="G923">
        <v>0</v>
      </c>
      <c r="H923" s="14">
        <v>36526</v>
      </c>
    </row>
    <row r="924" spans="1:8" x14ac:dyDescent="0.25">
      <c r="A924">
        <v>97</v>
      </c>
      <c r="B924" t="s">
        <v>228</v>
      </c>
      <c r="C924">
        <v>18</v>
      </c>
      <c r="D924">
        <v>0</v>
      </c>
      <c r="E924">
        <v>0</v>
      </c>
      <c r="F924">
        <v>0</v>
      </c>
      <c r="G924">
        <v>0</v>
      </c>
      <c r="H924" s="14">
        <v>36526</v>
      </c>
    </row>
    <row r="925" spans="1:8" x14ac:dyDescent="0.25">
      <c r="A925">
        <v>97</v>
      </c>
      <c r="B925" t="s">
        <v>228</v>
      </c>
      <c r="C925">
        <v>19</v>
      </c>
      <c r="D925">
        <v>0</v>
      </c>
      <c r="E925">
        <v>0</v>
      </c>
      <c r="F925">
        <v>0</v>
      </c>
      <c r="G925">
        <v>0</v>
      </c>
      <c r="H925" s="14">
        <v>36526</v>
      </c>
    </row>
    <row r="926" spans="1:8" x14ac:dyDescent="0.25">
      <c r="A926">
        <v>97</v>
      </c>
      <c r="B926" t="s">
        <v>228</v>
      </c>
      <c r="C926">
        <v>20</v>
      </c>
      <c r="D926">
        <v>0</v>
      </c>
      <c r="E926">
        <v>0</v>
      </c>
      <c r="F926">
        <v>0</v>
      </c>
      <c r="G926">
        <v>0</v>
      </c>
      <c r="H926" s="14">
        <v>36526</v>
      </c>
    </row>
    <row r="927" spans="1:8" x14ac:dyDescent="0.25">
      <c r="A927">
        <v>98</v>
      </c>
      <c r="B927" t="s">
        <v>229</v>
      </c>
      <c r="C927">
        <v>1</v>
      </c>
      <c r="D927">
        <v>0</v>
      </c>
      <c r="E927">
        <v>0</v>
      </c>
      <c r="F927">
        <v>147.11000000000001</v>
      </c>
      <c r="G927">
        <v>93614.93</v>
      </c>
      <c r="H927" s="14">
        <v>43767.833333333336</v>
      </c>
    </row>
    <row r="928" spans="1:8" x14ac:dyDescent="0.25">
      <c r="A928">
        <v>98</v>
      </c>
      <c r="B928" t="s">
        <v>229</v>
      </c>
      <c r="C928">
        <v>2</v>
      </c>
      <c r="D928">
        <v>0</v>
      </c>
      <c r="E928">
        <v>0</v>
      </c>
      <c r="F928">
        <v>147.86000000000001</v>
      </c>
      <c r="G928">
        <v>93954.53</v>
      </c>
      <c r="H928" s="14">
        <v>43767.833333333336</v>
      </c>
    </row>
    <row r="929" spans="1:8" x14ac:dyDescent="0.25">
      <c r="A929">
        <v>98</v>
      </c>
      <c r="B929" t="s">
        <v>229</v>
      </c>
      <c r="C929">
        <v>3</v>
      </c>
      <c r="D929">
        <v>0</v>
      </c>
      <c r="E929">
        <v>0</v>
      </c>
      <c r="F929">
        <v>148.46</v>
      </c>
      <c r="G929">
        <v>89590.71</v>
      </c>
      <c r="H929" s="14">
        <v>43767.833333333336</v>
      </c>
    </row>
    <row r="930" spans="1:8" x14ac:dyDescent="0.25">
      <c r="A930">
        <v>98</v>
      </c>
      <c r="B930" t="s">
        <v>229</v>
      </c>
      <c r="C930">
        <v>4</v>
      </c>
      <c r="D930">
        <v>0</v>
      </c>
      <c r="E930">
        <v>0</v>
      </c>
      <c r="F930">
        <v>146.85</v>
      </c>
      <c r="G930">
        <v>65274.91</v>
      </c>
      <c r="H930" s="14">
        <v>43767.833333333336</v>
      </c>
    </row>
    <row r="931" spans="1:8" x14ac:dyDescent="0.25">
      <c r="A931">
        <v>98</v>
      </c>
      <c r="B931" t="s">
        <v>229</v>
      </c>
      <c r="C931">
        <v>5</v>
      </c>
      <c r="D931">
        <v>0</v>
      </c>
      <c r="E931">
        <v>0</v>
      </c>
      <c r="F931">
        <v>161.66999999999999</v>
      </c>
      <c r="G931">
        <v>98489.56</v>
      </c>
      <c r="H931" s="14">
        <v>43767.833333333336</v>
      </c>
    </row>
    <row r="932" spans="1:8" x14ac:dyDescent="0.25">
      <c r="A932">
        <v>98</v>
      </c>
      <c r="B932" t="s">
        <v>229</v>
      </c>
      <c r="C932">
        <v>6</v>
      </c>
      <c r="D932">
        <v>0</v>
      </c>
      <c r="E932">
        <v>0</v>
      </c>
      <c r="F932">
        <v>163.53</v>
      </c>
      <c r="G932">
        <v>47840.79</v>
      </c>
      <c r="H932" s="14">
        <v>43767.833333333336</v>
      </c>
    </row>
    <row r="933" spans="1:8" x14ac:dyDescent="0.25">
      <c r="A933">
        <v>98</v>
      </c>
      <c r="B933" t="s">
        <v>229</v>
      </c>
      <c r="C933">
        <v>7</v>
      </c>
      <c r="D933">
        <v>0</v>
      </c>
      <c r="E933">
        <v>0</v>
      </c>
      <c r="F933">
        <v>129.69999999999999</v>
      </c>
      <c r="G933">
        <v>93079.38</v>
      </c>
      <c r="H933" s="14">
        <v>43767.833333333336</v>
      </c>
    </row>
    <row r="934" spans="1:8" x14ac:dyDescent="0.25">
      <c r="A934">
        <v>98</v>
      </c>
      <c r="B934" t="s">
        <v>229</v>
      </c>
      <c r="C934">
        <v>8</v>
      </c>
      <c r="D934">
        <v>0</v>
      </c>
      <c r="E934">
        <v>0</v>
      </c>
      <c r="F934">
        <v>130.6</v>
      </c>
      <c r="G934">
        <v>92400.68</v>
      </c>
      <c r="H934" s="14">
        <v>43767.833333333336</v>
      </c>
    </row>
    <row r="935" spans="1:8" x14ac:dyDescent="0.25">
      <c r="A935">
        <v>98</v>
      </c>
      <c r="B935" t="s">
        <v>229</v>
      </c>
      <c r="C935">
        <v>9</v>
      </c>
      <c r="D935">
        <v>0</v>
      </c>
      <c r="E935">
        <v>0</v>
      </c>
      <c r="F935">
        <v>125.17</v>
      </c>
      <c r="G935">
        <v>79471.98</v>
      </c>
      <c r="H935" s="14">
        <v>43767.833333333336</v>
      </c>
    </row>
    <row r="936" spans="1:8" x14ac:dyDescent="0.25">
      <c r="A936">
        <v>98</v>
      </c>
      <c r="B936" t="s">
        <v>229</v>
      </c>
      <c r="C936">
        <v>10</v>
      </c>
      <c r="D936">
        <v>0</v>
      </c>
      <c r="E936">
        <v>0</v>
      </c>
      <c r="F936">
        <v>131.24</v>
      </c>
      <c r="G936">
        <v>88366.73</v>
      </c>
      <c r="H936" s="14">
        <v>43767.833333333336</v>
      </c>
    </row>
    <row r="937" spans="1:8" x14ac:dyDescent="0.25">
      <c r="A937">
        <v>98</v>
      </c>
      <c r="B937" t="s">
        <v>229</v>
      </c>
      <c r="C937">
        <v>11</v>
      </c>
      <c r="D937">
        <v>0</v>
      </c>
      <c r="E937">
        <v>0</v>
      </c>
      <c r="F937">
        <v>132.1</v>
      </c>
      <c r="G937">
        <v>89013.7</v>
      </c>
      <c r="H937" s="14">
        <v>43767.833333333336</v>
      </c>
    </row>
    <row r="938" spans="1:8" x14ac:dyDescent="0.25">
      <c r="A938">
        <v>98</v>
      </c>
      <c r="B938" t="s">
        <v>229</v>
      </c>
      <c r="C938">
        <v>12</v>
      </c>
      <c r="D938">
        <v>0</v>
      </c>
      <c r="E938">
        <v>0</v>
      </c>
      <c r="F938">
        <v>87.17</v>
      </c>
      <c r="G938">
        <v>58430.400000000001</v>
      </c>
      <c r="H938" s="14">
        <v>43767.833333333336</v>
      </c>
    </row>
    <row r="939" spans="1:8" x14ac:dyDescent="0.25">
      <c r="A939">
        <v>98</v>
      </c>
      <c r="B939" t="s">
        <v>229</v>
      </c>
      <c r="C939">
        <v>13</v>
      </c>
      <c r="D939">
        <v>0</v>
      </c>
      <c r="E939">
        <v>0</v>
      </c>
      <c r="F939">
        <v>44.05</v>
      </c>
      <c r="G939">
        <v>29517.57</v>
      </c>
      <c r="H939" s="14">
        <v>43767.833333333336</v>
      </c>
    </row>
    <row r="940" spans="1:8" x14ac:dyDescent="0.25">
      <c r="A940">
        <v>99</v>
      </c>
      <c r="B940" t="s">
        <v>230</v>
      </c>
      <c r="C940">
        <v>1</v>
      </c>
      <c r="D940">
        <v>0</v>
      </c>
      <c r="E940">
        <v>0</v>
      </c>
      <c r="F940">
        <v>158.05000000000001</v>
      </c>
      <c r="G940">
        <v>100218.13</v>
      </c>
      <c r="H940" s="14">
        <v>43767.833333333336</v>
      </c>
    </row>
    <row r="941" spans="1:8" x14ac:dyDescent="0.25">
      <c r="A941">
        <v>99</v>
      </c>
      <c r="B941" t="s">
        <v>230</v>
      </c>
      <c r="C941">
        <v>2</v>
      </c>
      <c r="D941">
        <v>0</v>
      </c>
      <c r="E941">
        <v>0</v>
      </c>
      <c r="F941">
        <v>155.34</v>
      </c>
      <c r="G941">
        <v>100800.38</v>
      </c>
      <c r="H941" s="14">
        <v>43767.833333333336</v>
      </c>
    </row>
    <row r="942" spans="1:8" x14ac:dyDescent="0.25">
      <c r="A942">
        <v>99</v>
      </c>
      <c r="B942" t="s">
        <v>230</v>
      </c>
      <c r="C942">
        <v>3</v>
      </c>
      <c r="D942">
        <v>0</v>
      </c>
      <c r="E942">
        <v>0</v>
      </c>
      <c r="F942">
        <v>158.43</v>
      </c>
      <c r="G942">
        <v>102388.38</v>
      </c>
      <c r="H942" s="14">
        <v>43767.833333333336</v>
      </c>
    </row>
    <row r="943" spans="1:8" x14ac:dyDescent="0.25">
      <c r="A943">
        <v>99</v>
      </c>
      <c r="B943" t="s">
        <v>230</v>
      </c>
      <c r="C943">
        <v>4</v>
      </c>
      <c r="D943">
        <v>0</v>
      </c>
      <c r="E943">
        <v>0</v>
      </c>
      <c r="F943">
        <v>157.06</v>
      </c>
      <c r="G943">
        <v>100732.69</v>
      </c>
      <c r="H943" s="14">
        <v>43767.833333333336</v>
      </c>
    </row>
    <row r="944" spans="1:8" x14ac:dyDescent="0.25">
      <c r="A944">
        <v>99</v>
      </c>
      <c r="B944" t="s">
        <v>230</v>
      </c>
      <c r="C944">
        <v>5</v>
      </c>
      <c r="D944">
        <v>0</v>
      </c>
      <c r="E944">
        <v>0</v>
      </c>
      <c r="F944">
        <v>156.76</v>
      </c>
      <c r="G944">
        <v>97153.71</v>
      </c>
      <c r="H944" s="14">
        <v>43767.833333333336</v>
      </c>
    </row>
    <row r="945" spans="1:8" x14ac:dyDescent="0.25">
      <c r="A945">
        <v>100</v>
      </c>
      <c r="B945" t="s">
        <v>231</v>
      </c>
      <c r="C945">
        <v>1</v>
      </c>
      <c r="D945">
        <v>0</v>
      </c>
      <c r="E945">
        <v>0</v>
      </c>
      <c r="F945">
        <v>86.27</v>
      </c>
      <c r="G945">
        <v>83614.97</v>
      </c>
      <c r="H945" s="14">
        <v>43767.833333333336</v>
      </c>
    </row>
    <row r="946" spans="1:8" x14ac:dyDescent="0.25">
      <c r="A946">
        <v>100</v>
      </c>
      <c r="B946" t="s">
        <v>231</v>
      </c>
      <c r="C946">
        <v>2</v>
      </c>
      <c r="D946">
        <v>0</v>
      </c>
      <c r="E946">
        <v>0</v>
      </c>
      <c r="F946">
        <v>79.94</v>
      </c>
      <c r="G946">
        <v>83629.399999999994</v>
      </c>
      <c r="H946" s="14">
        <v>43767.833333333336</v>
      </c>
    </row>
    <row r="947" spans="1:8" x14ac:dyDescent="0.25">
      <c r="A947">
        <v>100</v>
      </c>
      <c r="B947" t="s">
        <v>231</v>
      </c>
      <c r="C947">
        <v>3</v>
      </c>
      <c r="D947">
        <v>0</v>
      </c>
      <c r="E947">
        <v>0</v>
      </c>
      <c r="F947">
        <v>87.8</v>
      </c>
      <c r="G947">
        <v>83091.64</v>
      </c>
      <c r="H947" s="14">
        <v>43767.833333333336</v>
      </c>
    </row>
    <row r="948" spans="1:8" x14ac:dyDescent="0.25">
      <c r="A948">
        <v>100</v>
      </c>
      <c r="B948" t="s">
        <v>231</v>
      </c>
      <c r="C948">
        <v>4</v>
      </c>
      <c r="D948">
        <v>0</v>
      </c>
      <c r="E948">
        <v>0</v>
      </c>
      <c r="F948">
        <v>78.61</v>
      </c>
      <c r="G948">
        <v>82840.17</v>
      </c>
      <c r="H948" s="14">
        <v>43767.833333333336</v>
      </c>
    </row>
    <row r="949" spans="1:8" x14ac:dyDescent="0.25">
      <c r="A949">
        <v>100</v>
      </c>
      <c r="B949" t="s">
        <v>231</v>
      </c>
      <c r="C949">
        <v>5</v>
      </c>
      <c r="D949">
        <v>0</v>
      </c>
      <c r="E949">
        <v>0</v>
      </c>
      <c r="F949">
        <v>84.09</v>
      </c>
      <c r="G949">
        <v>80933.509999999995</v>
      </c>
      <c r="H949" s="14">
        <v>43767.833333333336</v>
      </c>
    </row>
    <row r="950" spans="1:8" x14ac:dyDescent="0.25">
      <c r="A950">
        <v>100</v>
      </c>
      <c r="B950" t="s">
        <v>231</v>
      </c>
      <c r="C950">
        <v>6</v>
      </c>
      <c r="D950">
        <v>0</v>
      </c>
      <c r="E950">
        <v>0</v>
      </c>
      <c r="F950">
        <v>79.67</v>
      </c>
      <c r="G950">
        <v>81937.759999999995</v>
      </c>
      <c r="H950" s="14">
        <v>43767.833333333336</v>
      </c>
    </row>
    <row r="951" spans="1:8" x14ac:dyDescent="0.25">
      <c r="A951">
        <v>100</v>
      </c>
      <c r="B951" t="s">
        <v>231</v>
      </c>
      <c r="C951">
        <v>7</v>
      </c>
      <c r="D951">
        <v>0</v>
      </c>
      <c r="E951">
        <v>0</v>
      </c>
      <c r="F951">
        <v>86.33</v>
      </c>
      <c r="G951">
        <v>81432.63</v>
      </c>
      <c r="H951" s="14">
        <v>43767.833333333336</v>
      </c>
    </row>
    <row r="952" spans="1:8" x14ac:dyDescent="0.25">
      <c r="A952">
        <v>100</v>
      </c>
      <c r="B952" t="s">
        <v>231</v>
      </c>
      <c r="C952">
        <v>8</v>
      </c>
      <c r="D952">
        <v>0</v>
      </c>
      <c r="E952">
        <v>0</v>
      </c>
      <c r="F952">
        <v>80.05</v>
      </c>
      <c r="G952">
        <v>81993.17</v>
      </c>
      <c r="H952" s="14">
        <v>43767.833333333336</v>
      </c>
    </row>
    <row r="953" spans="1:8" x14ac:dyDescent="0.25">
      <c r="A953">
        <v>100</v>
      </c>
      <c r="B953" t="s">
        <v>231</v>
      </c>
      <c r="C953">
        <v>9</v>
      </c>
      <c r="D953">
        <v>0</v>
      </c>
      <c r="E953">
        <v>0</v>
      </c>
      <c r="F953">
        <v>70.97</v>
      </c>
      <c r="G953">
        <v>77044.33</v>
      </c>
      <c r="H953" s="14">
        <v>43767.833333333336</v>
      </c>
    </row>
    <row r="954" spans="1:8" x14ac:dyDescent="0.25">
      <c r="A954">
        <v>101</v>
      </c>
      <c r="B954" t="s">
        <v>233</v>
      </c>
      <c r="C954">
        <v>1</v>
      </c>
      <c r="D954">
        <v>0</v>
      </c>
      <c r="E954">
        <v>0</v>
      </c>
      <c r="F954">
        <v>95.24</v>
      </c>
      <c r="G954">
        <v>84947.15</v>
      </c>
      <c r="H954" s="14">
        <v>43767.833333333336</v>
      </c>
    </row>
    <row r="955" spans="1:8" x14ac:dyDescent="0.25">
      <c r="A955">
        <v>101</v>
      </c>
      <c r="B955" t="s">
        <v>233</v>
      </c>
      <c r="C955">
        <v>2</v>
      </c>
      <c r="D955">
        <v>0</v>
      </c>
      <c r="E955">
        <v>0</v>
      </c>
      <c r="F955">
        <v>92.42</v>
      </c>
      <c r="G955">
        <v>87756.09</v>
      </c>
      <c r="H955" s="14">
        <v>43767.833333333336</v>
      </c>
    </row>
    <row r="956" spans="1:8" x14ac:dyDescent="0.25">
      <c r="A956">
        <v>101</v>
      </c>
      <c r="B956" t="s">
        <v>233</v>
      </c>
      <c r="C956">
        <v>3</v>
      </c>
      <c r="D956">
        <v>0</v>
      </c>
      <c r="E956">
        <v>0</v>
      </c>
      <c r="F956">
        <v>94.37</v>
      </c>
      <c r="G956">
        <v>84953.600000000006</v>
      </c>
      <c r="H956" s="14">
        <v>43767.833333333336</v>
      </c>
    </row>
    <row r="957" spans="1:8" x14ac:dyDescent="0.25">
      <c r="A957">
        <v>101</v>
      </c>
      <c r="B957" t="s">
        <v>233</v>
      </c>
      <c r="C957">
        <v>4</v>
      </c>
      <c r="D957">
        <v>0</v>
      </c>
      <c r="E957">
        <v>0</v>
      </c>
      <c r="F957">
        <v>88.24</v>
      </c>
      <c r="G957">
        <v>86158.97</v>
      </c>
      <c r="H957" s="14">
        <v>43767.833333333336</v>
      </c>
    </row>
    <row r="958" spans="1:8" x14ac:dyDescent="0.25">
      <c r="A958">
        <v>101</v>
      </c>
      <c r="B958" t="s">
        <v>233</v>
      </c>
      <c r="C958">
        <v>5</v>
      </c>
      <c r="D958">
        <v>0</v>
      </c>
      <c r="E958">
        <v>0</v>
      </c>
      <c r="F958">
        <v>92.38</v>
      </c>
      <c r="G958">
        <v>84674.32</v>
      </c>
      <c r="H958" s="14">
        <v>43767.833333333336</v>
      </c>
    </row>
    <row r="959" spans="1:8" x14ac:dyDescent="0.25">
      <c r="A959">
        <v>101</v>
      </c>
      <c r="B959" t="s">
        <v>233</v>
      </c>
      <c r="C959">
        <v>6</v>
      </c>
      <c r="D959">
        <v>0</v>
      </c>
      <c r="E959">
        <v>0</v>
      </c>
      <c r="F959">
        <v>87.77</v>
      </c>
      <c r="G959">
        <v>86397.72</v>
      </c>
      <c r="H959" s="14">
        <v>43767.833333333336</v>
      </c>
    </row>
    <row r="960" spans="1:8" x14ac:dyDescent="0.25">
      <c r="A960">
        <v>101</v>
      </c>
      <c r="B960" t="s">
        <v>233</v>
      </c>
      <c r="C960">
        <v>7</v>
      </c>
      <c r="D960">
        <v>0</v>
      </c>
      <c r="E960">
        <v>0</v>
      </c>
      <c r="F960">
        <v>91.32</v>
      </c>
      <c r="G960">
        <v>84442.240000000005</v>
      </c>
      <c r="H960" s="14">
        <v>43767.833333333336</v>
      </c>
    </row>
    <row r="961" spans="1:8" x14ac:dyDescent="0.25">
      <c r="A961">
        <v>101</v>
      </c>
      <c r="B961" t="s">
        <v>233</v>
      </c>
      <c r="C961">
        <v>8</v>
      </c>
      <c r="D961">
        <v>0</v>
      </c>
      <c r="E961">
        <v>0</v>
      </c>
      <c r="F961">
        <v>84.44</v>
      </c>
      <c r="G961">
        <v>85122.04</v>
      </c>
      <c r="H961" s="14">
        <v>43767.833333333336</v>
      </c>
    </row>
    <row r="962" spans="1:8" x14ac:dyDescent="0.25">
      <c r="A962">
        <v>101</v>
      </c>
      <c r="B962" t="s">
        <v>233</v>
      </c>
      <c r="C962">
        <v>9</v>
      </c>
      <c r="D962">
        <v>0</v>
      </c>
      <c r="E962">
        <v>0</v>
      </c>
      <c r="F962">
        <v>56.61</v>
      </c>
      <c r="G962">
        <v>54878.29</v>
      </c>
      <c r="H962" s="14">
        <v>43767.833333333336</v>
      </c>
    </row>
    <row r="963" spans="1:8" x14ac:dyDescent="0.25">
      <c r="A963">
        <v>101</v>
      </c>
      <c r="B963" t="s">
        <v>233</v>
      </c>
      <c r="C963">
        <v>10</v>
      </c>
      <c r="D963">
        <v>0</v>
      </c>
      <c r="E963">
        <v>0</v>
      </c>
      <c r="F963">
        <v>54.35</v>
      </c>
      <c r="G963">
        <v>50772.53</v>
      </c>
      <c r="H963" s="14">
        <v>43767.833333333336</v>
      </c>
    </row>
    <row r="964" spans="1:8" x14ac:dyDescent="0.25">
      <c r="A964">
        <v>102</v>
      </c>
      <c r="B964" t="s">
        <v>234</v>
      </c>
      <c r="C964">
        <v>1</v>
      </c>
      <c r="D964">
        <v>0</v>
      </c>
      <c r="E964">
        <v>0</v>
      </c>
      <c r="F964">
        <v>70.83</v>
      </c>
      <c r="G964">
        <v>77923.259999999995</v>
      </c>
      <c r="H964" s="14">
        <v>43767.833333333336</v>
      </c>
    </row>
    <row r="965" spans="1:8" x14ac:dyDescent="0.25">
      <c r="A965">
        <v>102</v>
      </c>
      <c r="B965" t="s">
        <v>234</v>
      </c>
      <c r="C965">
        <v>2</v>
      </c>
      <c r="D965">
        <v>0</v>
      </c>
      <c r="E965">
        <v>0</v>
      </c>
      <c r="F965">
        <v>127.1</v>
      </c>
      <c r="G965">
        <v>93296.15</v>
      </c>
      <c r="H965" s="14">
        <v>43767.833333333336</v>
      </c>
    </row>
    <row r="966" spans="1:8" x14ac:dyDescent="0.25">
      <c r="A966">
        <v>102</v>
      </c>
      <c r="B966" t="s">
        <v>234</v>
      </c>
      <c r="C966">
        <v>3</v>
      </c>
      <c r="D966">
        <v>0</v>
      </c>
      <c r="E966">
        <v>0</v>
      </c>
      <c r="F966">
        <v>83.11</v>
      </c>
      <c r="G966">
        <v>82320.23</v>
      </c>
      <c r="H966" s="14">
        <v>43767.833333333336</v>
      </c>
    </row>
    <row r="967" spans="1:8" x14ac:dyDescent="0.25">
      <c r="A967">
        <v>102</v>
      </c>
      <c r="B967" t="s">
        <v>234</v>
      </c>
      <c r="C967">
        <v>4</v>
      </c>
      <c r="D967">
        <v>0</v>
      </c>
      <c r="E967">
        <v>0</v>
      </c>
      <c r="F967">
        <v>86.74</v>
      </c>
      <c r="G967">
        <v>80537.919999999998</v>
      </c>
      <c r="H967" s="14">
        <v>43767.833333333336</v>
      </c>
    </row>
    <row r="968" spans="1:8" x14ac:dyDescent="0.25">
      <c r="A968">
        <v>102</v>
      </c>
      <c r="B968" t="s">
        <v>234</v>
      </c>
      <c r="C968">
        <v>5</v>
      </c>
      <c r="D968">
        <v>0</v>
      </c>
      <c r="E968">
        <v>0</v>
      </c>
      <c r="F968">
        <v>126.88</v>
      </c>
      <c r="G968">
        <v>93434.46</v>
      </c>
      <c r="H968" s="14">
        <v>43767.833333333336</v>
      </c>
    </row>
    <row r="969" spans="1:8" x14ac:dyDescent="0.25">
      <c r="A969">
        <v>102</v>
      </c>
      <c r="B969" t="s">
        <v>234</v>
      </c>
      <c r="C969">
        <v>6</v>
      </c>
      <c r="D969">
        <v>0</v>
      </c>
      <c r="E969">
        <v>0</v>
      </c>
      <c r="F969">
        <v>123.9</v>
      </c>
      <c r="G969">
        <v>91060.59</v>
      </c>
      <c r="H969" s="14">
        <v>43767.833333333336</v>
      </c>
    </row>
    <row r="970" spans="1:8" x14ac:dyDescent="0.25">
      <c r="A970">
        <v>102</v>
      </c>
      <c r="B970" t="s">
        <v>234</v>
      </c>
      <c r="C970">
        <v>7</v>
      </c>
      <c r="D970">
        <v>0</v>
      </c>
      <c r="E970">
        <v>0</v>
      </c>
      <c r="F970">
        <v>126.23</v>
      </c>
      <c r="G970">
        <v>86595.83</v>
      </c>
      <c r="H970" s="14">
        <v>43767.833333333336</v>
      </c>
    </row>
    <row r="971" spans="1:8" x14ac:dyDescent="0.25">
      <c r="A971">
        <v>102</v>
      </c>
      <c r="B971" t="s">
        <v>234</v>
      </c>
      <c r="C971">
        <v>8</v>
      </c>
      <c r="D971">
        <v>0</v>
      </c>
      <c r="E971">
        <v>0</v>
      </c>
      <c r="F971">
        <v>87.66</v>
      </c>
      <c r="G971">
        <v>75503.12</v>
      </c>
      <c r="H971" s="14">
        <v>43767.833333333336</v>
      </c>
    </row>
    <row r="972" spans="1:8" x14ac:dyDescent="0.25">
      <c r="A972">
        <v>102</v>
      </c>
      <c r="B972" t="s">
        <v>234</v>
      </c>
      <c r="C972">
        <v>9</v>
      </c>
      <c r="D972">
        <v>0</v>
      </c>
      <c r="E972">
        <v>0</v>
      </c>
      <c r="F972">
        <v>70.59</v>
      </c>
      <c r="G972">
        <v>56241.38</v>
      </c>
      <c r="H972" s="14">
        <v>43767.833333333336</v>
      </c>
    </row>
    <row r="973" spans="1:8" x14ac:dyDescent="0.25">
      <c r="A973">
        <v>103</v>
      </c>
      <c r="B973" t="s">
        <v>235</v>
      </c>
      <c r="C973">
        <v>1</v>
      </c>
      <c r="D973">
        <v>0</v>
      </c>
      <c r="E973">
        <v>0</v>
      </c>
      <c r="F973">
        <v>88.04</v>
      </c>
      <c r="G973">
        <v>80403.509999999995</v>
      </c>
      <c r="H973" s="14">
        <v>43767.833333333336</v>
      </c>
    </row>
    <row r="974" spans="1:8" x14ac:dyDescent="0.25">
      <c r="A974">
        <v>103</v>
      </c>
      <c r="B974" t="s">
        <v>235</v>
      </c>
      <c r="C974">
        <v>2</v>
      </c>
      <c r="D974">
        <v>0</v>
      </c>
      <c r="E974">
        <v>0</v>
      </c>
      <c r="F974">
        <v>126.89</v>
      </c>
      <c r="G974">
        <v>92863.95</v>
      </c>
      <c r="H974" s="14">
        <v>43767.833333333336</v>
      </c>
    </row>
    <row r="975" spans="1:8" x14ac:dyDescent="0.25">
      <c r="A975">
        <v>103</v>
      </c>
      <c r="B975" t="s">
        <v>235</v>
      </c>
      <c r="C975">
        <v>3</v>
      </c>
      <c r="D975">
        <v>0</v>
      </c>
      <c r="E975">
        <v>0</v>
      </c>
      <c r="F975">
        <v>119.54</v>
      </c>
      <c r="G975">
        <v>89396.03</v>
      </c>
      <c r="H975" s="14">
        <v>43767.833333333336</v>
      </c>
    </row>
    <row r="976" spans="1:8" x14ac:dyDescent="0.25">
      <c r="A976">
        <v>103</v>
      </c>
      <c r="B976" t="s">
        <v>235</v>
      </c>
      <c r="C976">
        <v>4</v>
      </c>
      <c r="D976">
        <v>0</v>
      </c>
      <c r="E976">
        <v>0</v>
      </c>
      <c r="F976">
        <v>101.69</v>
      </c>
      <c r="G976">
        <v>84250.23</v>
      </c>
      <c r="H976" s="14">
        <v>43767.833333333336</v>
      </c>
    </row>
    <row r="977" spans="1:8" x14ac:dyDescent="0.25">
      <c r="A977">
        <v>103</v>
      </c>
      <c r="B977" t="s">
        <v>235</v>
      </c>
      <c r="C977">
        <v>5</v>
      </c>
      <c r="D977">
        <v>0</v>
      </c>
      <c r="E977">
        <v>0</v>
      </c>
      <c r="F977">
        <v>88.62</v>
      </c>
      <c r="G977">
        <v>79340.710000000006</v>
      </c>
      <c r="H977" s="14">
        <v>43767.833333333336</v>
      </c>
    </row>
    <row r="978" spans="1:8" x14ac:dyDescent="0.25">
      <c r="A978">
        <v>103</v>
      </c>
      <c r="B978" t="s">
        <v>235</v>
      </c>
      <c r="C978">
        <v>6</v>
      </c>
      <c r="D978">
        <v>0</v>
      </c>
      <c r="E978">
        <v>0</v>
      </c>
      <c r="F978">
        <v>126.86</v>
      </c>
      <c r="G978">
        <v>92974.31</v>
      </c>
      <c r="H978" s="14">
        <v>43767.833333333336</v>
      </c>
    </row>
    <row r="979" spans="1:8" x14ac:dyDescent="0.25">
      <c r="A979">
        <v>103</v>
      </c>
      <c r="B979" t="s">
        <v>235</v>
      </c>
      <c r="C979">
        <v>7</v>
      </c>
      <c r="D979">
        <v>0</v>
      </c>
      <c r="E979">
        <v>0</v>
      </c>
      <c r="F979">
        <v>102.7</v>
      </c>
      <c r="G979">
        <v>83850.64</v>
      </c>
      <c r="H979" s="14">
        <v>43767.833333333336</v>
      </c>
    </row>
    <row r="980" spans="1:8" x14ac:dyDescent="0.25">
      <c r="A980">
        <v>103</v>
      </c>
      <c r="B980" t="s">
        <v>235</v>
      </c>
      <c r="C980">
        <v>8</v>
      </c>
      <c r="D980">
        <v>0</v>
      </c>
      <c r="E980">
        <v>0</v>
      </c>
      <c r="F980">
        <v>87.2</v>
      </c>
      <c r="G980">
        <v>79344.53</v>
      </c>
      <c r="H980" s="14">
        <v>43767.833333333336</v>
      </c>
    </row>
    <row r="981" spans="1:8" x14ac:dyDescent="0.25">
      <c r="A981">
        <v>103</v>
      </c>
      <c r="B981" t="s">
        <v>235</v>
      </c>
      <c r="C981">
        <v>9</v>
      </c>
      <c r="D981">
        <v>0</v>
      </c>
      <c r="E981">
        <v>0</v>
      </c>
      <c r="F981">
        <v>129.44999999999999</v>
      </c>
      <c r="G981">
        <v>94161.1</v>
      </c>
      <c r="H981" s="14">
        <v>43767.833333333336</v>
      </c>
    </row>
    <row r="982" spans="1:8" x14ac:dyDescent="0.25">
      <c r="A982">
        <v>104</v>
      </c>
      <c r="B982" t="s">
        <v>236</v>
      </c>
      <c r="C982">
        <v>1</v>
      </c>
      <c r="D982">
        <v>0</v>
      </c>
      <c r="E982">
        <v>0</v>
      </c>
      <c r="F982">
        <v>155.99</v>
      </c>
      <c r="G982">
        <v>92457.89</v>
      </c>
      <c r="H982" s="14">
        <v>43767.833333333336</v>
      </c>
    </row>
    <row r="983" spans="1:8" x14ac:dyDescent="0.25">
      <c r="A983">
        <v>104</v>
      </c>
      <c r="B983" t="s">
        <v>236</v>
      </c>
      <c r="C983">
        <v>2</v>
      </c>
      <c r="D983">
        <v>0</v>
      </c>
      <c r="E983">
        <v>0</v>
      </c>
      <c r="F983">
        <v>159.76</v>
      </c>
      <c r="G983">
        <v>93809.09</v>
      </c>
      <c r="H983" s="14">
        <v>43767.833333333336</v>
      </c>
    </row>
    <row r="984" spans="1:8" x14ac:dyDescent="0.25">
      <c r="A984">
        <v>104</v>
      </c>
      <c r="B984" t="s">
        <v>236</v>
      </c>
      <c r="C984">
        <v>3</v>
      </c>
      <c r="D984">
        <v>0</v>
      </c>
      <c r="E984">
        <v>0</v>
      </c>
      <c r="F984">
        <v>104.6</v>
      </c>
      <c r="G984">
        <v>82076.740000000005</v>
      </c>
      <c r="H984" s="14">
        <v>43767.833333333336</v>
      </c>
    </row>
    <row r="985" spans="1:8" x14ac:dyDescent="0.25">
      <c r="A985">
        <v>104</v>
      </c>
      <c r="B985" t="s">
        <v>236</v>
      </c>
      <c r="C985">
        <v>4</v>
      </c>
      <c r="D985">
        <v>0</v>
      </c>
      <c r="E985">
        <v>0</v>
      </c>
      <c r="F985">
        <v>0</v>
      </c>
      <c r="G985">
        <v>82242.080000000002</v>
      </c>
      <c r="H985" s="14">
        <v>43767.833333333336</v>
      </c>
    </row>
    <row r="986" spans="1:8" x14ac:dyDescent="0.25">
      <c r="A986">
        <v>105</v>
      </c>
      <c r="B986" t="s">
        <v>237</v>
      </c>
      <c r="C986">
        <v>1</v>
      </c>
      <c r="D986">
        <v>0</v>
      </c>
      <c r="E986">
        <v>0</v>
      </c>
      <c r="F986">
        <v>78.03</v>
      </c>
      <c r="G986">
        <v>81849.5</v>
      </c>
      <c r="H986" s="14">
        <v>43767.833333333336</v>
      </c>
    </row>
    <row r="987" spans="1:8" x14ac:dyDescent="0.25">
      <c r="A987">
        <v>105</v>
      </c>
      <c r="B987" t="s">
        <v>237</v>
      </c>
      <c r="C987">
        <v>2</v>
      </c>
      <c r="D987">
        <v>0</v>
      </c>
      <c r="E987">
        <v>0</v>
      </c>
      <c r="F987">
        <v>78.23</v>
      </c>
      <c r="G987">
        <v>71068.929999999993</v>
      </c>
      <c r="H987" s="14">
        <v>43767.833333333336</v>
      </c>
    </row>
    <row r="988" spans="1:8" x14ac:dyDescent="0.25">
      <c r="A988">
        <v>105</v>
      </c>
      <c r="B988" t="s">
        <v>237</v>
      </c>
      <c r="C988">
        <v>3</v>
      </c>
      <c r="D988">
        <v>0</v>
      </c>
      <c r="E988">
        <v>0</v>
      </c>
      <c r="F988">
        <v>104.53</v>
      </c>
      <c r="G988">
        <v>32192.45</v>
      </c>
      <c r="H988" s="14">
        <v>43767.833333333336</v>
      </c>
    </row>
    <row r="989" spans="1:8" x14ac:dyDescent="0.25">
      <c r="A989">
        <v>105</v>
      </c>
      <c r="B989" t="s">
        <v>237</v>
      </c>
      <c r="C989">
        <v>4</v>
      </c>
      <c r="D989">
        <v>0</v>
      </c>
      <c r="E989">
        <v>0</v>
      </c>
      <c r="F989">
        <v>101.69</v>
      </c>
      <c r="G989">
        <v>83194.62</v>
      </c>
      <c r="H989" s="14">
        <v>43767.833333333336</v>
      </c>
    </row>
    <row r="990" spans="1:8" x14ac:dyDescent="0.25">
      <c r="A990">
        <v>105</v>
      </c>
      <c r="B990" t="s">
        <v>237</v>
      </c>
      <c r="C990">
        <v>5</v>
      </c>
      <c r="D990">
        <v>0</v>
      </c>
      <c r="E990">
        <v>0</v>
      </c>
      <c r="F990">
        <v>55.68</v>
      </c>
      <c r="G990">
        <v>50595.32</v>
      </c>
      <c r="H990" s="14">
        <v>43767.833333333336</v>
      </c>
    </row>
    <row r="991" spans="1:8" x14ac:dyDescent="0.25">
      <c r="A991">
        <v>105</v>
      </c>
      <c r="B991" t="s">
        <v>237</v>
      </c>
      <c r="C991">
        <v>6</v>
      </c>
      <c r="D991">
        <v>0</v>
      </c>
      <c r="E991">
        <v>0</v>
      </c>
      <c r="F991">
        <v>70.739999999999995</v>
      </c>
      <c r="G991">
        <v>53656.82</v>
      </c>
      <c r="H991" s="14">
        <v>43767.833333333336</v>
      </c>
    </row>
    <row r="992" spans="1:8" x14ac:dyDescent="0.25">
      <c r="A992">
        <v>106</v>
      </c>
      <c r="B992" t="s">
        <v>238</v>
      </c>
      <c r="C992">
        <v>1</v>
      </c>
      <c r="D992">
        <v>0</v>
      </c>
      <c r="E992">
        <v>0</v>
      </c>
      <c r="F992">
        <v>123.85</v>
      </c>
      <c r="G992">
        <v>85744.320000000007</v>
      </c>
      <c r="H992" s="14">
        <v>43767.833333333336</v>
      </c>
    </row>
    <row r="993" spans="1:8" x14ac:dyDescent="0.25">
      <c r="A993">
        <v>106</v>
      </c>
      <c r="B993" t="s">
        <v>238</v>
      </c>
      <c r="C993">
        <v>2</v>
      </c>
      <c r="D993">
        <v>0</v>
      </c>
      <c r="E993">
        <v>0</v>
      </c>
      <c r="F993">
        <v>124.13</v>
      </c>
      <c r="G993">
        <v>71715.360000000001</v>
      </c>
      <c r="H993" s="14">
        <v>43767.833333333336</v>
      </c>
    </row>
    <row r="994" spans="1:8" x14ac:dyDescent="0.25">
      <c r="A994">
        <v>106</v>
      </c>
      <c r="B994" t="s">
        <v>238</v>
      </c>
      <c r="C994">
        <v>3</v>
      </c>
      <c r="D994">
        <v>0</v>
      </c>
      <c r="E994">
        <v>0</v>
      </c>
      <c r="F994">
        <v>134.76</v>
      </c>
      <c r="G994">
        <v>88893.16</v>
      </c>
      <c r="H994" s="14">
        <v>43767.833333333336</v>
      </c>
    </row>
    <row r="995" spans="1:8" x14ac:dyDescent="0.25">
      <c r="A995">
        <v>106</v>
      </c>
      <c r="B995" t="s">
        <v>238</v>
      </c>
      <c r="C995">
        <v>4</v>
      </c>
      <c r="D995">
        <v>0</v>
      </c>
      <c r="E995">
        <v>0</v>
      </c>
      <c r="F995">
        <v>135.59</v>
      </c>
      <c r="G995">
        <v>89569.279999999999</v>
      </c>
      <c r="H995" s="14">
        <v>43767.833333333336</v>
      </c>
    </row>
    <row r="996" spans="1:8" x14ac:dyDescent="0.25">
      <c r="A996">
        <v>106</v>
      </c>
      <c r="B996" t="s">
        <v>238</v>
      </c>
      <c r="C996">
        <v>5</v>
      </c>
      <c r="D996">
        <v>0</v>
      </c>
      <c r="E996">
        <v>0</v>
      </c>
      <c r="F996">
        <v>118.1</v>
      </c>
      <c r="G996">
        <v>78268.45</v>
      </c>
      <c r="H996" s="14">
        <v>43767.833333333336</v>
      </c>
    </row>
    <row r="997" spans="1:8" x14ac:dyDescent="0.25">
      <c r="A997">
        <v>106</v>
      </c>
      <c r="B997" t="s">
        <v>238</v>
      </c>
      <c r="C997">
        <v>6</v>
      </c>
      <c r="D997">
        <v>0</v>
      </c>
      <c r="E997">
        <v>0</v>
      </c>
      <c r="F997">
        <v>121.64</v>
      </c>
      <c r="G997">
        <v>80885.48</v>
      </c>
      <c r="H997" s="14">
        <v>43767.833333333336</v>
      </c>
    </row>
    <row r="998" spans="1:8" x14ac:dyDescent="0.25">
      <c r="A998">
        <v>107</v>
      </c>
      <c r="B998" t="s">
        <v>239</v>
      </c>
      <c r="C998">
        <v>1</v>
      </c>
      <c r="D998">
        <v>0</v>
      </c>
      <c r="E998">
        <v>0</v>
      </c>
      <c r="F998">
        <v>16.579999999999998</v>
      </c>
      <c r="G998">
        <v>51132.94</v>
      </c>
      <c r="H998" s="14">
        <v>43767.833333333336</v>
      </c>
    </row>
    <row r="999" spans="1:8" x14ac:dyDescent="0.25">
      <c r="A999">
        <v>107</v>
      </c>
      <c r="B999" t="s">
        <v>239</v>
      </c>
      <c r="C999">
        <v>2</v>
      </c>
      <c r="D999">
        <v>0</v>
      </c>
      <c r="E999">
        <v>0</v>
      </c>
      <c r="F999">
        <v>25.84</v>
      </c>
      <c r="G999">
        <v>79851.77</v>
      </c>
      <c r="H999" s="14">
        <v>43767.833333333336</v>
      </c>
    </row>
    <row r="1000" spans="1:8" x14ac:dyDescent="0.25">
      <c r="A1000">
        <v>107</v>
      </c>
      <c r="B1000" t="s">
        <v>239</v>
      </c>
      <c r="C1000">
        <v>3</v>
      </c>
      <c r="D1000">
        <v>0</v>
      </c>
      <c r="E1000">
        <v>0</v>
      </c>
      <c r="F1000">
        <v>25.88</v>
      </c>
      <c r="G1000">
        <v>77600.94</v>
      </c>
      <c r="H1000" s="14">
        <v>43767.833333333336</v>
      </c>
    </row>
    <row r="1001" spans="1:8" x14ac:dyDescent="0.25">
      <c r="A1001">
        <v>107</v>
      </c>
      <c r="B1001" t="s">
        <v>239</v>
      </c>
      <c r="C1001">
        <v>4</v>
      </c>
      <c r="D1001">
        <v>0</v>
      </c>
      <c r="E1001">
        <v>0</v>
      </c>
      <c r="F1001">
        <v>25.96</v>
      </c>
      <c r="G1001">
        <v>78236.929999999993</v>
      </c>
      <c r="H1001" s="14">
        <v>43767.833333333336</v>
      </c>
    </row>
    <row r="1002" spans="1:8" x14ac:dyDescent="0.25">
      <c r="A1002">
        <v>107</v>
      </c>
      <c r="B1002" t="s">
        <v>239</v>
      </c>
      <c r="C1002">
        <v>5</v>
      </c>
      <c r="D1002">
        <v>0</v>
      </c>
      <c r="E1002">
        <v>0</v>
      </c>
      <c r="F1002">
        <v>26.02</v>
      </c>
      <c r="G1002">
        <v>80550.12</v>
      </c>
      <c r="H1002" s="14">
        <v>43767.833333333336</v>
      </c>
    </row>
    <row r="1003" spans="1:8" x14ac:dyDescent="0.25">
      <c r="A1003">
        <v>107</v>
      </c>
      <c r="B1003" t="s">
        <v>239</v>
      </c>
      <c r="C1003">
        <v>6</v>
      </c>
      <c r="D1003">
        <v>0</v>
      </c>
      <c r="E1003">
        <v>0</v>
      </c>
      <c r="F1003">
        <v>26.09</v>
      </c>
      <c r="G1003">
        <v>81970.55</v>
      </c>
      <c r="H1003" s="14">
        <v>43767.833333333336</v>
      </c>
    </row>
    <row r="1004" spans="1:8" x14ac:dyDescent="0.25">
      <c r="A1004">
        <v>107</v>
      </c>
      <c r="B1004" t="s">
        <v>239</v>
      </c>
      <c r="C1004">
        <v>7</v>
      </c>
      <c r="D1004">
        <v>0</v>
      </c>
      <c r="E1004">
        <v>0</v>
      </c>
      <c r="F1004">
        <v>26.04</v>
      </c>
      <c r="G1004">
        <v>81681.08</v>
      </c>
      <c r="H1004" s="14">
        <v>43767.833333333336</v>
      </c>
    </row>
    <row r="1005" spans="1:8" x14ac:dyDescent="0.25">
      <c r="A1005">
        <v>107</v>
      </c>
      <c r="B1005" t="s">
        <v>239</v>
      </c>
      <c r="C1005">
        <v>8</v>
      </c>
      <c r="D1005">
        <v>0</v>
      </c>
      <c r="E1005">
        <v>0</v>
      </c>
      <c r="F1005">
        <v>25.87</v>
      </c>
      <c r="G1005">
        <v>81409.100000000006</v>
      </c>
      <c r="H1005" s="14">
        <v>43767.833333333336</v>
      </c>
    </row>
    <row r="1006" spans="1:8" x14ac:dyDescent="0.25">
      <c r="A1006">
        <v>107</v>
      </c>
      <c r="B1006" t="s">
        <v>239</v>
      </c>
      <c r="C1006">
        <v>9</v>
      </c>
      <c r="D1006">
        <v>0</v>
      </c>
      <c r="E1006">
        <v>0</v>
      </c>
      <c r="F1006">
        <v>25.66</v>
      </c>
      <c r="G1006">
        <v>80804.55</v>
      </c>
      <c r="H1006" s="14">
        <v>43767.833333333336</v>
      </c>
    </row>
    <row r="1007" spans="1:8" x14ac:dyDescent="0.25">
      <c r="A1007">
        <v>107</v>
      </c>
      <c r="B1007" t="s">
        <v>239</v>
      </c>
      <c r="C1007">
        <v>10</v>
      </c>
      <c r="D1007">
        <v>0</v>
      </c>
      <c r="E1007">
        <v>0</v>
      </c>
      <c r="F1007">
        <v>0</v>
      </c>
      <c r="G1007">
        <v>0</v>
      </c>
      <c r="H1007" s="14">
        <v>36526</v>
      </c>
    </row>
    <row r="1008" spans="1:8" x14ac:dyDescent="0.25">
      <c r="A1008">
        <v>107</v>
      </c>
      <c r="B1008" t="s">
        <v>239</v>
      </c>
      <c r="C1008">
        <v>11</v>
      </c>
      <c r="D1008">
        <v>0</v>
      </c>
      <c r="E1008">
        <v>0</v>
      </c>
      <c r="F1008">
        <v>0</v>
      </c>
      <c r="G1008">
        <v>0</v>
      </c>
      <c r="H1008" s="14">
        <v>36526</v>
      </c>
    </row>
    <row r="1009" spans="1:8" x14ac:dyDescent="0.25">
      <c r="A1009">
        <v>107</v>
      </c>
      <c r="B1009" t="s">
        <v>239</v>
      </c>
      <c r="C1009">
        <v>12</v>
      </c>
      <c r="D1009">
        <v>0</v>
      </c>
      <c r="E1009">
        <v>0</v>
      </c>
      <c r="F1009">
        <v>0</v>
      </c>
      <c r="G1009">
        <v>0</v>
      </c>
      <c r="H1009" s="14">
        <v>36526</v>
      </c>
    </row>
    <row r="1010" spans="1:8" x14ac:dyDescent="0.25">
      <c r="A1010">
        <v>107</v>
      </c>
      <c r="B1010" t="s">
        <v>239</v>
      </c>
      <c r="C1010">
        <v>13</v>
      </c>
      <c r="D1010">
        <v>0</v>
      </c>
      <c r="E1010">
        <v>0</v>
      </c>
      <c r="F1010">
        <v>0</v>
      </c>
      <c r="G1010">
        <v>0</v>
      </c>
      <c r="H1010" s="14">
        <v>36526</v>
      </c>
    </row>
    <row r="1011" spans="1:8" x14ac:dyDescent="0.25">
      <c r="A1011">
        <v>107</v>
      </c>
      <c r="B1011" t="s">
        <v>239</v>
      </c>
      <c r="C1011">
        <v>14</v>
      </c>
      <c r="D1011">
        <v>0</v>
      </c>
      <c r="E1011">
        <v>0</v>
      </c>
      <c r="F1011">
        <v>0</v>
      </c>
      <c r="G1011">
        <v>0</v>
      </c>
      <c r="H1011" s="14">
        <v>36526</v>
      </c>
    </row>
    <row r="1012" spans="1:8" x14ac:dyDescent="0.25">
      <c r="A1012">
        <v>107</v>
      </c>
      <c r="B1012" t="s">
        <v>239</v>
      </c>
      <c r="C1012">
        <v>15</v>
      </c>
      <c r="D1012">
        <v>0</v>
      </c>
      <c r="E1012">
        <v>0</v>
      </c>
      <c r="F1012">
        <v>0</v>
      </c>
      <c r="G1012">
        <v>0</v>
      </c>
      <c r="H1012" s="14">
        <v>36526</v>
      </c>
    </row>
    <row r="1013" spans="1:8" x14ac:dyDescent="0.25">
      <c r="A1013">
        <v>107</v>
      </c>
      <c r="B1013" t="s">
        <v>239</v>
      </c>
      <c r="C1013">
        <v>16</v>
      </c>
      <c r="D1013">
        <v>0</v>
      </c>
      <c r="E1013">
        <v>0</v>
      </c>
      <c r="F1013">
        <v>0</v>
      </c>
      <c r="G1013">
        <v>0</v>
      </c>
      <c r="H1013" s="14">
        <v>36526</v>
      </c>
    </row>
    <row r="1014" spans="1:8" x14ac:dyDescent="0.25">
      <c r="A1014">
        <v>107</v>
      </c>
      <c r="B1014" t="s">
        <v>239</v>
      </c>
      <c r="C1014">
        <v>17</v>
      </c>
      <c r="D1014">
        <v>0</v>
      </c>
      <c r="E1014">
        <v>0</v>
      </c>
      <c r="F1014">
        <v>0</v>
      </c>
      <c r="G1014">
        <v>0</v>
      </c>
      <c r="H1014" s="14">
        <v>36526</v>
      </c>
    </row>
    <row r="1015" spans="1:8" x14ac:dyDescent="0.25">
      <c r="A1015">
        <v>107</v>
      </c>
      <c r="B1015" t="s">
        <v>239</v>
      </c>
      <c r="C1015">
        <v>18</v>
      </c>
      <c r="D1015">
        <v>0</v>
      </c>
      <c r="E1015">
        <v>0</v>
      </c>
      <c r="F1015">
        <v>0</v>
      </c>
      <c r="G1015">
        <v>0</v>
      </c>
      <c r="H1015" s="14">
        <v>36526</v>
      </c>
    </row>
    <row r="1016" spans="1:8" x14ac:dyDescent="0.25">
      <c r="A1016">
        <v>107</v>
      </c>
      <c r="B1016" t="s">
        <v>239</v>
      </c>
      <c r="C1016">
        <v>19</v>
      </c>
      <c r="D1016">
        <v>0</v>
      </c>
      <c r="E1016">
        <v>0</v>
      </c>
      <c r="F1016">
        <v>0</v>
      </c>
      <c r="G1016">
        <v>0</v>
      </c>
      <c r="H1016" s="14">
        <v>36526</v>
      </c>
    </row>
    <row r="1017" spans="1:8" x14ac:dyDescent="0.25">
      <c r="A1017">
        <v>107</v>
      </c>
      <c r="B1017" t="s">
        <v>239</v>
      </c>
      <c r="C1017">
        <v>20</v>
      </c>
      <c r="D1017">
        <v>0</v>
      </c>
      <c r="E1017">
        <v>0</v>
      </c>
      <c r="F1017">
        <v>0</v>
      </c>
      <c r="G1017">
        <v>0</v>
      </c>
      <c r="H1017" s="14">
        <v>36526</v>
      </c>
    </row>
    <row r="1018" spans="1:8" x14ac:dyDescent="0.25">
      <c r="A1018">
        <v>108</v>
      </c>
      <c r="B1018" t="s">
        <v>240</v>
      </c>
      <c r="C1018">
        <v>1</v>
      </c>
      <c r="D1018">
        <v>0</v>
      </c>
      <c r="E1018">
        <v>0</v>
      </c>
      <c r="F1018">
        <v>22.44</v>
      </c>
      <c r="G1018">
        <v>76429.48</v>
      </c>
      <c r="H1018" s="14">
        <v>43767.833333333336</v>
      </c>
    </row>
    <row r="1019" spans="1:8" x14ac:dyDescent="0.25">
      <c r="A1019">
        <v>108</v>
      </c>
      <c r="B1019" t="s">
        <v>240</v>
      </c>
      <c r="C1019">
        <v>2</v>
      </c>
      <c r="D1019">
        <v>0</v>
      </c>
      <c r="E1019">
        <v>0</v>
      </c>
      <c r="F1019">
        <v>24.83</v>
      </c>
      <c r="G1019">
        <v>79571.58</v>
      </c>
      <c r="H1019" s="14">
        <v>43767.833333333336</v>
      </c>
    </row>
    <row r="1020" spans="1:8" x14ac:dyDescent="0.25">
      <c r="A1020">
        <v>108</v>
      </c>
      <c r="B1020" t="s">
        <v>240</v>
      </c>
      <c r="C1020">
        <v>3</v>
      </c>
      <c r="D1020">
        <v>0</v>
      </c>
      <c r="E1020">
        <v>0</v>
      </c>
      <c r="F1020">
        <v>24.69</v>
      </c>
      <c r="G1020">
        <v>79360.58</v>
      </c>
      <c r="H1020" s="14">
        <v>43767.833333333336</v>
      </c>
    </row>
    <row r="1021" spans="1:8" x14ac:dyDescent="0.25">
      <c r="A1021">
        <v>108</v>
      </c>
      <c r="B1021" t="s">
        <v>240</v>
      </c>
      <c r="C1021">
        <v>4</v>
      </c>
      <c r="D1021">
        <v>0</v>
      </c>
      <c r="E1021">
        <v>0</v>
      </c>
      <c r="F1021">
        <v>25.52</v>
      </c>
      <c r="G1021">
        <v>79836.429999999993</v>
      </c>
      <c r="H1021" s="14">
        <v>43767.833333333336</v>
      </c>
    </row>
    <row r="1022" spans="1:8" x14ac:dyDescent="0.25">
      <c r="A1022">
        <v>108</v>
      </c>
      <c r="B1022" t="s">
        <v>240</v>
      </c>
      <c r="C1022">
        <v>5</v>
      </c>
      <c r="D1022">
        <v>0</v>
      </c>
      <c r="E1022">
        <v>0</v>
      </c>
      <c r="F1022">
        <v>25.99</v>
      </c>
      <c r="G1022">
        <v>81466.52</v>
      </c>
      <c r="H1022" s="14">
        <v>43767.833333333336</v>
      </c>
    </row>
    <row r="1023" spans="1:8" x14ac:dyDescent="0.25">
      <c r="A1023">
        <v>108</v>
      </c>
      <c r="B1023" t="s">
        <v>240</v>
      </c>
      <c r="C1023">
        <v>6</v>
      </c>
      <c r="D1023">
        <v>0</v>
      </c>
      <c r="E1023">
        <v>0</v>
      </c>
      <c r="F1023">
        <v>25.35</v>
      </c>
      <c r="G1023">
        <v>80719.53</v>
      </c>
      <c r="H1023" s="14">
        <v>43767.833333333336</v>
      </c>
    </row>
    <row r="1024" spans="1:8" x14ac:dyDescent="0.25">
      <c r="A1024">
        <v>108</v>
      </c>
      <c r="B1024" t="s">
        <v>240</v>
      </c>
      <c r="C1024">
        <v>7</v>
      </c>
      <c r="D1024">
        <v>0</v>
      </c>
      <c r="E1024">
        <v>0</v>
      </c>
      <c r="F1024">
        <v>23.68</v>
      </c>
      <c r="G1024">
        <v>77963.72</v>
      </c>
      <c r="H1024" s="14">
        <v>43767.833333333336</v>
      </c>
    </row>
    <row r="1025" spans="1:8" x14ac:dyDescent="0.25">
      <c r="A1025">
        <v>108</v>
      </c>
      <c r="B1025" t="s">
        <v>240</v>
      </c>
      <c r="C1025">
        <v>8</v>
      </c>
      <c r="D1025">
        <v>0</v>
      </c>
      <c r="E1025">
        <v>0</v>
      </c>
      <c r="F1025">
        <v>22.05</v>
      </c>
      <c r="G1025">
        <v>74887.149999999994</v>
      </c>
      <c r="H1025" s="14">
        <v>43767.833333333336</v>
      </c>
    </row>
    <row r="1026" spans="1:8" x14ac:dyDescent="0.25">
      <c r="A1026">
        <v>108</v>
      </c>
      <c r="B1026" t="s">
        <v>240</v>
      </c>
      <c r="C1026">
        <v>9</v>
      </c>
      <c r="D1026">
        <v>0</v>
      </c>
      <c r="E1026">
        <v>0</v>
      </c>
      <c r="F1026">
        <v>22.18</v>
      </c>
      <c r="G1026">
        <v>74151.67</v>
      </c>
      <c r="H1026" s="14">
        <v>43767.833333333336</v>
      </c>
    </row>
    <row r="1027" spans="1:8" x14ac:dyDescent="0.25">
      <c r="A1027">
        <v>108</v>
      </c>
      <c r="B1027" t="s">
        <v>240</v>
      </c>
      <c r="C1027">
        <v>10</v>
      </c>
      <c r="D1027">
        <v>0</v>
      </c>
      <c r="E1027">
        <v>0</v>
      </c>
      <c r="F1027">
        <v>14.46</v>
      </c>
      <c r="G1027">
        <v>71835.28</v>
      </c>
      <c r="H1027" s="14">
        <v>43767.833333333336</v>
      </c>
    </row>
    <row r="1028" spans="1:8" x14ac:dyDescent="0.25">
      <c r="A1028">
        <v>108</v>
      </c>
      <c r="B1028" t="s">
        <v>240</v>
      </c>
      <c r="C1028">
        <v>11</v>
      </c>
      <c r="D1028">
        <v>0</v>
      </c>
      <c r="E1028">
        <v>0</v>
      </c>
      <c r="F1028">
        <v>23.17</v>
      </c>
      <c r="G1028">
        <v>73430.240000000005</v>
      </c>
      <c r="H1028" s="14">
        <v>43767.833333333336</v>
      </c>
    </row>
    <row r="1029" spans="1:8" x14ac:dyDescent="0.25">
      <c r="A1029">
        <v>108</v>
      </c>
      <c r="B1029" t="s">
        <v>240</v>
      </c>
      <c r="C1029">
        <v>12</v>
      </c>
      <c r="D1029">
        <v>0</v>
      </c>
      <c r="E1029">
        <v>0</v>
      </c>
      <c r="F1029">
        <v>24.15</v>
      </c>
      <c r="G1029">
        <v>77205.759999999995</v>
      </c>
      <c r="H1029" s="14">
        <v>43767.833333333336</v>
      </c>
    </row>
    <row r="1030" spans="1:8" x14ac:dyDescent="0.25">
      <c r="A1030">
        <v>108</v>
      </c>
      <c r="B1030" t="s">
        <v>240</v>
      </c>
      <c r="C1030">
        <v>13</v>
      </c>
      <c r="D1030">
        <v>0</v>
      </c>
      <c r="E1030">
        <v>0</v>
      </c>
      <c r="F1030">
        <v>14.94</v>
      </c>
      <c r="G1030">
        <v>45451.41</v>
      </c>
      <c r="H1030" s="14">
        <v>43767.833333333336</v>
      </c>
    </row>
    <row r="1031" spans="1:8" x14ac:dyDescent="0.25">
      <c r="A1031">
        <v>108</v>
      </c>
      <c r="B1031" t="s">
        <v>240</v>
      </c>
      <c r="C1031">
        <v>14</v>
      </c>
      <c r="D1031">
        <v>0</v>
      </c>
      <c r="E1031">
        <v>0</v>
      </c>
      <c r="F1031">
        <v>15.38</v>
      </c>
      <c r="G1031">
        <v>40218.720000000001</v>
      </c>
      <c r="H1031" s="14">
        <v>43767.833333333336</v>
      </c>
    </row>
    <row r="1032" spans="1:8" x14ac:dyDescent="0.25">
      <c r="A1032">
        <v>108</v>
      </c>
      <c r="B1032" t="s">
        <v>240</v>
      </c>
      <c r="C1032">
        <v>15</v>
      </c>
      <c r="D1032">
        <v>0</v>
      </c>
      <c r="E1032">
        <v>0</v>
      </c>
      <c r="F1032">
        <v>15.19</v>
      </c>
      <c r="G1032">
        <v>50826.14</v>
      </c>
      <c r="H1032" s="14">
        <v>43767.833333333336</v>
      </c>
    </row>
    <row r="1033" spans="1:8" x14ac:dyDescent="0.25">
      <c r="A1033">
        <v>109</v>
      </c>
      <c r="B1033" t="s">
        <v>241</v>
      </c>
      <c r="C1033">
        <v>1</v>
      </c>
      <c r="D1033">
        <v>0</v>
      </c>
      <c r="E1033">
        <v>0</v>
      </c>
      <c r="F1033">
        <v>105.7</v>
      </c>
      <c r="G1033">
        <v>71333.13</v>
      </c>
      <c r="H1033" s="14">
        <v>43767.833333333336</v>
      </c>
    </row>
    <row r="1034" spans="1:8" x14ac:dyDescent="0.25">
      <c r="A1034">
        <v>109</v>
      </c>
      <c r="B1034" t="s">
        <v>241</v>
      </c>
      <c r="C1034">
        <v>2</v>
      </c>
      <c r="D1034">
        <v>0</v>
      </c>
      <c r="E1034">
        <v>0</v>
      </c>
      <c r="F1034">
        <v>106.71</v>
      </c>
      <c r="G1034">
        <v>71060.240000000005</v>
      </c>
      <c r="H1034" s="14">
        <v>43767.833333333336</v>
      </c>
    </row>
    <row r="1035" spans="1:8" x14ac:dyDescent="0.25">
      <c r="A1035">
        <v>109</v>
      </c>
      <c r="B1035" t="s">
        <v>241</v>
      </c>
      <c r="C1035">
        <v>3</v>
      </c>
      <c r="D1035">
        <v>0</v>
      </c>
      <c r="E1035">
        <v>0</v>
      </c>
      <c r="F1035">
        <v>108.21</v>
      </c>
      <c r="G1035">
        <v>68959.94</v>
      </c>
      <c r="H1035" s="14">
        <v>43767.833333333336</v>
      </c>
    </row>
    <row r="1036" spans="1:8" x14ac:dyDescent="0.25">
      <c r="A1036">
        <v>109</v>
      </c>
      <c r="B1036" t="s">
        <v>241</v>
      </c>
      <c r="C1036">
        <v>4</v>
      </c>
      <c r="D1036">
        <v>0</v>
      </c>
      <c r="E1036">
        <v>0</v>
      </c>
      <c r="F1036">
        <v>106.79</v>
      </c>
      <c r="G1036">
        <v>87583.5</v>
      </c>
      <c r="H1036" s="14">
        <v>43767.833333333336</v>
      </c>
    </row>
    <row r="1037" spans="1:8" x14ac:dyDescent="0.25">
      <c r="A1037">
        <v>109</v>
      </c>
      <c r="B1037" t="s">
        <v>241</v>
      </c>
      <c r="C1037">
        <v>5</v>
      </c>
      <c r="D1037">
        <v>0</v>
      </c>
      <c r="E1037">
        <v>0</v>
      </c>
      <c r="F1037">
        <v>108.66</v>
      </c>
      <c r="G1037">
        <v>71711.16</v>
      </c>
      <c r="H1037" s="14">
        <v>43767.833333333336</v>
      </c>
    </row>
    <row r="1038" spans="1:8" x14ac:dyDescent="0.25">
      <c r="A1038">
        <v>109</v>
      </c>
      <c r="B1038" t="s">
        <v>241</v>
      </c>
      <c r="C1038">
        <v>6</v>
      </c>
      <c r="D1038">
        <v>0</v>
      </c>
      <c r="E1038">
        <v>0</v>
      </c>
      <c r="F1038">
        <v>109.1</v>
      </c>
      <c r="G1038">
        <v>71767.25</v>
      </c>
      <c r="H1038" s="14">
        <v>43767.833333333336</v>
      </c>
    </row>
    <row r="1039" spans="1:8" x14ac:dyDescent="0.25">
      <c r="A1039">
        <v>109</v>
      </c>
      <c r="B1039" t="s">
        <v>241</v>
      </c>
      <c r="C1039">
        <v>7</v>
      </c>
      <c r="D1039">
        <v>0</v>
      </c>
      <c r="E1039">
        <v>0</v>
      </c>
      <c r="F1039">
        <v>107.87</v>
      </c>
      <c r="G1039">
        <v>71948.52</v>
      </c>
      <c r="H1039" s="14">
        <v>43767.833333333336</v>
      </c>
    </row>
    <row r="1040" spans="1:8" x14ac:dyDescent="0.25">
      <c r="A1040">
        <v>109</v>
      </c>
      <c r="B1040" t="s">
        <v>241</v>
      </c>
      <c r="C1040">
        <v>8</v>
      </c>
      <c r="D1040">
        <v>0</v>
      </c>
      <c r="E1040">
        <v>0</v>
      </c>
      <c r="F1040">
        <v>107.94</v>
      </c>
      <c r="G1040">
        <v>72246.429999999993</v>
      </c>
      <c r="H1040" s="14">
        <v>43767.833333333336</v>
      </c>
    </row>
    <row r="1041" spans="1:8" x14ac:dyDescent="0.25">
      <c r="A1041">
        <v>109</v>
      </c>
      <c r="B1041" t="s">
        <v>241</v>
      </c>
      <c r="C1041">
        <v>9</v>
      </c>
      <c r="D1041">
        <v>0</v>
      </c>
      <c r="E1041">
        <v>0</v>
      </c>
      <c r="F1041">
        <v>106.87</v>
      </c>
      <c r="G1041">
        <v>71312.67</v>
      </c>
      <c r="H1041" s="14">
        <v>43767.833333333336</v>
      </c>
    </row>
    <row r="1042" spans="1:8" x14ac:dyDescent="0.25">
      <c r="A1042">
        <v>109</v>
      </c>
      <c r="B1042" t="s">
        <v>241</v>
      </c>
      <c r="C1042">
        <v>10</v>
      </c>
      <c r="D1042">
        <v>0</v>
      </c>
      <c r="E1042">
        <v>0</v>
      </c>
      <c r="F1042">
        <v>106.97</v>
      </c>
      <c r="G1042">
        <v>72265</v>
      </c>
      <c r="H1042" s="14">
        <v>43767.833333333336</v>
      </c>
    </row>
    <row r="1043" spans="1:8" x14ac:dyDescent="0.25">
      <c r="A1043">
        <v>109</v>
      </c>
      <c r="B1043" t="s">
        <v>241</v>
      </c>
      <c r="C1043">
        <v>11</v>
      </c>
      <c r="D1043">
        <v>0</v>
      </c>
      <c r="E1043">
        <v>0</v>
      </c>
      <c r="F1043">
        <v>107.14</v>
      </c>
      <c r="G1043">
        <v>69465.320000000007</v>
      </c>
      <c r="H1043" s="14">
        <v>43767.833333333336</v>
      </c>
    </row>
    <row r="1044" spans="1:8" x14ac:dyDescent="0.25">
      <c r="A1044">
        <v>109</v>
      </c>
      <c r="B1044" t="s">
        <v>241</v>
      </c>
      <c r="C1044">
        <v>12</v>
      </c>
      <c r="D1044">
        <v>0</v>
      </c>
      <c r="E1044">
        <v>0</v>
      </c>
      <c r="F1044">
        <v>106.1</v>
      </c>
      <c r="G1044">
        <v>69519.61</v>
      </c>
      <c r="H1044" s="14">
        <v>43767.833333333336</v>
      </c>
    </row>
    <row r="1045" spans="1:8" x14ac:dyDescent="0.25">
      <c r="A1045">
        <v>109</v>
      </c>
      <c r="B1045" t="s">
        <v>241</v>
      </c>
      <c r="C1045">
        <v>13</v>
      </c>
      <c r="D1045">
        <v>0</v>
      </c>
      <c r="E1045">
        <v>0</v>
      </c>
      <c r="F1045">
        <v>108.88</v>
      </c>
      <c r="G1045">
        <v>72010.960000000006</v>
      </c>
      <c r="H1045" s="14">
        <v>43767.833333333336</v>
      </c>
    </row>
    <row r="1046" spans="1:8" x14ac:dyDescent="0.25">
      <c r="A1046">
        <v>109</v>
      </c>
      <c r="B1046" t="s">
        <v>241</v>
      </c>
      <c r="C1046">
        <v>14</v>
      </c>
      <c r="D1046">
        <v>0</v>
      </c>
      <c r="E1046">
        <v>0</v>
      </c>
      <c r="F1046">
        <v>110.13</v>
      </c>
      <c r="G1046">
        <v>72560.27</v>
      </c>
      <c r="H1046" s="14">
        <v>43767.833333333336</v>
      </c>
    </row>
    <row r="1047" spans="1:8" x14ac:dyDescent="0.25">
      <c r="A1047">
        <v>109</v>
      </c>
      <c r="B1047" t="s">
        <v>241</v>
      </c>
      <c r="C1047">
        <v>15</v>
      </c>
      <c r="D1047">
        <v>0</v>
      </c>
      <c r="E1047">
        <v>0</v>
      </c>
      <c r="F1047">
        <v>35.96</v>
      </c>
      <c r="G1047">
        <v>23977.88</v>
      </c>
      <c r="H1047" s="14">
        <v>43767.833333333336</v>
      </c>
    </row>
    <row r="1048" spans="1:8" x14ac:dyDescent="0.25">
      <c r="A1048">
        <v>110</v>
      </c>
      <c r="B1048" t="s">
        <v>242</v>
      </c>
      <c r="C1048">
        <v>1</v>
      </c>
      <c r="D1048">
        <v>0</v>
      </c>
      <c r="E1048">
        <v>0</v>
      </c>
      <c r="F1048">
        <v>117.19</v>
      </c>
      <c r="G1048">
        <v>74717.81</v>
      </c>
      <c r="H1048" s="14">
        <v>43767.833333333336</v>
      </c>
    </row>
    <row r="1049" spans="1:8" x14ac:dyDescent="0.25">
      <c r="A1049">
        <v>110</v>
      </c>
      <c r="B1049" t="s">
        <v>242</v>
      </c>
      <c r="C1049">
        <v>2</v>
      </c>
      <c r="D1049">
        <v>0</v>
      </c>
      <c r="E1049">
        <v>0</v>
      </c>
      <c r="F1049">
        <v>116.98</v>
      </c>
      <c r="G1049">
        <v>74610.7</v>
      </c>
      <c r="H1049" s="14">
        <v>43767.833333333336</v>
      </c>
    </row>
    <row r="1050" spans="1:8" x14ac:dyDescent="0.25">
      <c r="A1050">
        <v>110</v>
      </c>
      <c r="B1050" t="s">
        <v>242</v>
      </c>
      <c r="C1050">
        <v>3</v>
      </c>
      <c r="D1050">
        <v>0</v>
      </c>
      <c r="E1050">
        <v>0</v>
      </c>
      <c r="F1050">
        <v>114.83</v>
      </c>
      <c r="G1050">
        <v>74364.7</v>
      </c>
      <c r="H1050" s="14">
        <v>43767.833333333336</v>
      </c>
    </row>
    <row r="1051" spans="1:8" x14ac:dyDescent="0.25">
      <c r="A1051">
        <v>110</v>
      </c>
      <c r="B1051" t="s">
        <v>242</v>
      </c>
      <c r="C1051">
        <v>4</v>
      </c>
      <c r="D1051">
        <v>0</v>
      </c>
      <c r="E1051">
        <v>0</v>
      </c>
      <c r="F1051">
        <v>118.25</v>
      </c>
      <c r="G1051">
        <v>74713.98</v>
      </c>
      <c r="H1051" s="14">
        <v>43767.833333333336</v>
      </c>
    </row>
    <row r="1052" spans="1:8" x14ac:dyDescent="0.25">
      <c r="A1052">
        <v>110</v>
      </c>
      <c r="B1052" t="s">
        <v>242</v>
      </c>
      <c r="C1052">
        <v>5</v>
      </c>
      <c r="D1052">
        <v>0</v>
      </c>
      <c r="E1052">
        <v>0</v>
      </c>
      <c r="F1052">
        <v>118.12</v>
      </c>
      <c r="G1052">
        <v>75041.460000000006</v>
      </c>
      <c r="H1052" s="14">
        <v>43767.833333333336</v>
      </c>
    </row>
    <row r="1053" spans="1:8" x14ac:dyDescent="0.25">
      <c r="A1053">
        <v>110</v>
      </c>
      <c r="B1053" t="s">
        <v>242</v>
      </c>
      <c r="C1053">
        <v>6</v>
      </c>
      <c r="D1053">
        <v>0</v>
      </c>
      <c r="E1053">
        <v>0</v>
      </c>
      <c r="F1053">
        <v>101.34</v>
      </c>
      <c r="G1053">
        <v>74432.77</v>
      </c>
      <c r="H1053" s="14">
        <v>43767.833333333336</v>
      </c>
    </row>
    <row r="1054" spans="1:8" x14ac:dyDescent="0.25">
      <c r="A1054">
        <v>110</v>
      </c>
      <c r="B1054" t="s">
        <v>242</v>
      </c>
      <c r="C1054">
        <v>7</v>
      </c>
      <c r="D1054">
        <v>0</v>
      </c>
      <c r="E1054">
        <v>0</v>
      </c>
      <c r="F1054">
        <v>119.32</v>
      </c>
      <c r="G1054">
        <v>75228.990000000005</v>
      </c>
      <c r="H1054" s="14">
        <v>43767.833333333336</v>
      </c>
    </row>
    <row r="1055" spans="1:8" x14ac:dyDescent="0.25">
      <c r="A1055">
        <v>110</v>
      </c>
      <c r="B1055" t="s">
        <v>242</v>
      </c>
      <c r="C1055">
        <v>8</v>
      </c>
      <c r="D1055">
        <v>0</v>
      </c>
      <c r="E1055">
        <v>0</v>
      </c>
      <c r="F1055">
        <v>117.58</v>
      </c>
      <c r="G1055">
        <v>74780.03</v>
      </c>
      <c r="H1055" s="14">
        <v>43767.833333333336</v>
      </c>
    </row>
    <row r="1056" spans="1:8" x14ac:dyDescent="0.25">
      <c r="A1056">
        <v>110</v>
      </c>
      <c r="B1056" t="s">
        <v>242</v>
      </c>
      <c r="C1056">
        <v>9</v>
      </c>
      <c r="D1056">
        <v>0</v>
      </c>
      <c r="E1056">
        <v>0</v>
      </c>
      <c r="F1056">
        <v>116.39</v>
      </c>
      <c r="G1056">
        <v>73679.08</v>
      </c>
      <c r="H1056" s="14">
        <v>43767.833333333336</v>
      </c>
    </row>
    <row r="1057" spans="1:8" x14ac:dyDescent="0.25">
      <c r="A1057">
        <v>110</v>
      </c>
      <c r="B1057" t="s">
        <v>242</v>
      </c>
      <c r="C1057">
        <v>10</v>
      </c>
      <c r="D1057">
        <v>0</v>
      </c>
      <c r="E1057">
        <v>0</v>
      </c>
      <c r="F1057">
        <v>118.3</v>
      </c>
      <c r="G1057">
        <v>74716.259999999995</v>
      </c>
      <c r="H1057" s="14">
        <v>43767.833333333336</v>
      </c>
    </row>
    <row r="1058" spans="1:8" x14ac:dyDescent="0.25">
      <c r="A1058">
        <v>110</v>
      </c>
      <c r="B1058" t="s">
        <v>242</v>
      </c>
      <c r="C1058">
        <v>11</v>
      </c>
      <c r="D1058">
        <v>0</v>
      </c>
      <c r="E1058">
        <v>0</v>
      </c>
      <c r="F1058">
        <v>117.54</v>
      </c>
      <c r="G1058">
        <v>74639.44</v>
      </c>
      <c r="H1058" s="14">
        <v>43767.833333333336</v>
      </c>
    </row>
    <row r="1059" spans="1:8" x14ac:dyDescent="0.25">
      <c r="A1059">
        <v>110</v>
      </c>
      <c r="B1059" t="s">
        <v>242</v>
      </c>
      <c r="C1059">
        <v>12</v>
      </c>
      <c r="D1059">
        <v>0</v>
      </c>
      <c r="E1059">
        <v>0</v>
      </c>
      <c r="F1059">
        <v>116.58</v>
      </c>
      <c r="G1059">
        <v>73268.240000000005</v>
      </c>
      <c r="H1059" s="14">
        <v>43767.833333333336</v>
      </c>
    </row>
    <row r="1060" spans="1:8" x14ac:dyDescent="0.25">
      <c r="A1060">
        <v>110</v>
      </c>
      <c r="B1060" t="s">
        <v>242</v>
      </c>
      <c r="C1060">
        <v>13</v>
      </c>
      <c r="D1060">
        <v>0</v>
      </c>
      <c r="E1060">
        <v>0</v>
      </c>
      <c r="F1060">
        <v>112.82</v>
      </c>
      <c r="G1060">
        <v>73345.279999999999</v>
      </c>
      <c r="H1060" s="14">
        <v>43767.833333333336</v>
      </c>
    </row>
    <row r="1061" spans="1:8" x14ac:dyDescent="0.25">
      <c r="A1061">
        <v>110</v>
      </c>
      <c r="B1061" t="s">
        <v>242</v>
      </c>
      <c r="C1061">
        <v>14</v>
      </c>
      <c r="D1061">
        <v>0</v>
      </c>
      <c r="E1061">
        <v>0</v>
      </c>
      <c r="F1061">
        <v>116.74</v>
      </c>
      <c r="G1061">
        <v>74301.31</v>
      </c>
      <c r="H1061" s="14">
        <v>43767.833333333336</v>
      </c>
    </row>
    <row r="1062" spans="1:8" x14ac:dyDescent="0.25">
      <c r="A1062">
        <v>110</v>
      </c>
      <c r="B1062" t="s">
        <v>242</v>
      </c>
      <c r="C1062">
        <v>15</v>
      </c>
      <c r="D1062">
        <v>0</v>
      </c>
      <c r="E1062">
        <v>0</v>
      </c>
      <c r="F1062">
        <v>36.299999999999997</v>
      </c>
      <c r="G1062">
        <v>24321.83</v>
      </c>
      <c r="H1062" s="14">
        <v>43767.833333333336</v>
      </c>
    </row>
    <row r="1063" spans="1:8" x14ac:dyDescent="0.25">
      <c r="A1063">
        <v>111</v>
      </c>
      <c r="B1063" t="s">
        <v>243</v>
      </c>
      <c r="C1063">
        <v>1</v>
      </c>
      <c r="D1063">
        <v>0</v>
      </c>
      <c r="E1063">
        <v>0</v>
      </c>
      <c r="F1063">
        <v>115.69</v>
      </c>
      <c r="G1063">
        <v>73238.37</v>
      </c>
      <c r="H1063" s="14">
        <v>43767.833333333336</v>
      </c>
    </row>
    <row r="1064" spans="1:8" x14ac:dyDescent="0.25">
      <c r="A1064">
        <v>111</v>
      </c>
      <c r="B1064" t="s">
        <v>243</v>
      </c>
      <c r="C1064">
        <v>2</v>
      </c>
      <c r="D1064">
        <v>0</v>
      </c>
      <c r="E1064">
        <v>0</v>
      </c>
      <c r="F1064">
        <v>114.65</v>
      </c>
      <c r="G1064">
        <v>73172.820000000007</v>
      </c>
      <c r="H1064" s="14">
        <v>43767.833333333336</v>
      </c>
    </row>
    <row r="1065" spans="1:8" x14ac:dyDescent="0.25">
      <c r="A1065">
        <v>111</v>
      </c>
      <c r="B1065" t="s">
        <v>243</v>
      </c>
      <c r="C1065">
        <v>3</v>
      </c>
      <c r="D1065">
        <v>0</v>
      </c>
      <c r="E1065">
        <v>0</v>
      </c>
      <c r="F1065">
        <v>114.61</v>
      </c>
      <c r="G1065">
        <v>73197.570000000007</v>
      </c>
      <c r="H1065" s="14">
        <v>43767.833333333336</v>
      </c>
    </row>
    <row r="1066" spans="1:8" x14ac:dyDescent="0.25">
      <c r="A1066">
        <v>111</v>
      </c>
      <c r="B1066" t="s">
        <v>243</v>
      </c>
      <c r="C1066">
        <v>4</v>
      </c>
      <c r="D1066">
        <v>0</v>
      </c>
      <c r="E1066">
        <v>0</v>
      </c>
      <c r="F1066">
        <v>116.86</v>
      </c>
      <c r="G1066">
        <v>73046.81</v>
      </c>
      <c r="H1066" s="14">
        <v>43767.833333333336</v>
      </c>
    </row>
    <row r="1067" spans="1:8" x14ac:dyDescent="0.25">
      <c r="A1067">
        <v>111</v>
      </c>
      <c r="B1067" t="s">
        <v>243</v>
      </c>
      <c r="C1067">
        <v>5</v>
      </c>
      <c r="D1067">
        <v>0</v>
      </c>
      <c r="E1067">
        <v>0</v>
      </c>
      <c r="F1067">
        <v>97.63</v>
      </c>
      <c r="G1067">
        <v>65461.77</v>
      </c>
      <c r="H1067" s="14">
        <v>43767.833333333336</v>
      </c>
    </row>
    <row r="1068" spans="1:8" x14ac:dyDescent="0.25">
      <c r="A1068">
        <v>111</v>
      </c>
      <c r="B1068" t="s">
        <v>243</v>
      </c>
      <c r="C1068">
        <v>6</v>
      </c>
      <c r="D1068">
        <v>0</v>
      </c>
      <c r="E1068">
        <v>0</v>
      </c>
      <c r="F1068">
        <v>117.55</v>
      </c>
      <c r="G1068">
        <v>73031.95</v>
      </c>
      <c r="H1068" s="14">
        <v>43767.833333333336</v>
      </c>
    </row>
    <row r="1069" spans="1:8" x14ac:dyDescent="0.25">
      <c r="A1069">
        <v>111</v>
      </c>
      <c r="B1069" t="s">
        <v>243</v>
      </c>
      <c r="C1069">
        <v>7</v>
      </c>
      <c r="D1069">
        <v>0</v>
      </c>
      <c r="E1069">
        <v>0</v>
      </c>
      <c r="F1069">
        <v>115.64</v>
      </c>
      <c r="G1069">
        <v>72354.97</v>
      </c>
      <c r="H1069" s="14">
        <v>43767.833333333336</v>
      </c>
    </row>
    <row r="1070" spans="1:8" x14ac:dyDescent="0.25">
      <c r="A1070">
        <v>111</v>
      </c>
      <c r="B1070" t="s">
        <v>243</v>
      </c>
      <c r="C1070">
        <v>8</v>
      </c>
      <c r="D1070">
        <v>0</v>
      </c>
      <c r="E1070">
        <v>0</v>
      </c>
      <c r="F1070">
        <v>116.31</v>
      </c>
      <c r="G1070">
        <v>72423.02</v>
      </c>
      <c r="H1070" s="14">
        <v>43767.833333333336</v>
      </c>
    </row>
    <row r="1071" spans="1:8" x14ac:dyDescent="0.25">
      <c r="A1071">
        <v>111</v>
      </c>
      <c r="B1071" t="s">
        <v>243</v>
      </c>
      <c r="C1071">
        <v>9</v>
      </c>
      <c r="D1071">
        <v>0</v>
      </c>
      <c r="E1071">
        <v>0</v>
      </c>
      <c r="F1071">
        <v>116.15</v>
      </c>
      <c r="G1071">
        <v>72154.83</v>
      </c>
      <c r="H1071" s="14">
        <v>43767.833333333336</v>
      </c>
    </row>
    <row r="1072" spans="1:8" x14ac:dyDescent="0.25">
      <c r="A1072">
        <v>111</v>
      </c>
      <c r="B1072" t="s">
        <v>243</v>
      </c>
      <c r="C1072">
        <v>10</v>
      </c>
      <c r="D1072">
        <v>0</v>
      </c>
      <c r="E1072">
        <v>0</v>
      </c>
      <c r="F1072">
        <v>108.89</v>
      </c>
      <c r="G1072">
        <v>69929.72</v>
      </c>
      <c r="H1072" s="14">
        <v>43767.833333333336</v>
      </c>
    </row>
    <row r="1073" spans="1:8" x14ac:dyDescent="0.25">
      <c r="A1073">
        <v>111</v>
      </c>
      <c r="B1073" t="s">
        <v>243</v>
      </c>
      <c r="C1073">
        <v>11</v>
      </c>
      <c r="D1073">
        <v>0</v>
      </c>
      <c r="E1073">
        <v>0</v>
      </c>
      <c r="F1073">
        <v>114.77</v>
      </c>
      <c r="G1073">
        <v>71380.52</v>
      </c>
      <c r="H1073" s="14">
        <v>43767.833333333336</v>
      </c>
    </row>
    <row r="1074" spans="1:8" x14ac:dyDescent="0.25">
      <c r="A1074">
        <v>111</v>
      </c>
      <c r="B1074" t="s">
        <v>243</v>
      </c>
      <c r="C1074">
        <v>12</v>
      </c>
      <c r="D1074">
        <v>0</v>
      </c>
      <c r="E1074">
        <v>0</v>
      </c>
      <c r="F1074">
        <v>116.48</v>
      </c>
      <c r="G1074">
        <v>71997.86</v>
      </c>
      <c r="H1074" s="14">
        <v>43767.833333333336</v>
      </c>
    </row>
    <row r="1075" spans="1:8" x14ac:dyDescent="0.25">
      <c r="A1075">
        <v>111</v>
      </c>
      <c r="B1075" t="s">
        <v>243</v>
      </c>
      <c r="C1075">
        <v>13</v>
      </c>
      <c r="D1075">
        <v>0</v>
      </c>
      <c r="E1075">
        <v>0</v>
      </c>
      <c r="F1075">
        <v>115.25</v>
      </c>
      <c r="G1075">
        <v>72182.429999999993</v>
      </c>
      <c r="H1075" s="14">
        <v>43767.833333333336</v>
      </c>
    </row>
    <row r="1076" spans="1:8" x14ac:dyDescent="0.25">
      <c r="A1076">
        <v>111</v>
      </c>
      <c r="B1076" t="s">
        <v>243</v>
      </c>
      <c r="C1076">
        <v>14</v>
      </c>
      <c r="D1076">
        <v>0</v>
      </c>
      <c r="E1076">
        <v>0</v>
      </c>
      <c r="F1076">
        <v>78.31</v>
      </c>
      <c r="G1076">
        <v>48386.45</v>
      </c>
      <c r="H1076" s="14">
        <v>43767.833333333336</v>
      </c>
    </row>
    <row r="1077" spans="1:8" x14ac:dyDescent="0.25">
      <c r="A1077">
        <v>111</v>
      </c>
      <c r="B1077" t="s">
        <v>243</v>
      </c>
      <c r="C1077">
        <v>15</v>
      </c>
      <c r="D1077">
        <v>0</v>
      </c>
      <c r="E1077">
        <v>0</v>
      </c>
      <c r="F1077">
        <v>75.989999999999995</v>
      </c>
      <c r="G1077">
        <v>48089.26</v>
      </c>
      <c r="H1077" s="14">
        <v>43767.833333333336</v>
      </c>
    </row>
    <row r="1078" spans="1:8" x14ac:dyDescent="0.25">
      <c r="A1078">
        <v>112</v>
      </c>
      <c r="B1078" t="s">
        <v>244</v>
      </c>
      <c r="C1078">
        <v>1</v>
      </c>
      <c r="D1078">
        <v>0</v>
      </c>
      <c r="E1078">
        <v>0</v>
      </c>
      <c r="F1078">
        <v>113.74</v>
      </c>
      <c r="G1078">
        <v>72172.58</v>
      </c>
      <c r="H1078" s="14">
        <v>43767.833333333336</v>
      </c>
    </row>
    <row r="1079" spans="1:8" x14ac:dyDescent="0.25">
      <c r="A1079">
        <v>112</v>
      </c>
      <c r="B1079" t="s">
        <v>244</v>
      </c>
      <c r="C1079">
        <v>2</v>
      </c>
      <c r="D1079">
        <v>0</v>
      </c>
      <c r="E1079">
        <v>0</v>
      </c>
      <c r="F1079">
        <v>114.25</v>
      </c>
      <c r="G1079">
        <v>72501.08</v>
      </c>
      <c r="H1079" s="14">
        <v>43767.833333333336</v>
      </c>
    </row>
    <row r="1080" spans="1:8" x14ac:dyDescent="0.25">
      <c r="A1080">
        <v>112</v>
      </c>
      <c r="B1080" t="s">
        <v>244</v>
      </c>
      <c r="C1080">
        <v>3</v>
      </c>
      <c r="D1080">
        <v>0</v>
      </c>
      <c r="E1080">
        <v>0</v>
      </c>
      <c r="F1080">
        <v>113.34</v>
      </c>
      <c r="G1080">
        <v>71806.720000000001</v>
      </c>
      <c r="H1080" s="14">
        <v>43767.833333333336</v>
      </c>
    </row>
    <row r="1081" spans="1:8" x14ac:dyDescent="0.25">
      <c r="A1081">
        <v>112</v>
      </c>
      <c r="B1081" t="s">
        <v>244</v>
      </c>
      <c r="C1081">
        <v>4</v>
      </c>
      <c r="D1081">
        <v>0</v>
      </c>
      <c r="E1081">
        <v>0</v>
      </c>
      <c r="F1081">
        <v>114.23</v>
      </c>
      <c r="G1081">
        <v>72061.64</v>
      </c>
      <c r="H1081" s="14">
        <v>43767.833333333336</v>
      </c>
    </row>
    <row r="1082" spans="1:8" x14ac:dyDescent="0.25">
      <c r="A1082">
        <v>112</v>
      </c>
      <c r="B1082" t="s">
        <v>244</v>
      </c>
      <c r="C1082">
        <v>5</v>
      </c>
      <c r="D1082">
        <v>0</v>
      </c>
      <c r="E1082">
        <v>0</v>
      </c>
      <c r="F1082">
        <v>112.43</v>
      </c>
      <c r="G1082">
        <v>71808.73</v>
      </c>
      <c r="H1082" s="14">
        <v>43767.833333333336</v>
      </c>
    </row>
    <row r="1083" spans="1:8" x14ac:dyDescent="0.25">
      <c r="A1083">
        <v>112</v>
      </c>
      <c r="B1083" t="s">
        <v>244</v>
      </c>
      <c r="C1083">
        <v>6</v>
      </c>
      <c r="D1083">
        <v>0</v>
      </c>
      <c r="E1083">
        <v>0</v>
      </c>
      <c r="F1083">
        <v>111.88</v>
      </c>
      <c r="G1083">
        <v>70775.360000000001</v>
      </c>
      <c r="H1083" s="14">
        <v>43767.833333333336</v>
      </c>
    </row>
    <row r="1084" spans="1:8" x14ac:dyDescent="0.25">
      <c r="A1084">
        <v>112</v>
      </c>
      <c r="B1084" t="s">
        <v>244</v>
      </c>
      <c r="C1084">
        <v>7</v>
      </c>
      <c r="D1084">
        <v>0</v>
      </c>
      <c r="E1084">
        <v>0</v>
      </c>
      <c r="F1084">
        <v>115.45</v>
      </c>
      <c r="G1084">
        <v>72249.509999999995</v>
      </c>
      <c r="H1084" s="14">
        <v>43767.833333333336</v>
      </c>
    </row>
    <row r="1085" spans="1:8" x14ac:dyDescent="0.25">
      <c r="A1085">
        <v>112</v>
      </c>
      <c r="B1085" t="s">
        <v>244</v>
      </c>
      <c r="C1085">
        <v>8</v>
      </c>
      <c r="D1085">
        <v>0</v>
      </c>
      <c r="E1085">
        <v>0</v>
      </c>
      <c r="F1085">
        <v>116.16</v>
      </c>
      <c r="G1085">
        <v>72556.429999999993</v>
      </c>
      <c r="H1085" s="14">
        <v>43767.833333333336</v>
      </c>
    </row>
    <row r="1086" spans="1:8" x14ac:dyDescent="0.25">
      <c r="A1086">
        <v>112</v>
      </c>
      <c r="B1086" t="s">
        <v>244</v>
      </c>
      <c r="C1086">
        <v>9</v>
      </c>
      <c r="D1086">
        <v>0</v>
      </c>
      <c r="E1086">
        <v>0</v>
      </c>
      <c r="F1086">
        <v>113.54</v>
      </c>
      <c r="G1086">
        <v>72161.27</v>
      </c>
      <c r="H1086" s="14">
        <v>43767.833333333336</v>
      </c>
    </row>
    <row r="1087" spans="1:8" x14ac:dyDescent="0.25">
      <c r="A1087">
        <v>112</v>
      </c>
      <c r="B1087" t="s">
        <v>244</v>
      </c>
      <c r="C1087">
        <v>10</v>
      </c>
      <c r="D1087">
        <v>0</v>
      </c>
      <c r="E1087">
        <v>0</v>
      </c>
      <c r="F1087">
        <v>116.12</v>
      </c>
      <c r="G1087">
        <v>74334.259999999995</v>
      </c>
      <c r="H1087" s="14">
        <v>43767.833333333336</v>
      </c>
    </row>
    <row r="1088" spans="1:8" x14ac:dyDescent="0.25">
      <c r="A1088">
        <v>112</v>
      </c>
      <c r="B1088" t="s">
        <v>244</v>
      </c>
      <c r="C1088">
        <v>11</v>
      </c>
      <c r="D1088">
        <v>0</v>
      </c>
      <c r="E1088">
        <v>0</v>
      </c>
      <c r="F1088">
        <v>114.82</v>
      </c>
      <c r="G1088">
        <v>73419.06</v>
      </c>
      <c r="H1088" s="14">
        <v>43767.833333333336</v>
      </c>
    </row>
    <row r="1089" spans="1:8" x14ac:dyDescent="0.25">
      <c r="A1089">
        <v>112</v>
      </c>
      <c r="B1089" t="s">
        <v>244</v>
      </c>
      <c r="C1089">
        <v>12</v>
      </c>
      <c r="D1089">
        <v>0</v>
      </c>
      <c r="E1089">
        <v>0</v>
      </c>
      <c r="F1089">
        <v>115.18</v>
      </c>
      <c r="G1089">
        <v>73430.16</v>
      </c>
      <c r="H1089" s="14">
        <v>43767.833333333336</v>
      </c>
    </row>
    <row r="1090" spans="1:8" x14ac:dyDescent="0.25">
      <c r="A1090">
        <v>112</v>
      </c>
      <c r="B1090" t="s">
        <v>244</v>
      </c>
      <c r="C1090">
        <v>13</v>
      </c>
      <c r="D1090">
        <v>0</v>
      </c>
      <c r="E1090">
        <v>0</v>
      </c>
      <c r="F1090">
        <v>114.35</v>
      </c>
      <c r="G1090">
        <v>73111.83</v>
      </c>
      <c r="H1090" s="14">
        <v>43767.833333333336</v>
      </c>
    </row>
    <row r="1091" spans="1:8" x14ac:dyDescent="0.25">
      <c r="A1091">
        <v>112</v>
      </c>
      <c r="B1091" t="s">
        <v>244</v>
      </c>
      <c r="C1091">
        <v>14</v>
      </c>
      <c r="D1091">
        <v>0</v>
      </c>
      <c r="E1091">
        <v>0</v>
      </c>
      <c r="F1091">
        <v>115.81</v>
      </c>
      <c r="G1091">
        <v>73188.850000000006</v>
      </c>
      <c r="H1091" s="14">
        <v>43767.833333333336</v>
      </c>
    </row>
    <row r="1092" spans="1:8" x14ac:dyDescent="0.25">
      <c r="A1092">
        <v>112</v>
      </c>
      <c r="B1092" t="s">
        <v>244</v>
      </c>
      <c r="C1092">
        <v>15</v>
      </c>
      <c r="D1092">
        <v>0</v>
      </c>
      <c r="E1092">
        <v>0</v>
      </c>
      <c r="F1092">
        <v>39.32</v>
      </c>
      <c r="G1092">
        <v>24806.52</v>
      </c>
      <c r="H1092" s="14">
        <v>43767.833333333336</v>
      </c>
    </row>
    <row r="1093" spans="1:8" x14ac:dyDescent="0.25">
      <c r="A1093">
        <v>113</v>
      </c>
      <c r="B1093" t="s">
        <v>245</v>
      </c>
      <c r="C1093">
        <v>1</v>
      </c>
      <c r="D1093">
        <v>0</v>
      </c>
      <c r="E1093">
        <v>0</v>
      </c>
      <c r="F1093">
        <v>109.82</v>
      </c>
      <c r="G1093">
        <v>71978.25</v>
      </c>
      <c r="H1093" s="14">
        <v>43767.833333333336</v>
      </c>
    </row>
    <row r="1094" spans="1:8" x14ac:dyDescent="0.25">
      <c r="A1094">
        <v>113</v>
      </c>
      <c r="B1094" t="s">
        <v>245</v>
      </c>
      <c r="C1094">
        <v>2</v>
      </c>
      <c r="D1094">
        <v>0</v>
      </c>
      <c r="E1094">
        <v>0</v>
      </c>
      <c r="F1094">
        <v>108.62</v>
      </c>
      <c r="G1094">
        <v>70992.25</v>
      </c>
      <c r="H1094" s="14">
        <v>43767.833333333336</v>
      </c>
    </row>
    <row r="1095" spans="1:8" x14ac:dyDescent="0.25">
      <c r="A1095">
        <v>113</v>
      </c>
      <c r="B1095" t="s">
        <v>245</v>
      </c>
      <c r="C1095">
        <v>3</v>
      </c>
      <c r="D1095">
        <v>0</v>
      </c>
      <c r="E1095">
        <v>0</v>
      </c>
      <c r="F1095">
        <v>102.3</v>
      </c>
      <c r="G1095">
        <v>69972.289999999994</v>
      </c>
      <c r="H1095" s="14">
        <v>43767.833333333336</v>
      </c>
    </row>
    <row r="1096" spans="1:8" x14ac:dyDescent="0.25">
      <c r="A1096">
        <v>113</v>
      </c>
      <c r="B1096" t="s">
        <v>245</v>
      </c>
      <c r="C1096">
        <v>4</v>
      </c>
      <c r="D1096">
        <v>0</v>
      </c>
      <c r="E1096">
        <v>0</v>
      </c>
      <c r="F1096">
        <v>106.38</v>
      </c>
      <c r="G1096">
        <v>71213.5</v>
      </c>
      <c r="H1096" s="14">
        <v>43767.833333333336</v>
      </c>
    </row>
    <row r="1097" spans="1:8" x14ac:dyDescent="0.25">
      <c r="A1097">
        <v>113</v>
      </c>
      <c r="B1097" t="s">
        <v>245</v>
      </c>
      <c r="C1097">
        <v>5</v>
      </c>
      <c r="D1097">
        <v>0</v>
      </c>
      <c r="E1097">
        <v>0</v>
      </c>
      <c r="F1097">
        <v>107.18</v>
      </c>
      <c r="G1097">
        <v>70964.039999999994</v>
      </c>
      <c r="H1097" s="14">
        <v>43767.833333333336</v>
      </c>
    </row>
    <row r="1098" spans="1:8" x14ac:dyDescent="0.25">
      <c r="A1098">
        <v>113</v>
      </c>
      <c r="B1098" t="s">
        <v>245</v>
      </c>
      <c r="C1098">
        <v>6</v>
      </c>
      <c r="D1098">
        <v>0</v>
      </c>
      <c r="E1098">
        <v>0</v>
      </c>
      <c r="F1098">
        <v>106.92</v>
      </c>
      <c r="G1098">
        <v>70815.320000000007</v>
      </c>
      <c r="H1098" s="14">
        <v>43767.833333333336</v>
      </c>
    </row>
    <row r="1099" spans="1:8" x14ac:dyDescent="0.25">
      <c r="A1099">
        <v>113</v>
      </c>
      <c r="B1099" t="s">
        <v>245</v>
      </c>
      <c r="C1099">
        <v>7</v>
      </c>
      <c r="D1099">
        <v>0</v>
      </c>
      <c r="E1099">
        <v>0</v>
      </c>
      <c r="F1099">
        <v>109.15</v>
      </c>
      <c r="G1099">
        <v>71221.73</v>
      </c>
      <c r="H1099" s="14">
        <v>43767.833333333336</v>
      </c>
    </row>
    <row r="1100" spans="1:8" x14ac:dyDescent="0.25">
      <c r="A1100">
        <v>113</v>
      </c>
      <c r="B1100" t="s">
        <v>245</v>
      </c>
      <c r="C1100">
        <v>8</v>
      </c>
      <c r="D1100">
        <v>0</v>
      </c>
      <c r="E1100">
        <v>0</v>
      </c>
      <c r="F1100">
        <v>113.05</v>
      </c>
      <c r="G1100">
        <v>72061.990000000005</v>
      </c>
      <c r="H1100" s="14">
        <v>43767.833333333336</v>
      </c>
    </row>
    <row r="1101" spans="1:8" x14ac:dyDescent="0.25">
      <c r="A1101">
        <v>113</v>
      </c>
      <c r="B1101" t="s">
        <v>245</v>
      </c>
      <c r="C1101">
        <v>9</v>
      </c>
      <c r="D1101">
        <v>0</v>
      </c>
      <c r="E1101">
        <v>0</v>
      </c>
      <c r="F1101">
        <v>108.79</v>
      </c>
      <c r="G1101">
        <v>71089.23</v>
      </c>
      <c r="H1101" s="14">
        <v>43767.833333333336</v>
      </c>
    </row>
    <row r="1102" spans="1:8" x14ac:dyDescent="0.25">
      <c r="A1102">
        <v>113</v>
      </c>
      <c r="B1102" t="s">
        <v>245</v>
      </c>
      <c r="C1102">
        <v>10</v>
      </c>
      <c r="D1102">
        <v>0</v>
      </c>
      <c r="E1102">
        <v>0</v>
      </c>
      <c r="F1102">
        <v>101.32</v>
      </c>
      <c r="G1102">
        <v>70508.41</v>
      </c>
      <c r="H1102" s="14">
        <v>43767.833333333336</v>
      </c>
    </row>
    <row r="1103" spans="1:8" x14ac:dyDescent="0.25">
      <c r="A1103">
        <v>113</v>
      </c>
      <c r="B1103" t="s">
        <v>245</v>
      </c>
      <c r="C1103">
        <v>11</v>
      </c>
      <c r="D1103">
        <v>0</v>
      </c>
      <c r="E1103">
        <v>0</v>
      </c>
      <c r="F1103">
        <v>86.51</v>
      </c>
      <c r="G1103">
        <v>65212.42</v>
      </c>
      <c r="H1103" s="14">
        <v>43767.833333333336</v>
      </c>
    </row>
    <row r="1104" spans="1:8" x14ac:dyDescent="0.25">
      <c r="A1104">
        <v>113</v>
      </c>
      <c r="B1104" t="s">
        <v>245</v>
      </c>
      <c r="C1104">
        <v>12</v>
      </c>
      <c r="D1104">
        <v>0</v>
      </c>
      <c r="E1104">
        <v>0</v>
      </c>
      <c r="F1104">
        <v>96.08</v>
      </c>
      <c r="G1104">
        <v>68118.97</v>
      </c>
      <c r="H1104" s="14">
        <v>43767.833333333336</v>
      </c>
    </row>
    <row r="1105" spans="1:8" x14ac:dyDescent="0.25">
      <c r="A1105">
        <v>113</v>
      </c>
      <c r="B1105" t="s">
        <v>245</v>
      </c>
      <c r="C1105">
        <v>13</v>
      </c>
      <c r="D1105">
        <v>0</v>
      </c>
      <c r="E1105">
        <v>0</v>
      </c>
      <c r="F1105">
        <v>112.36</v>
      </c>
      <c r="G1105">
        <v>71982.67</v>
      </c>
      <c r="H1105" s="14">
        <v>43767.833333333336</v>
      </c>
    </row>
    <row r="1106" spans="1:8" x14ac:dyDescent="0.25">
      <c r="A1106">
        <v>113</v>
      </c>
      <c r="B1106" t="s">
        <v>245</v>
      </c>
      <c r="C1106">
        <v>14</v>
      </c>
      <c r="D1106">
        <v>0</v>
      </c>
      <c r="E1106">
        <v>0</v>
      </c>
      <c r="F1106">
        <v>112.08</v>
      </c>
      <c r="G1106">
        <v>72077.259999999995</v>
      </c>
      <c r="H1106" s="14">
        <v>43767.833333333336</v>
      </c>
    </row>
    <row r="1107" spans="1:8" x14ac:dyDescent="0.25">
      <c r="A1107">
        <v>113</v>
      </c>
      <c r="B1107" t="s">
        <v>245</v>
      </c>
      <c r="C1107">
        <v>15</v>
      </c>
      <c r="D1107">
        <v>0</v>
      </c>
      <c r="E1107">
        <v>0</v>
      </c>
      <c r="F1107">
        <v>34.659999999999997</v>
      </c>
      <c r="G1107">
        <v>24428.880000000001</v>
      </c>
      <c r="H1107" s="14">
        <v>43767.833333333336</v>
      </c>
    </row>
    <row r="1108" spans="1:8" x14ac:dyDescent="0.25">
      <c r="A1108">
        <v>114</v>
      </c>
      <c r="B1108" t="s">
        <v>246</v>
      </c>
      <c r="C1108">
        <v>1</v>
      </c>
      <c r="D1108">
        <v>0</v>
      </c>
      <c r="E1108">
        <v>0</v>
      </c>
      <c r="F1108">
        <v>119.12</v>
      </c>
      <c r="G1108">
        <v>71068.58</v>
      </c>
      <c r="H1108" s="14">
        <v>43767.833333333336</v>
      </c>
    </row>
    <row r="1109" spans="1:8" x14ac:dyDescent="0.25">
      <c r="A1109">
        <v>114</v>
      </c>
      <c r="B1109" t="s">
        <v>246</v>
      </c>
      <c r="C1109">
        <v>2</v>
      </c>
      <c r="D1109">
        <v>0</v>
      </c>
      <c r="E1109">
        <v>0</v>
      </c>
      <c r="F1109">
        <v>119.78</v>
      </c>
      <c r="G1109">
        <v>71403.41</v>
      </c>
      <c r="H1109" s="14">
        <v>43767.833333333336</v>
      </c>
    </row>
    <row r="1110" spans="1:8" x14ac:dyDescent="0.25">
      <c r="A1110">
        <v>114</v>
      </c>
      <c r="B1110" t="s">
        <v>246</v>
      </c>
      <c r="C1110">
        <v>3</v>
      </c>
      <c r="D1110">
        <v>0</v>
      </c>
      <c r="E1110">
        <v>0</v>
      </c>
      <c r="F1110">
        <v>117.68</v>
      </c>
      <c r="G1110">
        <v>70073</v>
      </c>
      <c r="H1110" s="14">
        <v>43767.833333333336</v>
      </c>
    </row>
    <row r="1111" spans="1:8" x14ac:dyDescent="0.25">
      <c r="A1111">
        <v>114</v>
      </c>
      <c r="B1111" t="s">
        <v>246</v>
      </c>
      <c r="C1111">
        <v>4</v>
      </c>
      <c r="D1111">
        <v>0</v>
      </c>
      <c r="E1111">
        <v>0</v>
      </c>
      <c r="F1111">
        <v>121.68</v>
      </c>
      <c r="G1111">
        <v>72509.070000000007</v>
      </c>
      <c r="H1111" s="14">
        <v>43767.833333333336</v>
      </c>
    </row>
    <row r="1112" spans="1:8" x14ac:dyDescent="0.25">
      <c r="A1112">
        <v>114</v>
      </c>
      <c r="B1112" t="s">
        <v>246</v>
      </c>
      <c r="C1112">
        <v>5</v>
      </c>
      <c r="D1112">
        <v>0</v>
      </c>
      <c r="E1112">
        <v>0</v>
      </c>
      <c r="F1112">
        <v>78.31</v>
      </c>
      <c r="G1112">
        <v>46471.94</v>
      </c>
      <c r="H1112" s="14">
        <v>43767.833333333336</v>
      </c>
    </row>
    <row r="1113" spans="1:8" x14ac:dyDescent="0.25">
      <c r="A1113">
        <v>115</v>
      </c>
      <c r="B1113" t="s">
        <v>247</v>
      </c>
      <c r="C1113">
        <v>1</v>
      </c>
      <c r="D1113">
        <v>0</v>
      </c>
      <c r="E1113">
        <v>0</v>
      </c>
      <c r="F1113">
        <v>100.47</v>
      </c>
      <c r="G1113">
        <v>101526.29</v>
      </c>
      <c r="H1113" s="14">
        <v>43767.833333333336</v>
      </c>
    </row>
    <row r="1114" spans="1:8" x14ac:dyDescent="0.25">
      <c r="A1114">
        <v>115</v>
      </c>
      <c r="B1114" t="s">
        <v>247</v>
      </c>
      <c r="C1114">
        <v>2</v>
      </c>
      <c r="D1114">
        <v>0</v>
      </c>
      <c r="E1114">
        <v>0</v>
      </c>
      <c r="F1114">
        <v>97.21</v>
      </c>
      <c r="G1114">
        <v>95509.25</v>
      </c>
      <c r="H1114" s="14">
        <v>43767.833333333336</v>
      </c>
    </row>
    <row r="1115" spans="1:8" x14ac:dyDescent="0.25">
      <c r="A1115">
        <v>115</v>
      </c>
      <c r="B1115" t="s">
        <v>247</v>
      </c>
      <c r="C1115">
        <v>3</v>
      </c>
      <c r="D1115">
        <v>0</v>
      </c>
      <c r="E1115">
        <v>0</v>
      </c>
      <c r="F1115">
        <v>98.94</v>
      </c>
      <c r="G1115">
        <v>102607.62</v>
      </c>
      <c r="H1115" s="14">
        <v>43767.833333333336</v>
      </c>
    </row>
    <row r="1116" spans="1:8" x14ac:dyDescent="0.25">
      <c r="A1116">
        <v>115</v>
      </c>
      <c r="B1116" t="s">
        <v>247</v>
      </c>
      <c r="C1116">
        <v>4</v>
      </c>
      <c r="D1116">
        <v>0</v>
      </c>
      <c r="E1116">
        <v>0</v>
      </c>
      <c r="F1116">
        <v>81.760000000000005</v>
      </c>
      <c r="G1116">
        <v>100822.35</v>
      </c>
      <c r="H1116" s="14">
        <v>43767.833333333336</v>
      </c>
    </row>
    <row r="1117" spans="1:8" x14ac:dyDescent="0.25">
      <c r="A1117">
        <v>115</v>
      </c>
      <c r="B1117" t="s">
        <v>247</v>
      </c>
      <c r="C1117">
        <v>5</v>
      </c>
      <c r="D1117">
        <v>0</v>
      </c>
      <c r="E1117">
        <v>0</v>
      </c>
      <c r="F1117">
        <v>98.9</v>
      </c>
      <c r="G1117">
        <v>101917.95</v>
      </c>
      <c r="H1117" s="14">
        <v>43767.833333333336</v>
      </c>
    </row>
    <row r="1118" spans="1:8" x14ac:dyDescent="0.25">
      <c r="A1118">
        <v>115</v>
      </c>
      <c r="B1118" t="s">
        <v>247</v>
      </c>
      <c r="C1118">
        <v>6</v>
      </c>
      <c r="D1118">
        <v>0</v>
      </c>
      <c r="E1118">
        <v>0</v>
      </c>
      <c r="F1118">
        <v>100.67</v>
      </c>
      <c r="G1118">
        <v>103584.31</v>
      </c>
      <c r="H1118" s="14">
        <v>43767.833333333336</v>
      </c>
    </row>
    <row r="1119" spans="1:8" x14ac:dyDescent="0.25">
      <c r="A1119">
        <v>115</v>
      </c>
      <c r="B1119" t="s">
        <v>247</v>
      </c>
      <c r="C1119">
        <v>7</v>
      </c>
      <c r="D1119">
        <v>0</v>
      </c>
      <c r="E1119">
        <v>0</v>
      </c>
      <c r="F1119">
        <v>100.83</v>
      </c>
      <c r="G1119">
        <v>103191.42</v>
      </c>
      <c r="H1119" s="14">
        <v>43767.833333333336</v>
      </c>
    </row>
    <row r="1120" spans="1:8" x14ac:dyDescent="0.25">
      <c r="A1120">
        <v>115</v>
      </c>
      <c r="B1120" t="s">
        <v>247</v>
      </c>
      <c r="C1120">
        <v>8</v>
      </c>
      <c r="D1120">
        <v>0</v>
      </c>
      <c r="E1120">
        <v>0</v>
      </c>
      <c r="F1120">
        <v>100.41</v>
      </c>
      <c r="G1120">
        <v>102866.75</v>
      </c>
      <c r="H1120" s="14">
        <v>43767.833333333336</v>
      </c>
    </row>
    <row r="1121" spans="1:8" x14ac:dyDescent="0.25">
      <c r="A1121">
        <v>115</v>
      </c>
      <c r="B1121" t="s">
        <v>247</v>
      </c>
      <c r="C1121">
        <v>9</v>
      </c>
      <c r="D1121">
        <v>0</v>
      </c>
      <c r="E1121">
        <v>0</v>
      </c>
      <c r="F1121">
        <v>99.23</v>
      </c>
      <c r="G1121">
        <v>94541.72</v>
      </c>
      <c r="H1121" s="14">
        <v>43767.833333333336</v>
      </c>
    </row>
    <row r="1122" spans="1:8" x14ac:dyDescent="0.25">
      <c r="A1122">
        <v>115</v>
      </c>
      <c r="B1122" t="s">
        <v>247</v>
      </c>
      <c r="C1122">
        <v>10</v>
      </c>
      <c r="D1122">
        <v>0</v>
      </c>
      <c r="E1122">
        <v>0</v>
      </c>
      <c r="F1122">
        <v>32.11</v>
      </c>
      <c r="G1122">
        <v>29232.03</v>
      </c>
      <c r="H1122" s="14">
        <v>43767.833333333336</v>
      </c>
    </row>
    <row r="1123" spans="1:8" x14ac:dyDescent="0.25">
      <c r="A1123">
        <v>116</v>
      </c>
      <c r="B1123" t="s">
        <v>248</v>
      </c>
      <c r="C1123">
        <v>1</v>
      </c>
      <c r="D1123">
        <v>0</v>
      </c>
      <c r="E1123">
        <v>0</v>
      </c>
      <c r="F1123">
        <v>63.66</v>
      </c>
      <c r="G1123">
        <v>10087.16</v>
      </c>
      <c r="H1123" s="14">
        <v>43767.833333333336</v>
      </c>
    </row>
    <row r="1124" spans="1:8" x14ac:dyDescent="0.25">
      <c r="A1124">
        <v>116</v>
      </c>
      <c r="B1124" t="s">
        <v>248</v>
      </c>
      <c r="C1124">
        <v>2</v>
      </c>
      <c r="D1124">
        <v>0</v>
      </c>
      <c r="E1124">
        <v>0</v>
      </c>
      <c r="F1124">
        <v>84.6</v>
      </c>
      <c r="G1124">
        <v>93686.87</v>
      </c>
      <c r="H1124" s="14">
        <v>43767.833333333336</v>
      </c>
    </row>
    <row r="1125" spans="1:8" x14ac:dyDescent="0.25">
      <c r="A1125">
        <v>116</v>
      </c>
      <c r="B1125" t="s">
        <v>248</v>
      </c>
      <c r="C1125">
        <v>3</v>
      </c>
      <c r="D1125">
        <v>0</v>
      </c>
      <c r="E1125">
        <v>0</v>
      </c>
      <c r="F1125">
        <v>86.52</v>
      </c>
      <c r="G1125">
        <v>89223.66</v>
      </c>
      <c r="H1125" s="14">
        <v>43767.833333333336</v>
      </c>
    </row>
    <row r="1126" spans="1:8" x14ac:dyDescent="0.25">
      <c r="A1126">
        <v>116</v>
      </c>
      <c r="B1126" t="s">
        <v>248</v>
      </c>
      <c r="C1126">
        <v>4</v>
      </c>
      <c r="D1126">
        <v>0</v>
      </c>
      <c r="E1126">
        <v>0</v>
      </c>
      <c r="F1126">
        <v>83.47</v>
      </c>
      <c r="G1126">
        <v>93804.94</v>
      </c>
      <c r="H1126" s="14">
        <v>43767.833333333336</v>
      </c>
    </row>
    <row r="1127" spans="1:8" x14ac:dyDescent="0.25">
      <c r="A1127">
        <v>116</v>
      </c>
      <c r="B1127" t="s">
        <v>248</v>
      </c>
      <c r="C1127">
        <v>5</v>
      </c>
      <c r="D1127">
        <v>0</v>
      </c>
      <c r="E1127">
        <v>0</v>
      </c>
      <c r="F1127">
        <v>85.79</v>
      </c>
      <c r="G1127">
        <v>93446.31</v>
      </c>
      <c r="H1127" s="14">
        <v>43767.833333333336</v>
      </c>
    </row>
    <row r="1128" spans="1:8" x14ac:dyDescent="0.25">
      <c r="A1128">
        <v>116</v>
      </c>
      <c r="B1128" t="s">
        <v>248</v>
      </c>
      <c r="C1128">
        <v>6</v>
      </c>
      <c r="D1128">
        <v>0</v>
      </c>
      <c r="E1128">
        <v>0</v>
      </c>
      <c r="F1128">
        <v>51.58</v>
      </c>
      <c r="G1128">
        <v>49345</v>
      </c>
      <c r="H1128" s="14">
        <v>43767.833333333336</v>
      </c>
    </row>
    <row r="1129" spans="1:8" x14ac:dyDescent="0.25">
      <c r="A1129">
        <v>117</v>
      </c>
      <c r="B1129" t="s">
        <v>249</v>
      </c>
      <c r="C1129">
        <v>1</v>
      </c>
      <c r="D1129">
        <v>0</v>
      </c>
      <c r="E1129">
        <v>0</v>
      </c>
      <c r="F1129">
        <v>83.92</v>
      </c>
      <c r="G1129">
        <v>82807.78</v>
      </c>
      <c r="H1129" s="14">
        <v>43767.833333333336</v>
      </c>
    </row>
    <row r="1130" spans="1:8" x14ac:dyDescent="0.25">
      <c r="A1130">
        <v>117</v>
      </c>
      <c r="B1130" t="s">
        <v>249</v>
      </c>
      <c r="C1130">
        <v>2</v>
      </c>
      <c r="D1130">
        <v>0</v>
      </c>
      <c r="E1130">
        <v>0</v>
      </c>
      <c r="F1130">
        <v>83.55</v>
      </c>
      <c r="G1130">
        <v>85924.53</v>
      </c>
      <c r="H1130" s="14">
        <v>43767.833333333336</v>
      </c>
    </row>
    <row r="1131" spans="1:8" x14ac:dyDescent="0.25">
      <c r="A1131">
        <v>117</v>
      </c>
      <c r="B1131" t="s">
        <v>249</v>
      </c>
      <c r="C1131">
        <v>3</v>
      </c>
      <c r="D1131">
        <v>0</v>
      </c>
      <c r="E1131">
        <v>0</v>
      </c>
      <c r="F1131">
        <v>83.11</v>
      </c>
      <c r="G1131">
        <v>86204.59</v>
      </c>
      <c r="H1131" s="14">
        <v>43767.833333333336</v>
      </c>
    </row>
    <row r="1132" spans="1:8" x14ac:dyDescent="0.25">
      <c r="A1132">
        <v>117</v>
      </c>
      <c r="B1132" t="s">
        <v>249</v>
      </c>
      <c r="C1132">
        <v>4</v>
      </c>
      <c r="D1132">
        <v>0</v>
      </c>
      <c r="E1132">
        <v>0</v>
      </c>
      <c r="F1132">
        <v>83.3</v>
      </c>
      <c r="G1132">
        <v>87034.71</v>
      </c>
      <c r="H1132" s="14">
        <v>43767.833333333336</v>
      </c>
    </row>
    <row r="1133" spans="1:8" x14ac:dyDescent="0.25">
      <c r="A1133">
        <v>117</v>
      </c>
      <c r="B1133" t="s">
        <v>249</v>
      </c>
      <c r="C1133">
        <v>5</v>
      </c>
      <c r="D1133">
        <v>0</v>
      </c>
      <c r="E1133">
        <v>0</v>
      </c>
      <c r="F1133">
        <v>74.260000000000005</v>
      </c>
      <c r="G1133">
        <v>82383.95</v>
      </c>
      <c r="H1133" s="14">
        <v>43767.833333333336</v>
      </c>
    </row>
    <row r="1134" spans="1:8" x14ac:dyDescent="0.25">
      <c r="A1134">
        <v>117</v>
      </c>
      <c r="B1134" t="s">
        <v>249</v>
      </c>
      <c r="C1134">
        <v>6</v>
      </c>
      <c r="D1134">
        <v>0</v>
      </c>
      <c r="E1134">
        <v>0</v>
      </c>
      <c r="F1134">
        <v>84.89</v>
      </c>
      <c r="G1134">
        <v>87859.87</v>
      </c>
      <c r="H1134" s="14">
        <v>43767.833333333336</v>
      </c>
    </row>
    <row r="1135" spans="1:8" x14ac:dyDescent="0.25">
      <c r="A1135">
        <v>117</v>
      </c>
      <c r="B1135" t="s">
        <v>249</v>
      </c>
      <c r="C1135">
        <v>7</v>
      </c>
      <c r="D1135">
        <v>0</v>
      </c>
      <c r="E1135">
        <v>0</v>
      </c>
      <c r="F1135">
        <v>78.19</v>
      </c>
      <c r="G1135">
        <v>82219.259999999995</v>
      </c>
      <c r="H1135" s="14">
        <v>43767.833333333336</v>
      </c>
    </row>
    <row r="1136" spans="1:8" x14ac:dyDescent="0.25">
      <c r="A1136">
        <v>117</v>
      </c>
      <c r="B1136" t="s">
        <v>249</v>
      </c>
      <c r="C1136">
        <v>8</v>
      </c>
      <c r="D1136">
        <v>0</v>
      </c>
      <c r="E1136">
        <v>0</v>
      </c>
      <c r="F1136">
        <v>66.069999999999993</v>
      </c>
      <c r="G1136">
        <v>78179.520000000004</v>
      </c>
      <c r="H1136" s="14">
        <v>43767.833333333336</v>
      </c>
    </row>
    <row r="1137" spans="1:8" x14ac:dyDescent="0.25">
      <c r="A1137">
        <v>117</v>
      </c>
      <c r="B1137" t="s">
        <v>249</v>
      </c>
      <c r="C1137">
        <v>9</v>
      </c>
      <c r="D1137">
        <v>0</v>
      </c>
      <c r="E1137">
        <v>0</v>
      </c>
      <c r="F1137">
        <v>71</v>
      </c>
      <c r="G1137">
        <v>78928.3</v>
      </c>
      <c r="H1137" s="14">
        <v>43767.833333333336</v>
      </c>
    </row>
    <row r="1138" spans="1:8" x14ac:dyDescent="0.25">
      <c r="A1138">
        <v>117</v>
      </c>
      <c r="B1138" t="s">
        <v>249</v>
      </c>
      <c r="C1138">
        <v>10</v>
      </c>
      <c r="D1138">
        <v>0</v>
      </c>
      <c r="E1138">
        <v>0</v>
      </c>
      <c r="F1138">
        <v>85.64</v>
      </c>
      <c r="G1138">
        <v>90702.8</v>
      </c>
      <c r="H1138" s="14">
        <v>43767.833333333336</v>
      </c>
    </row>
    <row r="1139" spans="1:8" x14ac:dyDescent="0.25">
      <c r="A1139">
        <v>117</v>
      </c>
      <c r="B1139" t="s">
        <v>249</v>
      </c>
      <c r="C1139">
        <v>11</v>
      </c>
      <c r="D1139">
        <v>0</v>
      </c>
      <c r="E1139">
        <v>0</v>
      </c>
      <c r="F1139">
        <v>75.739999999999995</v>
      </c>
      <c r="G1139">
        <v>81492.289999999994</v>
      </c>
      <c r="H1139" s="14">
        <v>43767.833333333336</v>
      </c>
    </row>
    <row r="1140" spans="1:8" x14ac:dyDescent="0.25">
      <c r="A1140">
        <v>117</v>
      </c>
      <c r="B1140" t="s">
        <v>249</v>
      </c>
      <c r="C1140">
        <v>12</v>
      </c>
      <c r="D1140">
        <v>0</v>
      </c>
      <c r="E1140">
        <v>0</v>
      </c>
      <c r="F1140">
        <v>76.89</v>
      </c>
      <c r="G1140">
        <v>80354</v>
      </c>
      <c r="H1140" s="14">
        <v>43767.833333333336</v>
      </c>
    </row>
    <row r="1141" spans="1:8" x14ac:dyDescent="0.25">
      <c r="A1141">
        <v>117</v>
      </c>
      <c r="B1141" t="s">
        <v>249</v>
      </c>
      <c r="C1141">
        <v>13</v>
      </c>
      <c r="D1141">
        <v>0</v>
      </c>
      <c r="E1141">
        <v>0</v>
      </c>
      <c r="F1141">
        <v>80.5</v>
      </c>
      <c r="G1141">
        <v>83568.98</v>
      </c>
      <c r="H1141" s="14">
        <v>43767.833333333336</v>
      </c>
    </row>
    <row r="1142" spans="1:8" x14ac:dyDescent="0.25">
      <c r="A1142">
        <v>117</v>
      </c>
      <c r="B1142" t="s">
        <v>249</v>
      </c>
      <c r="C1142">
        <v>14</v>
      </c>
      <c r="D1142">
        <v>0</v>
      </c>
      <c r="E1142">
        <v>0</v>
      </c>
      <c r="F1142">
        <v>67.27</v>
      </c>
      <c r="G1142">
        <v>82881.17</v>
      </c>
      <c r="H1142" s="14">
        <v>43767.833333333336</v>
      </c>
    </row>
    <row r="1143" spans="1:8" x14ac:dyDescent="0.25">
      <c r="A1143">
        <v>118</v>
      </c>
      <c r="B1143" t="s">
        <v>250</v>
      </c>
      <c r="C1143">
        <v>1</v>
      </c>
      <c r="D1143">
        <v>0</v>
      </c>
      <c r="E1143">
        <v>0</v>
      </c>
      <c r="F1143">
        <v>97.73</v>
      </c>
      <c r="G1143">
        <v>97483.89</v>
      </c>
      <c r="H1143" s="14">
        <v>43767.833333333336</v>
      </c>
    </row>
    <row r="1144" spans="1:8" x14ac:dyDescent="0.25">
      <c r="A1144">
        <v>118</v>
      </c>
      <c r="B1144" t="s">
        <v>250</v>
      </c>
      <c r="C1144">
        <v>2</v>
      </c>
      <c r="D1144">
        <v>0</v>
      </c>
      <c r="E1144">
        <v>0</v>
      </c>
      <c r="F1144">
        <v>98.3</v>
      </c>
      <c r="G1144">
        <v>99322.42</v>
      </c>
      <c r="H1144" s="14">
        <v>43767.833333333336</v>
      </c>
    </row>
    <row r="1145" spans="1:8" x14ac:dyDescent="0.25">
      <c r="A1145">
        <v>118</v>
      </c>
      <c r="B1145" t="s">
        <v>250</v>
      </c>
      <c r="C1145">
        <v>3</v>
      </c>
      <c r="D1145">
        <v>0</v>
      </c>
      <c r="E1145">
        <v>0</v>
      </c>
      <c r="F1145">
        <v>97.68</v>
      </c>
      <c r="G1145">
        <v>99748.86</v>
      </c>
      <c r="H1145" s="14">
        <v>43767.833333333336</v>
      </c>
    </row>
    <row r="1146" spans="1:8" x14ac:dyDescent="0.25">
      <c r="A1146">
        <v>118</v>
      </c>
      <c r="B1146" t="s">
        <v>250</v>
      </c>
      <c r="C1146">
        <v>4</v>
      </c>
      <c r="D1146">
        <v>0</v>
      </c>
      <c r="E1146">
        <v>0</v>
      </c>
      <c r="F1146">
        <v>86.16</v>
      </c>
      <c r="G1146">
        <v>96893.72</v>
      </c>
      <c r="H1146" s="14">
        <v>43767.833333333336</v>
      </c>
    </row>
    <row r="1147" spans="1:8" x14ac:dyDescent="0.25">
      <c r="A1147">
        <v>118</v>
      </c>
      <c r="B1147" t="s">
        <v>250</v>
      </c>
      <c r="C1147">
        <v>5</v>
      </c>
      <c r="D1147">
        <v>0</v>
      </c>
      <c r="E1147">
        <v>0</v>
      </c>
      <c r="F1147">
        <v>99.52</v>
      </c>
      <c r="G1147">
        <v>100245.14</v>
      </c>
      <c r="H1147" s="14">
        <v>43767.833333333336</v>
      </c>
    </row>
    <row r="1148" spans="1:8" x14ac:dyDescent="0.25">
      <c r="A1148">
        <v>118</v>
      </c>
      <c r="B1148" t="s">
        <v>250</v>
      </c>
      <c r="C1148">
        <v>6</v>
      </c>
      <c r="D1148">
        <v>0</v>
      </c>
      <c r="E1148">
        <v>0</v>
      </c>
      <c r="F1148">
        <v>99.11</v>
      </c>
      <c r="G1148">
        <v>98839.9</v>
      </c>
      <c r="H1148" s="14">
        <v>43767.833333333336</v>
      </c>
    </row>
    <row r="1149" spans="1:8" x14ac:dyDescent="0.25">
      <c r="A1149">
        <v>118</v>
      </c>
      <c r="B1149" t="s">
        <v>250</v>
      </c>
      <c r="C1149">
        <v>7</v>
      </c>
      <c r="D1149">
        <v>0</v>
      </c>
      <c r="E1149">
        <v>0</v>
      </c>
      <c r="F1149">
        <v>98.99</v>
      </c>
      <c r="G1149">
        <v>98741.39</v>
      </c>
      <c r="H1149" s="14">
        <v>43767.833333333336</v>
      </c>
    </row>
    <row r="1150" spans="1:8" x14ac:dyDescent="0.25">
      <c r="A1150">
        <v>118</v>
      </c>
      <c r="B1150" t="s">
        <v>250</v>
      </c>
      <c r="C1150">
        <v>8</v>
      </c>
      <c r="D1150">
        <v>0</v>
      </c>
      <c r="E1150">
        <v>0</v>
      </c>
      <c r="F1150">
        <v>98.83</v>
      </c>
      <c r="G1150">
        <v>98836.2</v>
      </c>
      <c r="H1150" s="14">
        <v>43767.833333333336</v>
      </c>
    </row>
    <row r="1151" spans="1:8" x14ac:dyDescent="0.25">
      <c r="A1151">
        <v>119</v>
      </c>
      <c r="B1151" t="s">
        <v>251</v>
      </c>
      <c r="C1151">
        <v>1</v>
      </c>
      <c r="D1151">
        <v>0</v>
      </c>
      <c r="E1151">
        <v>0</v>
      </c>
      <c r="F1151">
        <v>100.26</v>
      </c>
      <c r="G1151">
        <v>99177</v>
      </c>
      <c r="H1151" s="14">
        <v>43767.833333333336</v>
      </c>
    </row>
    <row r="1152" spans="1:8" x14ac:dyDescent="0.25">
      <c r="A1152">
        <v>119</v>
      </c>
      <c r="B1152" t="s">
        <v>251</v>
      </c>
      <c r="C1152">
        <v>2</v>
      </c>
      <c r="D1152">
        <v>0</v>
      </c>
      <c r="E1152">
        <v>0</v>
      </c>
      <c r="F1152">
        <v>98.04</v>
      </c>
      <c r="G1152">
        <v>98405.08</v>
      </c>
      <c r="H1152" s="14">
        <v>43767.833333333336</v>
      </c>
    </row>
    <row r="1153" spans="1:8" x14ac:dyDescent="0.25">
      <c r="A1153">
        <v>119</v>
      </c>
      <c r="B1153" t="s">
        <v>251</v>
      </c>
      <c r="C1153">
        <v>3</v>
      </c>
      <c r="D1153">
        <v>0</v>
      </c>
      <c r="E1153">
        <v>0</v>
      </c>
      <c r="F1153">
        <v>98.41</v>
      </c>
      <c r="G1153">
        <v>99066.41</v>
      </c>
      <c r="H1153" s="14">
        <v>43767.833333333336</v>
      </c>
    </row>
    <row r="1154" spans="1:8" x14ac:dyDescent="0.25">
      <c r="A1154">
        <v>119</v>
      </c>
      <c r="B1154" t="s">
        <v>251</v>
      </c>
      <c r="C1154">
        <v>4</v>
      </c>
      <c r="D1154">
        <v>0</v>
      </c>
      <c r="E1154">
        <v>0</v>
      </c>
      <c r="F1154">
        <v>96.79</v>
      </c>
      <c r="G1154">
        <v>98333.67</v>
      </c>
      <c r="H1154" s="14">
        <v>43767.833333333336</v>
      </c>
    </row>
    <row r="1155" spans="1:8" x14ac:dyDescent="0.25">
      <c r="A1155">
        <v>119</v>
      </c>
      <c r="B1155" t="s">
        <v>251</v>
      </c>
      <c r="C1155">
        <v>5</v>
      </c>
      <c r="D1155">
        <v>0</v>
      </c>
      <c r="E1155">
        <v>0</v>
      </c>
      <c r="F1155">
        <v>96.81</v>
      </c>
      <c r="G1155">
        <v>99159.28</v>
      </c>
      <c r="H1155" s="14">
        <v>43767.833333333336</v>
      </c>
    </row>
    <row r="1156" spans="1:8" x14ac:dyDescent="0.25">
      <c r="A1156">
        <v>119</v>
      </c>
      <c r="B1156" t="s">
        <v>251</v>
      </c>
      <c r="C1156">
        <v>6</v>
      </c>
      <c r="D1156">
        <v>0</v>
      </c>
      <c r="E1156">
        <v>0</v>
      </c>
      <c r="F1156">
        <v>99.02</v>
      </c>
      <c r="G1156">
        <v>100235.97</v>
      </c>
      <c r="H1156" s="14">
        <v>43767.833333333336</v>
      </c>
    </row>
    <row r="1157" spans="1:8" x14ac:dyDescent="0.25">
      <c r="A1157">
        <v>119</v>
      </c>
      <c r="B1157" t="s">
        <v>251</v>
      </c>
      <c r="C1157">
        <v>7</v>
      </c>
      <c r="D1157">
        <v>0</v>
      </c>
      <c r="E1157">
        <v>0</v>
      </c>
      <c r="F1157">
        <v>94.07</v>
      </c>
      <c r="G1157">
        <v>99046.14</v>
      </c>
      <c r="H1157" s="14">
        <v>43767.833333333336</v>
      </c>
    </row>
    <row r="1158" spans="1:8" x14ac:dyDescent="0.25">
      <c r="A1158">
        <v>119</v>
      </c>
      <c r="B1158" t="s">
        <v>251</v>
      </c>
      <c r="C1158">
        <v>8</v>
      </c>
      <c r="D1158">
        <v>0</v>
      </c>
      <c r="E1158">
        <v>0</v>
      </c>
      <c r="F1158">
        <v>101.32</v>
      </c>
      <c r="G1158">
        <v>100732.69</v>
      </c>
      <c r="H1158" s="14">
        <v>43767.833333333336</v>
      </c>
    </row>
    <row r="1159" spans="1:8" x14ac:dyDescent="0.25">
      <c r="A1159">
        <v>119</v>
      </c>
      <c r="B1159" t="s">
        <v>251</v>
      </c>
      <c r="C1159">
        <v>9</v>
      </c>
      <c r="D1159">
        <v>0</v>
      </c>
      <c r="E1159">
        <v>0</v>
      </c>
      <c r="F1159">
        <v>66.400000000000006</v>
      </c>
      <c r="G1159">
        <v>65767.990000000005</v>
      </c>
      <c r="H1159" s="14">
        <v>43767.833333333336</v>
      </c>
    </row>
    <row r="1160" spans="1:8" x14ac:dyDescent="0.25">
      <c r="A1160">
        <v>120</v>
      </c>
      <c r="B1160" t="s">
        <v>252</v>
      </c>
      <c r="C1160">
        <v>1</v>
      </c>
      <c r="D1160">
        <v>0</v>
      </c>
      <c r="E1160">
        <v>0</v>
      </c>
      <c r="F1160">
        <v>108.17</v>
      </c>
      <c r="G1160">
        <v>104322.14</v>
      </c>
      <c r="H1160" s="14">
        <v>43767.833333333336</v>
      </c>
    </row>
    <row r="1161" spans="1:8" x14ac:dyDescent="0.25">
      <c r="A1161">
        <v>120</v>
      </c>
      <c r="B1161" t="s">
        <v>252</v>
      </c>
      <c r="C1161">
        <v>2</v>
      </c>
      <c r="D1161">
        <v>0</v>
      </c>
      <c r="E1161">
        <v>0</v>
      </c>
      <c r="F1161">
        <v>106.57</v>
      </c>
      <c r="G1161">
        <v>103114.1</v>
      </c>
      <c r="H1161" s="14">
        <v>43767.833333333336</v>
      </c>
    </row>
    <row r="1162" spans="1:8" x14ac:dyDescent="0.25">
      <c r="A1162">
        <v>120</v>
      </c>
      <c r="B1162" t="s">
        <v>252</v>
      </c>
      <c r="C1162">
        <v>3</v>
      </c>
      <c r="D1162">
        <v>0</v>
      </c>
      <c r="E1162">
        <v>0</v>
      </c>
      <c r="F1162">
        <v>105.99</v>
      </c>
      <c r="G1162">
        <v>102107.29</v>
      </c>
      <c r="H1162" s="14">
        <v>43767.833333333336</v>
      </c>
    </row>
    <row r="1163" spans="1:8" x14ac:dyDescent="0.25">
      <c r="A1163">
        <v>120</v>
      </c>
      <c r="B1163" t="s">
        <v>252</v>
      </c>
      <c r="C1163">
        <v>4</v>
      </c>
      <c r="D1163">
        <v>0</v>
      </c>
      <c r="E1163">
        <v>0</v>
      </c>
      <c r="F1163">
        <v>104.36</v>
      </c>
      <c r="G1163">
        <v>101346.23</v>
      </c>
      <c r="H1163" s="14">
        <v>43767.833333333336</v>
      </c>
    </row>
    <row r="1164" spans="1:8" x14ac:dyDescent="0.25">
      <c r="A1164">
        <v>120</v>
      </c>
      <c r="B1164" t="s">
        <v>252</v>
      </c>
      <c r="C1164">
        <v>5</v>
      </c>
      <c r="D1164">
        <v>0</v>
      </c>
      <c r="E1164">
        <v>0</v>
      </c>
      <c r="F1164">
        <v>109.72</v>
      </c>
      <c r="G1164">
        <v>104934.36</v>
      </c>
      <c r="H1164" s="14">
        <v>43767.833333333336</v>
      </c>
    </row>
    <row r="1165" spans="1:8" x14ac:dyDescent="0.25">
      <c r="A1165">
        <v>120</v>
      </c>
      <c r="B1165" t="s">
        <v>252</v>
      </c>
      <c r="C1165">
        <v>6</v>
      </c>
      <c r="D1165">
        <v>0</v>
      </c>
      <c r="E1165">
        <v>0</v>
      </c>
      <c r="F1165">
        <v>108.96</v>
      </c>
      <c r="G1165">
        <v>100739.49</v>
      </c>
      <c r="H1165" s="14">
        <v>43767.833333333336</v>
      </c>
    </row>
    <row r="1166" spans="1:8" x14ac:dyDescent="0.25">
      <c r="A1166">
        <v>120</v>
      </c>
      <c r="B1166" t="s">
        <v>252</v>
      </c>
      <c r="C1166">
        <v>7</v>
      </c>
      <c r="D1166">
        <v>0</v>
      </c>
      <c r="E1166">
        <v>0</v>
      </c>
      <c r="F1166">
        <v>109.1</v>
      </c>
      <c r="G1166">
        <v>103028.16</v>
      </c>
      <c r="H1166" s="14">
        <v>43767.833333333336</v>
      </c>
    </row>
    <row r="1167" spans="1:8" x14ac:dyDescent="0.25">
      <c r="A1167">
        <v>120</v>
      </c>
      <c r="B1167" t="s">
        <v>252</v>
      </c>
      <c r="C1167">
        <v>8</v>
      </c>
      <c r="D1167">
        <v>0</v>
      </c>
      <c r="E1167">
        <v>0</v>
      </c>
      <c r="F1167">
        <v>109.3</v>
      </c>
      <c r="G1167">
        <v>103834.73</v>
      </c>
      <c r="H1167" s="14">
        <v>43767.833333333336</v>
      </c>
    </row>
    <row r="1168" spans="1:8" x14ac:dyDescent="0.25">
      <c r="A1168">
        <v>121</v>
      </c>
      <c r="B1168" t="s">
        <v>253</v>
      </c>
      <c r="C1168">
        <v>1</v>
      </c>
      <c r="D1168">
        <v>0</v>
      </c>
      <c r="E1168">
        <v>0</v>
      </c>
      <c r="F1168">
        <v>91.35</v>
      </c>
      <c r="G1168">
        <v>89641.67</v>
      </c>
      <c r="H1168" s="14">
        <v>43767.833333333336</v>
      </c>
    </row>
    <row r="1169" spans="1:8" x14ac:dyDescent="0.25">
      <c r="A1169">
        <v>121</v>
      </c>
      <c r="B1169" t="s">
        <v>253</v>
      </c>
      <c r="C1169">
        <v>2</v>
      </c>
      <c r="D1169">
        <v>0</v>
      </c>
      <c r="E1169">
        <v>0</v>
      </c>
      <c r="F1169">
        <v>95.02</v>
      </c>
      <c r="G1169">
        <v>99085.39</v>
      </c>
      <c r="H1169" s="14">
        <v>43767.833333333336</v>
      </c>
    </row>
    <row r="1170" spans="1:8" x14ac:dyDescent="0.25">
      <c r="A1170">
        <v>121</v>
      </c>
      <c r="B1170" t="s">
        <v>253</v>
      </c>
      <c r="C1170">
        <v>3</v>
      </c>
      <c r="D1170">
        <v>0</v>
      </c>
      <c r="E1170">
        <v>0</v>
      </c>
      <c r="F1170">
        <v>95.49</v>
      </c>
      <c r="G1170">
        <v>98184.91</v>
      </c>
      <c r="H1170" s="14">
        <v>43767.833333333336</v>
      </c>
    </row>
    <row r="1171" spans="1:8" x14ac:dyDescent="0.25">
      <c r="A1171">
        <v>121</v>
      </c>
      <c r="B1171" t="s">
        <v>253</v>
      </c>
      <c r="C1171">
        <v>4</v>
      </c>
      <c r="D1171">
        <v>0</v>
      </c>
      <c r="E1171">
        <v>0</v>
      </c>
      <c r="F1171">
        <v>27.34</v>
      </c>
      <c r="G1171">
        <v>38030.300000000003</v>
      </c>
      <c r="H1171" s="14">
        <v>43767.833333333336</v>
      </c>
    </row>
    <row r="1172" spans="1:8" x14ac:dyDescent="0.25">
      <c r="A1172">
        <v>122</v>
      </c>
      <c r="B1172" t="s">
        <v>254</v>
      </c>
      <c r="C1172">
        <v>1</v>
      </c>
      <c r="D1172">
        <v>0</v>
      </c>
      <c r="E1172">
        <v>0</v>
      </c>
      <c r="F1172">
        <v>91.5</v>
      </c>
      <c r="G1172">
        <v>94726.64</v>
      </c>
      <c r="H1172" s="14">
        <v>43767.833333333336</v>
      </c>
    </row>
    <row r="1173" spans="1:8" x14ac:dyDescent="0.25">
      <c r="A1173">
        <v>122</v>
      </c>
      <c r="B1173" t="s">
        <v>254</v>
      </c>
      <c r="C1173">
        <v>2</v>
      </c>
      <c r="D1173">
        <v>0</v>
      </c>
      <c r="E1173">
        <v>0</v>
      </c>
      <c r="F1173">
        <v>92.86</v>
      </c>
      <c r="G1173">
        <v>50083.75</v>
      </c>
      <c r="H1173" s="14">
        <v>43767.833333333336</v>
      </c>
    </row>
    <row r="1174" spans="1:8" x14ac:dyDescent="0.25">
      <c r="A1174">
        <v>122</v>
      </c>
      <c r="B1174" t="s">
        <v>254</v>
      </c>
      <c r="C1174">
        <v>3</v>
      </c>
      <c r="D1174">
        <v>0</v>
      </c>
      <c r="E1174">
        <v>0</v>
      </c>
      <c r="F1174">
        <v>64.44</v>
      </c>
      <c r="G1174">
        <v>95027.55</v>
      </c>
      <c r="H1174" s="14">
        <v>43767.833333333336</v>
      </c>
    </row>
    <row r="1175" spans="1:8" x14ac:dyDescent="0.25">
      <c r="A1175">
        <v>123</v>
      </c>
      <c r="B1175" t="s">
        <v>255</v>
      </c>
      <c r="C1175">
        <v>1</v>
      </c>
      <c r="D1175">
        <v>0</v>
      </c>
      <c r="E1175">
        <v>0</v>
      </c>
      <c r="F1175">
        <v>91.39</v>
      </c>
      <c r="G1175">
        <v>95796.31</v>
      </c>
      <c r="H1175" s="14">
        <v>43767.833333333336</v>
      </c>
    </row>
    <row r="1176" spans="1:8" x14ac:dyDescent="0.25">
      <c r="A1176">
        <v>123</v>
      </c>
      <c r="B1176" t="s">
        <v>255</v>
      </c>
      <c r="C1176">
        <v>2</v>
      </c>
      <c r="D1176">
        <v>0</v>
      </c>
      <c r="E1176">
        <v>0</v>
      </c>
      <c r="F1176">
        <v>90.04</v>
      </c>
      <c r="G1176">
        <v>89244.72</v>
      </c>
      <c r="H1176" s="14">
        <v>43767.833333333336</v>
      </c>
    </row>
    <row r="1177" spans="1:8" x14ac:dyDescent="0.25">
      <c r="A1177">
        <v>123</v>
      </c>
      <c r="B1177" t="s">
        <v>255</v>
      </c>
      <c r="C1177">
        <v>3</v>
      </c>
      <c r="D1177">
        <v>0</v>
      </c>
      <c r="E1177">
        <v>0</v>
      </c>
      <c r="F1177">
        <v>87.77</v>
      </c>
      <c r="G1177">
        <v>93366</v>
      </c>
      <c r="H1177" s="14">
        <v>43767.833333333336</v>
      </c>
    </row>
    <row r="1178" spans="1:8" x14ac:dyDescent="0.25">
      <c r="A1178">
        <v>123</v>
      </c>
      <c r="B1178" t="s">
        <v>255</v>
      </c>
      <c r="C1178">
        <v>4</v>
      </c>
      <c r="D1178">
        <v>0</v>
      </c>
      <c r="E1178">
        <v>0</v>
      </c>
      <c r="F1178">
        <v>91.29</v>
      </c>
      <c r="G1178">
        <v>95495.02</v>
      </c>
      <c r="H1178" s="14">
        <v>43767.833333333336</v>
      </c>
    </row>
    <row r="1179" spans="1:8" x14ac:dyDescent="0.25">
      <c r="A1179">
        <v>123</v>
      </c>
      <c r="B1179" t="s">
        <v>255</v>
      </c>
      <c r="C1179">
        <v>5</v>
      </c>
      <c r="D1179">
        <v>0</v>
      </c>
      <c r="E1179">
        <v>0</v>
      </c>
      <c r="F1179">
        <v>91.08</v>
      </c>
      <c r="G1179">
        <v>92253.6</v>
      </c>
      <c r="H1179" s="14">
        <v>43767.833333333336</v>
      </c>
    </row>
    <row r="1180" spans="1:8" x14ac:dyDescent="0.25">
      <c r="A1180">
        <v>123</v>
      </c>
      <c r="B1180" t="s">
        <v>255</v>
      </c>
      <c r="C1180">
        <v>6</v>
      </c>
      <c r="D1180">
        <v>0</v>
      </c>
      <c r="E1180">
        <v>0</v>
      </c>
      <c r="F1180">
        <v>89.99</v>
      </c>
      <c r="G1180">
        <v>94952.38</v>
      </c>
      <c r="H1180" s="14">
        <v>43767.833333333336</v>
      </c>
    </row>
    <row r="1181" spans="1:8" x14ac:dyDescent="0.25">
      <c r="A1181">
        <v>123</v>
      </c>
      <c r="B1181" t="s">
        <v>255</v>
      </c>
      <c r="C1181">
        <v>7</v>
      </c>
      <c r="D1181">
        <v>0</v>
      </c>
      <c r="E1181">
        <v>0</v>
      </c>
      <c r="F1181">
        <v>62.5</v>
      </c>
      <c r="G1181">
        <v>6830.62</v>
      </c>
      <c r="H1181" s="14">
        <v>43767.833333333336</v>
      </c>
    </row>
    <row r="1182" spans="1:8" x14ac:dyDescent="0.25">
      <c r="A1182">
        <v>123</v>
      </c>
      <c r="B1182" t="s">
        <v>255</v>
      </c>
      <c r="C1182">
        <v>8</v>
      </c>
      <c r="D1182">
        <v>0</v>
      </c>
      <c r="E1182">
        <v>0</v>
      </c>
      <c r="F1182">
        <v>58</v>
      </c>
      <c r="G1182">
        <v>62381.46</v>
      </c>
      <c r="H1182" s="14">
        <v>43767.833333333336</v>
      </c>
    </row>
    <row r="1183" spans="1:8" x14ac:dyDescent="0.25">
      <c r="A1183">
        <v>124</v>
      </c>
      <c r="B1183" t="s">
        <v>256</v>
      </c>
      <c r="C1183">
        <v>1</v>
      </c>
      <c r="D1183">
        <v>0</v>
      </c>
      <c r="E1183">
        <v>0</v>
      </c>
      <c r="F1183">
        <v>75.16</v>
      </c>
      <c r="G1183">
        <v>89124.96</v>
      </c>
      <c r="H1183" s="14">
        <v>43767.833333333336</v>
      </c>
    </row>
    <row r="1184" spans="1:8" x14ac:dyDescent="0.25">
      <c r="A1184">
        <v>124</v>
      </c>
      <c r="B1184" t="s">
        <v>256</v>
      </c>
      <c r="C1184">
        <v>2</v>
      </c>
      <c r="D1184">
        <v>0</v>
      </c>
      <c r="E1184">
        <v>0</v>
      </c>
      <c r="F1184">
        <v>74.849999999999994</v>
      </c>
      <c r="G1184">
        <v>91566.8</v>
      </c>
      <c r="H1184" s="14">
        <v>43767.833333333336</v>
      </c>
    </row>
    <row r="1185" spans="1:8" x14ac:dyDescent="0.25">
      <c r="A1185">
        <v>124</v>
      </c>
      <c r="B1185" t="s">
        <v>256</v>
      </c>
      <c r="C1185">
        <v>3</v>
      </c>
      <c r="D1185">
        <v>0</v>
      </c>
      <c r="E1185">
        <v>0</v>
      </c>
      <c r="F1185">
        <v>88.36</v>
      </c>
      <c r="G1185">
        <v>89260.36</v>
      </c>
      <c r="H1185" s="14">
        <v>43767.833333333336</v>
      </c>
    </row>
    <row r="1186" spans="1:8" x14ac:dyDescent="0.25">
      <c r="A1186">
        <v>124</v>
      </c>
      <c r="B1186" t="s">
        <v>256</v>
      </c>
      <c r="C1186">
        <v>4</v>
      </c>
      <c r="D1186">
        <v>0</v>
      </c>
      <c r="E1186">
        <v>0</v>
      </c>
      <c r="F1186">
        <v>88.33</v>
      </c>
      <c r="G1186">
        <v>93188.18</v>
      </c>
      <c r="H1186" s="14">
        <v>43767.833333333336</v>
      </c>
    </row>
    <row r="1187" spans="1:8" x14ac:dyDescent="0.25">
      <c r="A1187">
        <v>124</v>
      </c>
      <c r="B1187" t="s">
        <v>256</v>
      </c>
      <c r="C1187">
        <v>5</v>
      </c>
      <c r="D1187">
        <v>0</v>
      </c>
      <c r="E1187">
        <v>0</v>
      </c>
      <c r="F1187">
        <v>88.82</v>
      </c>
      <c r="G1187">
        <v>94802.5</v>
      </c>
      <c r="H1187" s="14">
        <v>43767.833333333336</v>
      </c>
    </row>
    <row r="1188" spans="1:8" x14ac:dyDescent="0.25">
      <c r="A1188">
        <v>124</v>
      </c>
      <c r="B1188" t="s">
        <v>256</v>
      </c>
      <c r="C1188">
        <v>6</v>
      </c>
      <c r="D1188">
        <v>0</v>
      </c>
      <c r="E1188">
        <v>0</v>
      </c>
      <c r="F1188">
        <v>88.42</v>
      </c>
      <c r="G1188">
        <v>92519.679999999993</v>
      </c>
      <c r="H1188" s="14">
        <v>43767.833333333336</v>
      </c>
    </row>
    <row r="1189" spans="1:8" x14ac:dyDescent="0.25">
      <c r="A1189">
        <v>124</v>
      </c>
      <c r="B1189" t="s">
        <v>256</v>
      </c>
      <c r="C1189">
        <v>7</v>
      </c>
      <c r="D1189">
        <v>0</v>
      </c>
      <c r="E1189">
        <v>0</v>
      </c>
      <c r="F1189">
        <v>87.25</v>
      </c>
      <c r="G1189">
        <v>91792.18</v>
      </c>
      <c r="H1189" s="14">
        <v>43767.833333333336</v>
      </c>
    </row>
    <row r="1190" spans="1:8" x14ac:dyDescent="0.25">
      <c r="A1190">
        <v>124</v>
      </c>
      <c r="B1190" t="s">
        <v>256</v>
      </c>
      <c r="C1190">
        <v>8</v>
      </c>
      <c r="D1190">
        <v>0</v>
      </c>
      <c r="E1190">
        <v>0</v>
      </c>
      <c r="F1190">
        <v>90.02</v>
      </c>
      <c r="G1190">
        <v>90093.54</v>
      </c>
      <c r="H1190" s="14">
        <v>43767.833333333336</v>
      </c>
    </row>
    <row r="1191" spans="1:8" x14ac:dyDescent="0.25">
      <c r="A1191">
        <v>124</v>
      </c>
      <c r="B1191" t="s">
        <v>256</v>
      </c>
      <c r="C1191">
        <v>9</v>
      </c>
      <c r="D1191">
        <v>0</v>
      </c>
      <c r="E1191">
        <v>0</v>
      </c>
      <c r="F1191">
        <v>50.89</v>
      </c>
      <c r="G1191">
        <v>89535.75</v>
      </c>
      <c r="H1191" s="14">
        <v>43767.833333333336</v>
      </c>
    </row>
    <row r="1192" spans="1:8" x14ac:dyDescent="0.25">
      <c r="A1192">
        <v>124</v>
      </c>
      <c r="B1192" t="s">
        <v>256</v>
      </c>
      <c r="C1192">
        <v>10</v>
      </c>
      <c r="D1192">
        <v>0</v>
      </c>
      <c r="E1192">
        <v>0</v>
      </c>
      <c r="F1192">
        <v>90.03</v>
      </c>
      <c r="G1192">
        <v>95201.49</v>
      </c>
      <c r="H1192" s="14">
        <v>43767.833333333336</v>
      </c>
    </row>
    <row r="1193" spans="1:8" x14ac:dyDescent="0.25">
      <c r="A1193">
        <v>124</v>
      </c>
      <c r="B1193" t="s">
        <v>256</v>
      </c>
      <c r="C1193">
        <v>11</v>
      </c>
      <c r="D1193">
        <v>0</v>
      </c>
      <c r="E1193">
        <v>0</v>
      </c>
      <c r="F1193">
        <v>89.57</v>
      </c>
      <c r="G1193">
        <v>94755.6</v>
      </c>
      <c r="H1193" s="14">
        <v>43767.833333333336</v>
      </c>
    </row>
    <row r="1194" spans="1:8" x14ac:dyDescent="0.25">
      <c r="A1194">
        <v>124</v>
      </c>
      <c r="B1194" t="s">
        <v>256</v>
      </c>
      <c r="C1194">
        <v>12</v>
      </c>
      <c r="D1194">
        <v>0</v>
      </c>
      <c r="E1194">
        <v>0</v>
      </c>
      <c r="F1194">
        <v>90.16</v>
      </c>
      <c r="G1194">
        <v>94066.91</v>
      </c>
      <c r="H1194" s="14">
        <v>43767.833333333336</v>
      </c>
    </row>
    <row r="1195" spans="1:8" x14ac:dyDescent="0.25">
      <c r="A1195">
        <v>124</v>
      </c>
      <c r="B1195" t="s">
        <v>256</v>
      </c>
      <c r="C1195">
        <v>13</v>
      </c>
      <c r="D1195">
        <v>0</v>
      </c>
      <c r="E1195">
        <v>0</v>
      </c>
      <c r="F1195">
        <v>87.75</v>
      </c>
      <c r="G1195">
        <v>87206.13</v>
      </c>
      <c r="H1195" s="14">
        <v>43767.833333333336</v>
      </c>
    </row>
    <row r="1196" spans="1:8" x14ac:dyDescent="0.25">
      <c r="A1196">
        <v>125</v>
      </c>
      <c r="B1196" t="s">
        <v>257</v>
      </c>
      <c r="C1196">
        <v>1</v>
      </c>
      <c r="D1196">
        <v>0</v>
      </c>
      <c r="E1196">
        <v>0</v>
      </c>
      <c r="F1196">
        <v>120.79</v>
      </c>
      <c r="G1196">
        <v>58043.31</v>
      </c>
      <c r="H1196" s="14">
        <v>43767.833333333336</v>
      </c>
    </row>
    <row r="1197" spans="1:8" x14ac:dyDescent="0.25">
      <c r="A1197">
        <v>125</v>
      </c>
      <c r="B1197" t="s">
        <v>257</v>
      </c>
      <c r="C1197">
        <v>2</v>
      </c>
      <c r="D1197">
        <v>0</v>
      </c>
      <c r="E1197">
        <v>0</v>
      </c>
      <c r="F1197">
        <v>120.63</v>
      </c>
      <c r="G1197">
        <v>58096.95</v>
      </c>
      <c r="H1197" s="14">
        <v>43767.833333333336</v>
      </c>
    </row>
    <row r="1198" spans="1:8" x14ac:dyDescent="0.25">
      <c r="A1198">
        <v>125</v>
      </c>
      <c r="B1198" t="s">
        <v>257</v>
      </c>
      <c r="C1198">
        <v>3</v>
      </c>
      <c r="D1198">
        <v>0</v>
      </c>
      <c r="E1198">
        <v>0</v>
      </c>
      <c r="F1198">
        <v>60.03</v>
      </c>
      <c r="G1198">
        <v>32628.89</v>
      </c>
      <c r="H1198" s="14">
        <v>43767.833333333336</v>
      </c>
    </row>
    <row r="1199" spans="1:8" x14ac:dyDescent="0.25">
      <c r="A1199">
        <v>125</v>
      </c>
      <c r="B1199" t="s">
        <v>257</v>
      </c>
      <c r="C1199">
        <v>4</v>
      </c>
      <c r="D1199">
        <v>0</v>
      </c>
      <c r="E1199">
        <v>0</v>
      </c>
      <c r="F1199">
        <v>83.86</v>
      </c>
      <c r="G1199">
        <v>35273.4</v>
      </c>
      <c r="H1199" s="14">
        <v>43767.833333333336</v>
      </c>
    </row>
    <row r="1200" spans="1:8" x14ac:dyDescent="0.25">
      <c r="A1200">
        <v>125</v>
      </c>
      <c r="B1200" t="s">
        <v>257</v>
      </c>
      <c r="C1200">
        <v>5</v>
      </c>
      <c r="D1200">
        <v>0</v>
      </c>
      <c r="E1200">
        <v>0</v>
      </c>
      <c r="F1200">
        <v>96.6</v>
      </c>
      <c r="G1200">
        <v>54630.76</v>
      </c>
      <c r="H1200" s="14">
        <v>43767.833333333336</v>
      </c>
    </row>
    <row r="1201" spans="1:8" x14ac:dyDescent="0.25">
      <c r="A1201">
        <v>125</v>
      </c>
      <c r="B1201" t="s">
        <v>257</v>
      </c>
      <c r="C1201">
        <v>6</v>
      </c>
      <c r="D1201">
        <v>0</v>
      </c>
      <c r="E1201">
        <v>0</v>
      </c>
      <c r="F1201">
        <v>150.84</v>
      </c>
      <c r="G1201">
        <v>65250.84</v>
      </c>
      <c r="H1201" s="14">
        <v>43767.833333333336</v>
      </c>
    </row>
    <row r="1202" spans="1:8" x14ac:dyDescent="0.25">
      <c r="A1202">
        <v>125</v>
      </c>
      <c r="B1202" t="s">
        <v>257</v>
      </c>
      <c r="C1202">
        <v>7</v>
      </c>
      <c r="D1202">
        <v>0</v>
      </c>
      <c r="E1202">
        <v>0</v>
      </c>
      <c r="F1202">
        <v>100.98</v>
      </c>
      <c r="G1202">
        <v>56561.09</v>
      </c>
      <c r="H1202" s="14">
        <v>43767.833333333336</v>
      </c>
    </row>
    <row r="1203" spans="1:8" x14ac:dyDescent="0.25">
      <c r="A1203">
        <v>125</v>
      </c>
      <c r="B1203" t="s">
        <v>257</v>
      </c>
      <c r="C1203">
        <v>8</v>
      </c>
      <c r="D1203">
        <v>0</v>
      </c>
      <c r="E1203">
        <v>0</v>
      </c>
      <c r="F1203">
        <v>90.96</v>
      </c>
      <c r="G1203">
        <v>39187.699999999997</v>
      </c>
      <c r="H1203" s="14">
        <v>43767.833333333336</v>
      </c>
    </row>
    <row r="1204" spans="1:8" x14ac:dyDescent="0.25">
      <c r="A1204">
        <v>125</v>
      </c>
      <c r="B1204" t="s">
        <v>257</v>
      </c>
      <c r="C1204">
        <v>9</v>
      </c>
      <c r="D1204">
        <v>0</v>
      </c>
      <c r="E1204">
        <v>0</v>
      </c>
      <c r="F1204">
        <v>104.46</v>
      </c>
      <c r="G1204">
        <v>51384.58</v>
      </c>
      <c r="H1204" s="14">
        <v>43767.833333333336</v>
      </c>
    </row>
    <row r="1205" spans="1:8" x14ac:dyDescent="0.25">
      <c r="A1205">
        <v>125</v>
      </c>
      <c r="B1205" t="s">
        <v>257</v>
      </c>
      <c r="C1205">
        <v>10</v>
      </c>
      <c r="D1205">
        <v>0</v>
      </c>
      <c r="E1205">
        <v>0</v>
      </c>
      <c r="F1205">
        <v>95.01</v>
      </c>
      <c r="G1205">
        <v>53717.38</v>
      </c>
      <c r="H1205" s="14">
        <v>43767.833333333336</v>
      </c>
    </row>
    <row r="1206" spans="1:8" x14ac:dyDescent="0.25">
      <c r="A1206">
        <v>125</v>
      </c>
      <c r="B1206" t="s">
        <v>257</v>
      </c>
      <c r="C1206">
        <v>11</v>
      </c>
      <c r="D1206">
        <v>0</v>
      </c>
      <c r="E1206">
        <v>0</v>
      </c>
      <c r="F1206">
        <v>65.97</v>
      </c>
      <c r="G1206">
        <v>30429.25</v>
      </c>
      <c r="H1206" s="14">
        <v>43767.833333333336</v>
      </c>
    </row>
    <row r="1207" spans="1:8" x14ac:dyDescent="0.25">
      <c r="A1207">
        <v>126</v>
      </c>
      <c r="B1207" t="s">
        <v>258</v>
      </c>
      <c r="C1207">
        <v>1</v>
      </c>
      <c r="D1207">
        <v>0</v>
      </c>
      <c r="E1207">
        <v>0</v>
      </c>
      <c r="F1207">
        <v>120.8</v>
      </c>
      <c r="G1207">
        <v>59817.83</v>
      </c>
      <c r="H1207" s="14">
        <v>43767.833333333336</v>
      </c>
    </row>
    <row r="1208" spans="1:8" x14ac:dyDescent="0.25">
      <c r="A1208">
        <v>126</v>
      </c>
      <c r="B1208" t="s">
        <v>258</v>
      </c>
      <c r="C1208">
        <v>2</v>
      </c>
      <c r="D1208">
        <v>0</v>
      </c>
      <c r="E1208">
        <v>0</v>
      </c>
      <c r="F1208">
        <v>120.08</v>
      </c>
      <c r="G1208">
        <v>59689.919999999998</v>
      </c>
      <c r="H1208" s="14">
        <v>43767.833333333336</v>
      </c>
    </row>
    <row r="1209" spans="1:8" x14ac:dyDescent="0.25">
      <c r="A1209">
        <v>126</v>
      </c>
      <c r="B1209" t="s">
        <v>258</v>
      </c>
      <c r="C1209">
        <v>3</v>
      </c>
      <c r="D1209">
        <v>0</v>
      </c>
      <c r="E1209">
        <v>0</v>
      </c>
      <c r="F1209">
        <v>121.97</v>
      </c>
      <c r="G1209">
        <v>60185.33</v>
      </c>
      <c r="H1209" s="14">
        <v>43767.833333333336</v>
      </c>
    </row>
    <row r="1210" spans="1:8" x14ac:dyDescent="0.25">
      <c r="A1210">
        <v>126</v>
      </c>
      <c r="B1210" t="s">
        <v>258</v>
      </c>
      <c r="C1210">
        <v>4</v>
      </c>
      <c r="D1210">
        <v>0</v>
      </c>
      <c r="E1210">
        <v>0</v>
      </c>
      <c r="F1210">
        <v>115.09</v>
      </c>
      <c r="G1210">
        <v>58548.160000000003</v>
      </c>
      <c r="H1210" s="14">
        <v>43767.833333333336</v>
      </c>
    </row>
    <row r="1211" spans="1:8" x14ac:dyDescent="0.25">
      <c r="A1211">
        <v>126</v>
      </c>
      <c r="B1211" t="s">
        <v>258</v>
      </c>
      <c r="C1211">
        <v>5</v>
      </c>
      <c r="D1211">
        <v>0</v>
      </c>
      <c r="E1211">
        <v>0</v>
      </c>
      <c r="F1211">
        <v>134.37</v>
      </c>
      <c r="G1211">
        <v>62802.34</v>
      </c>
      <c r="H1211" s="14">
        <v>43767.833333333336</v>
      </c>
    </row>
    <row r="1212" spans="1:8" x14ac:dyDescent="0.25">
      <c r="A1212">
        <v>126</v>
      </c>
      <c r="B1212" t="s">
        <v>258</v>
      </c>
      <c r="C1212">
        <v>6</v>
      </c>
      <c r="D1212">
        <v>0</v>
      </c>
      <c r="E1212">
        <v>0</v>
      </c>
      <c r="F1212">
        <v>124.01</v>
      </c>
      <c r="G1212">
        <v>60647.31</v>
      </c>
      <c r="H1212" s="14">
        <v>43767.833333333336</v>
      </c>
    </row>
    <row r="1213" spans="1:8" x14ac:dyDescent="0.25">
      <c r="A1213">
        <v>126</v>
      </c>
      <c r="B1213" t="s">
        <v>258</v>
      </c>
      <c r="C1213">
        <v>7</v>
      </c>
      <c r="D1213">
        <v>0</v>
      </c>
      <c r="E1213">
        <v>0</v>
      </c>
      <c r="F1213">
        <v>127.95</v>
      </c>
      <c r="G1213">
        <v>58022.21</v>
      </c>
      <c r="H1213" s="14">
        <v>43767.833333333336</v>
      </c>
    </row>
    <row r="1214" spans="1:8" x14ac:dyDescent="0.25">
      <c r="A1214">
        <v>126</v>
      </c>
      <c r="B1214" t="s">
        <v>258</v>
      </c>
      <c r="C1214">
        <v>8</v>
      </c>
      <c r="D1214">
        <v>0</v>
      </c>
      <c r="E1214">
        <v>0</v>
      </c>
      <c r="F1214">
        <v>125.18</v>
      </c>
      <c r="G1214">
        <v>56947.19</v>
      </c>
      <c r="H1214" s="14">
        <v>43767.833333333336</v>
      </c>
    </row>
    <row r="1215" spans="1:8" x14ac:dyDescent="0.25">
      <c r="A1215">
        <v>126</v>
      </c>
      <c r="B1215" t="s">
        <v>258</v>
      </c>
      <c r="C1215">
        <v>9</v>
      </c>
      <c r="D1215">
        <v>0</v>
      </c>
      <c r="E1215">
        <v>0</v>
      </c>
      <c r="F1215">
        <v>82.49</v>
      </c>
      <c r="G1215">
        <v>50052.25</v>
      </c>
      <c r="H1215" s="14">
        <v>43767.833333333336</v>
      </c>
    </row>
    <row r="1216" spans="1:8" x14ac:dyDescent="0.25">
      <c r="A1216">
        <v>126</v>
      </c>
      <c r="B1216" t="s">
        <v>258</v>
      </c>
      <c r="C1216">
        <v>10</v>
      </c>
      <c r="D1216">
        <v>0</v>
      </c>
      <c r="E1216">
        <v>0</v>
      </c>
      <c r="F1216">
        <v>91.14</v>
      </c>
      <c r="G1216">
        <v>51864.160000000003</v>
      </c>
      <c r="H1216" s="14">
        <v>43767.833333333336</v>
      </c>
    </row>
    <row r="1217" spans="1:8" x14ac:dyDescent="0.25">
      <c r="A1217">
        <v>126</v>
      </c>
      <c r="B1217" t="s">
        <v>258</v>
      </c>
      <c r="C1217">
        <v>11</v>
      </c>
      <c r="D1217">
        <v>0</v>
      </c>
      <c r="E1217">
        <v>0</v>
      </c>
      <c r="F1217">
        <v>114.95</v>
      </c>
      <c r="G1217">
        <v>55854.97</v>
      </c>
      <c r="H1217" s="14">
        <v>43767.833333333336</v>
      </c>
    </row>
    <row r="1218" spans="1:8" x14ac:dyDescent="0.25">
      <c r="A1218">
        <v>126</v>
      </c>
      <c r="B1218" t="s">
        <v>258</v>
      </c>
      <c r="C1218">
        <v>12</v>
      </c>
      <c r="D1218">
        <v>0</v>
      </c>
      <c r="E1218">
        <v>0</v>
      </c>
      <c r="F1218">
        <v>131.72</v>
      </c>
      <c r="G1218">
        <v>63074.81</v>
      </c>
      <c r="H1218" s="14">
        <v>43767.833333333336</v>
      </c>
    </row>
    <row r="1219" spans="1:8" x14ac:dyDescent="0.25">
      <c r="A1219">
        <v>126</v>
      </c>
      <c r="B1219" t="s">
        <v>258</v>
      </c>
      <c r="C1219">
        <v>13</v>
      </c>
      <c r="D1219">
        <v>0</v>
      </c>
      <c r="E1219">
        <v>0</v>
      </c>
      <c r="F1219">
        <v>123.36</v>
      </c>
      <c r="G1219">
        <v>54812.15</v>
      </c>
      <c r="H1219" s="14">
        <v>43767.833333333336</v>
      </c>
    </row>
    <row r="1220" spans="1:8" x14ac:dyDescent="0.25">
      <c r="A1220">
        <v>126</v>
      </c>
      <c r="B1220" t="s">
        <v>258</v>
      </c>
      <c r="C1220">
        <v>14</v>
      </c>
      <c r="D1220">
        <v>0</v>
      </c>
      <c r="E1220">
        <v>0</v>
      </c>
      <c r="F1220">
        <v>93.13</v>
      </c>
      <c r="G1220">
        <v>40621.64</v>
      </c>
      <c r="H1220" s="14">
        <v>43767.833333333336</v>
      </c>
    </row>
    <row r="1221" spans="1:8" x14ac:dyDescent="0.25">
      <c r="A1221">
        <v>126</v>
      </c>
      <c r="B1221" t="s">
        <v>258</v>
      </c>
      <c r="C1221">
        <v>15</v>
      </c>
      <c r="D1221">
        <v>0</v>
      </c>
      <c r="E1221">
        <v>0</v>
      </c>
      <c r="F1221">
        <v>78.569999999999993</v>
      </c>
      <c r="G1221">
        <v>32473.37</v>
      </c>
      <c r="H1221" s="14">
        <v>43767.833333333336</v>
      </c>
    </row>
    <row r="1222" spans="1:8" x14ac:dyDescent="0.25">
      <c r="A1222">
        <v>127</v>
      </c>
      <c r="B1222" t="s">
        <v>259</v>
      </c>
      <c r="C1222">
        <v>1</v>
      </c>
      <c r="D1222">
        <v>0</v>
      </c>
      <c r="E1222">
        <v>0</v>
      </c>
      <c r="F1222">
        <v>145.97</v>
      </c>
      <c r="G1222">
        <v>66220.78</v>
      </c>
      <c r="H1222" s="14">
        <v>43767.833333333336</v>
      </c>
    </row>
    <row r="1223" spans="1:8" x14ac:dyDescent="0.25">
      <c r="A1223">
        <v>127</v>
      </c>
      <c r="B1223" t="s">
        <v>259</v>
      </c>
      <c r="C1223">
        <v>2</v>
      </c>
      <c r="D1223">
        <v>0</v>
      </c>
      <c r="E1223">
        <v>0</v>
      </c>
      <c r="F1223">
        <v>149.59</v>
      </c>
      <c r="G1223">
        <v>16828.919999999998</v>
      </c>
      <c r="H1223" s="14">
        <v>43767.833333333336</v>
      </c>
    </row>
    <row r="1224" spans="1:8" x14ac:dyDescent="0.25">
      <c r="A1224">
        <v>127</v>
      </c>
      <c r="B1224" t="s">
        <v>259</v>
      </c>
      <c r="C1224">
        <v>3</v>
      </c>
      <c r="D1224">
        <v>0</v>
      </c>
      <c r="E1224">
        <v>0</v>
      </c>
      <c r="F1224">
        <v>47.39</v>
      </c>
      <c r="G1224">
        <v>2817.72</v>
      </c>
      <c r="H1224" s="14">
        <v>43767.833333333336</v>
      </c>
    </row>
    <row r="1225" spans="1:8" x14ac:dyDescent="0.25">
      <c r="A1225">
        <v>127</v>
      </c>
      <c r="B1225" t="s">
        <v>259</v>
      </c>
      <c r="C1225">
        <v>4</v>
      </c>
      <c r="D1225">
        <v>0</v>
      </c>
      <c r="E1225">
        <v>0</v>
      </c>
      <c r="F1225">
        <v>115.78</v>
      </c>
      <c r="G1225">
        <v>60660.31</v>
      </c>
      <c r="H1225" s="14">
        <v>43767.833333333336</v>
      </c>
    </row>
    <row r="1226" spans="1:8" x14ac:dyDescent="0.25">
      <c r="A1226">
        <v>127</v>
      </c>
      <c r="B1226" t="s">
        <v>259</v>
      </c>
      <c r="C1226">
        <v>5</v>
      </c>
      <c r="D1226">
        <v>0</v>
      </c>
      <c r="E1226">
        <v>0</v>
      </c>
      <c r="F1226">
        <v>149.94999999999999</v>
      </c>
      <c r="G1226">
        <v>66310.899999999994</v>
      </c>
      <c r="H1226" s="14">
        <v>43767.833333333336</v>
      </c>
    </row>
    <row r="1227" spans="1:8" x14ac:dyDescent="0.25">
      <c r="A1227">
        <v>127</v>
      </c>
      <c r="B1227" t="s">
        <v>259</v>
      </c>
      <c r="C1227">
        <v>6</v>
      </c>
      <c r="D1227">
        <v>0</v>
      </c>
      <c r="E1227">
        <v>0</v>
      </c>
      <c r="F1227">
        <v>151.87</v>
      </c>
      <c r="G1227">
        <v>67317.570000000007</v>
      </c>
      <c r="H1227" s="14">
        <v>43767.833333333336</v>
      </c>
    </row>
    <row r="1228" spans="1:8" x14ac:dyDescent="0.25">
      <c r="A1228">
        <v>127</v>
      </c>
      <c r="B1228" t="s">
        <v>259</v>
      </c>
      <c r="C1228">
        <v>7</v>
      </c>
      <c r="D1228">
        <v>0</v>
      </c>
      <c r="E1228">
        <v>0</v>
      </c>
      <c r="F1228">
        <v>109.09</v>
      </c>
      <c r="G1228">
        <v>59326.61</v>
      </c>
      <c r="H1228" s="14">
        <v>43767.833333333336</v>
      </c>
    </row>
    <row r="1229" spans="1:8" x14ac:dyDescent="0.25">
      <c r="A1229">
        <v>127</v>
      </c>
      <c r="B1229" t="s">
        <v>259</v>
      </c>
      <c r="C1229">
        <v>8</v>
      </c>
      <c r="D1229">
        <v>0</v>
      </c>
      <c r="E1229">
        <v>0</v>
      </c>
      <c r="F1229">
        <v>108.36</v>
      </c>
      <c r="G1229">
        <v>58559.21</v>
      </c>
      <c r="H1229" s="14">
        <v>43767.833333333336</v>
      </c>
    </row>
    <row r="1230" spans="1:8" x14ac:dyDescent="0.25">
      <c r="A1230">
        <v>127</v>
      </c>
      <c r="B1230" t="s">
        <v>259</v>
      </c>
      <c r="C1230">
        <v>9</v>
      </c>
      <c r="D1230">
        <v>0</v>
      </c>
      <c r="E1230">
        <v>0</v>
      </c>
      <c r="F1230">
        <v>146.12</v>
      </c>
      <c r="G1230">
        <v>65802.41</v>
      </c>
      <c r="H1230" s="14">
        <v>43767.833333333336</v>
      </c>
    </row>
    <row r="1231" spans="1:8" x14ac:dyDescent="0.25">
      <c r="A1231">
        <v>127</v>
      </c>
      <c r="B1231" t="s">
        <v>259</v>
      </c>
      <c r="C1231">
        <v>10</v>
      </c>
      <c r="D1231">
        <v>0</v>
      </c>
      <c r="E1231">
        <v>0</v>
      </c>
      <c r="F1231">
        <v>141.75</v>
      </c>
      <c r="G1231">
        <v>65135.38</v>
      </c>
      <c r="H1231" s="14">
        <v>43767.833333333336</v>
      </c>
    </row>
    <row r="1232" spans="1:8" x14ac:dyDescent="0.25">
      <c r="A1232">
        <v>127</v>
      </c>
      <c r="B1232" t="s">
        <v>259</v>
      </c>
      <c r="C1232">
        <v>11</v>
      </c>
      <c r="D1232">
        <v>0</v>
      </c>
      <c r="E1232">
        <v>0</v>
      </c>
      <c r="F1232">
        <v>112.41</v>
      </c>
      <c r="G1232">
        <v>59082.21</v>
      </c>
      <c r="H1232" s="14">
        <v>43767.833333333336</v>
      </c>
    </row>
    <row r="1233" spans="1:8" x14ac:dyDescent="0.25">
      <c r="A1233">
        <v>127</v>
      </c>
      <c r="B1233" t="s">
        <v>259</v>
      </c>
      <c r="C1233">
        <v>12</v>
      </c>
      <c r="D1233">
        <v>0</v>
      </c>
      <c r="E1233">
        <v>0</v>
      </c>
      <c r="F1233">
        <v>103.12</v>
      </c>
      <c r="G1233">
        <v>53273.919999999998</v>
      </c>
      <c r="H1233" s="14">
        <v>43767.833333333336</v>
      </c>
    </row>
    <row r="1234" spans="1:8" x14ac:dyDescent="0.25">
      <c r="A1234">
        <v>127</v>
      </c>
      <c r="B1234" t="s">
        <v>259</v>
      </c>
      <c r="C1234">
        <v>13</v>
      </c>
      <c r="D1234">
        <v>0</v>
      </c>
      <c r="E1234">
        <v>0</v>
      </c>
      <c r="F1234">
        <v>97.42</v>
      </c>
      <c r="G1234">
        <v>42221.599999999999</v>
      </c>
      <c r="H1234" s="14">
        <v>43767.833333333336</v>
      </c>
    </row>
    <row r="1235" spans="1:8" x14ac:dyDescent="0.25">
      <c r="A1235">
        <v>127</v>
      </c>
      <c r="B1235" t="s">
        <v>259</v>
      </c>
      <c r="C1235">
        <v>14</v>
      </c>
      <c r="D1235">
        <v>0</v>
      </c>
      <c r="E1235">
        <v>0</v>
      </c>
      <c r="F1235">
        <v>72.91</v>
      </c>
      <c r="G1235">
        <v>37841.160000000003</v>
      </c>
      <c r="H1235" s="14">
        <v>43767.833333333336</v>
      </c>
    </row>
    <row r="1236" spans="1:8" x14ac:dyDescent="0.25">
      <c r="A1236">
        <v>128</v>
      </c>
      <c r="B1236" t="s">
        <v>261</v>
      </c>
      <c r="C1236">
        <v>1</v>
      </c>
      <c r="D1236">
        <v>0</v>
      </c>
      <c r="E1236">
        <v>0</v>
      </c>
      <c r="F1236">
        <v>120.09</v>
      </c>
      <c r="G1236">
        <v>60840.35</v>
      </c>
      <c r="H1236" s="14">
        <v>43767.833333333336</v>
      </c>
    </row>
    <row r="1237" spans="1:8" x14ac:dyDescent="0.25">
      <c r="A1237">
        <v>128</v>
      </c>
      <c r="B1237" t="s">
        <v>261</v>
      </c>
      <c r="C1237">
        <v>2</v>
      </c>
      <c r="D1237">
        <v>0</v>
      </c>
      <c r="E1237">
        <v>0</v>
      </c>
      <c r="F1237">
        <v>122.97</v>
      </c>
      <c r="G1237">
        <v>62220.75</v>
      </c>
      <c r="H1237" s="14">
        <v>43767.833333333336</v>
      </c>
    </row>
    <row r="1238" spans="1:8" x14ac:dyDescent="0.25">
      <c r="A1238">
        <v>128</v>
      </c>
      <c r="B1238" t="s">
        <v>261</v>
      </c>
      <c r="C1238">
        <v>3</v>
      </c>
      <c r="D1238">
        <v>0</v>
      </c>
      <c r="E1238">
        <v>0</v>
      </c>
      <c r="F1238">
        <v>120.43</v>
      </c>
      <c r="G1238">
        <v>61514.09</v>
      </c>
      <c r="H1238" s="14">
        <v>43767.833333333336</v>
      </c>
    </row>
    <row r="1239" spans="1:8" x14ac:dyDescent="0.25">
      <c r="A1239">
        <v>128</v>
      </c>
      <c r="B1239" t="s">
        <v>261</v>
      </c>
      <c r="C1239">
        <v>4</v>
      </c>
      <c r="D1239">
        <v>0</v>
      </c>
      <c r="E1239">
        <v>0</v>
      </c>
      <c r="F1239">
        <v>131.36000000000001</v>
      </c>
      <c r="G1239">
        <v>66800.160000000003</v>
      </c>
      <c r="H1239" s="14">
        <v>43767.833333333336</v>
      </c>
    </row>
    <row r="1240" spans="1:8" x14ac:dyDescent="0.25">
      <c r="A1240">
        <v>128</v>
      </c>
      <c r="B1240" t="s">
        <v>261</v>
      </c>
      <c r="C1240">
        <v>5</v>
      </c>
      <c r="D1240">
        <v>0</v>
      </c>
      <c r="E1240">
        <v>0</v>
      </c>
      <c r="F1240">
        <v>141.88999999999999</v>
      </c>
      <c r="G1240">
        <v>65680.22</v>
      </c>
      <c r="H1240" s="14">
        <v>43767.833333333336</v>
      </c>
    </row>
    <row r="1241" spans="1:8" x14ac:dyDescent="0.25">
      <c r="A1241">
        <v>128</v>
      </c>
      <c r="B1241" t="s">
        <v>261</v>
      </c>
      <c r="C1241">
        <v>6</v>
      </c>
      <c r="D1241">
        <v>0</v>
      </c>
      <c r="E1241">
        <v>0</v>
      </c>
      <c r="F1241">
        <v>141.37</v>
      </c>
      <c r="G1241">
        <v>65931.210000000006</v>
      </c>
      <c r="H1241" s="14">
        <v>43767.833333333336</v>
      </c>
    </row>
    <row r="1242" spans="1:8" x14ac:dyDescent="0.25">
      <c r="A1242">
        <v>128</v>
      </c>
      <c r="B1242" t="s">
        <v>261</v>
      </c>
      <c r="C1242">
        <v>7</v>
      </c>
      <c r="D1242">
        <v>0</v>
      </c>
      <c r="E1242">
        <v>0</v>
      </c>
      <c r="F1242">
        <v>118.63</v>
      </c>
      <c r="G1242">
        <v>64056.98</v>
      </c>
      <c r="H1242" s="14">
        <v>43767.833333333336</v>
      </c>
    </row>
    <row r="1243" spans="1:8" x14ac:dyDescent="0.25">
      <c r="A1243">
        <v>128</v>
      </c>
      <c r="B1243" t="s">
        <v>261</v>
      </c>
      <c r="C1243">
        <v>8</v>
      </c>
      <c r="D1243">
        <v>0</v>
      </c>
      <c r="E1243">
        <v>0</v>
      </c>
      <c r="F1243">
        <v>129.09</v>
      </c>
      <c r="G1243">
        <v>60375.98</v>
      </c>
      <c r="H1243" s="14">
        <v>43767.833333333336</v>
      </c>
    </row>
    <row r="1244" spans="1:8" x14ac:dyDescent="0.25">
      <c r="A1244">
        <v>128</v>
      </c>
      <c r="B1244" t="s">
        <v>261</v>
      </c>
      <c r="C1244">
        <v>9</v>
      </c>
      <c r="D1244">
        <v>0</v>
      </c>
      <c r="E1244">
        <v>0</v>
      </c>
      <c r="F1244">
        <v>76.180000000000007</v>
      </c>
      <c r="G1244">
        <v>35421.120000000003</v>
      </c>
      <c r="H1244" s="14">
        <v>43767.833333333336</v>
      </c>
    </row>
    <row r="1245" spans="1:8" x14ac:dyDescent="0.25">
      <c r="A1245">
        <v>128</v>
      </c>
      <c r="B1245" t="s">
        <v>261</v>
      </c>
      <c r="C1245">
        <v>10</v>
      </c>
      <c r="D1245">
        <v>0</v>
      </c>
      <c r="E1245">
        <v>0</v>
      </c>
      <c r="F1245">
        <v>69.069999999999993</v>
      </c>
      <c r="G1245">
        <v>35120.85</v>
      </c>
      <c r="H1245" s="14">
        <v>43767.833333333336</v>
      </c>
    </row>
    <row r="1246" spans="1:8" x14ac:dyDescent="0.25">
      <c r="A1246">
        <v>128</v>
      </c>
      <c r="B1246" t="s">
        <v>261</v>
      </c>
      <c r="C1246">
        <v>11</v>
      </c>
      <c r="D1246">
        <v>0</v>
      </c>
      <c r="E1246">
        <v>0</v>
      </c>
      <c r="F1246">
        <v>69.59</v>
      </c>
      <c r="G1246">
        <v>35853.370000000003</v>
      </c>
      <c r="H1246" s="14">
        <v>43767.833333333336</v>
      </c>
    </row>
    <row r="1247" spans="1:8" x14ac:dyDescent="0.25">
      <c r="A1247">
        <v>128</v>
      </c>
      <c r="B1247" t="s">
        <v>261</v>
      </c>
      <c r="C1247">
        <v>12</v>
      </c>
      <c r="D1247">
        <v>0</v>
      </c>
      <c r="E1247">
        <v>0</v>
      </c>
      <c r="F1247">
        <v>63.37</v>
      </c>
      <c r="G1247">
        <v>32933.599999999999</v>
      </c>
      <c r="H1247" s="14">
        <v>43767.833333333336</v>
      </c>
    </row>
    <row r="1248" spans="1:8" x14ac:dyDescent="0.25">
      <c r="A1248">
        <v>128</v>
      </c>
      <c r="B1248" t="s">
        <v>261</v>
      </c>
      <c r="C1248">
        <v>13</v>
      </c>
      <c r="D1248">
        <v>0</v>
      </c>
      <c r="E1248">
        <v>0</v>
      </c>
      <c r="F1248">
        <v>105.16</v>
      </c>
      <c r="G1248">
        <v>54425.55</v>
      </c>
      <c r="H1248" s="14">
        <v>43767.833333333336</v>
      </c>
    </row>
    <row r="1249" spans="1:8" x14ac:dyDescent="0.25">
      <c r="A1249">
        <v>128</v>
      </c>
      <c r="B1249" t="s">
        <v>261</v>
      </c>
      <c r="C1249">
        <v>14</v>
      </c>
      <c r="D1249">
        <v>0</v>
      </c>
      <c r="E1249">
        <v>0</v>
      </c>
      <c r="F1249">
        <v>129.80000000000001</v>
      </c>
      <c r="G1249">
        <v>59653.03</v>
      </c>
      <c r="H1249" s="14">
        <v>43767.833333333336</v>
      </c>
    </row>
    <row r="1250" spans="1:8" x14ac:dyDescent="0.25">
      <c r="A1250">
        <v>128</v>
      </c>
      <c r="B1250" t="s">
        <v>261</v>
      </c>
      <c r="C1250">
        <v>15</v>
      </c>
      <c r="D1250">
        <v>0</v>
      </c>
      <c r="E1250">
        <v>0</v>
      </c>
      <c r="F1250">
        <v>135.16999999999999</v>
      </c>
      <c r="G1250">
        <v>62321.96</v>
      </c>
      <c r="H1250" s="14">
        <v>43767.833333333336</v>
      </c>
    </row>
    <row r="1251" spans="1:8" x14ac:dyDescent="0.25">
      <c r="A1251">
        <v>128</v>
      </c>
      <c r="B1251" t="s">
        <v>261</v>
      </c>
      <c r="C1251">
        <v>16</v>
      </c>
      <c r="D1251">
        <v>0</v>
      </c>
      <c r="E1251">
        <v>0</v>
      </c>
      <c r="F1251">
        <v>79.37</v>
      </c>
      <c r="G1251">
        <v>39839.449999999997</v>
      </c>
      <c r="H1251" s="14">
        <v>43767.833333333336</v>
      </c>
    </row>
    <row r="1252" spans="1:8" x14ac:dyDescent="0.25">
      <c r="A1252">
        <v>129</v>
      </c>
      <c r="B1252" t="s">
        <v>262</v>
      </c>
      <c r="C1252">
        <v>1</v>
      </c>
      <c r="D1252">
        <v>0</v>
      </c>
      <c r="E1252">
        <v>0</v>
      </c>
      <c r="F1252">
        <v>19.190000000000001</v>
      </c>
      <c r="G1252">
        <v>10948.31</v>
      </c>
      <c r="H1252" s="14">
        <v>43767.833333333336</v>
      </c>
    </row>
    <row r="1253" spans="1:8" x14ac:dyDescent="0.25">
      <c r="A1253">
        <v>129</v>
      </c>
      <c r="B1253" t="s">
        <v>262</v>
      </c>
      <c r="C1253">
        <v>2</v>
      </c>
      <c r="D1253">
        <v>0</v>
      </c>
      <c r="E1253">
        <v>0</v>
      </c>
      <c r="F1253">
        <v>20.83</v>
      </c>
      <c r="G1253">
        <v>11539.91</v>
      </c>
      <c r="H1253" s="14">
        <v>43767.833333333336</v>
      </c>
    </row>
    <row r="1254" spans="1:8" x14ac:dyDescent="0.25">
      <c r="A1254">
        <v>129</v>
      </c>
      <c r="B1254" t="s">
        <v>262</v>
      </c>
      <c r="C1254">
        <v>3</v>
      </c>
      <c r="D1254">
        <v>0</v>
      </c>
      <c r="E1254">
        <v>0</v>
      </c>
      <c r="F1254">
        <v>17.07</v>
      </c>
      <c r="G1254">
        <v>11447.22</v>
      </c>
      <c r="H1254" s="14">
        <v>43767.833333333336</v>
      </c>
    </row>
    <row r="1255" spans="1:8" x14ac:dyDescent="0.25">
      <c r="A1255">
        <v>130</v>
      </c>
      <c r="B1255" t="s">
        <v>263</v>
      </c>
      <c r="C1255">
        <v>1</v>
      </c>
      <c r="D1255">
        <v>0</v>
      </c>
      <c r="E1255">
        <v>0</v>
      </c>
      <c r="F1255">
        <v>11.9</v>
      </c>
      <c r="G1255">
        <v>7881.67</v>
      </c>
      <c r="H1255" s="14">
        <v>43767.833333333336</v>
      </c>
    </row>
    <row r="1256" spans="1:8" x14ac:dyDescent="0.25">
      <c r="A1256">
        <v>130</v>
      </c>
      <c r="B1256" t="s">
        <v>263</v>
      </c>
      <c r="C1256">
        <v>2</v>
      </c>
      <c r="D1256">
        <v>0</v>
      </c>
      <c r="E1256">
        <v>0</v>
      </c>
      <c r="F1256">
        <v>13.23</v>
      </c>
      <c r="G1256">
        <v>8274.1299999999992</v>
      </c>
      <c r="H1256" s="14">
        <v>43767.833333333336</v>
      </c>
    </row>
    <row r="1257" spans="1:8" x14ac:dyDescent="0.25">
      <c r="A1257">
        <v>130</v>
      </c>
      <c r="B1257" t="s">
        <v>263</v>
      </c>
      <c r="C1257">
        <v>3</v>
      </c>
      <c r="D1257">
        <v>0</v>
      </c>
      <c r="E1257">
        <v>0</v>
      </c>
      <c r="F1257">
        <v>13.12</v>
      </c>
      <c r="G1257">
        <v>8303.34</v>
      </c>
      <c r="H1257" s="14">
        <v>43767.833333333336</v>
      </c>
    </row>
    <row r="1258" spans="1:8" x14ac:dyDescent="0.25">
      <c r="A1258">
        <v>132</v>
      </c>
      <c r="B1258" t="s">
        <v>264</v>
      </c>
      <c r="C1258">
        <v>1</v>
      </c>
      <c r="D1258">
        <v>0</v>
      </c>
      <c r="E1258">
        <v>0</v>
      </c>
      <c r="F1258">
        <v>58.53</v>
      </c>
      <c r="G1258">
        <v>45432.31</v>
      </c>
      <c r="H1258" s="14">
        <v>43767.833333333336</v>
      </c>
    </row>
    <row r="1259" spans="1:8" x14ac:dyDescent="0.25">
      <c r="A1259">
        <v>132</v>
      </c>
      <c r="B1259" t="s">
        <v>264</v>
      </c>
      <c r="C1259">
        <v>2</v>
      </c>
      <c r="D1259">
        <v>0</v>
      </c>
      <c r="E1259">
        <v>0</v>
      </c>
      <c r="F1259">
        <v>58.08</v>
      </c>
      <c r="G1259">
        <v>41944.72</v>
      </c>
      <c r="H1259" s="14">
        <v>43767.833333333336</v>
      </c>
    </row>
    <row r="1260" spans="1:8" x14ac:dyDescent="0.25">
      <c r="A1260">
        <v>133</v>
      </c>
      <c r="B1260" t="s">
        <v>266</v>
      </c>
      <c r="C1260">
        <v>1</v>
      </c>
      <c r="D1260">
        <v>0</v>
      </c>
      <c r="E1260">
        <v>0</v>
      </c>
      <c r="F1260">
        <v>21.45</v>
      </c>
      <c r="G1260">
        <v>10144.76</v>
      </c>
      <c r="H1260" s="14">
        <v>43767.833333333336</v>
      </c>
    </row>
    <row r="1261" spans="1:8" x14ac:dyDescent="0.25">
      <c r="A1261">
        <v>133</v>
      </c>
      <c r="B1261" t="s">
        <v>266</v>
      </c>
      <c r="C1261">
        <v>2</v>
      </c>
      <c r="D1261">
        <v>0</v>
      </c>
      <c r="E1261">
        <v>0</v>
      </c>
      <c r="F1261">
        <v>20.149999999999999</v>
      </c>
      <c r="G1261">
        <v>10355.69</v>
      </c>
      <c r="H1261" s="14">
        <v>43767.833333333336</v>
      </c>
    </row>
    <row r="1262" spans="1:8" x14ac:dyDescent="0.25">
      <c r="A1262">
        <v>133</v>
      </c>
      <c r="B1262" t="s">
        <v>266</v>
      </c>
      <c r="C1262">
        <v>3</v>
      </c>
      <c r="D1262">
        <v>0</v>
      </c>
      <c r="E1262">
        <v>0</v>
      </c>
      <c r="F1262">
        <v>22.21</v>
      </c>
      <c r="G1262">
        <v>10903.54</v>
      </c>
      <c r="H1262" s="14">
        <v>43767.833333333336</v>
      </c>
    </row>
    <row r="1263" spans="1:8" x14ac:dyDescent="0.25">
      <c r="A1263">
        <v>133</v>
      </c>
      <c r="B1263" t="s">
        <v>266</v>
      </c>
      <c r="C1263">
        <v>4</v>
      </c>
      <c r="D1263">
        <v>0</v>
      </c>
      <c r="E1263">
        <v>0</v>
      </c>
      <c r="F1263">
        <v>22.66</v>
      </c>
      <c r="G1263">
        <v>10982.9</v>
      </c>
      <c r="H1263" s="14">
        <v>43767.833333333336</v>
      </c>
    </row>
    <row r="1264" spans="1:8" x14ac:dyDescent="0.25">
      <c r="A1264">
        <v>133</v>
      </c>
      <c r="B1264" t="s">
        <v>266</v>
      </c>
      <c r="C1264">
        <v>5</v>
      </c>
      <c r="D1264">
        <v>0</v>
      </c>
      <c r="E1264">
        <v>0</v>
      </c>
      <c r="F1264">
        <v>22.26</v>
      </c>
      <c r="G1264">
        <v>10917.72</v>
      </c>
      <c r="H1264" s="14">
        <v>43767.833333333336</v>
      </c>
    </row>
    <row r="1265" spans="1:8" x14ac:dyDescent="0.25">
      <c r="A1265">
        <v>133</v>
      </c>
      <c r="B1265" t="s">
        <v>266</v>
      </c>
      <c r="C1265">
        <v>6</v>
      </c>
      <c r="D1265">
        <v>0</v>
      </c>
      <c r="E1265">
        <v>0</v>
      </c>
      <c r="F1265">
        <v>22.83</v>
      </c>
      <c r="G1265">
        <v>11161.32</v>
      </c>
      <c r="H1265" s="14">
        <v>43767.833333333336</v>
      </c>
    </row>
    <row r="1266" spans="1:8" x14ac:dyDescent="0.25">
      <c r="A1266">
        <v>133</v>
      </c>
      <c r="B1266" t="s">
        <v>266</v>
      </c>
      <c r="C1266">
        <v>7</v>
      </c>
      <c r="D1266">
        <v>0</v>
      </c>
      <c r="E1266">
        <v>0</v>
      </c>
      <c r="F1266">
        <v>23.96</v>
      </c>
      <c r="G1266">
        <v>11280.59</v>
      </c>
      <c r="H1266" s="14">
        <v>43767.833333333336</v>
      </c>
    </row>
    <row r="1267" spans="1:8" x14ac:dyDescent="0.25">
      <c r="A1267">
        <v>133</v>
      </c>
      <c r="B1267" t="s">
        <v>266</v>
      </c>
      <c r="C1267">
        <v>8</v>
      </c>
      <c r="D1267">
        <v>0</v>
      </c>
      <c r="E1267">
        <v>0</v>
      </c>
      <c r="F1267">
        <v>24.38</v>
      </c>
      <c r="G1267">
        <v>11422.71</v>
      </c>
      <c r="H1267" s="14">
        <v>43767.833333333336</v>
      </c>
    </row>
    <row r="1268" spans="1:8" x14ac:dyDescent="0.25">
      <c r="A1268">
        <v>133</v>
      </c>
      <c r="B1268" t="s">
        <v>266</v>
      </c>
      <c r="C1268">
        <v>9</v>
      </c>
      <c r="D1268">
        <v>0</v>
      </c>
      <c r="E1268">
        <v>0</v>
      </c>
      <c r="F1268">
        <v>22.78</v>
      </c>
      <c r="G1268">
        <v>10867.83</v>
      </c>
      <c r="H1268" s="14">
        <v>43767.833333333336</v>
      </c>
    </row>
    <row r="1269" spans="1:8" x14ac:dyDescent="0.25">
      <c r="A1269">
        <v>133</v>
      </c>
      <c r="B1269" t="s">
        <v>266</v>
      </c>
      <c r="C1269">
        <v>10</v>
      </c>
      <c r="D1269">
        <v>0</v>
      </c>
      <c r="E1269">
        <v>0</v>
      </c>
      <c r="F1269">
        <v>22.84</v>
      </c>
      <c r="G1269">
        <v>11024.81</v>
      </c>
      <c r="H1269" s="14">
        <v>43767.833333333336</v>
      </c>
    </row>
    <row r="1270" spans="1:8" x14ac:dyDescent="0.25">
      <c r="A1270">
        <v>133</v>
      </c>
      <c r="B1270" t="s">
        <v>266</v>
      </c>
      <c r="C1270">
        <v>11</v>
      </c>
      <c r="D1270">
        <v>0</v>
      </c>
      <c r="E1270">
        <v>0</v>
      </c>
      <c r="F1270">
        <v>22.45</v>
      </c>
      <c r="G1270">
        <v>10842.08</v>
      </c>
      <c r="H1270" s="14">
        <v>43767.833333333336</v>
      </c>
    </row>
    <row r="1271" spans="1:8" x14ac:dyDescent="0.25">
      <c r="A1271">
        <v>133</v>
      </c>
      <c r="B1271" t="s">
        <v>266</v>
      </c>
      <c r="C1271">
        <v>12</v>
      </c>
      <c r="D1271">
        <v>0</v>
      </c>
      <c r="E1271">
        <v>0</v>
      </c>
      <c r="F1271">
        <v>22.26</v>
      </c>
      <c r="G1271">
        <v>10882.53</v>
      </c>
      <c r="H1271" s="14">
        <v>43767.833333333336</v>
      </c>
    </row>
    <row r="1272" spans="1:8" x14ac:dyDescent="0.25">
      <c r="A1272">
        <v>134</v>
      </c>
      <c r="B1272" t="s">
        <v>267</v>
      </c>
      <c r="C1272">
        <v>1</v>
      </c>
      <c r="D1272">
        <v>0</v>
      </c>
      <c r="E1272">
        <v>0</v>
      </c>
      <c r="F1272">
        <v>26.61</v>
      </c>
      <c r="G1272">
        <v>11261.37</v>
      </c>
      <c r="H1272" s="14">
        <v>43767.833333333336</v>
      </c>
    </row>
    <row r="1273" spans="1:8" x14ac:dyDescent="0.25">
      <c r="A1273">
        <v>134</v>
      </c>
      <c r="B1273" t="s">
        <v>267</v>
      </c>
      <c r="C1273">
        <v>2</v>
      </c>
      <c r="D1273">
        <v>0</v>
      </c>
      <c r="E1273">
        <v>0</v>
      </c>
      <c r="F1273">
        <v>26.67</v>
      </c>
      <c r="G1273">
        <v>11250.38</v>
      </c>
      <c r="H1273" s="14">
        <v>43767.833333333336</v>
      </c>
    </row>
    <row r="1274" spans="1:8" x14ac:dyDescent="0.25">
      <c r="A1274">
        <v>134</v>
      </c>
      <c r="B1274" t="s">
        <v>267</v>
      </c>
      <c r="C1274">
        <v>3</v>
      </c>
      <c r="D1274">
        <v>0</v>
      </c>
      <c r="E1274">
        <v>0</v>
      </c>
      <c r="F1274">
        <v>26.56</v>
      </c>
      <c r="G1274">
        <v>11172.75</v>
      </c>
      <c r="H1274" s="14">
        <v>43767.833333333336</v>
      </c>
    </row>
    <row r="1275" spans="1:8" x14ac:dyDescent="0.25">
      <c r="A1275">
        <v>134</v>
      </c>
      <c r="B1275" t="s">
        <v>267</v>
      </c>
      <c r="C1275">
        <v>4</v>
      </c>
      <c r="D1275">
        <v>0</v>
      </c>
      <c r="E1275">
        <v>0</v>
      </c>
      <c r="F1275">
        <v>9.48</v>
      </c>
      <c r="G1275">
        <v>7024.57</v>
      </c>
      <c r="H1275" s="14">
        <v>43767.833333333336</v>
      </c>
    </row>
    <row r="1276" spans="1:8" x14ac:dyDescent="0.25">
      <c r="A1276">
        <v>134</v>
      </c>
      <c r="B1276" t="s">
        <v>267</v>
      </c>
      <c r="C1276">
        <v>5</v>
      </c>
      <c r="D1276">
        <v>0</v>
      </c>
      <c r="E1276">
        <v>0</v>
      </c>
      <c r="F1276">
        <v>0</v>
      </c>
      <c r="G1276">
        <v>6880.11</v>
      </c>
      <c r="H1276" s="14">
        <v>43767.833333333336</v>
      </c>
    </row>
    <row r="1277" spans="1:8" x14ac:dyDescent="0.25">
      <c r="A1277">
        <v>134</v>
      </c>
      <c r="B1277" t="s">
        <v>267</v>
      </c>
      <c r="C1277">
        <v>6</v>
      </c>
      <c r="D1277">
        <v>0</v>
      </c>
      <c r="E1277">
        <v>0</v>
      </c>
      <c r="F1277">
        <v>9.24</v>
      </c>
      <c r="G1277">
        <v>6964.45</v>
      </c>
      <c r="H1277" s="14">
        <v>43767.833333333336</v>
      </c>
    </row>
    <row r="1278" spans="1:8" x14ac:dyDescent="0.25">
      <c r="A1278">
        <v>135</v>
      </c>
      <c r="B1278" t="s">
        <v>268</v>
      </c>
      <c r="C1278">
        <v>1</v>
      </c>
      <c r="D1278">
        <v>0</v>
      </c>
      <c r="E1278">
        <v>0</v>
      </c>
      <c r="F1278">
        <v>125.32</v>
      </c>
      <c r="G1278">
        <v>66718.850000000006</v>
      </c>
      <c r="H1278" s="14">
        <v>43767.833333333336</v>
      </c>
    </row>
    <row r="1279" spans="1:8" x14ac:dyDescent="0.25">
      <c r="A1279">
        <v>135</v>
      </c>
      <c r="B1279" t="s">
        <v>268</v>
      </c>
      <c r="C1279">
        <v>2</v>
      </c>
      <c r="D1279">
        <v>0</v>
      </c>
      <c r="E1279">
        <v>0</v>
      </c>
      <c r="F1279">
        <v>130.94999999999999</v>
      </c>
      <c r="G1279">
        <v>67391.649999999994</v>
      </c>
      <c r="H1279" s="14">
        <v>43767.833333333336</v>
      </c>
    </row>
    <row r="1280" spans="1:8" x14ac:dyDescent="0.25">
      <c r="A1280">
        <v>135</v>
      </c>
      <c r="B1280" t="s">
        <v>268</v>
      </c>
      <c r="C1280">
        <v>3</v>
      </c>
      <c r="D1280">
        <v>0</v>
      </c>
      <c r="E1280">
        <v>0</v>
      </c>
      <c r="F1280">
        <v>79.53</v>
      </c>
      <c r="G1280">
        <v>41436.9</v>
      </c>
      <c r="H1280" s="14">
        <v>43767.833333333336</v>
      </c>
    </row>
    <row r="1281" spans="1:8" x14ac:dyDescent="0.25">
      <c r="A1281">
        <v>135</v>
      </c>
      <c r="B1281" t="s">
        <v>268</v>
      </c>
      <c r="C1281">
        <v>4</v>
      </c>
      <c r="D1281">
        <v>0</v>
      </c>
      <c r="E1281">
        <v>0</v>
      </c>
      <c r="F1281">
        <v>87.8</v>
      </c>
      <c r="G1281">
        <v>42832.41</v>
      </c>
      <c r="H1281" s="14">
        <v>43767.833333333336</v>
      </c>
    </row>
    <row r="1282" spans="1:8" x14ac:dyDescent="0.25">
      <c r="A1282">
        <v>135</v>
      </c>
      <c r="B1282" t="s">
        <v>268</v>
      </c>
      <c r="C1282">
        <v>5</v>
      </c>
      <c r="D1282">
        <v>0</v>
      </c>
      <c r="E1282">
        <v>0</v>
      </c>
      <c r="F1282">
        <v>80.12</v>
      </c>
      <c r="G1282">
        <v>40140.71</v>
      </c>
      <c r="H1282" s="14">
        <v>43767.833333333336</v>
      </c>
    </row>
    <row r="1283" spans="1:8" x14ac:dyDescent="0.25">
      <c r="A1283">
        <v>136</v>
      </c>
      <c r="B1283" t="s">
        <v>269</v>
      </c>
      <c r="C1283">
        <v>1</v>
      </c>
      <c r="D1283">
        <v>0</v>
      </c>
      <c r="E1283">
        <v>0</v>
      </c>
      <c r="F1283">
        <v>13.97</v>
      </c>
      <c r="G1283">
        <v>9253.16</v>
      </c>
      <c r="H1283" s="14">
        <v>43767.833333333336</v>
      </c>
    </row>
    <row r="1284" spans="1:8" x14ac:dyDescent="0.25">
      <c r="A1284">
        <v>136</v>
      </c>
      <c r="B1284" t="s">
        <v>269</v>
      </c>
      <c r="C1284">
        <v>2</v>
      </c>
      <c r="D1284">
        <v>0</v>
      </c>
      <c r="E1284">
        <v>0</v>
      </c>
      <c r="F1284">
        <v>13.83</v>
      </c>
      <c r="G1284">
        <v>9163.5300000000007</v>
      </c>
      <c r="H1284" s="14">
        <v>43767.833333333336</v>
      </c>
    </row>
    <row r="1285" spans="1:8" x14ac:dyDescent="0.25">
      <c r="A1285">
        <v>136</v>
      </c>
      <c r="B1285" t="s">
        <v>269</v>
      </c>
      <c r="C1285">
        <v>3</v>
      </c>
      <c r="D1285">
        <v>0</v>
      </c>
      <c r="E1285">
        <v>0</v>
      </c>
      <c r="F1285">
        <v>13.9</v>
      </c>
      <c r="G1285">
        <v>9173.34</v>
      </c>
      <c r="H1285" s="14">
        <v>43767.833333333336</v>
      </c>
    </row>
    <row r="1286" spans="1:8" x14ac:dyDescent="0.25">
      <c r="A1286">
        <v>136</v>
      </c>
      <c r="B1286" t="s">
        <v>269</v>
      </c>
      <c r="C1286">
        <v>4</v>
      </c>
      <c r="D1286">
        <v>0</v>
      </c>
      <c r="E1286">
        <v>0</v>
      </c>
      <c r="F1286">
        <v>13.89</v>
      </c>
      <c r="G1286">
        <v>9182.8799999999992</v>
      </c>
      <c r="H1286" s="14">
        <v>43767.833333333336</v>
      </c>
    </row>
    <row r="1287" spans="1:8" x14ac:dyDescent="0.25">
      <c r="A1287">
        <v>136</v>
      </c>
      <c r="B1287" t="s">
        <v>269</v>
      </c>
      <c r="C1287">
        <v>5</v>
      </c>
      <c r="D1287">
        <v>0</v>
      </c>
      <c r="E1287">
        <v>0</v>
      </c>
      <c r="F1287">
        <v>13.79</v>
      </c>
      <c r="G1287">
        <v>9101.2199999999993</v>
      </c>
      <c r="H1287" s="14">
        <v>43767.833333333336</v>
      </c>
    </row>
    <row r="1288" spans="1:8" x14ac:dyDescent="0.25">
      <c r="A1288">
        <v>136</v>
      </c>
      <c r="B1288" t="s">
        <v>269</v>
      </c>
      <c r="C1288">
        <v>6</v>
      </c>
      <c r="D1288">
        <v>0</v>
      </c>
      <c r="E1288">
        <v>0</v>
      </c>
      <c r="F1288">
        <v>13.9</v>
      </c>
      <c r="G1288">
        <v>9156.07</v>
      </c>
      <c r="H1288" s="14">
        <v>43767.833333333336</v>
      </c>
    </row>
    <row r="1289" spans="1:8" x14ac:dyDescent="0.25">
      <c r="A1289">
        <v>136</v>
      </c>
      <c r="B1289" t="s">
        <v>269</v>
      </c>
      <c r="C1289">
        <v>7</v>
      </c>
      <c r="D1289">
        <v>0</v>
      </c>
      <c r="E1289">
        <v>0</v>
      </c>
      <c r="F1289">
        <v>13.93</v>
      </c>
      <c r="G1289">
        <v>9161.7099999999991</v>
      </c>
      <c r="H1289" s="14">
        <v>43767.833333333336</v>
      </c>
    </row>
    <row r="1290" spans="1:8" x14ac:dyDescent="0.25">
      <c r="A1290">
        <v>136</v>
      </c>
      <c r="B1290" t="s">
        <v>269</v>
      </c>
      <c r="C1290">
        <v>8</v>
      </c>
      <c r="D1290">
        <v>0</v>
      </c>
      <c r="E1290">
        <v>0</v>
      </c>
      <c r="F1290">
        <v>13.83</v>
      </c>
      <c r="G1290">
        <v>9031.5400000000009</v>
      </c>
      <c r="H1290" s="14">
        <v>43767.833333333336</v>
      </c>
    </row>
    <row r="1291" spans="1:8" x14ac:dyDescent="0.25">
      <c r="A1291">
        <v>136</v>
      </c>
      <c r="B1291" t="s">
        <v>269</v>
      </c>
      <c r="C1291">
        <v>9</v>
      </c>
      <c r="D1291">
        <v>0</v>
      </c>
      <c r="E1291">
        <v>0</v>
      </c>
      <c r="F1291">
        <v>13.79</v>
      </c>
      <c r="G1291">
        <v>9012.42</v>
      </c>
      <c r="H1291" s="14">
        <v>43767.833333333336</v>
      </c>
    </row>
    <row r="1292" spans="1:8" x14ac:dyDescent="0.25">
      <c r="A1292">
        <v>136</v>
      </c>
      <c r="B1292" t="s">
        <v>269</v>
      </c>
      <c r="C1292">
        <v>10</v>
      </c>
      <c r="D1292">
        <v>0</v>
      </c>
      <c r="E1292">
        <v>0</v>
      </c>
      <c r="F1292">
        <v>12.79</v>
      </c>
      <c r="G1292">
        <v>8148.62</v>
      </c>
      <c r="H1292" s="14">
        <v>43767.833333333336</v>
      </c>
    </row>
    <row r="1293" spans="1:8" x14ac:dyDescent="0.25">
      <c r="A1293">
        <v>136</v>
      </c>
      <c r="B1293" t="s">
        <v>269</v>
      </c>
      <c r="C1293">
        <v>11</v>
      </c>
      <c r="D1293">
        <v>0</v>
      </c>
      <c r="E1293">
        <v>0</v>
      </c>
      <c r="F1293">
        <v>12.75</v>
      </c>
      <c r="G1293">
        <v>8194.14</v>
      </c>
      <c r="H1293" s="14">
        <v>43767.833333333336</v>
      </c>
    </row>
    <row r="1294" spans="1:8" x14ac:dyDescent="0.25">
      <c r="A1294">
        <v>136</v>
      </c>
      <c r="B1294" t="s">
        <v>269</v>
      </c>
      <c r="C1294">
        <v>12</v>
      </c>
      <c r="D1294">
        <v>0</v>
      </c>
      <c r="E1294">
        <v>0</v>
      </c>
      <c r="F1294">
        <v>12.7</v>
      </c>
      <c r="G1294">
        <v>8210.42</v>
      </c>
      <c r="H1294" s="14">
        <v>43767.833333333336</v>
      </c>
    </row>
    <row r="1295" spans="1:8" x14ac:dyDescent="0.25">
      <c r="A1295">
        <v>136</v>
      </c>
      <c r="B1295" t="s">
        <v>269</v>
      </c>
      <c r="C1295">
        <v>13</v>
      </c>
      <c r="D1295">
        <v>0</v>
      </c>
      <c r="E1295">
        <v>0</v>
      </c>
      <c r="F1295">
        <v>12.82</v>
      </c>
      <c r="G1295">
        <v>8138.34</v>
      </c>
      <c r="H1295" s="14">
        <v>43767.833333333336</v>
      </c>
    </row>
    <row r="1296" spans="1:8" x14ac:dyDescent="0.25">
      <c r="A1296">
        <v>136</v>
      </c>
      <c r="B1296" t="s">
        <v>269</v>
      </c>
      <c r="C1296">
        <v>14</v>
      </c>
      <c r="D1296">
        <v>0</v>
      </c>
      <c r="E1296">
        <v>0</v>
      </c>
      <c r="F1296">
        <v>12.9</v>
      </c>
      <c r="G1296">
        <v>8262.36</v>
      </c>
      <c r="H1296" s="14">
        <v>43767.833333333336</v>
      </c>
    </row>
    <row r="1297" spans="1:8" x14ac:dyDescent="0.25">
      <c r="A1297">
        <v>136</v>
      </c>
      <c r="B1297" t="s">
        <v>269</v>
      </c>
      <c r="C1297">
        <v>15</v>
      </c>
      <c r="D1297">
        <v>0</v>
      </c>
      <c r="E1297">
        <v>0</v>
      </c>
      <c r="F1297">
        <v>12.84</v>
      </c>
      <c r="G1297">
        <v>8293.33</v>
      </c>
      <c r="H1297" s="14">
        <v>43767.833333333336</v>
      </c>
    </row>
    <row r="1298" spans="1:8" x14ac:dyDescent="0.25">
      <c r="A1298">
        <v>136</v>
      </c>
      <c r="B1298" t="s">
        <v>269</v>
      </c>
      <c r="C1298">
        <v>16</v>
      </c>
      <c r="D1298">
        <v>0</v>
      </c>
      <c r="E1298">
        <v>0</v>
      </c>
      <c r="F1298">
        <v>13.02</v>
      </c>
      <c r="G1298">
        <v>8212.36</v>
      </c>
      <c r="H1298" s="14">
        <v>43767.833333333336</v>
      </c>
    </row>
    <row r="1299" spans="1:8" x14ac:dyDescent="0.25">
      <c r="A1299">
        <v>136</v>
      </c>
      <c r="B1299" t="s">
        <v>269</v>
      </c>
      <c r="C1299">
        <v>17</v>
      </c>
      <c r="D1299">
        <v>0</v>
      </c>
      <c r="E1299">
        <v>0</v>
      </c>
      <c r="F1299">
        <v>12.86</v>
      </c>
      <c r="G1299">
        <v>8256.6200000000008</v>
      </c>
      <c r="H1299" s="14">
        <v>43767.833333333336</v>
      </c>
    </row>
    <row r="1300" spans="1:8" x14ac:dyDescent="0.25">
      <c r="A1300">
        <v>136</v>
      </c>
      <c r="B1300" t="s">
        <v>269</v>
      </c>
      <c r="C1300">
        <v>18</v>
      </c>
      <c r="D1300">
        <v>0</v>
      </c>
      <c r="E1300">
        <v>0</v>
      </c>
      <c r="F1300">
        <v>12.82</v>
      </c>
      <c r="G1300">
        <v>8300.85</v>
      </c>
      <c r="H1300" s="14">
        <v>43767.833333333336</v>
      </c>
    </row>
    <row r="1301" spans="1:8" x14ac:dyDescent="0.25">
      <c r="A1301">
        <v>137</v>
      </c>
      <c r="B1301" t="s">
        <v>270</v>
      </c>
      <c r="C1301">
        <v>1</v>
      </c>
      <c r="D1301">
        <v>0</v>
      </c>
      <c r="E1301">
        <v>0</v>
      </c>
      <c r="F1301">
        <v>111</v>
      </c>
      <c r="G1301">
        <v>57220.06</v>
      </c>
      <c r="H1301" s="14">
        <v>43767.833333333336</v>
      </c>
    </row>
    <row r="1302" spans="1:8" x14ac:dyDescent="0.25">
      <c r="A1302">
        <v>137</v>
      </c>
      <c r="B1302" t="s">
        <v>270</v>
      </c>
      <c r="C1302">
        <v>2</v>
      </c>
      <c r="D1302">
        <v>0</v>
      </c>
      <c r="E1302">
        <v>0</v>
      </c>
      <c r="F1302">
        <v>99.11</v>
      </c>
      <c r="G1302">
        <v>61265.23</v>
      </c>
      <c r="H1302" s="14">
        <v>43767.833333333336</v>
      </c>
    </row>
    <row r="1303" spans="1:8" x14ac:dyDescent="0.25">
      <c r="A1303">
        <v>137</v>
      </c>
      <c r="B1303" t="s">
        <v>270</v>
      </c>
      <c r="C1303">
        <v>3</v>
      </c>
      <c r="D1303">
        <v>0</v>
      </c>
      <c r="E1303">
        <v>0</v>
      </c>
      <c r="F1303">
        <v>156.63</v>
      </c>
      <c r="G1303">
        <v>72222.509999999995</v>
      </c>
      <c r="H1303" s="14">
        <v>43767.833333333336</v>
      </c>
    </row>
    <row r="1304" spans="1:8" x14ac:dyDescent="0.25">
      <c r="A1304">
        <v>137</v>
      </c>
      <c r="B1304" t="s">
        <v>270</v>
      </c>
      <c r="C1304">
        <v>4</v>
      </c>
      <c r="D1304">
        <v>0</v>
      </c>
      <c r="E1304">
        <v>0</v>
      </c>
      <c r="F1304">
        <v>130.69999999999999</v>
      </c>
      <c r="G1304">
        <v>67075.8</v>
      </c>
      <c r="H1304" s="14">
        <v>43767.833333333336</v>
      </c>
    </row>
    <row r="1305" spans="1:8" x14ac:dyDescent="0.25">
      <c r="A1305">
        <v>137</v>
      </c>
      <c r="B1305" t="s">
        <v>270</v>
      </c>
      <c r="C1305">
        <v>5</v>
      </c>
      <c r="D1305">
        <v>0</v>
      </c>
      <c r="E1305">
        <v>0</v>
      </c>
      <c r="F1305">
        <v>111.67</v>
      </c>
      <c r="G1305">
        <v>63555.65</v>
      </c>
      <c r="H1305" s="14">
        <v>43767.833333333336</v>
      </c>
    </row>
    <row r="1306" spans="1:8" x14ac:dyDescent="0.25">
      <c r="A1306">
        <v>137</v>
      </c>
      <c r="B1306" t="s">
        <v>270</v>
      </c>
      <c r="C1306">
        <v>6</v>
      </c>
      <c r="D1306">
        <v>0</v>
      </c>
      <c r="E1306">
        <v>0</v>
      </c>
      <c r="F1306">
        <v>85.99</v>
      </c>
      <c r="G1306">
        <v>34861</v>
      </c>
      <c r="H1306" s="14">
        <v>43767.833333333336</v>
      </c>
    </row>
    <row r="1307" spans="1:8" x14ac:dyDescent="0.25">
      <c r="A1307">
        <v>137</v>
      </c>
      <c r="B1307" t="s">
        <v>270</v>
      </c>
      <c r="C1307">
        <v>7</v>
      </c>
      <c r="D1307">
        <v>0</v>
      </c>
      <c r="E1307">
        <v>0</v>
      </c>
      <c r="F1307">
        <v>127.12</v>
      </c>
      <c r="G1307">
        <v>68422.8</v>
      </c>
      <c r="H1307" s="14">
        <v>43767.833333333336</v>
      </c>
    </row>
    <row r="1308" spans="1:8" x14ac:dyDescent="0.25">
      <c r="A1308">
        <v>137</v>
      </c>
      <c r="B1308" t="s">
        <v>270</v>
      </c>
      <c r="C1308">
        <v>8</v>
      </c>
      <c r="D1308">
        <v>0</v>
      </c>
      <c r="E1308">
        <v>0</v>
      </c>
      <c r="F1308">
        <v>101.27</v>
      </c>
      <c r="G1308">
        <v>54588.41</v>
      </c>
      <c r="H1308" s="14">
        <v>43767.833333333336</v>
      </c>
    </row>
    <row r="1309" spans="1:8" x14ac:dyDescent="0.25">
      <c r="A1309">
        <v>137</v>
      </c>
      <c r="B1309" t="s">
        <v>270</v>
      </c>
      <c r="C1309">
        <v>9</v>
      </c>
      <c r="D1309">
        <v>0</v>
      </c>
      <c r="E1309">
        <v>0</v>
      </c>
      <c r="F1309">
        <v>118.89</v>
      </c>
      <c r="G1309">
        <v>60682.36</v>
      </c>
      <c r="H1309" s="14">
        <v>43767.833333333336</v>
      </c>
    </row>
    <row r="1310" spans="1:8" x14ac:dyDescent="0.25">
      <c r="A1310">
        <v>138</v>
      </c>
      <c r="B1310" t="s">
        <v>271</v>
      </c>
      <c r="C1310">
        <v>1</v>
      </c>
      <c r="D1310">
        <v>0</v>
      </c>
      <c r="E1310">
        <v>0</v>
      </c>
      <c r="F1310">
        <v>103.06</v>
      </c>
      <c r="G1310">
        <v>80553.679999999993</v>
      </c>
      <c r="H1310" s="14">
        <v>43767.833333333336</v>
      </c>
    </row>
    <row r="1311" spans="1:8" x14ac:dyDescent="0.25">
      <c r="A1311">
        <v>138</v>
      </c>
      <c r="B1311" t="s">
        <v>271</v>
      </c>
      <c r="C1311">
        <v>2</v>
      </c>
      <c r="D1311">
        <v>0</v>
      </c>
      <c r="E1311">
        <v>0</v>
      </c>
      <c r="F1311">
        <v>102.39</v>
      </c>
      <c r="G1311">
        <v>79817.119999999995</v>
      </c>
      <c r="H1311" s="14">
        <v>43767.833333333336</v>
      </c>
    </row>
    <row r="1312" spans="1:8" x14ac:dyDescent="0.25">
      <c r="A1312">
        <v>138</v>
      </c>
      <c r="B1312" t="s">
        <v>271</v>
      </c>
      <c r="C1312">
        <v>3</v>
      </c>
      <c r="D1312">
        <v>0</v>
      </c>
      <c r="E1312">
        <v>0</v>
      </c>
      <c r="F1312">
        <v>102.12</v>
      </c>
      <c r="G1312">
        <v>80189.600000000006</v>
      </c>
      <c r="H1312" s="14">
        <v>43767.833333333336</v>
      </c>
    </row>
    <row r="1313" spans="1:8" x14ac:dyDescent="0.25">
      <c r="A1313">
        <v>138</v>
      </c>
      <c r="B1313" t="s">
        <v>271</v>
      </c>
      <c r="C1313">
        <v>4</v>
      </c>
      <c r="D1313">
        <v>0</v>
      </c>
      <c r="E1313">
        <v>0</v>
      </c>
      <c r="F1313">
        <v>103.77</v>
      </c>
      <c r="G1313">
        <v>81248.78</v>
      </c>
      <c r="H1313" s="14">
        <v>43767.833333333336</v>
      </c>
    </row>
    <row r="1314" spans="1:8" x14ac:dyDescent="0.25">
      <c r="A1314">
        <v>138</v>
      </c>
      <c r="B1314" t="s">
        <v>271</v>
      </c>
      <c r="C1314">
        <v>5</v>
      </c>
      <c r="D1314">
        <v>0</v>
      </c>
      <c r="E1314">
        <v>0</v>
      </c>
      <c r="F1314">
        <v>99.97</v>
      </c>
      <c r="G1314">
        <v>79813.8</v>
      </c>
      <c r="H1314" s="14">
        <v>43767.833333333336</v>
      </c>
    </row>
    <row r="1315" spans="1:8" x14ac:dyDescent="0.25">
      <c r="A1315">
        <v>138</v>
      </c>
      <c r="B1315" t="s">
        <v>271</v>
      </c>
      <c r="C1315">
        <v>6</v>
      </c>
      <c r="D1315">
        <v>0</v>
      </c>
      <c r="E1315">
        <v>0</v>
      </c>
      <c r="F1315">
        <v>101.96</v>
      </c>
      <c r="G1315">
        <v>70921.179999999993</v>
      </c>
      <c r="H1315" s="14">
        <v>43767.833333333336</v>
      </c>
    </row>
    <row r="1316" spans="1:8" x14ac:dyDescent="0.25">
      <c r="A1316">
        <v>138</v>
      </c>
      <c r="B1316" t="s">
        <v>271</v>
      </c>
      <c r="C1316">
        <v>7</v>
      </c>
      <c r="D1316">
        <v>0</v>
      </c>
      <c r="E1316">
        <v>0</v>
      </c>
      <c r="F1316">
        <v>79.349999999999994</v>
      </c>
      <c r="G1316">
        <v>67490.47</v>
      </c>
      <c r="H1316" s="14">
        <v>43767.833333333336</v>
      </c>
    </row>
    <row r="1317" spans="1:8" x14ac:dyDescent="0.25">
      <c r="A1317">
        <v>138</v>
      </c>
      <c r="B1317" t="s">
        <v>271</v>
      </c>
      <c r="C1317">
        <v>8</v>
      </c>
      <c r="D1317">
        <v>0</v>
      </c>
      <c r="E1317">
        <v>0</v>
      </c>
      <c r="F1317">
        <v>69.540000000000006</v>
      </c>
      <c r="G1317">
        <v>61484.14</v>
      </c>
      <c r="H1317" s="14">
        <v>43767.833333333336</v>
      </c>
    </row>
    <row r="1318" spans="1:8" x14ac:dyDescent="0.25">
      <c r="A1318">
        <v>138</v>
      </c>
      <c r="B1318" t="s">
        <v>271</v>
      </c>
      <c r="C1318">
        <v>9</v>
      </c>
      <c r="D1318">
        <v>0</v>
      </c>
      <c r="E1318">
        <v>0</v>
      </c>
      <c r="F1318">
        <v>79</v>
      </c>
      <c r="G1318">
        <v>68506.100000000006</v>
      </c>
      <c r="H1318" s="14">
        <v>43767.833333333336</v>
      </c>
    </row>
    <row r="1319" spans="1:8" x14ac:dyDescent="0.25">
      <c r="A1319">
        <v>138</v>
      </c>
      <c r="B1319" t="s">
        <v>271</v>
      </c>
      <c r="C1319">
        <v>10</v>
      </c>
      <c r="D1319">
        <v>0</v>
      </c>
      <c r="E1319">
        <v>0</v>
      </c>
      <c r="F1319">
        <v>81.650000000000006</v>
      </c>
      <c r="G1319">
        <v>70027.47</v>
      </c>
      <c r="H1319" s="14">
        <v>43767.833333333336</v>
      </c>
    </row>
    <row r="1320" spans="1:8" x14ac:dyDescent="0.25">
      <c r="A1320">
        <v>138</v>
      </c>
      <c r="B1320" t="s">
        <v>271</v>
      </c>
      <c r="C1320">
        <v>11</v>
      </c>
      <c r="D1320">
        <v>0</v>
      </c>
      <c r="E1320">
        <v>0</v>
      </c>
      <c r="F1320">
        <v>82.5</v>
      </c>
      <c r="G1320">
        <v>70138.649999999994</v>
      </c>
      <c r="H1320" s="14">
        <v>43767.833333333336</v>
      </c>
    </row>
    <row r="1321" spans="1:8" x14ac:dyDescent="0.25">
      <c r="A1321">
        <v>138</v>
      </c>
      <c r="B1321" t="s">
        <v>271</v>
      </c>
      <c r="C1321">
        <v>12</v>
      </c>
      <c r="D1321">
        <v>0</v>
      </c>
      <c r="E1321">
        <v>0</v>
      </c>
      <c r="F1321">
        <v>88.45</v>
      </c>
      <c r="G1321">
        <v>75104.12</v>
      </c>
      <c r="H1321" s="14">
        <v>43767.833333333336</v>
      </c>
    </row>
    <row r="1322" spans="1:8" x14ac:dyDescent="0.25">
      <c r="A1322">
        <v>138</v>
      </c>
      <c r="B1322" t="s">
        <v>271</v>
      </c>
      <c r="C1322">
        <v>13</v>
      </c>
      <c r="D1322">
        <v>0</v>
      </c>
      <c r="E1322">
        <v>0</v>
      </c>
      <c r="F1322">
        <v>36.049999999999997</v>
      </c>
      <c r="G1322">
        <v>19046.64</v>
      </c>
      <c r="H1322" s="14">
        <v>43767.833333333336</v>
      </c>
    </row>
    <row r="1323" spans="1:8" x14ac:dyDescent="0.25">
      <c r="A1323">
        <v>139</v>
      </c>
      <c r="B1323" t="s">
        <v>272</v>
      </c>
      <c r="C1323">
        <v>1</v>
      </c>
      <c r="D1323">
        <v>0</v>
      </c>
      <c r="E1323">
        <v>0</v>
      </c>
      <c r="F1323">
        <v>82.14</v>
      </c>
      <c r="G1323">
        <v>65436.38</v>
      </c>
      <c r="H1323" s="14">
        <v>43767.833333333336</v>
      </c>
    </row>
    <row r="1324" spans="1:8" x14ac:dyDescent="0.25">
      <c r="A1324">
        <v>139</v>
      </c>
      <c r="B1324" t="s">
        <v>272</v>
      </c>
      <c r="C1324">
        <v>2</v>
      </c>
      <c r="D1324">
        <v>0</v>
      </c>
      <c r="E1324">
        <v>0</v>
      </c>
      <c r="F1324">
        <v>95.36</v>
      </c>
      <c r="G1324">
        <v>75846.66</v>
      </c>
      <c r="H1324" s="14">
        <v>43767.833333333336</v>
      </c>
    </row>
    <row r="1325" spans="1:8" x14ac:dyDescent="0.25">
      <c r="A1325">
        <v>139</v>
      </c>
      <c r="B1325" t="s">
        <v>272</v>
      </c>
      <c r="C1325">
        <v>3</v>
      </c>
      <c r="D1325">
        <v>0</v>
      </c>
      <c r="E1325">
        <v>0</v>
      </c>
      <c r="F1325">
        <v>84.08</v>
      </c>
      <c r="G1325">
        <v>71665.83</v>
      </c>
      <c r="H1325" s="14">
        <v>43767.833333333336</v>
      </c>
    </row>
    <row r="1326" spans="1:8" x14ac:dyDescent="0.25">
      <c r="A1326">
        <v>139</v>
      </c>
      <c r="B1326" t="s">
        <v>272</v>
      </c>
      <c r="C1326">
        <v>4</v>
      </c>
      <c r="D1326">
        <v>0</v>
      </c>
      <c r="E1326">
        <v>0</v>
      </c>
      <c r="F1326">
        <v>95.09</v>
      </c>
      <c r="G1326">
        <v>74786.17</v>
      </c>
      <c r="H1326" s="14">
        <v>43767.833333333336</v>
      </c>
    </row>
    <row r="1327" spans="1:8" x14ac:dyDescent="0.25">
      <c r="A1327">
        <v>139</v>
      </c>
      <c r="B1327" t="s">
        <v>272</v>
      </c>
      <c r="C1327">
        <v>5</v>
      </c>
      <c r="D1327">
        <v>0</v>
      </c>
      <c r="E1327">
        <v>0</v>
      </c>
      <c r="F1327">
        <v>88.39</v>
      </c>
      <c r="G1327">
        <v>75471.360000000001</v>
      </c>
      <c r="H1327" s="14">
        <v>43767.833333333336</v>
      </c>
    </row>
    <row r="1328" spans="1:8" x14ac:dyDescent="0.25">
      <c r="A1328">
        <v>139</v>
      </c>
      <c r="B1328" t="s">
        <v>272</v>
      </c>
      <c r="C1328">
        <v>6</v>
      </c>
      <c r="D1328">
        <v>0</v>
      </c>
      <c r="E1328">
        <v>0</v>
      </c>
      <c r="F1328">
        <v>60.81</v>
      </c>
      <c r="G1328">
        <v>64341.24</v>
      </c>
      <c r="H1328" s="14">
        <v>43767.833333333336</v>
      </c>
    </row>
    <row r="1329" spans="1:8" x14ac:dyDescent="0.25">
      <c r="A1329">
        <v>139</v>
      </c>
      <c r="B1329" t="s">
        <v>272</v>
      </c>
      <c r="C1329">
        <v>7</v>
      </c>
      <c r="D1329">
        <v>0</v>
      </c>
      <c r="E1329">
        <v>0</v>
      </c>
      <c r="F1329">
        <v>89.31</v>
      </c>
      <c r="G1329">
        <v>73372.39</v>
      </c>
      <c r="H1329" s="14">
        <v>43767.833333333336</v>
      </c>
    </row>
    <row r="1330" spans="1:8" x14ac:dyDescent="0.25">
      <c r="A1330">
        <v>139</v>
      </c>
      <c r="B1330" t="s">
        <v>272</v>
      </c>
      <c r="C1330">
        <v>8</v>
      </c>
      <c r="D1330">
        <v>0</v>
      </c>
      <c r="E1330">
        <v>0</v>
      </c>
      <c r="F1330">
        <v>82.12</v>
      </c>
      <c r="G1330">
        <v>71292.639999999999</v>
      </c>
      <c r="H1330" s="14">
        <v>43767.833333333336</v>
      </c>
    </row>
    <row r="1331" spans="1:8" x14ac:dyDescent="0.25">
      <c r="A1331">
        <v>139</v>
      </c>
      <c r="B1331" t="s">
        <v>272</v>
      </c>
      <c r="C1331">
        <v>9</v>
      </c>
      <c r="D1331">
        <v>0</v>
      </c>
      <c r="E1331">
        <v>0</v>
      </c>
      <c r="F1331">
        <v>92.11</v>
      </c>
      <c r="G1331">
        <v>78550.86</v>
      </c>
      <c r="H1331" s="14">
        <v>43767.833333333336</v>
      </c>
    </row>
    <row r="1332" spans="1:8" x14ac:dyDescent="0.25">
      <c r="A1332">
        <v>140</v>
      </c>
      <c r="B1332" t="s">
        <v>273</v>
      </c>
      <c r="C1332">
        <v>1</v>
      </c>
      <c r="D1332">
        <v>0</v>
      </c>
      <c r="E1332">
        <v>0</v>
      </c>
      <c r="F1332">
        <v>54.3</v>
      </c>
      <c r="G1332">
        <v>131557.22</v>
      </c>
      <c r="H1332" s="14">
        <v>43767.833333333336</v>
      </c>
    </row>
    <row r="1333" spans="1:8" x14ac:dyDescent="0.25">
      <c r="A1333">
        <v>140</v>
      </c>
      <c r="B1333" t="s">
        <v>273</v>
      </c>
      <c r="C1333">
        <v>2</v>
      </c>
      <c r="D1333">
        <v>0</v>
      </c>
      <c r="E1333">
        <v>0</v>
      </c>
      <c r="F1333">
        <v>40.25</v>
      </c>
      <c r="G1333">
        <v>81520.759999999995</v>
      </c>
      <c r="H1333" s="14">
        <v>43767.833333333336</v>
      </c>
    </row>
    <row r="1334" spans="1:8" x14ac:dyDescent="0.25">
      <c r="A1334">
        <v>140</v>
      </c>
      <c r="B1334" t="s">
        <v>273</v>
      </c>
      <c r="C1334">
        <v>3</v>
      </c>
      <c r="D1334">
        <v>0</v>
      </c>
      <c r="E1334">
        <v>0</v>
      </c>
      <c r="F1334">
        <v>120.1</v>
      </c>
      <c r="G1334">
        <v>159962.5</v>
      </c>
      <c r="H1334" s="14">
        <v>43767.833333333336</v>
      </c>
    </row>
    <row r="1335" spans="1:8" x14ac:dyDescent="0.25">
      <c r="A1335">
        <v>140</v>
      </c>
      <c r="B1335" t="s">
        <v>273</v>
      </c>
      <c r="C1335">
        <v>4</v>
      </c>
      <c r="D1335">
        <v>0</v>
      </c>
      <c r="E1335">
        <v>0</v>
      </c>
      <c r="F1335">
        <v>82.52</v>
      </c>
      <c r="G1335">
        <v>30551.29</v>
      </c>
      <c r="H1335" s="14">
        <v>43767.833333333336</v>
      </c>
    </row>
    <row r="1336" spans="1:8" x14ac:dyDescent="0.25">
      <c r="A1336">
        <v>140</v>
      </c>
      <c r="B1336" t="s">
        <v>273</v>
      </c>
      <c r="C1336">
        <v>5</v>
      </c>
      <c r="D1336">
        <v>0</v>
      </c>
      <c r="E1336">
        <v>0</v>
      </c>
      <c r="F1336">
        <v>44.35</v>
      </c>
      <c r="G1336">
        <v>114991.18</v>
      </c>
      <c r="H1336" s="14">
        <v>43767.833333333336</v>
      </c>
    </row>
    <row r="1337" spans="1:8" x14ac:dyDescent="0.25">
      <c r="A1337">
        <v>140</v>
      </c>
      <c r="B1337" t="s">
        <v>273</v>
      </c>
      <c r="C1337">
        <v>6</v>
      </c>
      <c r="D1337">
        <v>0</v>
      </c>
      <c r="E1337">
        <v>0</v>
      </c>
      <c r="F1337">
        <v>106.25</v>
      </c>
      <c r="G1337">
        <v>143929.15</v>
      </c>
      <c r="H1337" s="14">
        <v>43767.833333333336</v>
      </c>
    </row>
    <row r="1338" spans="1:8" x14ac:dyDescent="0.25">
      <c r="A1338">
        <v>140</v>
      </c>
      <c r="B1338" t="s">
        <v>273</v>
      </c>
      <c r="C1338">
        <v>7</v>
      </c>
      <c r="D1338">
        <v>0</v>
      </c>
      <c r="E1338">
        <v>0</v>
      </c>
      <c r="F1338">
        <v>37.18</v>
      </c>
      <c r="G1338">
        <v>7566.02</v>
      </c>
      <c r="H1338" s="14">
        <v>43767.833333333336</v>
      </c>
    </row>
    <row r="1339" spans="1:8" x14ac:dyDescent="0.25">
      <c r="A1339">
        <v>140</v>
      </c>
      <c r="B1339" t="s">
        <v>273</v>
      </c>
      <c r="C1339">
        <v>8</v>
      </c>
      <c r="D1339">
        <v>0</v>
      </c>
      <c r="E1339">
        <v>0</v>
      </c>
      <c r="F1339">
        <v>56.1</v>
      </c>
      <c r="G1339">
        <v>68770.86</v>
      </c>
      <c r="H1339" s="14">
        <v>43767.833333333336</v>
      </c>
    </row>
    <row r="1340" spans="1:8" x14ac:dyDescent="0.25">
      <c r="A1340">
        <v>140</v>
      </c>
      <c r="B1340" t="s">
        <v>273</v>
      </c>
      <c r="C1340">
        <v>9</v>
      </c>
      <c r="D1340">
        <v>0</v>
      </c>
      <c r="E1340">
        <v>0</v>
      </c>
      <c r="F1340">
        <v>38.03</v>
      </c>
      <c r="G1340">
        <v>3425.36</v>
      </c>
      <c r="H1340" s="14">
        <v>43767.833333333336</v>
      </c>
    </row>
    <row r="1341" spans="1:8" x14ac:dyDescent="0.25">
      <c r="A1341">
        <v>141</v>
      </c>
      <c r="B1341" t="s">
        <v>274</v>
      </c>
      <c r="C1341">
        <v>1</v>
      </c>
      <c r="D1341">
        <v>0</v>
      </c>
      <c r="E1341">
        <v>0</v>
      </c>
      <c r="F1341">
        <v>61.25</v>
      </c>
      <c r="G1341">
        <v>60947.34</v>
      </c>
      <c r="H1341" s="14">
        <v>43767.833333333336</v>
      </c>
    </row>
    <row r="1342" spans="1:8" x14ac:dyDescent="0.25">
      <c r="A1342">
        <v>141</v>
      </c>
      <c r="B1342" t="s">
        <v>274</v>
      </c>
      <c r="C1342">
        <v>2</v>
      </c>
      <c r="D1342">
        <v>0</v>
      </c>
      <c r="E1342">
        <v>0</v>
      </c>
      <c r="F1342">
        <v>60.81</v>
      </c>
      <c r="G1342">
        <v>100536.43</v>
      </c>
      <c r="H1342" s="14">
        <v>43767.833333333336</v>
      </c>
    </row>
    <row r="1343" spans="1:8" x14ac:dyDescent="0.25">
      <c r="A1343">
        <v>141</v>
      </c>
      <c r="B1343" t="s">
        <v>274</v>
      </c>
      <c r="C1343">
        <v>3</v>
      </c>
      <c r="D1343">
        <v>0</v>
      </c>
      <c r="E1343">
        <v>0</v>
      </c>
      <c r="F1343">
        <v>61.51</v>
      </c>
      <c r="G1343">
        <v>27872.95</v>
      </c>
      <c r="H1343" s="14">
        <v>43767.833333333336</v>
      </c>
    </row>
    <row r="1344" spans="1:8" x14ac:dyDescent="0.25">
      <c r="A1344">
        <v>141</v>
      </c>
      <c r="B1344" t="s">
        <v>274</v>
      </c>
      <c r="C1344">
        <v>4</v>
      </c>
      <c r="D1344">
        <v>0</v>
      </c>
      <c r="E1344">
        <v>0</v>
      </c>
      <c r="F1344">
        <v>61.7</v>
      </c>
      <c r="G1344">
        <v>73111.490000000005</v>
      </c>
      <c r="H1344" s="14">
        <v>43767.833333333336</v>
      </c>
    </row>
    <row r="1345" spans="1:8" x14ac:dyDescent="0.25">
      <c r="A1345">
        <v>141</v>
      </c>
      <c r="B1345" t="s">
        <v>274</v>
      </c>
      <c r="C1345">
        <v>5</v>
      </c>
      <c r="D1345">
        <v>0</v>
      </c>
      <c r="E1345">
        <v>0</v>
      </c>
      <c r="F1345">
        <v>62.97</v>
      </c>
      <c r="G1345">
        <v>4427.5200000000004</v>
      </c>
      <c r="H1345" s="14">
        <v>43767.833333333336</v>
      </c>
    </row>
    <row r="1346" spans="1:8" x14ac:dyDescent="0.25">
      <c r="A1346">
        <v>141</v>
      </c>
      <c r="B1346" t="s">
        <v>274</v>
      </c>
      <c r="C1346">
        <v>6</v>
      </c>
      <c r="D1346">
        <v>0</v>
      </c>
      <c r="E1346">
        <v>0</v>
      </c>
      <c r="F1346">
        <v>61.05</v>
      </c>
      <c r="G1346">
        <v>84573.39</v>
      </c>
      <c r="H1346" s="14">
        <v>43767.833333333336</v>
      </c>
    </row>
    <row r="1347" spans="1:8" x14ac:dyDescent="0.25">
      <c r="A1347">
        <v>141</v>
      </c>
      <c r="B1347" t="s">
        <v>274</v>
      </c>
      <c r="C1347">
        <v>7</v>
      </c>
      <c r="D1347">
        <v>0</v>
      </c>
      <c r="E1347">
        <v>0</v>
      </c>
      <c r="F1347">
        <v>46.84</v>
      </c>
      <c r="G1347">
        <v>97699.25</v>
      </c>
      <c r="H1347" s="14">
        <v>43767.833333333336</v>
      </c>
    </row>
    <row r="1348" spans="1:8" x14ac:dyDescent="0.25">
      <c r="A1348">
        <v>141</v>
      </c>
      <c r="B1348" t="s">
        <v>274</v>
      </c>
      <c r="C1348">
        <v>8</v>
      </c>
      <c r="D1348">
        <v>0</v>
      </c>
      <c r="E1348">
        <v>0</v>
      </c>
      <c r="F1348">
        <v>59.78</v>
      </c>
      <c r="G1348">
        <v>99327.25</v>
      </c>
      <c r="H1348" s="14">
        <v>43767.833333333336</v>
      </c>
    </row>
    <row r="1349" spans="1:8" x14ac:dyDescent="0.25">
      <c r="A1349">
        <v>141</v>
      </c>
      <c r="B1349" t="s">
        <v>274</v>
      </c>
      <c r="C1349">
        <v>9</v>
      </c>
      <c r="D1349">
        <v>0</v>
      </c>
      <c r="E1349">
        <v>0</v>
      </c>
      <c r="F1349">
        <v>60.09</v>
      </c>
      <c r="G1349">
        <v>100503.52</v>
      </c>
      <c r="H1349" s="14">
        <v>43767.833333333336</v>
      </c>
    </row>
    <row r="1350" spans="1:8" x14ac:dyDescent="0.25">
      <c r="A1350">
        <v>141</v>
      </c>
      <c r="B1350" t="s">
        <v>274</v>
      </c>
      <c r="C1350">
        <v>10</v>
      </c>
      <c r="D1350">
        <v>0</v>
      </c>
      <c r="E1350">
        <v>0</v>
      </c>
      <c r="F1350">
        <v>41.83</v>
      </c>
      <c r="G1350">
        <v>94441.81</v>
      </c>
      <c r="H1350" s="14">
        <v>43767.833333333336</v>
      </c>
    </row>
    <row r="1351" spans="1:8" x14ac:dyDescent="0.25">
      <c r="A1351">
        <v>141</v>
      </c>
      <c r="B1351" t="s">
        <v>274</v>
      </c>
      <c r="C1351">
        <v>11</v>
      </c>
      <c r="D1351">
        <v>0</v>
      </c>
      <c r="E1351">
        <v>0</v>
      </c>
      <c r="F1351">
        <v>59.93</v>
      </c>
      <c r="G1351">
        <v>97684.68</v>
      </c>
      <c r="H1351" s="14">
        <v>43767.833333333336</v>
      </c>
    </row>
    <row r="1352" spans="1:8" x14ac:dyDescent="0.25">
      <c r="A1352">
        <v>141</v>
      </c>
      <c r="B1352" t="s">
        <v>274</v>
      </c>
      <c r="C1352">
        <v>12</v>
      </c>
      <c r="D1352">
        <v>0</v>
      </c>
      <c r="E1352">
        <v>0</v>
      </c>
      <c r="F1352">
        <v>60.03</v>
      </c>
      <c r="G1352">
        <v>94645.26</v>
      </c>
      <c r="H1352" s="14">
        <v>43767.833333333336</v>
      </c>
    </row>
    <row r="1353" spans="1:8" x14ac:dyDescent="0.25">
      <c r="A1353">
        <v>142</v>
      </c>
      <c r="B1353" t="s">
        <v>275</v>
      </c>
      <c r="C1353">
        <v>1</v>
      </c>
      <c r="D1353">
        <v>0</v>
      </c>
      <c r="E1353">
        <v>0</v>
      </c>
      <c r="F1353">
        <v>112.38</v>
      </c>
      <c r="G1353">
        <v>17019.02</v>
      </c>
      <c r="H1353" s="14">
        <v>43767.833333333336</v>
      </c>
    </row>
    <row r="1354" spans="1:8" x14ac:dyDescent="0.25">
      <c r="A1354">
        <v>142</v>
      </c>
      <c r="B1354" t="s">
        <v>275</v>
      </c>
      <c r="C1354">
        <v>2</v>
      </c>
      <c r="D1354">
        <v>0</v>
      </c>
      <c r="E1354">
        <v>0</v>
      </c>
      <c r="F1354">
        <v>107.77</v>
      </c>
      <c r="G1354">
        <v>149818.04</v>
      </c>
      <c r="H1354" s="14">
        <v>43767.833333333336</v>
      </c>
    </row>
    <row r="1355" spans="1:8" x14ac:dyDescent="0.25">
      <c r="A1355">
        <v>142</v>
      </c>
      <c r="B1355" t="s">
        <v>275</v>
      </c>
      <c r="C1355">
        <v>3</v>
      </c>
      <c r="D1355">
        <v>0</v>
      </c>
      <c r="E1355">
        <v>0</v>
      </c>
      <c r="F1355">
        <v>61.23</v>
      </c>
      <c r="G1355">
        <v>98470.21</v>
      </c>
      <c r="H1355" s="14">
        <v>43767.833333333336</v>
      </c>
    </row>
    <row r="1356" spans="1:8" x14ac:dyDescent="0.25">
      <c r="A1356">
        <v>142</v>
      </c>
      <c r="B1356" t="s">
        <v>275</v>
      </c>
      <c r="C1356">
        <v>4</v>
      </c>
      <c r="D1356">
        <v>0</v>
      </c>
      <c r="E1356">
        <v>0</v>
      </c>
      <c r="F1356">
        <v>54.9</v>
      </c>
      <c r="G1356">
        <v>95370.39</v>
      </c>
      <c r="H1356" s="14">
        <v>43767.833333333336</v>
      </c>
    </row>
    <row r="1357" spans="1:8" x14ac:dyDescent="0.25">
      <c r="A1357">
        <v>142</v>
      </c>
      <c r="B1357" t="s">
        <v>275</v>
      </c>
      <c r="C1357">
        <v>5</v>
      </c>
      <c r="D1357">
        <v>0</v>
      </c>
      <c r="E1357">
        <v>0</v>
      </c>
      <c r="F1357">
        <v>95.17</v>
      </c>
      <c r="G1357">
        <v>138404.96</v>
      </c>
      <c r="H1357" s="14">
        <v>43767.833333333336</v>
      </c>
    </row>
    <row r="1358" spans="1:8" x14ac:dyDescent="0.25">
      <c r="A1358">
        <v>142</v>
      </c>
      <c r="B1358" t="s">
        <v>275</v>
      </c>
      <c r="C1358">
        <v>6</v>
      </c>
      <c r="D1358">
        <v>0</v>
      </c>
      <c r="E1358">
        <v>0</v>
      </c>
      <c r="F1358">
        <v>105.56</v>
      </c>
      <c r="G1358">
        <v>158289.26</v>
      </c>
      <c r="H1358" s="14">
        <v>43767.833333333336</v>
      </c>
    </row>
    <row r="1359" spans="1:8" x14ac:dyDescent="0.25">
      <c r="A1359">
        <v>142</v>
      </c>
      <c r="B1359" t="s">
        <v>275</v>
      </c>
      <c r="C1359">
        <v>7</v>
      </c>
      <c r="D1359">
        <v>0</v>
      </c>
      <c r="E1359">
        <v>0</v>
      </c>
      <c r="F1359">
        <v>97.81</v>
      </c>
      <c r="G1359">
        <v>155599.31</v>
      </c>
      <c r="H1359" s="14">
        <v>43767.833333333336</v>
      </c>
    </row>
    <row r="1360" spans="1:8" x14ac:dyDescent="0.25">
      <c r="A1360">
        <v>142</v>
      </c>
      <c r="B1360" t="s">
        <v>275</v>
      </c>
      <c r="C1360">
        <v>8</v>
      </c>
      <c r="D1360">
        <v>0</v>
      </c>
      <c r="E1360">
        <v>0</v>
      </c>
      <c r="F1360">
        <v>86.14</v>
      </c>
      <c r="G1360">
        <v>151571.63</v>
      </c>
      <c r="H1360" s="14">
        <v>43767.833333333336</v>
      </c>
    </row>
    <row r="1361" spans="1:8" x14ac:dyDescent="0.25">
      <c r="A1361">
        <v>142</v>
      </c>
      <c r="B1361" t="s">
        <v>275</v>
      </c>
      <c r="C1361">
        <v>9</v>
      </c>
      <c r="D1361">
        <v>0</v>
      </c>
      <c r="E1361">
        <v>0</v>
      </c>
      <c r="F1361">
        <v>92.96</v>
      </c>
      <c r="G1361">
        <v>150768.64000000001</v>
      </c>
      <c r="H1361" s="14">
        <v>43767.833333333336</v>
      </c>
    </row>
    <row r="1362" spans="1:8" x14ac:dyDescent="0.25">
      <c r="A1362">
        <v>142</v>
      </c>
      <c r="B1362" t="s">
        <v>275</v>
      </c>
      <c r="C1362">
        <v>10</v>
      </c>
      <c r="D1362">
        <v>0</v>
      </c>
      <c r="E1362">
        <v>0</v>
      </c>
      <c r="F1362">
        <v>104.87</v>
      </c>
      <c r="G1362">
        <v>151406.07</v>
      </c>
      <c r="H1362" s="14">
        <v>43767.833333333336</v>
      </c>
    </row>
    <row r="1363" spans="1:8" x14ac:dyDescent="0.25">
      <c r="A1363">
        <v>142</v>
      </c>
      <c r="B1363" t="s">
        <v>275</v>
      </c>
      <c r="C1363">
        <v>11</v>
      </c>
      <c r="D1363">
        <v>0</v>
      </c>
      <c r="E1363">
        <v>0</v>
      </c>
      <c r="F1363">
        <v>106.98</v>
      </c>
      <c r="G1363">
        <v>168253.29</v>
      </c>
      <c r="H1363" s="14">
        <v>43767.833333333336</v>
      </c>
    </row>
    <row r="1364" spans="1:8" x14ac:dyDescent="0.25">
      <c r="A1364">
        <v>142</v>
      </c>
      <c r="B1364" t="s">
        <v>275</v>
      </c>
      <c r="C1364">
        <v>12</v>
      </c>
      <c r="D1364">
        <v>0</v>
      </c>
      <c r="E1364">
        <v>0</v>
      </c>
      <c r="F1364">
        <v>106.2</v>
      </c>
      <c r="G1364">
        <v>26621.41</v>
      </c>
      <c r="H1364" s="14">
        <v>43767.833333333336</v>
      </c>
    </row>
    <row r="1365" spans="1:8" x14ac:dyDescent="0.25">
      <c r="A1365">
        <v>142</v>
      </c>
      <c r="B1365" t="s">
        <v>275</v>
      </c>
      <c r="C1365">
        <v>13</v>
      </c>
      <c r="D1365">
        <v>0</v>
      </c>
      <c r="E1365">
        <v>0</v>
      </c>
      <c r="F1365">
        <v>105.89</v>
      </c>
      <c r="G1365">
        <v>25414.07</v>
      </c>
      <c r="H1365" s="14">
        <v>43767.833333333336</v>
      </c>
    </row>
    <row r="1366" spans="1:8" x14ac:dyDescent="0.25">
      <c r="A1366">
        <v>142</v>
      </c>
      <c r="B1366" t="s">
        <v>275</v>
      </c>
      <c r="C1366">
        <v>14</v>
      </c>
      <c r="D1366">
        <v>0</v>
      </c>
      <c r="E1366">
        <v>0</v>
      </c>
      <c r="F1366">
        <v>95.27</v>
      </c>
      <c r="G1366">
        <v>153685.99</v>
      </c>
      <c r="H1366" s="14">
        <v>43767.833333333336</v>
      </c>
    </row>
    <row r="1367" spans="1:8" x14ac:dyDescent="0.25">
      <c r="A1367">
        <v>142</v>
      </c>
      <c r="B1367" t="s">
        <v>275</v>
      </c>
      <c r="C1367">
        <v>15</v>
      </c>
      <c r="D1367">
        <v>0</v>
      </c>
      <c r="E1367">
        <v>0</v>
      </c>
      <c r="F1367">
        <v>105.42</v>
      </c>
      <c r="G1367">
        <v>146044.82999999999</v>
      </c>
      <c r="H1367" s="14">
        <v>43767.833333333336</v>
      </c>
    </row>
    <row r="1368" spans="1:8" x14ac:dyDescent="0.25">
      <c r="A1368">
        <v>143</v>
      </c>
      <c r="B1368" t="s">
        <v>276</v>
      </c>
      <c r="C1368">
        <v>1</v>
      </c>
      <c r="D1368">
        <v>0</v>
      </c>
      <c r="E1368">
        <v>0</v>
      </c>
      <c r="F1368">
        <v>124.32</v>
      </c>
      <c r="G1368">
        <v>188469.29</v>
      </c>
      <c r="H1368" s="14">
        <v>43767.833333333336</v>
      </c>
    </row>
    <row r="1369" spans="1:8" x14ac:dyDescent="0.25">
      <c r="A1369">
        <v>143</v>
      </c>
      <c r="B1369" t="s">
        <v>276</v>
      </c>
      <c r="C1369">
        <v>2</v>
      </c>
      <c r="D1369">
        <v>0</v>
      </c>
      <c r="E1369">
        <v>0</v>
      </c>
      <c r="F1369">
        <v>130.59</v>
      </c>
      <c r="G1369">
        <v>190691.53</v>
      </c>
      <c r="H1369" s="14">
        <v>43767.833333333336</v>
      </c>
    </row>
    <row r="1370" spans="1:8" x14ac:dyDescent="0.25">
      <c r="A1370">
        <v>143</v>
      </c>
      <c r="B1370" t="s">
        <v>276</v>
      </c>
      <c r="C1370">
        <v>3</v>
      </c>
      <c r="D1370">
        <v>0</v>
      </c>
      <c r="E1370">
        <v>0</v>
      </c>
      <c r="F1370">
        <v>137.93</v>
      </c>
      <c r="G1370">
        <v>188997.28</v>
      </c>
      <c r="H1370" s="14">
        <v>43767.833333333336</v>
      </c>
    </row>
    <row r="1371" spans="1:8" x14ac:dyDescent="0.25">
      <c r="A1371">
        <v>143</v>
      </c>
      <c r="B1371" t="s">
        <v>276</v>
      </c>
      <c r="C1371">
        <v>4</v>
      </c>
      <c r="D1371">
        <v>0</v>
      </c>
      <c r="E1371">
        <v>0</v>
      </c>
      <c r="F1371">
        <v>135.74</v>
      </c>
      <c r="G1371">
        <v>176352.52</v>
      </c>
      <c r="H1371" s="14">
        <v>43767.833333333336</v>
      </c>
    </row>
    <row r="1372" spans="1:8" x14ac:dyDescent="0.25">
      <c r="A1372">
        <v>143</v>
      </c>
      <c r="B1372" t="s">
        <v>276</v>
      </c>
      <c r="C1372">
        <v>5</v>
      </c>
      <c r="D1372">
        <v>0</v>
      </c>
      <c r="E1372">
        <v>0</v>
      </c>
      <c r="F1372">
        <v>109.31</v>
      </c>
      <c r="G1372">
        <v>163672.68</v>
      </c>
      <c r="H1372" s="14">
        <v>43767.833333333336</v>
      </c>
    </row>
    <row r="1373" spans="1:8" x14ac:dyDescent="0.25">
      <c r="A1373">
        <v>143</v>
      </c>
      <c r="B1373" t="s">
        <v>276</v>
      </c>
      <c r="C1373">
        <v>6</v>
      </c>
      <c r="D1373">
        <v>0</v>
      </c>
      <c r="E1373">
        <v>0</v>
      </c>
      <c r="F1373">
        <v>121.9</v>
      </c>
      <c r="G1373">
        <v>185839.95</v>
      </c>
      <c r="H1373" s="14">
        <v>43767.833333333336</v>
      </c>
    </row>
    <row r="1374" spans="1:8" x14ac:dyDescent="0.25">
      <c r="A1374">
        <v>143</v>
      </c>
      <c r="B1374" t="s">
        <v>276</v>
      </c>
      <c r="C1374">
        <v>7</v>
      </c>
      <c r="D1374">
        <v>0</v>
      </c>
      <c r="E1374">
        <v>0</v>
      </c>
      <c r="F1374">
        <v>137.34</v>
      </c>
      <c r="G1374">
        <v>188534.43</v>
      </c>
      <c r="H1374" s="14">
        <v>43767.833333333336</v>
      </c>
    </row>
    <row r="1375" spans="1:8" x14ac:dyDescent="0.25">
      <c r="A1375">
        <v>143</v>
      </c>
      <c r="B1375" t="s">
        <v>276</v>
      </c>
      <c r="C1375">
        <v>8</v>
      </c>
      <c r="D1375">
        <v>0</v>
      </c>
      <c r="E1375">
        <v>0</v>
      </c>
      <c r="F1375">
        <v>137.79</v>
      </c>
      <c r="G1375">
        <v>187913.61</v>
      </c>
      <c r="H1375" s="14">
        <v>43767.833333333336</v>
      </c>
    </row>
    <row r="1376" spans="1:8" x14ac:dyDescent="0.25">
      <c r="A1376">
        <v>143</v>
      </c>
      <c r="B1376" t="s">
        <v>276</v>
      </c>
      <c r="C1376">
        <v>9</v>
      </c>
      <c r="D1376">
        <v>0</v>
      </c>
      <c r="E1376">
        <v>0</v>
      </c>
      <c r="F1376">
        <v>138.26</v>
      </c>
      <c r="G1376">
        <v>188148.35</v>
      </c>
      <c r="H1376" s="14">
        <v>43767.833333333336</v>
      </c>
    </row>
    <row r="1377" spans="1:8" x14ac:dyDescent="0.25">
      <c r="A1377">
        <v>143</v>
      </c>
      <c r="B1377" t="s">
        <v>276</v>
      </c>
      <c r="C1377">
        <v>10</v>
      </c>
      <c r="D1377">
        <v>0</v>
      </c>
      <c r="E1377">
        <v>0</v>
      </c>
      <c r="F1377">
        <v>139.28</v>
      </c>
      <c r="G1377">
        <v>187621.91</v>
      </c>
      <c r="H1377" s="14">
        <v>43767.833333333336</v>
      </c>
    </row>
    <row r="1378" spans="1:8" x14ac:dyDescent="0.25">
      <c r="A1378">
        <v>143</v>
      </c>
      <c r="B1378" t="s">
        <v>276</v>
      </c>
      <c r="C1378">
        <v>11</v>
      </c>
      <c r="D1378">
        <v>0</v>
      </c>
      <c r="E1378">
        <v>0</v>
      </c>
      <c r="F1378">
        <v>133.22</v>
      </c>
      <c r="G1378">
        <v>187144.79</v>
      </c>
      <c r="H1378" s="14">
        <v>43767.833333333336</v>
      </c>
    </row>
    <row r="1379" spans="1:8" x14ac:dyDescent="0.25">
      <c r="A1379">
        <v>143</v>
      </c>
      <c r="B1379" t="s">
        <v>276</v>
      </c>
      <c r="C1379">
        <v>12</v>
      </c>
      <c r="D1379">
        <v>0</v>
      </c>
      <c r="E1379">
        <v>0</v>
      </c>
      <c r="F1379">
        <v>122.39</v>
      </c>
      <c r="G1379">
        <v>183177.62</v>
      </c>
      <c r="H1379" s="14">
        <v>43767.833333333336</v>
      </c>
    </row>
    <row r="1380" spans="1:8" x14ac:dyDescent="0.25">
      <c r="A1380">
        <v>143</v>
      </c>
      <c r="B1380" t="s">
        <v>276</v>
      </c>
      <c r="C1380">
        <v>13</v>
      </c>
      <c r="D1380">
        <v>0</v>
      </c>
      <c r="E1380">
        <v>0</v>
      </c>
      <c r="F1380">
        <v>142.85</v>
      </c>
      <c r="G1380">
        <v>193015.58</v>
      </c>
      <c r="H1380" s="14">
        <v>43767.833333333336</v>
      </c>
    </row>
    <row r="1381" spans="1:8" x14ac:dyDescent="0.25">
      <c r="A1381">
        <v>143</v>
      </c>
      <c r="B1381" t="s">
        <v>276</v>
      </c>
      <c r="C1381">
        <v>14</v>
      </c>
      <c r="D1381">
        <v>0</v>
      </c>
      <c r="E1381">
        <v>0</v>
      </c>
      <c r="F1381">
        <v>120.02</v>
      </c>
      <c r="G1381">
        <v>189260.48</v>
      </c>
      <c r="H1381" s="14">
        <v>43767.833333333336</v>
      </c>
    </row>
    <row r="1382" spans="1:8" x14ac:dyDescent="0.25">
      <c r="A1382">
        <v>143</v>
      </c>
      <c r="B1382" t="s">
        <v>276</v>
      </c>
      <c r="C1382">
        <v>15</v>
      </c>
      <c r="D1382">
        <v>0</v>
      </c>
      <c r="E1382">
        <v>0</v>
      </c>
      <c r="F1382">
        <v>141.99</v>
      </c>
      <c r="G1382">
        <v>195881.26</v>
      </c>
      <c r="H1382" s="14">
        <v>43767.833333333336</v>
      </c>
    </row>
    <row r="1383" spans="1:8" x14ac:dyDescent="0.25">
      <c r="A1383">
        <v>144</v>
      </c>
      <c r="B1383" t="s">
        <v>277</v>
      </c>
      <c r="C1383">
        <v>1</v>
      </c>
      <c r="D1383">
        <v>0</v>
      </c>
      <c r="E1383">
        <v>0</v>
      </c>
      <c r="F1383">
        <v>148.71</v>
      </c>
      <c r="G1383">
        <v>175160.39</v>
      </c>
      <c r="H1383" s="14">
        <v>43767.833333333336</v>
      </c>
    </row>
    <row r="1384" spans="1:8" x14ac:dyDescent="0.25">
      <c r="A1384">
        <v>144</v>
      </c>
      <c r="B1384" t="s">
        <v>277</v>
      </c>
      <c r="C1384">
        <v>2</v>
      </c>
      <c r="D1384">
        <v>0</v>
      </c>
      <c r="E1384">
        <v>0</v>
      </c>
      <c r="F1384">
        <v>144.83000000000001</v>
      </c>
      <c r="G1384">
        <v>173737.75</v>
      </c>
      <c r="H1384" s="14">
        <v>43767.833333333336</v>
      </c>
    </row>
    <row r="1385" spans="1:8" x14ac:dyDescent="0.25">
      <c r="A1385">
        <v>144</v>
      </c>
      <c r="B1385" t="s">
        <v>277</v>
      </c>
      <c r="C1385">
        <v>3</v>
      </c>
      <c r="D1385">
        <v>0</v>
      </c>
      <c r="E1385">
        <v>0</v>
      </c>
      <c r="F1385">
        <v>147.93</v>
      </c>
      <c r="G1385">
        <v>177859.86</v>
      </c>
      <c r="H1385" s="14">
        <v>43767.833333333336</v>
      </c>
    </row>
    <row r="1386" spans="1:8" x14ac:dyDescent="0.25">
      <c r="A1386">
        <v>144</v>
      </c>
      <c r="B1386" t="s">
        <v>277</v>
      </c>
      <c r="C1386">
        <v>4</v>
      </c>
      <c r="D1386">
        <v>0</v>
      </c>
      <c r="E1386">
        <v>0</v>
      </c>
      <c r="F1386">
        <v>148.13999999999999</v>
      </c>
      <c r="G1386">
        <v>155876.07</v>
      </c>
      <c r="H1386" s="14">
        <v>43767.833333333336</v>
      </c>
    </row>
    <row r="1387" spans="1:8" x14ac:dyDescent="0.25">
      <c r="A1387">
        <v>144</v>
      </c>
      <c r="B1387" t="s">
        <v>277</v>
      </c>
      <c r="C1387">
        <v>5</v>
      </c>
      <c r="D1387">
        <v>0</v>
      </c>
      <c r="E1387">
        <v>0</v>
      </c>
      <c r="F1387">
        <v>145.97999999999999</v>
      </c>
      <c r="G1387">
        <v>176450.48</v>
      </c>
      <c r="H1387" s="14">
        <v>43767.833333333336</v>
      </c>
    </row>
    <row r="1388" spans="1:8" x14ac:dyDescent="0.25">
      <c r="A1388">
        <v>144</v>
      </c>
      <c r="B1388" t="s">
        <v>277</v>
      </c>
      <c r="C1388">
        <v>6</v>
      </c>
      <c r="D1388">
        <v>0</v>
      </c>
      <c r="E1388">
        <v>0</v>
      </c>
      <c r="F1388">
        <v>145.15</v>
      </c>
      <c r="G1388">
        <v>173833.27</v>
      </c>
      <c r="H1388" s="14">
        <v>43767.833333333336</v>
      </c>
    </row>
    <row r="1389" spans="1:8" x14ac:dyDescent="0.25">
      <c r="A1389">
        <v>144</v>
      </c>
      <c r="B1389" t="s">
        <v>277</v>
      </c>
      <c r="C1389">
        <v>7</v>
      </c>
      <c r="D1389">
        <v>0</v>
      </c>
      <c r="E1389">
        <v>0</v>
      </c>
      <c r="F1389">
        <v>148.55000000000001</v>
      </c>
      <c r="G1389">
        <v>178172.26</v>
      </c>
      <c r="H1389" s="14">
        <v>43767.833333333336</v>
      </c>
    </row>
    <row r="1390" spans="1:8" x14ac:dyDescent="0.25">
      <c r="A1390">
        <v>144</v>
      </c>
      <c r="B1390" t="s">
        <v>277</v>
      </c>
      <c r="C1390">
        <v>8</v>
      </c>
      <c r="D1390">
        <v>0</v>
      </c>
      <c r="E1390">
        <v>0</v>
      </c>
      <c r="F1390">
        <v>141.72</v>
      </c>
      <c r="G1390">
        <v>171235.43</v>
      </c>
      <c r="H1390" s="14">
        <v>43767.833333333336</v>
      </c>
    </row>
    <row r="1391" spans="1:8" x14ac:dyDescent="0.25">
      <c r="A1391">
        <v>144</v>
      </c>
      <c r="B1391" t="s">
        <v>277</v>
      </c>
      <c r="C1391">
        <v>9</v>
      </c>
      <c r="D1391">
        <v>0</v>
      </c>
      <c r="E1391">
        <v>0</v>
      </c>
      <c r="F1391">
        <v>150.28</v>
      </c>
      <c r="G1391">
        <v>169374.43</v>
      </c>
      <c r="H1391" s="14">
        <v>43767.833333333336</v>
      </c>
    </row>
    <row r="1392" spans="1:8" x14ac:dyDescent="0.25">
      <c r="A1392">
        <v>144</v>
      </c>
      <c r="B1392" t="s">
        <v>277</v>
      </c>
      <c r="C1392">
        <v>10</v>
      </c>
      <c r="D1392">
        <v>0</v>
      </c>
      <c r="E1392">
        <v>0</v>
      </c>
      <c r="F1392">
        <v>146.62</v>
      </c>
      <c r="G1392">
        <v>175973.37</v>
      </c>
      <c r="H1392" s="14">
        <v>43767.833333333336</v>
      </c>
    </row>
    <row r="1393" spans="1:8" x14ac:dyDescent="0.25">
      <c r="A1393">
        <v>144</v>
      </c>
      <c r="B1393" t="s">
        <v>277</v>
      </c>
      <c r="C1393">
        <v>11</v>
      </c>
      <c r="D1393">
        <v>0</v>
      </c>
      <c r="E1393">
        <v>0</v>
      </c>
      <c r="F1393">
        <v>153.35</v>
      </c>
      <c r="G1393">
        <v>183080.23</v>
      </c>
      <c r="H1393" s="14">
        <v>43767.833333333336</v>
      </c>
    </row>
    <row r="1394" spans="1:8" x14ac:dyDescent="0.25">
      <c r="A1394">
        <v>144</v>
      </c>
      <c r="B1394" t="s">
        <v>277</v>
      </c>
      <c r="C1394">
        <v>12</v>
      </c>
      <c r="D1394">
        <v>0</v>
      </c>
      <c r="E1394">
        <v>0</v>
      </c>
      <c r="F1394">
        <v>151.57</v>
      </c>
      <c r="G1394">
        <v>176412.19</v>
      </c>
      <c r="H1394" s="14">
        <v>43767.833333333336</v>
      </c>
    </row>
    <row r="1395" spans="1:8" x14ac:dyDescent="0.25">
      <c r="A1395">
        <v>144</v>
      </c>
      <c r="B1395" t="s">
        <v>277</v>
      </c>
      <c r="C1395">
        <v>13</v>
      </c>
      <c r="D1395">
        <v>0</v>
      </c>
      <c r="E1395">
        <v>0</v>
      </c>
      <c r="F1395">
        <v>153.94</v>
      </c>
      <c r="G1395">
        <v>186461.76</v>
      </c>
      <c r="H1395" s="14">
        <v>43767.833333333336</v>
      </c>
    </row>
    <row r="1396" spans="1:8" x14ac:dyDescent="0.25">
      <c r="A1396">
        <v>144</v>
      </c>
      <c r="B1396" t="s">
        <v>277</v>
      </c>
      <c r="C1396">
        <v>14</v>
      </c>
      <c r="D1396">
        <v>0</v>
      </c>
      <c r="E1396">
        <v>0</v>
      </c>
      <c r="F1396">
        <v>147.83000000000001</v>
      </c>
      <c r="G1396">
        <v>184801.8</v>
      </c>
      <c r="H1396" s="14">
        <v>43767.833333333336</v>
      </c>
    </row>
    <row r="1397" spans="1:8" x14ac:dyDescent="0.25">
      <c r="A1397">
        <v>145</v>
      </c>
      <c r="B1397" t="s">
        <v>278</v>
      </c>
      <c r="C1397">
        <v>1</v>
      </c>
      <c r="D1397">
        <v>0</v>
      </c>
      <c r="E1397">
        <v>0</v>
      </c>
      <c r="F1397">
        <v>156.85</v>
      </c>
      <c r="G1397">
        <v>189221.28</v>
      </c>
      <c r="H1397" s="14">
        <v>43767.833333333336</v>
      </c>
    </row>
    <row r="1398" spans="1:8" x14ac:dyDescent="0.25">
      <c r="A1398">
        <v>145</v>
      </c>
      <c r="B1398" t="s">
        <v>278</v>
      </c>
      <c r="C1398">
        <v>2</v>
      </c>
      <c r="D1398">
        <v>0</v>
      </c>
      <c r="E1398">
        <v>0</v>
      </c>
      <c r="F1398">
        <v>151.05000000000001</v>
      </c>
      <c r="G1398">
        <v>182185.82</v>
      </c>
      <c r="H1398" s="14">
        <v>43767.833333333336</v>
      </c>
    </row>
    <row r="1399" spans="1:8" x14ac:dyDescent="0.25">
      <c r="A1399">
        <v>145</v>
      </c>
      <c r="B1399" t="s">
        <v>278</v>
      </c>
      <c r="C1399">
        <v>3</v>
      </c>
      <c r="D1399">
        <v>0</v>
      </c>
      <c r="E1399">
        <v>0</v>
      </c>
      <c r="F1399">
        <v>146.13999999999999</v>
      </c>
      <c r="G1399">
        <v>172180.99</v>
      </c>
      <c r="H1399" s="14">
        <v>43767.833333333336</v>
      </c>
    </row>
    <row r="1400" spans="1:8" x14ac:dyDescent="0.25">
      <c r="A1400">
        <v>145</v>
      </c>
      <c r="B1400" t="s">
        <v>278</v>
      </c>
      <c r="C1400">
        <v>4</v>
      </c>
      <c r="D1400">
        <v>0</v>
      </c>
      <c r="E1400">
        <v>0</v>
      </c>
      <c r="F1400">
        <v>147.97</v>
      </c>
      <c r="G1400">
        <v>181368.55</v>
      </c>
      <c r="H1400" s="14">
        <v>43767.833333333336</v>
      </c>
    </row>
    <row r="1401" spans="1:8" x14ac:dyDescent="0.25">
      <c r="A1401">
        <v>145</v>
      </c>
      <c r="B1401" t="s">
        <v>278</v>
      </c>
      <c r="C1401">
        <v>5</v>
      </c>
      <c r="D1401">
        <v>0</v>
      </c>
      <c r="E1401">
        <v>0</v>
      </c>
      <c r="F1401">
        <v>149.05000000000001</v>
      </c>
      <c r="G1401">
        <v>182079.51</v>
      </c>
      <c r="H1401" s="14">
        <v>43767.833333333336</v>
      </c>
    </row>
    <row r="1402" spans="1:8" x14ac:dyDescent="0.25">
      <c r="A1402">
        <v>145</v>
      </c>
      <c r="B1402" t="s">
        <v>278</v>
      </c>
      <c r="C1402">
        <v>6</v>
      </c>
      <c r="D1402">
        <v>0</v>
      </c>
      <c r="E1402">
        <v>0</v>
      </c>
      <c r="F1402">
        <v>138.43</v>
      </c>
      <c r="G1402">
        <v>167342.65</v>
      </c>
      <c r="H1402" s="14">
        <v>43767.833333333336</v>
      </c>
    </row>
    <row r="1403" spans="1:8" x14ac:dyDescent="0.25">
      <c r="A1403">
        <v>145</v>
      </c>
      <c r="B1403" t="s">
        <v>278</v>
      </c>
      <c r="C1403">
        <v>7</v>
      </c>
      <c r="D1403">
        <v>0</v>
      </c>
      <c r="E1403">
        <v>0</v>
      </c>
      <c r="F1403">
        <v>149.69999999999999</v>
      </c>
      <c r="G1403">
        <v>181082.23</v>
      </c>
      <c r="H1403" s="14">
        <v>43767.833333333336</v>
      </c>
    </row>
    <row r="1404" spans="1:8" x14ac:dyDescent="0.25">
      <c r="A1404">
        <v>145</v>
      </c>
      <c r="B1404" t="s">
        <v>278</v>
      </c>
      <c r="C1404">
        <v>8</v>
      </c>
      <c r="D1404">
        <v>0</v>
      </c>
      <c r="E1404">
        <v>0</v>
      </c>
      <c r="F1404">
        <v>145.25</v>
      </c>
      <c r="G1404">
        <v>178631.88</v>
      </c>
      <c r="H1404" s="14">
        <v>43767.833333333336</v>
      </c>
    </row>
    <row r="1405" spans="1:8" x14ac:dyDescent="0.25">
      <c r="A1405">
        <v>145</v>
      </c>
      <c r="B1405" t="s">
        <v>278</v>
      </c>
      <c r="C1405">
        <v>9</v>
      </c>
      <c r="D1405">
        <v>0</v>
      </c>
      <c r="E1405">
        <v>0</v>
      </c>
      <c r="F1405">
        <v>149.71</v>
      </c>
      <c r="G1405">
        <v>180889.43</v>
      </c>
      <c r="H1405" s="14">
        <v>43767.833333333336</v>
      </c>
    </row>
    <row r="1406" spans="1:8" x14ac:dyDescent="0.25">
      <c r="A1406">
        <v>145</v>
      </c>
      <c r="B1406" t="s">
        <v>278</v>
      </c>
      <c r="C1406">
        <v>10</v>
      </c>
      <c r="D1406">
        <v>0</v>
      </c>
      <c r="E1406">
        <v>0</v>
      </c>
      <c r="F1406">
        <v>141.68</v>
      </c>
      <c r="G1406">
        <v>164717.31</v>
      </c>
      <c r="H1406" s="14">
        <v>43767.833333333336</v>
      </c>
    </row>
    <row r="1407" spans="1:8" x14ac:dyDescent="0.25">
      <c r="A1407">
        <v>145</v>
      </c>
      <c r="B1407" t="s">
        <v>278</v>
      </c>
      <c r="C1407">
        <v>11</v>
      </c>
      <c r="D1407">
        <v>0</v>
      </c>
      <c r="E1407">
        <v>0</v>
      </c>
      <c r="F1407">
        <v>145.71</v>
      </c>
      <c r="G1407">
        <v>178473.74</v>
      </c>
      <c r="H1407" s="14">
        <v>43767.833333333336</v>
      </c>
    </row>
    <row r="1408" spans="1:8" x14ac:dyDescent="0.25">
      <c r="A1408">
        <v>145</v>
      </c>
      <c r="B1408" t="s">
        <v>278</v>
      </c>
      <c r="C1408">
        <v>12</v>
      </c>
      <c r="D1408">
        <v>0</v>
      </c>
      <c r="E1408">
        <v>0</v>
      </c>
      <c r="F1408">
        <v>149.16</v>
      </c>
      <c r="G1408">
        <v>178677.6</v>
      </c>
      <c r="H1408" s="14">
        <v>43767.833333333336</v>
      </c>
    </row>
    <row r="1409" spans="1:8" x14ac:dyDescent="0.25">
      <c r="A1409">
        <v>145</v>
      </c>
      <c r="B1409" t="s">
        <v>278</v>
      </c>
      <c r="C1409">
        <v>13</v>
      </c>
      <c r="D1409">
        <v>0</v>
      </c>
      <c r="E1409">
        <v>0</v>
      </c>
      <c r="F1409">
        <v>155.04</v>
      </c>
      <c r="G1409">
        <v>187880.07</v>
      </c>
      <c r="H1409" s="14">
        <v>43767.833333333336</v>
      </c>
    </row>
    <row r="1410" spans="1:8" x14ac:dyDescent="0.25">
      <c r="A1410">
        <v>145</v>
      </c>
      <c r="B1410" t="s">
        <v>278</v>
      </c>
      <c r="C1410">
        <v>14</v>
      </c>
      <c r="D1410">
        <v>0</v>
      </c>
      <c r="E1410">
        <v>0</v>
      </c>
      <c r="F1410">
        <v>128.53</v>
      </c>
      <c r="G1410">
        <v>148059.54</v>
      </c>
      <c r="H1410" s="14">
        <v>43767.833333333336</v>
      </c>
    </row>
    <row r="1411" spans="1:8" x14ac:dyDescent="0.25">
      <c r="A1411">
        <v>145</v>
      </c>
      <c r="B1411" t="s">
        <v>278</v>
      </c>
      <c r="C1411">
        <v>15</v>
      </c>
      <c r="D1411">
        <v>0</v>
      </c>
      <c r="E1411">
        <v>0</v>
      </c>
      <c r="F1411">
        <v>139.77000000000001</v>
      </c>
      <c r="G1411">
        <v>179173.82</v>
      </c>
      <c r="H1411" s="14">
        <v>43767.833333333336</v>
      </c>
    </row>
    <row r="1412" spans="1:8" x14ac:dyDescent="0.25">
      <c r="A1412">
        <v>146</v>
      </c>
      <c r="B1412" t="s">
        <v>279</v>
      </c>
      <c r="C1412">
        <v>1</v>
      </c>
      <c r="D1412">
        <v>0</v>
      </c>
      <c r="E1412">
        <v>0</v>
      </c>
      <c r="F1412">
        <v>146.62</v>
      </c>
      <c r="G1412">
        <v>176911.13</v>
      </c>
      <c r="H1412" s="14">
        <v>43767.833333333336</v>
      </c>
    </row>
    <row r="1413" spans="1:8" x14ac:dyDescent="0.25">
      <c r="A1413">
        <v>146</v>
      </c>
      <c r="B1413" t="s">
        <v>279</v>
      </c>
      <c r="C1413">
        <v>2</v>
      </c>
      <c r="D1413">
        <v>0</v>
      </c>
      <c r="E1413">
        <v>0</v>
      </c>
      <c r="F1413">
        <v>149.85</v>
      </c>
      <c r="G1413">
        <v>181707.34</v>
      </c>
      <c r="H1413" s="14">
        <v>43767.833333333336</v>
      </c>
    </row>
    <row r="1414" spans="1:8" x14ac:dyDescent="0.25">
      <c r="A1414">
        <v>146</v>
      </c>
      <c r="B1414" t="s">
        <v>279</v>
      </c>
      <c r="C1414">
        <v>3</v>
      </c>
      <c r="D1414">
        <v>0</v>
      </c>
      <c r="E1414">
        <v>0</v>
      </c>
      <c r="F1414">
        <v>146.99</v>
      </c>
      <c r="G1414">
        <v>177436.72</v>
      </c>
      <c r="H1414" s="14">
        <v>43767.833333333336</v>
      </c>
    </row>
    <row r="1415" spans="1:8" x14ac:dyDescent="0.25">
      <c r="A1415">
        <v>146</v>
      </c>
      <c r="B1415" t="s">
        <v>279</v>
      </c>
      <c r="C1415">
        <v>4</v>
      </c>
      <c r="D1415">
        <v>0</v>
      </c>
      <c r="E1415">
        <v>0</v>
      </c>
      <c r="F1415">
        <v>145.13</v>
      </c>
      <c r="G1415">
        <v>176240.77</v>
      </c>
      <c r="H1415" s="14">
        <v>43767.833333333336</v>
      </c>
    </row>
    <row r="1416" spans="1:8" x14ac:dyDescent="0.25">
      <c r="A1416">
        <v>146</v>
      </c>
      <c r="B1416" t="s">
        <v>279</v>
      </c>
      <c r="C1416">
        <v>5</v>
      </c>
      <c r="D1416">
        <v>0</v>
      </c>
      <c r="E1416">
        <v>0</v>
      </c>
      <c r="F1416">
        <v>148.61000000000001</v>
      </c>
      <c r="G1416">
        <v>179097.42</v>
      </c>
      <c r="H1416" s="14">
        <v>43767.833333333336</v>
      </c>
    </row>
    <row r="1417" spans="1:8" x14ac:dyDescent="0.25">
      <c r="A1417">
        <v>146</v>
      </c>
      <c r="B1417" t="s">
        <v>279</v>
      </c>
      <c r="C1417">
        <v>6</v>
      </c>
      <c r="D1417">
        <v>0</v>
      </c>
      <c r="E1417">
        <v>0</v>
      </c>
      <c r="F1417">
        <v>145.72999999999999</v>
      </c>
      <c r="G1417">
        <v>176495.93</v>
      </c>
      <c r="H1417" s="14">
        <v>43767.833333333336</v>
      </c>
    </row>
    <row r="1418" spans="1:8" x14ac:dyDescent="0.25">
      <c r="A1418">
        <v>146</v>
      </c>
      <c r="B1418" t="s">
        <v>279</v>
      </c>
      <c r="C1418">
        <v>7</v>
      </c>
      <c r="D1418">
        <v>0</v>
      </c>
      <c r="E1418">
        <v>0</v>
      </c>
      <c r="F1418">
        <v>144.54</v>
      </c>
      <c r="G1418">
        <v>177175.7</v>
      </c>
      <c r="H1418" s="14">
        <v>43767.833333333336</v>
      </c>
    </row>
    <row r="1419" spans="1:8" x14ac:dyDescent="0.25">
      <c r="A1419">
        <v>146</v>
      </c>
      <c r="B1419" t="s">
        <v>279</v>
      </c>
      <c r="C1419">
        <v>8</v>
      </c>
      <c r="D1419">
        <v>0</v>
      </c>
      <c r="E1419">
        <v>0</v>
      </c>
      <c r="F1419">
        <v>150.54</v>
      </c>
      <c r="G1419">
        <v>184955.42</v>
      </c>
      <c r="H1419" s="14">
        <v>43767.833333333336</v>
      </c>
    </row>
    <row r="1420" spans="1:8" x14ac:dyDescent="0.25">
      <c r="A1420">
        <v>146</v>
      </c>
      <c r="B1420" t="s">
        <v>279</v>
      </c>
      <c r="C1420">
        <v>9</v>
      </c>
      <c r="D1420">
        <v>0</v>
      </c>
      <c r="E1420">
        <v>0</v>
      </c>
      <c r="F1420">
        <v>149.63</v>
      </c>
      <c r="G1420">
        <v>183066.21</v>
      </c>
      <c r="H1420" s="14">
        <v>43767.833333333336</v>
      </c>
    </row>
    <row r="1421" spans="1:8" x14ac:dyDescent="0.25">
      <c r="A1421">
        <v>147</v>
      </c>
      <c r="B1421" t="s">
        <v>280</v>
      </c>
      <c r="C1421">
        <v>1</v>
      </c>
      <c r="D1421">
        <v>0</v>
      </c>
      <c r="E1421">
        <v>0</v>
      </c>
      <c r="F1421">
        <v>116.37</v>
      </c>
      <c r="G1421">
        <v>175940.96</v>
      </c>
      <c r="H1421" s="14">
        <v>43767.833333333336</v>
      </c>
    </row>
    <row r="1422" spans="1:8" x14ac:dyDescent="0.25">
      <c r="A1422">
        <v>147</v>
      </c>
      <c r="B1422" t="s">
        <v>280</v>
      </c>
      <c r="C1422">
        <v>2</v>
      </c>
      <c r="D1422">
        <v>0</v>
      </c>
      <c r="E1422">
        <v>0</v>
      </c>
      <c r="F1422">
        <v>115.78</v>
      </c>
      <c r="G1422">
        <v>26545.200000000001</v>
      </c>
      <c r="H1422" s="14">
        <v>43767.833333333336</v>
      </c>
    </row>
    <row r="1423" spans="1:8" x14ac:dyDescent="0.25">
      <c r="A1423">
        <v>147</v>
      </c>
      <c r="B1423" t="s">
        <v>280</v>
      </c>
      <c r="C1423">
        <v>3</v>
      </c>
      <c r="D1423">
        <v>0</v>
      </c>
      <c r="E1423">
        <v>0</v>
      </c>
      <c r="F1423">
        <v>106.29</v>
      </c>
      <c r="G1423">
        <v>170797.99</v>
      </c>
      <c r="H1423" s="14">
        <v>43767.833333333336</v>
      </c>
    </row>
    <row r="1424" spans="1:8" x14ac:dyDescent="0.25">
      <c r="A1424">
        <v>147</v>
      </c>
      <c r="B1424" t="s">
        <v>280</v>
      </c>
      <c r="C1424">
        <v>4</v>
      </c>
      <c r="D1424">
        <v>0</v>
      </c>
      <c r="E1424">
        <v>0</v>
      </c>
      <c r="F1424">
        <v>104.78</v>
      </c>
      <c r="G1424">
        <v>169719.38</v>
      </c>
      <c r="H1424" s="14">
        <v>43767.833333333336</v>
      </c>
    </row>
    <row r="1425" spans="1:8" x14ac:dyDescent="0.25">
      <c r="A1425">
        <v>147</v>
      </c>
      <c r="B1425" t="s">
        <v>280</v>
      </c>
      <c r="C1425">
        <v>5</v>
      </c>
      <c r="D1425">
        <v>0</v>
      </c>
      <c r="E1425">
        <v>0</v>
      </c>
      <c r="F1425">
        <v>116.24</v>
      </c>
      <c r="G1425">
        <v>172963.29</v>
      </c>
      <c r="H1425" s="14">
        <v>43767.833333333336</v>
      </c>
    </row>
    <row r="1426" spans="1:8" x14ac:dyDescent="0.25">
      <c r="A1426">
        <v>147</v>
      </c>
      <c r="B1426" t="s">
        <v>280</v>
      </c>
      <c r="C1426">
        <v>6</v>
      </c>
      <c r="D1426">
        <v>0</v>
      </c>
      <c r="E1426">
        <v>0</v>
      </c>
      <c r="F1426">
        <v>106.4</v>
      </c>
      <c r="G1426">
        <v>164383.54</v>
      </c>
      <c r="H1426" s="14">
        <v>43767.833333333336</v>
      </c>
    </row>
    <row r="1427" spans="1:8" x14ac:dyDescent="0.25">
      <c r="A1427">
        <v>147</v>
      </c>
      <c r="B1427" t="s">
        <v>280</v>
      </c>
      <c r="C1427">
        <v>7</v>
      </c>
      <c r="D1427">
        <v>0</v>
      </c>
      <c r="E1427">
        <v>0</v>
      </c>
      <c r="F1427">
        <v>109.17</v>
      </c>
      <c r="G1427">
        <v>154878.51</v>
      </c>
      <c r="H1427" s="14">
        <v>43767.833333333336</v>
      </c>
    </row>
    <row r="1428" spans="1:8" x14ac:dyDescent="0.25">
      <c r="A1428">
        <v>147</v>
      </c>
      <c r="B1428" t="s">
        <v>280</v>
      </c>
      <c r="C1428">
        <v>8</v>
      </c>
      <c r="D1428">
        <v>0</v>
      </c>
      <c r="E1428">
        <v>0</v>
      </c>
      <c r="F1428">
        <v>115.96</v>
      </c>
      <c r="G1428">
        <v>173847.59</v>
      </c>
      <c r="H1428" s="14">
        <v>43767.833333333336</v>
      </c>
    </row>
    <row r="1429" spans="1:8" x14ac:dyDescent="0.25">
      <c r="A1429">
        <v>147</v>
      </c>
      <c r="B1429" t="s">
        <v>280</v>
      </c>
      <c r="C1429">
        <v>9</v>
      </c>
      <c r="D1429">
        <v>0</v>
      </c>
      <c r="E1429">
        <v>0</v>
      </c>
      <c r="F1429">
        <v>108.66</v>
      </c>
      <c r="G1429">
        <v>166512.45000000001</v>
      </c>
      <c r="H1429" s="14">
        <v>43767.833333333336</v>
      </c>
    </row>
    <row r="1430" spans="1:8" x14ac:dyDescent="0.25">
      <c r="A1430">
        <v>148</v>
      </c>
      <c r="B1430" t="s">
        <v>281</v>
      </c>
      <c r="C1430">
        <v>1</v>
      </c>
      <c r="D1430">
        <v>0</v>
      </c>
      <c r="E1430">
        <v>0</v>
      </c>
      <c r="F1430">
        <v>158.19999999999999</v>
      </c>
      <c r="G1430">
        <v>34472.199999999997</v>
      </c>
      <c r="H1430" s="14">
        <v>43767.833333333336</v>
      </c>
    </row>
    <row r="1431" spans="1:8" x14ac:dyDescent="0.25">
      <c r="A1431">
        <v>148</v>
      </c>
      <c r="B1431" t="s">
        <v>281</v>
      </c>
      <c r="C1431">
        <v>2</v>
      </c>
      <c r="D1431">
        <v>0</v>
      </c>
      <c r="E1431">
        <v>0</v>
      </c>
      <c r="F1431">
        <v>146.9</v>
      </c>
      <c r="G1431">
        <v>12004</v>
      </c>
      <c r="H1431" s="14">
        <v>43767.833333333336</v>
      </c>
    </row>
    <row r="1432" spans="1:8" x14ac:dyDescent="0.25">
      <c r="A1432">
        <v>148</v>
      </c>
      <c r="B1432" t="s">
        <v>281</v>
      </c>
      <c r="C1432">
        <v>3</v>
      </c>
      <c r="D1432">
        <v>0</v>
      </c>
      <c r="E1432">
        <v>0</v>
      </c>
      <c r="F1432">
        <v>124.3</v>
      </c>
      <c r="G1432">
        <v>39992.5</v>
      </c>
      <c r="H1432" s="14">
        <v>43767.833333333336</v>
      </c>
    </row>
    <row r="1433" spans="1:8" x14ac:dyDescent="0.25">
      <c r="A1433">
        <v>148</v>
      </c>
      <c r="B1433" t="s">
        <v>281</v>
      </c>
      <c r="C1433">
        <v>4</v>
      </c>
      <c r="D1433">
        <v>0</v>
      </c>
      <c r="E1433">
        <v>0</v>
      </c>
      <c r="F1433">
        <v>144.9</v>
      </c>
      <c r="G1433">
        <v>50609.5</v>
      </c>
      <c r="H1433" s="14">
        <v>43767.833333333336</v>
      </c>
    </row>
    <row r="1434" spans="1:8" x14ac:dyDescent="0.25">
      <c r="A1434">
        <v>148</v>
      </c>
      <c r="B1434" t="s">
        <v>281</v>
      </c>
      <c r="C1434">
        <v>5</v>
      </c>
      <c r="D1434">
        <v>0</v>
      </c>
      <c r="E1434">
        <v>0</v>
      </c>
      <c r="F1434">
        <v>132.19999999999999</v>
      </c>
      <c r="G1434">
        <v>58538.3</v>
      </c>
      <c r="H1434" s="14">
        <v>43767.833333333336</v>
      </c>
    </row>
    <row r="1435" spans="1:8" x14ac:dyDescent="0.25">
      <c r="A1435">
        <v>148</v>
      </c>
      <c r="B1435" t="s">
        <v>281</v>
      </c>
      <c r="C1435">
        <v>6</v>
      </c>
      <c r="D1435">
        <v>0</v>
      </c>
      <c r="E1435">
        <v>0</v>
      </c>
      <c r="F1435">
        <v>117.2</v>
      </c>
      <c r="G1435">
        <v>53638.400000000001</v>
      </c>
      <c r="H1435" s="14">
        <v>43767.833333333336</v>
      </c>
    </row>
    <row r="1436" spans="1:8" x14ac:dyDescent="0.25">
      <c r="A1436">
        <v>148</v>
      </c>
      <c r="B1436" t="s">
        <v>281</v>
      </c>
      <c r="C1436">
        <v>7</v>
      </c>
      <c r="D1436">
        <v>0</v>
      </c>
      <c r="E1436">
        <v>0</v>
      </c>
      <c r="F1436">
        <v>151.1</v>
      </c>
      <c r="G1436">
        <v>64397.7</v>
      </c>
      <c r="H1436" s="14">
        <v>43767.833333333336</v>
      </c>
    </row>
    <row r="1437" spans="1:8" x14ac:dyDescent="0.25">
      <c r="A1437">
        <v>148</v>
      </c>
      <c r="B1437" t="s">
        <v>281</v>
      </c>
      <c r="C1437">
        <v>8</v>
      </c>
      <c r="D1437">
        <v>0</v>
      </c>
      <c r="E1437">
        <v>0</v>
      </c>
      <c r="F1437">
        <v>147.6</v>
      </c>
      <c r="G1437">
        <v>63875.9</v>
      </c>
      <c r="H1437" s="14">
        <v>43767.833333333336</v>
      </c>
    </row>
    <row r="1438" spans="1:8" x14ac:dyDescent="0.25">
      <c r="A1438">
        <v>148</v>
      </c>
      <c r="B1438" t="s">
        <v>281</v>
      </c>
      <c r="C1438">
        <v>9</v>
      </c>
      <c r="D1438">
        <v>0</v>
      </c>
      <c r="E1438">
        <v>0</v>
      </c>
      <c r="F1438">
        <v>158.6</v>
      </c>
      <c r="G1438">
        <v>71840.899999999994</v>
      </c>
      <c r="H1438" s="14">
        <v>43767.833333333336</v>
      </c>
    </row>
    <row r="1439" spans="1:8" x14ac:dyDescent="0.25">
      <c r="A1439">
        <v>148</v>
      </c>
      <c r="B1439" t="s">
        <v>281</v>
      </c>
      <c r="C1439">
        <v>10</v>
      </c>
      <c r="D1439">
        <v>0</v>
      </c>
      <c r="E1439">
        <v>0</v>
      </c>
      <c r="F1439">
        <v>113.3</v>
      </c>
      <c r="G1439">
        <v>66420.399999999994</v>
      </c>
      <c r="H1439" s="14">
        <v>43767.833333333336</v>
      </c>
    </row>
    <row r="1440" spans="1:8" x14ac:dyDescent="0.25">
      <c r="A1440">
        <v>149</v>
      </c>
      <c r="B1440" t="s">
        <v>282</v>
      </c>
      <c r="C1440">
        <v>1</v>
      </c>
      <c r="D1440">
        <v>0</v>
      </c>
      <c r="E1440">
        <v>0</v>
      </c>
      <c r="F1440">
        <v>85.01</v>
      </c>
      <c r="G1440">
        <v>54848.59</v>
      </c>
      <c r="H1440" s="14">
        <v>43767.833333333336</v>
      </c>
    </row>
    <row r="1441" spans="1:8" x14ac:dyDescent="0.25">
      <c r="A1441">
        <v>149</v>
      </c>
      <c r="B1441" t="s">
        <v>282</v>
      </c>
      <c r="C1441">
        <v>2</v>
      </c>
      <c r="D1441">
        <v>0</v>
      </c>
      <c r="E1441">
        <v>0</v>
      </c>
      <c r="F1441">
        <v>86.86</v>
      </c>
      <c r="G1441">
        <v>56308.29</v>
      </c>
      <c r="H1441" s="14">
        <v>43767.833333333336</v>
      </c>
    </row>
    <row r="1442" spans="1:8" x14ac:dyDescent="0.25">
      <c r="A1442">
        <v>149</v>
      </c>
      <c r="B1442" t="s">
        <v>282</v>
      </c>
      <c r="C1442">
        <v>3</v>
      </c>
      <c r="D1442">
        <v>0</v>
      </c>
      <c r="E1442">
        <v>0</v>
      </c>
      <c r="F1442">
        <v>84.45</v>
      </c>
      <c r="G1442">
        <v>55140.88</v>
      </c>
      <c r="H1442" s="14">
        <v>43767.833333333336</v>
      </c>
    </row>
    <row r="1443" spans="1:8" x14ac:dyDescent="0.25">
      <c r="A1443">
        <v>149</v>
      </c>
      <c r="B1443" t="s">
        <v>282</v>
      </c>
      <c r="C1443">
        <v>4</v>
      </c>
      <c r="D1443">
        <v>0</v>
      </c>
      <c r="E1443">
        <v>0</v>
      </c>
      <c r="F1443">
        <v>67.680000000000007</v>
      </c>
      <c r="G1443">
        <v>48563.72</v>
      </c>
      <c r="H1443" s="14">
        <v>43767.833333333336</v>
      </c>
    </row>
    <row r="1444" spans="1:8" x14ac:dyDescent="0.25">
      <c r="A1444">
        <v>149</v>
      </c>
      <c r="B1444" t="s">
        <v>282</v>
      </c>
      <c r="C1444">
        <v>5</v>
      </c>
      <c r="D1444">
        <v>0</v>
      </c>
      <c r="E1444">
        <v>0</v>
      </c>
      <c r="F1444">
        <v>93.69</v>
      </c>
      <c r="G1444">
        <v>56668.95</v>
      </c>
      <c r="H1444" s="14">
        <v>43767.833333333336</v>
      </c>
    </row>
    <row r="1445" spans="1:8" x14ac:dyDescent="0.25">
      <c r="A1445">
        <v>149</v>
      </c>
      <c r="B1445" t="s">
        <v>282</v>
      </c>
      <c r="C1445">
        <v>6</v>
      </c>
      <c r="D1445">
        <v>0</v>
      </c>
      <c r="E1445">
        <v>0</v>
      </c>
      <c r="F1445">
        <v>37.729999999999997</v>
      </c>
      <c r="G1445">
        <v>27132.07</v>
      </c>
      <c r="H1445" s="14">
        <v>43767.833333333336</v>
      </c>
    </row>
    <row r="1446" spans="1:8" x14ac:dyDescent="0.25">
      <c r="A1446">
        <v>149</v>
      </c>
      <c r="B1446" t="s">
        <v>282</v>
      </c>
      <c r="C1446">
        <v>7</v>
      </c>
      <c r="D1446">
        <v>0</v>
      </c>
      <c r="E1446">
        <v>0</v>
      </c>
      <c r="F1446">
        <v>36.58</v>
      </c>
      <c r="G1446">
        <v>26806.87</v>
      </c>
      <c r="H1446" s="14">
        <v>43767.833333333336</v>
      </c>
    </row>
    <row r="1447" spans="1:8" x14ac:dyDescent="0.25">
      <c r="A1447">
        <v>150</v>
      </c>
      <c r="B1447" t="s">
        <v>283</v>
      </c>
      <c r="C1447">
        <v>1</v>
      </c>
      <c r="D1447">
        <v>0</v>
      </c>
      <c r="E1447">
        <v>0</v>
      </c>
      <c r="F1447">
        <v>62.46</v>
      </c>
      <c r="G1447">
        <v>57924.53</v>
      </c>
      <c r="H1447" s="14">
        <v>43767.833333333336</v>
      </c>
    </row>
    <row r="1448" spans="1:8" x14ac:dyDescent="0.25">
      <c r="A1448">
        <v>150</v>
      </c>
      <c r="B1448" t="s">
        <v>283</v>
      </c>
      <c r="C1448">
        <v>2</v>
      </c>
      <c r="D1448">
        <v>0</v>
      </c>
      <c r="E1448">
        <v>0</v>
      </c>
      <c r="F1448">
        <v>63.15</v>
      </c>
      <c r="G1448">
        <v>58657.93</v>
      </c>
      <c r="H1448" s="14">
        <v>43767.833333333336</v>
      </c>
    </row>
    <row r="1449" spans="1:8" x14ac:dyDescent="0.25">
      <c r="A1449">
        <v>150</v>
      </c>
      <c r="B1449" t="s">
        <v>283</v>
      </c>
      <c r="C1449">
        <v>3</v>
      </c>
      <c r="D1449">
        <v>0</v>
      </c>
      <c r="E1449">
        <v>0</v>
      </c>
      <c r="F1449">
        <v>65.89</v>
      </c>
      <c r="G1449">
        <v>61667.46</v>
      </c>
      <c r="H1449" s="14">
        <v>43767.833333333336</v>
      </c>
    </row>
    <row r="1450" spans="1:8" x14ac:dyDescent="0.25">
      <c r="A1450">
        <v>150</v>
      </c>
      <c r="B1450" t="s">
        <v>283</v>
      </c>
      <c r="C1450">
        <v>4</v>
      </c>
      <c r="D1450">
        <v>0</v>
      </c>
      <c r="E1450">
        <v>0</v>
      </c>
      <c r="F1450">
        <v>54.58</v>
      </c>
      <c r="G1450">
        <v>55860.41</v>
      </c>
      <c r="H1450" s="14">
        <v>43767.833333333336</v>
      </c>
    </row>
    <row r="1451" spans="1:8" x14ac:dyDescent="0.25">
      <c r="A1451">
        <v>150</v>
      </c>
      <c r="B1451" t="s">
        <v>283</v>
      </c>
      <c r="C1451">
        <v>5</v>
      </c>
      <c r="D1451">
        <v>0</v>
      </c>
      <c r="E1451">
        <v>0</v>
      </c>
      <c r="F1451">
        <v>68.16</v>
      </c>
      <c r="G1451">
        <v>59992.57</v>
      </c>
      <c r="H1451" s="14">
        <v>43767.833333333336</v>
      </c>
    </row>
    <row r="1452" spans="1:8" x14ac:dyDescent="0.25">
      <c r="A1452">
        <v>151</v>
      </c>
      <c r="B1452" t="s">
        <v>284</v>
      </c>
      <c r="C1452">
        <v>1</v>
      </c>
      <c r="D1452">
        <v>0</v>
      </c>
      <c r="E1452">
        <v>0</v>
      </c>
      <c r="F1452">
        <v>122.9</v>
      </c>
      <c r="G1452">
        <v>51452.6</v>
      </c>
      <c r="H1452" s="14">
        <v>43767.833333333336</v>
      </c>
    </row>
    <row r="1453" spans="1:8" x14ac:dyDescent="0.25">
      <c r="A1453">
        <v>151</v>
      </c>
      <c r="B1453" t="s">
        <v>284</v>
      </c>
      <c r="C1453">
        <v>2</v>
      </c>
      <c r="D1453">
        <v>0</v>
      </c>
      <c r="E1453">
        <v>0</v>
      </c>
      <c r="F1453">
        <v>105.8</v>
      </c>
      <c r="G1453">
        <v>48650</v>
      </c>
      <c r="H1453" s="14">
        <v>43767.833333333336</v>
      </c>
    </row>
    <row r="1454" spans="1:8" x14ac:dyDescent="0.25">
      <c r="A1454">
        <v>151</v>
      </c>
      <c r="B1454" t="s">
        <v>284</v>
      </c>
      <c r="C1454">
        <v>3</v>
      </c>
      <c r="D1454">
        <v>0</v>
      </c>
      <c r="E1454">
        <v>0</v>
      </c>
      <c r="F1454">
        <v>110.9</v>
      </c>
      <c r="G1454">
        <v>36548.1</v>
      </c>
      <c r="H1454" s="14">
        <v>43767.833333333336</v>
      </c>
    </row>
    <row r="1455" spans="1:8" x14ac:dyDescent="0.25">
      <c r="A1455">
        <v>151</v>
      </c>
      <c r="B1455" t="s">
        <v>284</v>
      </c>
      <c r="C1455">
        <v>4</v>
      </c>
      <c r="D1455">
        <v>0</v>
      </c>
      <c r="E1455">
        <v>0</v>
      </c>
      <c r="F1455">
        <v>119</v>
      </c>
      <c r="G1455">
        <v>51224.2</v>
      </c>
      <c r="H1455" s="14">
        <v>43767.833333333336</v>
      </c>
    </row>
    <row r="1456" spans="1:8" x14ac:dyDescent="0.25">
      <c r="A1456">
        <v>151</v>
      </c>
      <c r="B1456" t="s">
        <v>284</v>
      </c>
      <c r="C1456">
        <v>5</v>
      </c>
      <c r="D1456">
        <v>0</v>
      </c>
      <c r="E1456">
        <v>0</v>
      </c>
      <c r="F1456">
        <v>120.5</v>
      </c>
      <c r="G1456">
        <v>52919.5</v>
      </c>
      <c r="H1456" s="14">
        <v>43767.833333333336</v>
      </c>
    </row>
    <row r="1457" spans="1:8" x14ac:dyDescent="0.25">
      <c r="A1457">
        <v>151</v>
      </c>
      <c r="B1457" t="s">
        <v>284</v>
      </c>
      <c r="C1457">
        <v>6</v>
      </c>
      <c r="D1457">
        <v>0</v>
      </c>
      <c r="E1457">
        <v>0</v>
      </c>
      <c r="F1457">
        <v>83.4</v>
      </c>
      <c r="G1457">
        <v>36702.699999999997</v>
      </c>
      <c r="H1457" s="14">
        <v>43767.833333333336</v>
      </c>
    </row>
    <row r="1458" spans="1:8" x14ac:dyDescent="0.25">
      <c r="A1458">
        <v>152</v>
      </c>
      <c r="B1458" t="s">
        <v>285</v>
      </c>
      <c r="C1458">
        <v>1</v>
      </c>
      <c r="D1458">
        <v>0</v>
      </c>
      <c r="E1458">
        <v>0</v>
      </c>
      <c r="F1458">
        <v>91.76</v>
      </c>
      <c r="G1458">
        <v>51950.66</v>
      </c>
      <c r="H1458" s="14">
        <v>43767.833333333336</v>
      </c>
    </row>
    <row r="1459" spans="1:8" x14ac:dyDescent="0.25">
      <c r="A1459">
        <v>152</v>
      </c>
      <c r="B1459" t="s">
        <v>285</v>
      </c>
      <c r="C1459">
        <v>2</v>
      </c>
      <c r="D1459">
        <v>0</v>
      </c>
      <c r="E1459">
        <v>0</v>
      </c>
      <c r="F1459">
        <v>94.63</v>
      </c>
      <c r="G1459">
        <v>53656.17</v>
      </c>
      <c r="H1459" s="14">
        <v>43767.833333333336</v>
      </c>
    </row>
    <row r="1460" spans="1:8" x14ac:dyDescent="0.25">
      <c r="A1460">
        <v>152</v>
      </c>
      <c r="B1460" t="s">
        <v>285</v>
      </c>
      <c r="C1460">
        <v>3</v>
      </c>
      <c r="D1460">
        <v>0</v>
      </c>
      <c r="E1460">
        <v>0</v>
      </c>
      <c r="F1460">
        <v>94.39</v>
      </c>
      <c r="G1460">
        <v>53608.94</v>
      </c>
      <c r="H1460" s="14">
        <v>43767.833333333336</v>
      </c>
    </row>
    <row r="1461" spans="1:8" x14ac:dyDescent="0.25">
      <c r="A1461">
        <v>152</v>
      </c>
      <c r="B1461" t="s">
        <v>285</v>
      </c>
      <c r="C1461">
        <v>4</v>
      </c>
      <c r="D1461">
        <v>0</v>
      </c>
      <c r="E1461">
        <v>0</v>
      </c>
      <c r="F1461">
        <v>92.76</v>
      </c>
      <c r="G1461">
        <v>53001.37</v>
      </c>
      <c r="H1461" s="14">
        <v>43767.833333333336</v>
      </c>
    </row>
    <row r="1462" spans="1:8" x14ac:dyDescent="0.25">
      <c r="A1462">
        <v>152</v>
      </c>
      <c r="B1462" t="s">
        <v>285</v>
      </c>
      <c r="C1462">
        <v>5</v>
      </c>
      <c r="D1462">
        <v>0</v>
      </c>
      <c r="E1462">
        <v>0</v>
      </c>
      <c r="F1462">
        <v>87.83</v>
      </c>
      <c r="G1462">
        <v>50375.28</v>
      </c>
      <c r="H1462" s="14">
        <v>43767.833333333336</v>
      </c>
    </row>
    <row r="1463" spans="1:8" x14ac:dyDescent="0.25">
      <c r="A1463">
        <v>152</v>
      </c>
      <c r="B1463" t="s">
        <v>285</v>
      </c>
      <c r="C1463">
        <v>6</v>
      </c>
      <c r="D1463">
        <v>0</v>
      </c>
      <c r="E1463">
        <v>0</v>
      </c>
      <c r="F1463">
        <v>90.83</v>
      </c>
      <c r="G1463">
        <v>51270.55</v>
      </c>
      <c r="H1463" s="14">
        <v>43767.833333333336</v>
      </c>
    </row>
    <row r="1464" spans="1:8" x14ac:dyDescent="0.25">
      <c r="A1464">
        <v>152</v>
      </c>
      <c r="B1464" t="s">
        <v>285</v>
      </c>
      <c r="C1464">
        <v>7</v>
      </c>
      <c r="D1464">
        <v>0</v>
      </c>
      <c r="E1464">
        <v>0</v>
      </c>
      <c r="F1464">
        <v>93.93</v>
      </c>
      <c r="G1464">
        <v>53940.81</v>
      </c>
      <c r="H1464" s="14">
        <v>43767.833333333336</v>
      </c>
    </row>
    <row r="1465" spans="1:8" x14ac:dyDescent="0.25">
      <c r="A1465">
        <v>152</v>
      </c>
      <c r="B1465" t="s">
        <v>285</v>
      </c>
      <c r="C1465">
        <v>8</v>
      </c>
      <c r="D1465">
        <v>0</v>
      </c>
      <c r="E1465">
        <v>0</v>
      </c>
      <c r="F1465">
        <v>91.65</v>
      </c>
      <c r="G1465">
        <v>51582.58</v>
      </c>
      <c r="H1465" s="14">
        <v>43767.833333333336</v>
      </c>
    </row>
    <row r="1466" spans="1:8" x14ac:dyDescent="0.25">
      <c r="A1466">
        <v>152</v>
      </c>
      <c r="B1466" t="s">
        <v>285</v>
      </c>
      <c r="C1466">
        <v>9</v>
      </c>
      <c r="D1466">
        <v>0</v>
      </c>
      <c r="E1466">
        <v>0</v>
      </c>
      <c r="F1466">
        <v>87.08</v>
      </c>
      <c r="G1466">
        <v>49595.55</v>
      </c>
      <c r="H1466" s="14">
        <v>43767.833333333336</v>
      </c>
    </row>
    <row r="1467" spans="1:8" x14ac:dyDescent="0.25">
      <c r="A1467">
        <v>152</v>
      </c>
      <c r="B1467" t="s">
        <v>285</v>
      </c>
      <c r="C1467">
        <v>10</v>
      </c>
      <c r="D1467">
        <v>0</v>
      </c>
      <c r="E1467">
        <v>0</v>
      </c>
      <c r="F1467">
        <v>91.46</v>
      </c>
      <c r="G1467">
        <v>51903.6</v>
      </c>
      <c r="H1467" s="14">
        <v>43767.833333333336</v>
      </c>
    </row>
    <row r="1468" spans="1:8" x14ac:dyDescent="0.25">
      <c r="A1468">
        <v>153</v>
      </c>
      <c r="B1468" t="s">
        <v>286</v>
      </c>
      <c r="C1468">
        <v>1</v>
      </c>
      <c r="D1468">
        <v>0</v>
      </c>
      <c r="E1468">
        <v>0</v>
      </c>
      <c r="F1468">
        <v>127.08</v>
      </c>
      <c r="G1468">
        <v>51518.65</v>
      </c>
      <c r="H1468" s="14">
        <v>43767.833333333336</v>
      </c>
    </row>
    <row r="1469" spans="1:8" x14ac:dyDescent="0.25">
      <c r="A1469">
        <v>153</v>
      </c>
      <c r="B1469" t="s">
        <v>286</v>
      </c>
      <c r="C1469">
        <v>2</v>
      </c>
      <c r="D1469">
        <v>0</v>
      </c>
      <c r="E1469">
        <v>0</v>
      </c>
      <c r="F1469">
        <v>126.89</v>
      </c>
      <c r="G1469">
        <v>51156.42</v>
      </c>
      <c r="H1469" s="14">
        <v>43767.833333333336</v>
      </c>
    </row>
    <row r="1470" spans="1:8" x14ac:dyDescent="0.25">
      <c r="A1470">
        <v>153</v>
      </c>
      <c r="B1470" t="s">
        <v>286</v>
      </c>
      <c r="C1470">
        <v>3</v>
      </c>
      <c r="D1470">
        <v>0</v>
      </c>
      <c r="E1470">
        <v>0</v>
      </c>
      <c r="F1470">
        <v>140.63</v>
      </c>
      <c r="G1470">
        <v>56793.85</v>
      </c>
      <c r="H1470" s="14">
        <v>43767.833333333336</v>
      </c>
    </row>
    <row r="1471" spans="1:8" x14ac:dyDescent="0.25">
      <c r="A1471">
        <v>153</v>
      </c>
      <c r="B1471" t="s">
        <v>286</v>
      </c>
      <c r="C1471">
        <v>4</v>
      </c>
      <c r="D1471">
        <v>0</v>
      </c>
      <c r="E1471">
        <v>0</v>
      </c>
      <c r="F1471">
        <v>135.01</v>
      </c>
      <c r="G1471">
        <v>54699.09</v>
      </c>
      <c r="H1471" s="14">
        <v>43767.833333333336</v>
      </c>
    </row>
    <row r="1472" spans="1:8" x14ac:dyDescent="0.25">
      <c r="A1472">
        <v>153</v>
      </c>
      <c r="B1472" t="s">
        <v>286</v>
      </c>
      <c r="C1472">
        <v>5</v>
      </c>
      <c r="D1472">
        <v>0</v>
      </c>
      <c r="E1472">
        <v>0</v>
      </c>
      <c r="F1472">
        <v>134.86000000000001</v>
      </c>
      <c r="G1472">
        <v>53223.32</v>
      </c>
      <c r="H1472" s="14">
        <v>43767.833333333336</v>
      </c>
    </row>
    <row r="1473" spans="1:8" x14ac:dyDescent="0.25">
      <c r="A1473">
        <v>153</v>
      </c>
      <c r="B1473" t="s">
        <v>286</v>
      </c>
      <c r="C1473">
        <v>6</v>
      </c>
      <c r="D1473">
        <v>0</v>
      </c>
      <c r="E1473">
        <v>0</v>
      </c>
      <c r="F1473">
        <v>138.9</v>
      </c>
      <c r="G1473">
        <v>54535.8</v>
      </c>
      <c r="H1473" s="14">
        <v>43767.833333333336</v>
      </c>
    </row>
    <row r="1474" spans="1:8" x14ac:dyDescent="0.25">
      <c r="A1474">
        <v>154</v>
      </c>
      <c r="B1474" t="s">
        <v>287</v>
      </c>
      <c r="C1474">
        <v>1</v>
      </c>
      <c r="D1474">
        <v>0</v>
      </c>
      <c r="E1474">
        <v>0</v>
      </c>
      <c r="F1474">
        <v>14.03</v>
      </c>
      <c r="G1474">
        <v>6579.9</v>
      </c>
      <c r="H1474" s="14">
        <v>43767.833333333336</v>
      </c>
    </row>
    <row r="1475" spans="1:8" x14ac:dyDescent="0.25">
      <c r="A1475">
        <v>154</v>
      </c>
      <c r="B1475" t="s">
        <v>287</v>
      </c>
      <c r="C1475">
        <v>2</v>
      </c>
      <c r="D1475">
        <v>0</v>
      </c>
      <c r="E1475">
        <v>0</v>
      </c>
      <c r="F1475">
        <v>14.13</v>
      </c>
      <c r="G1475">
        <v>6584.81</v>
      </c>
      <c r="H1475" s="14">
        <v>43767.833333333336</v>
      </c>
    </row>
    <row r="1476" spans="1:8" x14ac:dyDescent="0.25">
      <c r="A1476">
        <v>154</v>
      </c>
      <c r="B1476" t="s">
        <v>287</v>
      </c>
      <c r="C1476">
        <v>3</v>
      </c>
      <c r="D1476">
        <v>0</v>
      </c>
      <c r="E1476">
        <v>0</v>
      </c>
      <c r="F1476">
        <v>14.01</v>
      </c>
      <c r="G1476">
        <v>6460.64</v>
      </c>
      <c r="H1476" s="14">
        <v>43767.833333333336</v>
      </c>
    </row>
    <row r="1477" spans="1:8" x14ac:dyDescent="0.25">
      <c r="A1477">
        <v>154</v>
      </c>
      <c r="B1477" t="s">
        <v>287</v>
      </c>
      <c r="C1477">
        <v>4</v>
      </c>
      <c r="D1477">
        <v>0</v>
      </c>
      <c r="E1477">
        <v>0</v>
      </c>
      <c r="F1477">
        <v>0</v>
      </c>
      <c r="G1477">
        <v>6228.49</v>
      </c>
      <c r="H1477" s="14">
        <v>43767.833333333336</v>
      </c>
    </row>
    <row r="1478" spans="1:8" x14ac:dyDescent="0.25">
      <c r="A1478">
        <v>154</v>
      </c>
      <c r="B1478" t="s">
        <v>287</v>
      </c>
      <c r="C1478">
        <v>5</v>
      </c>
      <c r="D1478">
        <v>0</v>
      </c>
      <c r="E1478">
        <v>0</v>
      </c>
      <c r="F1478">
        <v>14.49</v>
      </c>
      <c r="G1478">
        <v>6879.95</v>
      </c>
      <c r="H1478" s="14">
        <v>43767.833333333336</v>
      </c>
    </row>
    <row r="1479" spans="1:8" x14ac:dyDescent="0.25">
      <c r="A1479">
        <v>154</v>
      </c>
      <c r="B1479" t="s">
        <v>287</v>
      </c>
      <c r="C1479">
        <v>6</v>
      </c>
      <c r="D1479">
        <v>0</v>
      </c>
      <c r="E1479">
        <v>0</v>
      </c>
      <c r="F1479">
        <v>14.32</v>
      </c>
      <c r="G1479">
        <v>6799.47</v>
      </c>
      <c r="H1479" s="14">
        <v>43767.833333333336</v>
      </c>
    </row>
    <row r="1480" spans="1:8" x14ac:dyDescent="0.25">
      <c r="A1480">
        <v>154</v>
      </c>
      <c r="B1480" t="s">
        <v>287</v>
      </c>
      <c r="C1480">
        <v>7</v>
      </c>
      <c r="D1480">
        <v>0</v>
      </c>
      <c r="E1480">
        <v>0</v>
      </c>
      <c r="F1480">
        <v>15.34</v>
      </c>
      <c r="G1480">
        <v>7276.02</v>
      </c>
      <c r="H1480" s="14">
        <v>43767.833333333336</v>
      </c>
    </row>
    <row r="1481" spans="1:8" x14ac:dyDescent="0.25">
      <c r="A1481">
        <v>154</v>
      </c>
      <c r="B1481" t="s">
        <v>287</v>
      </c>
      <c r="C1481">
        <v>8</v>
      </c>
      <c r="D1481">
        <v>0</v>
      </c>
      <c r="E1481">
        <v>0</v>
      </c>
      <c r="F1481">
        <v>15.34</v>
      </c>
      <c r="G1481">
        <v>7280.57</v>
      </c>
      <c r="H1481" s="14">
        <v>43767.833333333336</v>
      </c>
    </row>
    <row r="1482" spans="1:8" x14ac:dyDescent="0.25">
      <c r="A1482">
        <v>154</v>
      </c>
      <c r="B1482" t="s">
        <v>287</v>
      </c>
      <c r="C1482">
        <v>9</v>
      </c>
      <c r="D1482">
        <v>0</v>
      </c>
      <c r="E1482">
        <v>0</v>
      </c>
      <c r="F1482">
        <v>16.14</v>
      </c>
      <c r="G1482">
        <v>7535.09</v>
      </c>
      <c r="H1482" s="14">
        <v>43767.833333333336</v>
      </c>
    </row>
    <row r="1483" spans="1:8" x14ac:dyDescent="0.25">
      <c r="A1483">
        <v>154</v>
      </c>
      <c r="B1483" t="s">
        <v>287</v>
      </c>
      <c r="C1483">
        <v>10</v>
      </c>
      <c r="D1483">
        <v>0</v>
      </c>
      <c r="E1483">
        <v>0</v>
      </c>
      <c r="F1483">
        <v>14.88</v>
      </c>
      <c r="G1483">
        <v>7068.66</v>
      </c>
      <c r="H1483" s="14">
        <v>43767.833333333336</v>
      </c>
    </row>
    <row r="1484" spans="1:8" x14ac:dyDescent="0.25">
      <c r="A1484">
        <v>154</v>
      </c>
      <c r="B1484" t="s">
        <v>287</v>
      </c>
      <c r="C1484">
        <v>11</v>
      </c>
      <c r="D1484">
        <v>0</v>
      </c>
      <c r="E1484">
        <v>0</v>
      </c>
      <c r="F1484">
        <v>15</v>
      </c>
      <c r="G1484">
        <v>7150.07</v>
      </c>
      <c r="H1484" s="14">
        <v>43767.833333333336</v>
      </c>
    </row>
    <row r="1485" spans="1:8" x14ac:dyDescent="0.25">
      <c r="A1485">
        <v>154</v>
      </c>
      <c r="B1485" t="s">
        <v>287</v>
      </c>
      <c r="C1485">
        <v>12</v>
      </c>
      <c r="D1485">
        <v>0</v>
      </c>
      <c r="E1485">
        <v>0</v>
      </c>
      <c r="F1485">
        <v>14.98</v>
      </c>
      <c r="G1485">
        <v>7105.71</v>
      </c>
      <c r="H1485" s="14">
        <v>43767.833333333336</v>
      </c>
    </row>
    <row r="1486" spans="1:8" x14ac:dyDescent="0.25">
      <c r="A1486">
        <v>154</v>
      </c>
      <c r="B1486" t="s">
        <v>287</v>
      </c>
      <c r="C1486">
        <v>13</v>
      </c>
      <c r="D1486">
        <v>0</v>
      </c>
      <c r="E1486">
        <v>0</v>
      </c>
      <c r="F1486">
        <v>14.49</v>
      </c>
      <c r="G1486">
        <v>6723.61</v>
      </c>
      <c r="H1486" s="14">
        <v>43767.833333333336</v>
      </c>
    </row>
    <row r="1487" spans="1:8" x14ac:dyDescent="0.25">
      <c r="A1487">
        <v>154</v>
      </c>
      <c r="B1487" t="s">
        <v>287</v>
      </c>
      <c r="C1487">
        <v>14</v>
      </c>
      <c r="D1487">
        <v>0</v>
      </c>
      <c r="E1487">
        <v>0</v>
      </c>
      <c r="F1487">
        <v>15</v>
      </c>
      <c r="G1487">
        <v>7004.93</v>
      </c>
      <c r="H1487" s="14">
        <v>43767.833333333336</v>
      </c>
    </row>
    <row r="1488" spans="1:8" x14ac:dyDescent="0.25">
      <c r="A1488">
        <v>154</v>
      </c>
      <c r="B1488" t="s">
        <v>287</v>
      </c>
      <c r="C1488">
        <v>15</v>
      </c>
      <c r="D1488">
        <v>0</v>
      </c>
      <c r="E1488">
        <v>0</v>
      </c>
      <c r="F1488">
        <v>14.97</v>
      </c>
      <c r="G1488">
        <v>6985.79</v>
      </c>
      <c r="H1488" s="14">
        <v>43767.833333333336</v>
      </c>
    </row>
    <row r="1489" spans="1:8" x14ac:dyDescent="0.25">
      <c r="A1489">
        <v>154</v>
      </c>
      <c r="B1489" t="s">
        <v>287</v>
      </c>
      <c r="C1489">
        <v>16</v>
      </c>
      <c r="D1489">
        <v>0</v>
      </c>
      <c r="E1489">
        <v>0</v>
      </c>
      <c r="F1489">
        <v>14.71</v>
      </c>
      <c r="G1489">
        <v>6848.44</v>
      </c>
      <c r="H1489" s="14">
        <v>43767.833333333336</v>
      </c>
    </row>
    <row r="1490" spans="1:8" x14ac:dyDescent="0.25">
      <c r="A1490">
        <v>154</v>
      </c>
      <c r="B1490" t="s">
        <v>287</v>
      </c>
      <c r="C1490">
        <v>17</v>
      </c>
      <c r="D1490">
        <v>0</v>
      </c>
      <c r="E1490">
        <v>0</v>
      </c>
      <c r="F1490">
        <v>16.07</v>
      </c>
      <c r="G1490">
        <v>7514.98</v>
      </c>
      <c r="H1490" s="14">
        <v>43767.833333333336</v>
      </c>
    </row>
    <row r="1491" spans="1:8" x14ac:dyDescent="0.25">
      <c r="A1491">
        <v>154</v>
      </c>
      <c r="B1491" t="s">
        <v>287</v>
      </c>
      <c r="C1491">
        <v>18</v>
      </c>
      <c r="D1491">
        <v>0</v>
      </c>
      <c r="E1491">
        <v>0</v>
      </c>
      <c r="F1491">
        <v>15.44</v>
      </c>
      <c r="G1491">
        <v>7415.55</v>
      </c>
      <c r="H1491" s="14">
        <v>43767.833333333336</v>
      </c>
    </row>
    <row r="1492" spans="1:8" x14ac:dyDescent="0.25">
      <c r="A1492">
        <v>155</v>
      </c>
      <c r="B1492" t="s">
        <v>288</v>
      </c>
      <c r="C1492">
        <v>1</v>
      </c>
      <c r="D1492">
        <v>0</v>
      </c>
      <c r="E1492">
        <v>0</v>
      </c>
      <c r="F1492">
        <v>122.33</v>
      </c>
      <c r="G1492">
        <v>52844.46</v>
      </c>
      <c r="H1492" s="14">
        <v>43767.833333333336</v>
      </c>
    </row>
    <row r="1493" spans="1:8" x14ac:dyDescent="0.25">
      <c r="A1493">
        <v>155</v>
      </c>
      <c r="B1493" t="s">
        <v>288</v>
      </c>
      <c r="C1493">
        <v>2</v>
      </c>
      <c r="D1493">
        <v>0</v>
      </c>
      <c r="E1493">
        <v>0</v>
      </c>
      <c r="F1493">
        <v>122.16</v>
      </c>
      <c r="G1493">
        <v>54122.23</v>
      </c>
      <c r="H1493" s="14">
        <v>43767.833333333336</v>
      </c>
    </row>
    <row r="1494" spans="1:8" x14ac:dyDescent="0.25">
      <c r="A1494">
        <v>155</v>
      </c>
      <c r="B1494" t="s">
        <v>288</v>
      </c>
      <c r="C1494">
        <v>3</v>
      </c>
      <c r="D1494">
        <v>0</v>
      </c>
      <c r="E1494">
        <v>0</v>
      </c>
      <c r="F1494">
        <v>111.11</v>
      </c>
      <c r="G1494">
        <v>48554.23</v>
      </c>
      <c r="H1494" s="14">
        <v>43767.833333333336</v>
      </c>
    </row>
    <row r="1495" spans="1:8" x14ac:dyDescent="0.25">
      <c r="A1495">
        <v>155</v>
      </c>
      <c r="B1495" t="s">
        <v>288</v>
      </c>
      <c r="C1495">
        <v>4</v>
      </c>
      <c r="D1495">
        <v>0</v>
      </c>
      <c r="E1495">
        <v>0</v>
      </c>
      <c r="F1495">
        <v>115.67</v>
      </c>
      <c r="G1495">
        <v>47183.63</v>
      </c>
      <c r="H1495" s="14">
        <v>43767.833333333336</v>
      </c>
    </row>
    <row r="1496" spans="1:8" x14ac:dyDescent="0.25">
      <c r="A1496">
        <v>155</v>
      </c>
      <c r="B1496" t="s">
        <v>288</v>
      </c>
      <c r="C1496">
        <v>5</v>
      </c>
      <c r="D1496">
        <v>0</v>
      </c>
      <c r="E1496">
        <v>0</v>
      </c>
      <c r="F1496">
        <v>79.16</v>
      </c>
      <c r="G1496">
        <v>34242.959999999999</v>
      </c>
      <c r="H1496" s="14">
        <v>43767.833333333336</v>
      </c>
    </row>
    <row r="1497" spans="1:8" x14ac:dyDescent="0.25">
      <c r="A1497">
        <v>156</v>
      </c>
      <c r="B1497" t="s">
        <v>289</v>
      </c>
      <c r="C1497">
        <v>1</v>
      </c>
      <c r="D1497">
        <v>0</v>
      </c>
      <c r="E1497">
        <v>0</v>
      </c>
      <c r="F1497">
        <v>108.34</v>
      </c>
      <c r="G1497">
        <v>51115.53</v>
      </c>
      <c r="H1497" s="14">
        <v>43767.833333333336</v>
      </c>
    </row>
    <row r="1498" spans="1:8" x14ac:dyDescent="0.25">
      <c r="A1498">
        <v>156</v>
      </c>
      <c r="B1498" t="s">
        <v>289</v>
      </c>
      <c r="C1498">
        <v>2</v>
      </c>
      <c r="D1498">
        <v>0</v>
      </c>
      <c r="E1498">
        <v>0</v>
      </c>
      <c r="F1498">
        <v>82.66</v>
      </c>
      <c r="G1498">
        <v>34236</v>
      </c>
      <c r="H1498" s="14">
        <v>43767.833333333336</v>
      </c>
    </row>
    <row r="1499" spans="1:8" x14ac:dyDescent="0.25">
      <c r="A1499">
        <v>156</v>
      </c>
      <c r="B1499" t="s">
        <v>289</v>
      </c>
      <c r="C1499">
        <v>3</v>
      </c>
      <c r="D1499">
        <v>0</v>
      </c>
      <c r="E1499">
        <v>0</v>
      </c>
      <c r="F1499">
        <v>74.17</v>
      </c>
      <c r="G1499">
        <v>30494.7</v>
      </c>
      <c r="H1499" s="14">
        <v>43767.833333333336</v>
      </c>
    </row>
    <row r="1500" spans="1:8" x14ac:dyDescent="0.25">
      <c r="A1500">
        <v>156</v>
      </c>
      <c r="B1500" t="s">
        <v>289</v>
      </c>
      <c r="C1500">
        <v>4</v>
      </c>
      <c r="D1500">
        <v>0</v>
      </c>
      <c r="E1500">
        <v>0</v>
      </c>
      <c r="F1500">
        <v>76.63</v>
      </c>
      <c r="G1500">
        <v>33340.559999999998</v>
      </c>
      <c r="H1500" s="14">
        <v>43767.833333333336</v>
      </c>
    </row>
    <row r="1501" spans="1:8" x14ac:dyDescent="0.25">
      <c r="A1501">
        <v>156</v>
      </c>
      <c r="B1501" t="s">
        <v>289</v>
      </c>
      <c r="C1501">
        <v>5</v>
      </c>
      <c r="D1501">
        <v>0</v>
      </c>
      <c r="E1501">
        <v>0</v>
      </c>
      <c r="F1501">
        <v>62.55</v>
      </c>
      <c r="G1501">
        <v>32200.94</v>
      </c>
      <c r="H1501" s="14">
        <v>43767.833333333336</v>
      </c>
    </row>
    <row r="1502" spans="1:8" x14ac:dyDescent="0.25">
      <c r="A1502">
        <v>156</v>
      </c>
      <c r="B1502" t="s">
        <v>289</v>
      </c>
      <c r="C1502">
        <v>6</v>
      </c>
      <c r="D1502">
        <v>0</v>
      </c>
      <c r="E1502">
        <v>0</v>
      </c>
      <c r="F1502">
        <v>106.86</v>
      </c>
      <c r="G1502">
        <v>48782.31</v>
      </c>
      <c r="H1502" s="14">
        <v>43767.833333333336</v>
      </c>
    </row>
    <row r="1503" spans="1:8" x14ac:dyDescent="0.25">
      <c r="A1503">
        <v>157</v>
      </c>
      <c r="B1503" t="s">
        <v>290</v>
      </c>
      <c r="C1503">
        <v>1</v>
      </c>
      <c r="D1503">
        <v>0</v>
      </c>
      <c r="E1503">
        <v>0</v>
      </c>
      <c r="F1503">
        <v>130.94999999999999</v>
      </c>
      <c r="G1503">
        <v>54465.58</v>
      </c>
      <c r="H1503" s="14">
        <v>43767.833333333336</v>
      </c>
    </row>
    <row r="1504" spans="1:8" x14ac:dyDescent="0.25">
      <c r="A1504">
        <v>157</v>
      </c>
      <c r="B1504" t="s">
        <v>290</v>
      </c>
      <c r="C1504">
        <v>2</v>
      </c>
      <c r="D1504">
        <v>0</v>
      </c>
      <c r="E1504">
        <v>0</v>
      </c>
      <c r="F1504">
        <v>130.81</v>
      </c>
      <c r="G1504">
        <v>54533.25</v>
      </c>
      <c r="H1504" s="14">
        <v>43767.833333333336</v>
      </c>
    </row>
    <row r="1505" spans="1:8" x14ac:dyDescent="0.25">
      <c r="A1505">
        <v>157</v>
      </c>
      <c r="B1505" t="s">
        <v>290</v>
      </c>
      <c r="C1505">
        <v>3</v>
      </c>
      <c r="D1505">
        <v>0</v>
      </c>
      <c r="E1505">
        <v>0</v>
      </c>
      <c r="F1505">
        <v>135.69999999999999</v>
      </c>
      <c r="G1505">
        <v>56299.35</v>
      </c>
      <c r="H1505" s="14">
        <v>43767.833333333336</v>
      </c>
    </row>
    <row r="1506" spans="1:8" x14ac:dyDescent="0.25">
      <c r="A1506">
        <v>157</v>
      </c>
      <c r="B1506" t="s">
        <v>290</v>
      </c>
      <c r="C1506">
        <v>4</v>
      </c>
      <c r="D1506">
        <v>0</v>
      </c>
      <c r="E1506">
        <v>0</v>
      </c>
      <c r="F1506">
        <v>77.680000000000007</v>
      </c>
      <c r="G1506">
        <v>32786.47</v>
      </c>
      <c r="H1506" s="14">
        <v>43767.833333333336</v>
      </c>
    </row>
    <row r="1507" spans="1:8" x14ac:dyDescent="0.25">
      <c r="A1507">
        <v>157</v>
      </c>
      <c r="B1507" t="s">
        <v>290</v>
      </c>
      <c r="C1507">
        <v>5</v>
      </c>
      <c r="D1507">
        <v>0</v>
      </c>
      <c r="E1507">
        <v>0</v>
      </c>
      <c r="F1507">
        <v>129.9</v>
      </c>
      <c r="G1507">
        <v>54458.1</v>
      </c>
      <c r="H1507" s="14">
        <v>43767.833333333336</v>
      </c>
    </row>
    <row r="1508" spans="1:8" x14ac:dyDescent="0.25">
      <c r="A1508">
        <v>157</v>
      </c>
      <c r="B1508" t="s">
        <v>290</v>
      </c>
      <c r="C1508">
        <v>6</v>
      </c>
      <c r="D1508">
        <v>0</v>
      </c>
      <c r="E1508">
        <v>0</v>
      </c>
      <c r="F1508">
        <v>72.66</v>
      </c>
      <c r="G1508">
        <v>29471.67</v>
      </c>
      <c r="H1508" s="14">
        <v>43767.833333333336</v>
      </c>
    </row>
    <row r="1509" spans="1:8" x14ac:dyDescent="0.25">
      <c r="A1509">
        <v>157</v>
      </c>
      <c r="B1509" t="s">
        <v>290</v>
      </c>
      <c r="C1509">
        <v>7</v>
      </c>
      <c r="D1509">
        <v>0</v>
      </c>
      <c r="E1509">
        <v>0</v>
      </c>
      <c r="F1509">
        <v>45.08</v>
      </c>
      <c r="G1509">
        <v>18224.330000000002</v>
      </c>
      <c r="H1509" s="14">
        <v>43767.833333333336</v>
      </c>
    </row>
    <row r="1510" spans="1:8" x14ac:dyDescent="0.25">
      <c r="A1510">
        <v>158</v>
      </c>
      <c r="B1510" t="s">
        <v>291</v>
      </c>
      <c r="C1510">
        <v>1</v>
      </c>
      <c r="D1510">
        <v>0</v>
      </c>
      <c r="E1510">
        <v>0</v>
      </c>
      <c r="F1510">
        <v>111.06</v>
      </c>
      <c r="G1510">
        <v>42930.61</v>
      </c>
      <c r="H1510" s="14">
        <v>43767.833333333336</v>
      </c>
    </row>
    <row r="1511" spans="1:8" x14ac:dyDescent="0.25">
      <c r="A1511">
        <v>158</v>
      </c>
      <c r="B1511" t="s">
        <v>291</v>
      </c>
      <c r="C1511">
        <v>2</v>
      </c>
      <c r="D1511">
        <v>0</v>
      </c>
      <c r="E1511">
        <v>0</v>
      </c>
      <c r="F1511">
        <v>113.84</v>
      </c>
      <c r="G1511">
        <v>43217.73</v>
      </c>
      <c r="H1511" s="14">
        <v>43767.833333333336</v>
      </c>
    </row>
    <row r="1512" spans="1:8" x14ac:dyDescent="0.25">
      <c r="A1512">
        <v>158</v>
      </c>
      <c r="B1512" t="s">
        <v>291</v>
      </c>
      <c r="C1512">
        <v>3</v>
      </c>
      <c r="D1512">
        <v>0</v>
      </c>
      <c r="E1512">
        <v>0</v>
      </c>
      <c r="F1512">
        <v>149.53</v>
      </c>
      <c r="G1512">
        <v>51877.38</v>
      </c>
      <c r="H1512" s="14">
        <v>43767.833333333336</v>
      </c>
    </row>
    <row r="1513" spans="1:8" x14ac:dyDescent="0.25">
      <c r="A1513">
        <v>158</v>
      </c>
      <c r="B1513" t="s">
        <v>291</v>
      </c>
      <c r="C1513">
        <v>4</v>
      </c>
      <c r="D1513">
        <v>0</v>
      </c>
      <c r="E1513">
        <v>0</v>
      </c>
      <c r="F1513">
        <v>125.5</v>
      </c>
      <c r="G1513">
        <v>48062.95</v>
      </c>
      <c r="H1513" s="14">
        <v>43767.833333333336</v>
      </c>
    </row>
    <row r="1514" spans="1:8" x14ac:dyDescent="0.25">
      <c r="A1514">
        <v>158</v>
      </c>
      <c r="B1514" t="s">
        <v>291</v>
      </c>
      <c r="C1514">
        <v>5</v>
      </c>
      <c r="D1514">
        <v>0</v>
      </c>
      <c r="E1514">
        <v>0</v>
      </c>
      <c r="F1514">
        <v>155.21</v>
      </c>
      <c r="G1514">
        <v>53050.16</v>
      </c>
      <c r="H1514" s="14">
        <v>43767.833333333336</v>
      </c>
    </row>
    <row r="1515" spans="1:8" x14ac:dyDescent="0.25">
      <c r="A1515">
        <v>158</v>
      </c>
      <c r="B1515" t="s">
        <v>291</v>
      </c>
      <c r="C1515">
        <v>6</v>
      </c>
      <c r="D1515">
        <v>0</v>
      </c>
      <c r="E1515">
        <v>0</v>
      </c>
      <c r="F1515">
        <v>149.53</v>
      </c>
      <c r="G1515">
        <v>51625.94</v>
      </c>
      <c r="H1515" s="14">
        <v>43767.833333333336</v>
      </c>
    </row>
    <row r="1516" spans="1:8" x14ac:dyDescent="0.25">
      <c r="A1516">
        <v>158</v>
      </c>
      <c r="B1516" t="s">
        <v>291</v>
      </c>
      <c r="C1516">
        <v>7</v>
      </c>
      <c r="D1516">
        <v>0</v>
      </c>
      <c r="E1516">
        <v>0</v>
      </c>
      <c r="F1516">
        <v>124.77</v>
      </c>
      <c r="G1516">
        <v>47798.04</v>
      </c>
      <c r="H1516" s="14">
        <v>43767.833333333336</v>
      </c>
    </row>
    <row r="1517" spans="1:8" x14ac:dyDescent="0.25">
      <c r="A1517">
        <v>158</v>
      </c>
      <c r="B1517" t="s">
        <v>291</v>
      </c>
      <c r="C1517">
        <v>8</v>
      </c>
      <c r="D1517">
        <v>0</v>
      </c>
      <c r="E1517">
        <v>0</v>
      </c>
      <c r="F1517">
        <v>155.9</v>
      </c>
      <c r="G1517">
        <v>53094.47</v>
      </c>
      <c r="H1517" s="14">
        <v>43767.833333333336</v>
      </c>
    </row>
    <row r="1518" spans="1:8" x14ac:dyDescent="0.25">
      <c r="A1518">
        <v>158</v>
      </c>
      <c r="B1518" t="s">
        <v>291</v>
      </c>
      <c r="C1518">
        <v>9</v>
      </c>
      <c r="D1518">
        <v>0</v>
      </c>
      <c r="E1518">
        <v>0</v>
      </c>
      <c r="F1518">
        <v>124.24</v>
      </c>
      <c r="G1518">
        <v>48073.63</v>
      </c>
      <c r="H1518" s="14">
        <v>43767.833333333336</v>
      </c>
    </row>
    <row r="1519" spans="1:8" x14ac:dyDescent="0.25">
      <c r="A1519">
        <v>158</v>
      </c>
      <c r="B1519" t="s">
        <v>291</v>
      </c>
      <c r="C1519">
        <v>10</v>
      </c>
      <c r="D1519">
        <v>0</v>
      </c>
      <c r="E1519">
        <v>0</v>
      </c>
      <c r="F1519">
        <v>124.94</v>
      </c>
      <c r="G1519">
        <v>48309.95</v>
      </c>
      <c r="H1519" s="14">
        <v>43767.833333333336</v>
      </c>
    </row>
    <row r="1520" spans="1:8" x14ac:dyDescent="0.25">
      <c r="A1520">
        <v>158</v>
      </c>
      <c r="B1520" t="s">
        <v>291</v>
      </c>
      <c r="C1520">
        <v>11</v>
      </c>
      <c r="D1520">
        <v>0</v>
      </c>
      <c r="E1520">
        <v>0</v>
      </c>
      <c r="F1520">
        <v>138.43</v>
      </c>
      <c r="G1520">
        <v>47165.89</v>
      </c>
      <c r="H1520" s="14">
        <v>43767.833333333336</v>
      </c>
    </row>
    <row r="1521" spans="1:8" x14ac:dyDescent="0.25">
      <c r="A1521">
        <v>158</v>
      </c>
      <c r="B1521" t="s">
        <v>291</v>
      </c>
      <c r="C1521">
        <v>12</v>
      </c>
      <c r="D1521">
        <v>0</v>
      </c>
      <c r="E1521">
        <v>0</v>
      </c>
      <c r="F1521">
        <v>88.61</v>
      </c>
      <c r="G1521">
        <v>30418.13</v>
      </c>
      <c r="H1521" s="14">
        <v>43767.833333333336</v>
      </c>
    </row>
    <row r="1522" spans="1:8" x14ac:dyDescent="0.25">
      <c r="A1522">
        <v>158</v>
      </c>
      <c r="B1522" t="s">
        <v>291</v>
      </c>
      <c r="C1522">
        <v>13</v>
      </c>
      <c r="D1522">
        <v>0</v>
      </c>
      <c r="E1522">
        <v>0</v>
      </c>
      <c r="F1522">
        <v>137.47999999999999</v>
      </c>
      <c r="G1522">
        <v>49848.19</v>
      </c>
      <c r="H1522" s="14">
        <v>43767.833333333336</v>
      </c>
    </row>
    <row r="1523" spans="1:8" x14ac:dyDescent="0.25">
      <c r="A1523">
        <v>158</v>
      </c>
      <c r="B1523" t="s">
        <v>291</v>
      </c>
      <c r="C1523">
        <v>14</v>
      </c>
      <c r="D1523">
        <v>0</v>
      </c>
      <c r="E1523">
        <v>0</v>
      </c>
      <c r="F1523">
        <v>101.88</v>
      </c>
      <c r="G1523">
        <v>34767.21</v>
      </c>
      <c r="H1523" s="14">
        <v>43767.833333333336</v>
      </c>
    </row>
    <row r="1524" spans="1:8" x14ac:dyDescent="0.25">
      <c r="A1524">
        <v>158</v>
      </c>
      <c r="B1524" t="s">
        <v>291</v>
      </c>
      <c r="C1524">
        <v>15</v>
      </c>
      <c r="D1524">
        <v>0</v>
      </c>
      <c r="E1524">
        <v>0</v>
      </c>
      <c r="F1524">
        <v>123.96</v>
      </c>
      <c r="G1524">
        <v>44682.93</v>
      </c>
      <c r="H1524" s="14">
        <v>43767.833333333336</v>
      </c>
    </row>
    <row r="1525" spans="1:8" x14ac:dyDescent="0.25">
      <c r="A1525">
        <v>159</v>
      </c>
      <c r="B1525">
        <v>2508</v>
      </c>
      <c r="C1525">
        <v>1</v>
      </c>
      <c r="D1525">
        <v>0</v>
      </c>
      <c r="E1525">
        <v>0</v>
      </c>
      <c r="F1525">
        <v>106.7</v>
      </c>
      <c r="G1525">
        <v>53402.97</v>
      </c>
      <c r="H1525" s="14">
        <v>43767.833333333336</v>
      </c>
    </row>
    <row r="1526" spans="1:8" x14ac:dyDescent="0.25">
      <c r="A1526">
        <v>159</v>
      </c>
      <c r="B1526">
        <v>2508</v>
      </c>
      <c r="C1526">
        <v>2</v>
      </c>
      <c r="D1526">
        <v>0</v>
      </c>
      <c r="E1526">
        <v>0</v>
      </c>
      <c r="F1526">
        <v>88.48</v>
      </c>
      <c r="G1526">
        <v>48519.519999999997</v>
      </c>
      <c r="H1526" s="14">
        <v>43767.833333333336</v>
      </c>
    </row>
    <row r="1527" spans="1:8" x14ac:dyDescent="0.25">
      <c r="A1527">
        <v>159</v>
      </c>
      <c r="B1527">
        <v>2508</v>
      </c>
      <c r="C1527">
        <v>3</v>
      </c>
      <c r="D1527">
        <v>0</v>
      </c>
      <c r="E1527">
        <v>0</v>
      </c>
      <c r="F1527">
        <v>106.95</v>
      </c>
      <c r="G1527">
        <v>53553.67</v>
      </c>
      <c r="H1527" s="14">
        <v>43767.833333333336</v>
      </c>
    </row>
    <row r="1528" spans="1:8" x14ac:dyDescent="0.25">
      <c r="A1528">
        <v>159</v>
      </c>
      <c r="B1528">
        <v>2508</v>
      </c>
      <c r="C1528">
        <v>4</v>
      </c>
      <c r="D1528">
        <v>0</v>
      </c>
      <c r="E1528">
        <v>0</v>
      </c>
      <c r="F1528">
        <v>107.42</v>
      </c>
      <c r="G1528">
        <v>53765.63</v>
      </c>
      <c r="H1528" s="14">
        <v>43767.833333333336</v>
      </c>
    </row>
    <row r="1529" spans="1:8" x14ac:dyDescent="0.25">
      <c r="A1529">
        <v>159</v>
      </c>
      <c r="B1529">
        <v>2508</v>
      </c>
      <c r="C1529">
        <v>5</v>
      </c>
      <c r="D1529">
        <v>0</v>
      </c>
      <c r="E1529">
        <v>0</v>
      </c>
      <c r="F1529">
        <v>62.29</v>
      </c>
      <c r="G1529">
        <v>30268.31</v>
      </c>
      <c r="H1529" s="14">
        <v>43767.833333333336</v>
      </c>
    </row>
    <row r="1530" spans="1:8" x14ac:dyDescent="0.25">
      <c r="A1530">
        <v>159</v>
      </c>
      <c r="B1530">
        <v>2508</v>
      </c>
      <c r="C1530">
        <v>6</v>
      </c>
      <c r="D1530">
        <v>0</v>
      </c>
      <c r="E1530">
        <v>0</v>
      </c>
      <c r="F1530">
        <v>34.75</v>
      </c>
      <c r="G1530">
        <v>16993.919999999998</v>
      </c>
      <c r="H1530" s="14">
        <v>43767.833333333336</v>
      </c>
    </row>
    <row r="1531" spans="1:8" x14ac:dyDescent="0.25">
      <c r="A1531">
        <v>160</v>
      </c>
      <c r="B1531">
        <v>2509</v>
      </c>
      <c r="C1531">
        <v>1</v>
      </c>
      <c r="D1531">
        <v>0</v>
      </c>
      <c r="E1531">
        <v>0</v>
      </c>
      <c r="F1531">
        <v>96.5</v>
      </c>
      <c r="G1531">
        <v>47944</v>
      </c>
      <c r="H1531" s="14">
        <v>43767.833333333336</v>
      </c>
    </row>
    <row r="1532" spans="1:8" x14ac:dyDescent="0.25">
      <c r="A1532">
        <v>160</v>
      </c>
      <c r="B1532">
        <v>2509</v>
      </c>
      <c r="C1532">
        <v>2</v>
      </c>
      <c r="D1532">
        <v>0</v>
      </c>
      <c r="E1532">
        <v>0</v>
      </c>
      <c r="F1532">
        <v>106.66</v>
      </c>
      <c r="G1532">
        <v>53708.67</v>
      </c>
      <c r="H1532" s="14">
        <v>43767.833333333336</v>
      </c>
    </row>
    <row r="1533" spans="1:8" x14ac:dyDescent="0.25">
      <c r="A1533">
        <v>160</v>
      </c>
      <c r="B1533">
        <v>2509</v>
      </c>
      <c r="C1533">
        <v>3</v>
      </c>
      <c r="D1533">
        <v>0</v>
      </c>
      <c r="E1533">
        <v>0</v>
      </c>
      <c r="F1533">
        <v>108.44</v>
      </c>
      <c r="G1533">
        <v>53679.39</v>
      </c>
      <c r="H1533" s="14">
        <v>43767.833333333336</v>
      </c>
    </row>
    <row r="1534" spans="1:8" x14ac:dyDescent="0.25">
      <c r="A1534">
        <v>160</v>
      </c>
      <c r="B1534">
        <v>2509</v>
      </c>
      <c r="C1534">
        <v>4</v>
      </c>
      <c r="D1534">
        <v>0</v>
      </c>
      <c r="E1534">
        <v>0</v>
      </c>
      <c r="F1534">
        <v>108.06</v>
      </c>
      <c r="G1534">
        <v>53685.59</v>
      </c>
      <c r="H1534" s="14">
        <v>43767.833333333336</v>
      </c>
    </row>
    <row r="1535" spans="1:8" x14ac:dyDescent="0.25">
      <c r="A1535">
        <v>160</v>
      </c>
      <c r="B1535">
        <v>2509</v>
      </c>
      <c r="C1535">
        <v>5</v>
      </c>
      <c r="D1535">
        <v>0</v>
      </c>
      <c r="E1535">
        <v>0</v>
      </c>
      <c r="F1535">
        <v>107.69</v>
      </c>
      <c r="G1535">
        <v>53483.35</v>
      </c>
      <c r="H1535" s="14">
        <v>43767.833333333336</v>
      </c>
    </row>
    <row r="1536" spans="1:8" x14ac:dyDescent="0.25">
      <c r="A1536">
        <v>160</v>
      </c>
      <c r="B1536">
        <v>2509</v>
      </c>
      <c r="C1536">
        <v>6</v>
      </c>
      <c r="D1536">
        <v>0</v>
      </c>
      <c r="E1536">
        <v>0</v>
      </c>
      <c r="F1536">
        <v>101.32</v>
      </c>
      <c r="G1536">
        <v>52645.03</v>
      </c>
      <c r="H1536" s="14">
        <v>43767.833333333336</v>
      </c>
    </row>
    <row r="1537" spans="1:8" x14ac:dyDescent="0.25">
      <c r="A1537">
        <v>161</v>
      </c>
      <c r="B1537">
        <v>2510</v>
      </c>
      <c r="C1537">
        <v>1</v>
      </c>
      <c r="D1537">
        <v>0</v>
      </c>
      <c r="E1537">
        <v>0</v>
      </c>
      <c r="F1537">
        <v>107.87</v>
      </c>
      <c r="G1537">
        <v>53788.71</v>
      </c>
      <c r="H1537" s="14">
        <v>43767.833333333336</v>
      </c>
    </row>
    <row r="1538" spans="1:8" x14ac:dyDescent="0.25">
      <c r="A1538">
        <v>161</v>
      </c>
      <c r="B1538">
        <v>2510</v>
      </c>
      <c r="C1538">
        <v>2</v>
      </c>
      <c r="D1538">
        <v>0</v>
      </c>
      <c r="E1538">
        <v>0</v>
      </c>
      <c r="F1538">
        <v>106.38</v>
      </c>
      <c r="G1538">
        <v>53622.22</v>
      </c>
      <c r="H1538" s="14">
        <v>43767.833333333336</v>
      </c>
    </row>
    <row r="1539" spans="1:8" x14ac:dyDescent="0.25">
      <c r="A1539">
        <v>161</v>
      </c>
      <c r="B1539">
        <v>2510</v>
      </c>
      <c r="C1539">
        <v>3</v>
      </c>
      <c r="D1539">
        <v>0</v>
      </c>
      <c r="E1539">
        <v>0</v>
      </c>
      <c r="F1539">
        <v>107.47</v>
      </c>
      <c r="G1539">
        <v>53852.69</v>
      </c>
      <c r="H1539" s="14">
        <v>43767.833333333336</v>
      </c>
    </row>
    <row r="1540" spans="1:8" x14ac:dyDescent="0.25">
      <c r="A1540">
        <v>161</v>
      </c>
      <c r="B1540">
        <v>2510</v>
      </c>
      <c r="C1540">
        <v>4</v>
      </c>
      <c r="D1540">
        <v>0</v>
      </c>
      <c r="E1540">
        <v>0</v>
      </c>
      <c r="F1540">
        <v>30.13</v>
      </c>
      <c r="G1540">
        <v>15106.26</v>
      </c>
      <c r="H1540" s="14">
        <v>43767.833333333336</v>
      </c>
    </row>
    <row r="1541" spans="1:8" x14ac:dyDescent="0.25">
      <c r="A1541">
        <v>162</v>
      </c>
      <c r="B1541" t="s">
        <v>292</v>
      </c>
      <c r="C1541">
        <v>1</v>
      </c>
      <c r="D1541">
        <v>0</v>
      </c>
      <c r="E1541">
        <v>0</v>
      </c>
      <c r="F1541">
        <v>136.35</v>
      </c>
      <c r="G1541">
        <v>49457.74</v>
      </c>
      <c r="H1541" s="14">
        <v>43767.833333333336</v>
      </c>
    </row>
    <row r="1542" spans="1:8" x14ac:dyDescent="0.25">
      <c r="A1542">
        <v>162</v>
      </c>
      <c r="B1542" t="s">
        <v>292</v>
      </c>
      <c r="C1542">
        <v>2</v>
      </c>
      <c r="D1542">
        <v>0</v>
      </c>
      <c r="E1542">
        <v>0</v>
      </c>
      <c r="F1542">
        <v>135.41</v>
      </c>
      <c r="G1542">
        <v>49094.79</v>
      </c>
      <c r="H1542" s="14">
        <v>43767.833333333336</v>
      </c>
    </row>
    <row r="1543" spans="1:8" x14ac:dyDescent="0.25">
      <c r="A1543">
        <v>162</v>
      </c>
      <c r="B1543" t="s">
        <v>292</v>
      </c>
      <c r="C1543">
        <v>3</v>
      </c>
      <c r="D1543">
        <v>0</v>
      </c>
      <c r="E1543">
        <v>0</v>
      </c>
      <c r="F1543">
        <v>137.38999999999999</v>
      </c>
      <c r="G1543">
        <v>49669.01</v>
      </c>
      <c r="H1543" s="14">
        <v>43767.833333333336</v>
      </c>
    </row>
    <row r="1544" spans="1:8" x14ac:dyDescent="0.25">
      <c r="A1544">
        <v>162</v>
      </c>
      <c r="B1544" t="s">
        <v>292</v>
      </c>
      <c r="C1544">
        <v>4</v>
      </c>
      <c r="D1544">
        <v>0</v>
      </c>
      <c r="E1544">
        <v>0</v>
      </c>
      <c r="F1544">
        <v>134.97</v>
      </c>
      <c r="G1544">
        <v>48373.120000000003</v>
      </c>
      <c r="H1544" s="14">
        <v>43767.833333333336</v>
      </c>
    </row>
    <row r="1545" spans="1:8" x14ac:dyDescent="0.25">
      <c r="A1545">
        <v>162</v>
      </c>
      <c r="B1545" t="s">
        <v>292</v>
      </c>
      <c r="C1545">
        <v>5</v>
      </c>
      <c r="D1545">
        <v>0</v>
      </c>
      <c r="E1545">
        <v>0</v>
      </c>
      <c r="F1545">
        <v>138.9</v>
      </c>
      <c r="G1545">
        <v>49445.279999999999</v>
      </c>
      <c r="H1545" s="14">
        <v>43767.833333333336</v>
      </c>
    </row>
    <row r="1546" spans="1:8" x14ac:dyDescent="0.25">
      <c r="A1546">
        <v>162</v>
      </c>
      <c r="B1546" t="s">
        <v>292</v>
      </c>
      <c r="C1546">
        <v>6</v>
      </c>
      <c r="D1546">
        <v>0</v>
      </c>
      <c r="E1546">
        <v>0</v>
      </c>
      <c r="F1546">
        <v>145.94</v>
      </c>
      <c r="G1546">
        <v>51864.84</v>
      </c>
      <c r="H1546" s="14">
        <v>43767.833333333336</v>
      </c>
    </row>
    <row r="1547" spans="1:8" x14ac:dyDescent="0.25">
      <c r="A1547">
        <v>162</v>
      </c>
      <c r="B1547" t="s">
        <v>292</v>
      </c>
      <c r="C1547">
        <v>7</v>
      </c>
      <c r="D1547">
        <v>0</v>
      </c>
      <c r="E1547">
        <v>0</v>
      </c>
      <c r="F1547">
        <v>95.73</v>
      </c>
      <c r="G1547">
        <v>39944.86</v>
      </c>
      <c r="H1547" s="14">
        <v>43767.833333333336</v>
      </c>
    </row>
    <row r="1548" spans="1:8" x14ac:dyDescent="0.25">
      <c r="A1548">
        <v>162</v>
      </c>
      <c r="B1548" t="s">
        <v>292</v>
      </c>
      <c r="C1548">
        <v>8</v>
      </c>
      <c r="D1548">
        <v>0</v>
      </c>
      <c r="E1548">
        <v>0</v>
      </c>
      <c r="F1548">
        <v>92.52</v>
      </c>
      <c r="G1548">
        <v>37890.51</v>
      </c>
      <c r="H1548" s="14">
        <v>43767.833333333336</v>
      </c>
    </row>
    <row r="1549" spans="1:8" x14ac:dyDescent="0.25">
      <c r="A1549">
        <v>162</v>
      </c>
      <c r="B1549" t="s">
        <v>292</v>
      </c>
      <c r="C1549">
        <v>9</v>
      </c>
      <c r="D1549">
        <v>0</v>
      </c>
      <c r="E1549">
        <v>0</v>
      </c>
      <c r="F1549">
        <v>102.68</v>
      </c>
      <c r="G1549">
        <v>42638.03</v>
      </c>
      <c r="H1549" s="14">
        <v>43767.833333333336</v>
      </c>
    </row>
    <row r="1550" spans="1:8" x14ac:dyDescent="0.25">
      <c r="A1550">
        <v>162</v>
      </c>
      <c r="B1550" t="s">
        <v>292</v>
      </c>
      <c r="C1550">
        <v>10</v>
      </c>
      <c r="D1550">
        <v>0</v>
      </c>
      <c r="E1550">
        <v>0</v>
      </c>
      <c r="F1550">
        <v>98.3</v>
      </c>
      <c r="G1550">
        <v>41299.919999999998</v>
      </c>
      <c r="H1550" s="14">
        <v>43767.833333333336</v>
      </c>
    </row>
    <row r="1551" spans="1:8" x14ac:dyDescent="0.25">
      <c r="A1551">
        <v>162</v>
      </c>
      <c r="B1551" t="s">
        <v>292</v>
      </c>
      <c r="C1551">
        <v>11</v>
      </c>
      <c r="D1551">
        <v>0</v>
      </c>
      <c r="E1551">
        <v>0</v>
      </c>
      <c r="F1551">
        <v>135.07</v>
      </c>
      <c r="G1551">
        <v>40481.67</v>
      </c>
      <c r="H1551" s="14">
        <v>43767.833333333336</v>
      </c>
    </row>
    <row r="1552" spans="1:8" x14ac:dyDescent="0.25">
      <c r="A1552">
        <v>162</v>
      </c>
      <c r="B1552" t="s">
        <v>292</v>
      </c>
      <c r="C1552">
        <v>12</v>
      </c>
      <c r="D1552">
        <v>0</v>
      </c>
      <c r="E1552">
        <v>0</v>
      </c>
      <c r="F1552">
        <v>139.09</v>
      </c>
      <c r="G1552">
        <v>49515.91</v>
      </c>
      <c r="H1552" s="14">
        <v>43767.833333333336</v>
      </c>
    </row>
    <row r="1553" spans="1:8" x14ac:dyDescent="0.25">
      <c r="A1553">
        <v>162</v>
      </c>
      <c r="B1553" t="s">
        <v>292</v>
      </c>
      <c r="C1553">
        <v>13</v>
      </c>
      <c r="D1553">
        <v>0</v>
      </c>
      <c r="E1553">
        <v>0</v>
      </c>
      <c r="F1553">
        <v>140.41999999999999</v>
      </c>
      <c r="G1553">
        <v>49156.09</v>
      </c>
      <c r="H1553" s="14">
        <v>43767.833333333336</v>
      </c>
    </row>
    <row r="1554" spans="1:8" x14ac:dyDescent="0.25">
      <c r="A1554">
        <v>162</v>
      </c>
      <c r="B1554" t="s">
        <v>292</v>
      </c>
      <c r="C1554">
        <v>14</v>
      </c>
      <c r="D1554">
        <v>0</v>
      </c>
      <c r="E1554">
        <v>0</v>
      </c>
      <c r="F1554">
        <v>28.73</v>
      </c>
      <c r="G1554">
        <v>12893.59</v>
      </c>
      <c r="H1554" s="14">
        <v>43767.833333333336</v>
      </c>
    </row>
    <row r="1555" spans="1:8" x14ac:dyDescent="0.25">
      <c r="A1555">
        <v>162</v>
      </c>
      <c r="B1555" t="s">
        <v>292</v>
      </c>
      <c r="C1555">
        <v>15</v>
      </c>
      <c r="D1555">
        <v>0</v>
      </c>
      <c r="E1555">
        <v>0</v>
      </c>
      <c r="F1555">
        <v>92.79</v>
      </c>
      <c r="G1555">
        <v>41540.75</v>
      </c>
      <c r="H1555" s="14">
        <v>43767.833333333336</v>
      </c>
    </row>
    <row r="1556" spans="1:8" x14ac:dyDescent="0.25">
      <c r="A1556">
        <v>162</v>
      </c>
      <c r="B1556" t="s">
        <v>292</v>
      </c>
      <c r="C1556">
        <v>16</v>
      </c>
      <c r="D1556">
        <v>0</v>
      </c>
      <c r="E1556">
        <v>0</v>
      </c>
      <c r="F1556">
        <v>86.97</v>
      </c>
      <c r="G1556">
        <v>38254.18</v>
      </c>
      <c r="H1556" s="14">
        <v>43767.833333333336</v>
      </c>
    </row>
    <row r="1557" spans="1:8" x14ac:dyDescent="0.25">
      <c r="A1557">
        <v>163</v>
      </c>
      <c r="B1557" t="s">
        <v>293</v>
      </c>
      <c r="C1557">
        <v>1</v>
      </c>
      <c r="D1557">
        <v>0</v>
      </c>
      <c r="E1557">
        <v>0</v>
      </c>
      <c r="F1557">
        <v>113.08</v>
      </c>
      <c r="G1557">
        <v>45810.83</v>
      </c>
      <c r="H1557" s="14">
        <v>43767.833333333336</v>
      </c>
    </row>
    <row r="1558" spans="1:8" x14ac:dyDescent="0.25">
      <c r="A1558">
        <v>163</v>
      </c>
      <c r="B1558" t="s">
        <v>293</v>
      </c>
      <c r="C1558">
        <v>2</v>
      </c>
      <c r="D1558">
        <v>0</v>
      </c>
      <c r="E1558">
        <v>0</v>
      </c>
      <c r="F1558">
        <v>112.06</v>
      </c>
      <c r="G1558">
        <v>44187.77</v>
      </c>
      <c r="H1558" s="14">
        <v>43767.833333333336</v>
      </c>
    </row>
    <row r="1559" spans="1:8" x14ac:dyDescent="0.25">
      <c r="A1559">
        <v>163</v>
      </c>
      <c r="B1559" t="s">
        <v>293</v>
      </c>
      <c r="C1559">
        <v>3</v>
      </c>
      <c r="D1559">
        <v>0</v>
      </c>
      <c r="E1559">
        <v>0</v>
      </c>
      <c r="F1559">
        <v>115.28</v>
      </c>
      <c r="G1559">
        <v>44868.4</v>
      </c>
      <c r="H1559" s="14">
        <v>43767.833333333336</v>
      </c>
    </row>
    <row r="1560" spans="1:8" x14ac:dyDescent="0.25">
      <c r="A1560">
        <v>163</v>
      </c>
      <c r="B1560" t="s">
        <v>293</v>
      </c>
      <c r="C1560">
        <v>4</v>
      </c>
      <c r="D1560">
        <v>0</v>
      </c>
      <c r="E1560">
        <v>0</v>
      </c>
      <c r="F1560">
        <v>98.39</v>
      </c>
      <c r="G1560">
        <v>37660.300000000003</v>
      </c>
      <c r="H1560" s="14">
        <v>43767.833333333336</v>
      </c>
    </row>
    <row r="1561" spans="1:8" x14ac:dyDescent="0.25">
      <c r="A1561">
        <v>163</v>
      </c>
      <c r="B1561" t="s">
        <v>293</v>
      </c>
      <c r="C1561">
        <v>5</v>
      </c>
      <c r="D1561">
        <v>0</v>
      </c>
      <c r="E1561">
        <v>0</v>
      </c>
      <c r="F1561">
        <v>73.430000000000007</v>
      </c>
      <c r="G1561">
        <v>28764.11</v>
      </c>
      <c r="H1561" s="14">
        <v>43767.833333333336</v>
      </c>
    </row>
    <row r="1562" spans="1:8" x14ac:dyDescent="0.25">
      <c r="A1562">
        <v>164</v>
      </c>
      <c r="B1562" t="s">
        <v>294</v>
      </c>
      <c r="C1562">
        <v>1</v>
      </c>
      <c r="D1562">
        <v>0</v>
      </c>
      <c r="E1562">
        <v>0</v>
      </c>
      <c r="F1562">
        <v>116.04</v>
      </c>
      <c r="G1562">
        <v>33853.980000000003</v>
      </c>
      <c r="H1562" s="14">
        <v>43767.833333333336</v>
      </c>
    </row>
    <row r="1563" spans="1:8" x14ac:dyDescent="0.25">
      <c r="A1563">
        <v>164</v>
      </c>
      <c r="B1563" t="s">
        <v>294</v>
      </c>
      <c r="C1563">
        <v>2</v>
      </c>
      <c r="D1563">
        <v>0</v>
      </c>
      <c r="E1563">
        <v>0</v>
      </c>
      <c r="F1563">
        <v>164.93</v>
      </c>
      <c r="G1563">
        <v>47693.96</v>
      </c>
      <c r="H1563" s="14">
        <v>43767.833333333336</v>
      </c>
    </row>
    <row r="1564" spans="1:8" x14ac:dyDescent="0.25">
      <c r="A1564">
        <v>164</v>
      </c>
      <c r="B1564" t="s">
        <v>294</v>
      </c>
      <c r="C1564">
        <v>3</v>
      </c>
      <c r="D1564">
        <v>0</v>
      </c>
      <c r="E1564">
        <v>0</v>
      </c>
      <c r="F1564">
        <v>166.52</v>
      </c>
      <c r="G1564">
        <v>47725.03</v>
      </c>
      <c r="H1564" s="14">
        <v>43767.833333333336</v>
      </c>
    </row>
    <row r="1565" spans="1:8" x14ac:dyDescent="0.25">
      <c r="A1565">
        <v>164</v>
      </c>
      <c r="B1565" t="s">
        <v>294</v>
      </c>
      <c r="C1565">
        <v>4</v>
      </c>
      <c r="D1565">
        <v>0</v>
      </c>
      <c r="E1565">
        <v>0</v>
      </c>
      <c r="F1565">
        <v>161.37</v>
      </c>
      <c r="G1565">
        <v>46502.97</v>
      </c>
      <c r="H1565" s="14">
        <v>43767.833333333336</v>
      </c>
    </row>
    <row r="1566" spans="1:8" x14ac:dyDescent="0.25">
      <c r="A1566">
        <v>164</v>
      </c>
      <c r="B1566" t="s">
        <v>294</v>
      </c>
      <c r="C1566">
        <v>5</v>
      </c>
      <c r="D1566">
        <v>0</v>
      </c>
      <c r="E1566">
        <v>0</v>
      </c>
      <c r="F1566">
        <v>158.72999999999999</v>
      </c>
      <c r="G1566">
        <v>45031.91</v>
      </c>
      <c r="H1566" s="14">
        <v>43767.833333333336</v>
      </c>
    </row>
    <row r="1567" spans="1:8" x14ac:dyDescent="0.25">
      <c r="A1567">
        <v>164</v>
      </c>
      <c r="B1567" t="s">
        <v>294</v>
      </c>
      <c r="C1567">
        <v>6</v>
      </c>
      <c r="D1567">
        <v>0</v>
      </c>
      <c r="E1567">
        <v>0</v>
      </c>
      <c r="F1567">
        <v>148.68</v>
      </c>
      <c r="G1567">
        <v>42269.15</v>
      </c>
      <c r="H1567" s="14">
        <v>43767.833333333336</v>
      </c>
    </row>
    <row r="1568" spans="1:8" x14ac:dyDescent="0.25">
      <c r="A1568">
        <v>164</v>
      </c>
      <c r="B1568" t="s">
        <v>294</v>
      </c>
      <c r="C1568">
        <v>7</v>
      </c>
      <c r="D1568">
        <v>0</v>
      </c>
      <c r="E1568">
        <v>0</v>
      </c>
      <c r="F1568">
        <v>153.68</v>
      </c>
      <c r="G1568">
        <v>45189.49</v>
      </c>
      <c r="H1568" s="14">
        <v>43767.833333333336</v>
      </c>
    </row>
    <row r="1569" spans="1:8" x14ac:dyDescent="0.25">
      <c r="A1569">
        <v>164</v>
      </c>
      <c r="B1569" t="s">
        <v>294</v>
      </c>
      <c r="C1569">
        <v>8</v>
      </c>
      <c r="D1569">
        <v>0</v>
      </c>
      <c r="E1569">
        <v>0</v>
      </c>
      <c r="F1569">
        <v>155.71</v>
      </c>
      <c r="G1569">
        <v>45533.16</v>
      </c>
      <c r="H1569" s="14">
        <v>43767.833333333336</v>
      </c>
    </row>
    <row r="1570" spans="1:8" x14ac:dyDescent="0.25">
      <c r="A1570">
        <v>164</v>
      </c>
      <c r="B1570" t="s">
        <v>294</v>
      </c>
      <c r="C1570">
        <v>9</v>
      </c>
      <c r="D1570">
        <v>0</v>
      </c>
      <c r="E1570">
        <v>0</v>
      </c>
      <c r="F1570">
        <v>155.71</v>
      </c>
      <c r="G1570">
        <v>45640.09</v>
      </c>
      <c r="H1570" s="14">
        <v>43767.833333333336</v>
      </c>
    </row>
    <row r="1571" spans="1:8" x14ac:dyDescent="0.25">
      <c r="A1571">
        <v>164</v>
      </c>
      <c r="B1571" t="s">
        <v>294</v>
      </c>
      <c r="C1571">
        <v>10</v>
      </c>
      <c r="D1571">
        <v>0</v>
      </c>
      <c r="E1571">
        <v>0</v>
      </c>
      <c r="F1571">
        <v>162.83000000000001</v>
      </c>
      <c r="G1571">
        <v>46942.99</v>
      </c>
      <c r="H1571" s="14">
        <v>43767.833333333336</v>
      </c>
    </row>
    <row r="1572" spans="1:8" x14ac:dyDescent="0.25">
      <c r="A1572">
        <v>164</v>
      </c>
      <c r="B1572" t="s">
        <v>294</v>
      </c>
      <c r="C1572">
        <v>11</v>
      </c>
      <c r="D1572">
        <v>0</v>
      </c>
      <c r="E1572">
        <v>0</v>
      </c>
      <c r="F1572">
        <v>165.38</v>
      </c>
      <c r="G1572">
        <v>46654.01</v>
      </c>
      <c r="H1572" s="14">
        <v>43767.833333333336</v>
      </c>
    </row>
    <row r="1573" spans="1:8" x14ac:dyDescent="0.25">
      <c r="A1573">
        <v>164</v>
      </c>
      <c r="B1573" t="s">
        <v>294</v>
      </c>
      <c r="C1573">
        <v>12</v>
      </c>
      <c r="D1573">
        <v>0</v>
      </c>
      <c r="E1573">
        <v>0</v>
      </c>
      <c r="F1573">
        <v>159.62</v>
      </c>
      <c r="G1573">
        <v>44485.279999999999</v>
      </c>
      <c r="H1573" s="14">
        <v>43767.833333333336</v>
      </c>
    </row>
    <row r="1574" spans="1:8" x14ac:dyDescent="0.25">
      <c r="A1574">
        <v>165</v>
      </c>
      <c r="B1574" t="s">
        <v>295</v>
      </c>
      <c r="C1574">
        <v>1</v>
      </c>
      <c r="D1574">
        <v>0</v>
      </c>
      <c r="E1574">
        <v>0</v>
      </c>
      <c r="F1574">
        <v>0</v>
      </c>
      <c r="G1574">
        <v>0</v>
      </c>
      <c r="H1574" s="14">
        <v>43755.260416666664</v>
      </c>
    </row>
    <row r="1575" spans="1:8" x14ac:dyDescent="0.25">
      <c r="A1575">
        <v>165</v>
      </c>
      <c r="B1575" t="s">
        <v>295</v>
      </c>
      <c r="C1575">
        <v>2</v>
      </c>
      <c r="D1575">
        <v>0</v>
      </c>
      <c r="E1575">
        <v>0</v>
      </c>
      <c r="F1575">
        <v>0</v>
      </c>
      <c r="G1575">
        <v>0</v>
      </c>
      <c r="H1575" s="14">
        <v>43755.260416666664</v>
      </c>
    </row>
    <row r="1576" spans="1:8" x14ac:dyDescent="0.25">
      <c r="A1576">
        <v>165</v>
      </c>
      <c r="B1576" t="s">
        <v>295</v>
      </c>
      <c r="C1576">
        <v>3</v>
      </c>
      <c r="D1576">
        <v>0</v>
      </c>
      <c r="E1576">
        <v>0</v>
      </c>
      <c r="F1576">
        <v>0</v>
      </c>
      <c r="G1576">
        <v>0</v>
      </c>
      <c r="H1576" s="14">
        <v>43755.260416666664</v>
      </c>
    </row>
    <row r="1577" spans="1:8" x14ac:dyDescent="0.25">
      <c r="A1577">
        <v>165</v>
      </c>
      <c r="B1577" t="s">
        <v>295</v>
      </c>
      <c r="C1577">
        <v>4</v>
      </c>
      <c r="D1577">
        <v>0</v>
      </c>
      <c r="E1577">
        <v>0</v>
      </c>
      <c r="F1577">
        <v>0</v>
      </c>
      <c r="G1577">
        <v>0</v>
      </c>
      <c r="H1577" s="14">
        <v>43755.260416666664</v>
      </c>
    </row>
    <row r="1578" spans="1:8" x14ac:dyDescent="0.25">
      <c r="A1578">
        <v>165</v>
      </c>
      <c r="B1578" t="s">
        <v>295</v>
      </c>
      <c r="C1578">
        <v>5</v>
      </c>
      <c r="D1578">
        <v>0</v>
      </c>
      <c r="E1578">
        <v>0</v>
      </c>
      <c r="F1578">
        <v>0</v>
      </c>
      <c r="G1578">
        <v>0</v>
      </c>
      <c r="H1578" s="14">
        <v>43755.260416666664</v>
      </c>
    </row>
    <row r="1579" spans="1:8" x14ac:dyDescent="0.25">
      <c r="A1579">
        <v>165</v>
      </c>
      <c r="B1579" t="s">
        <v>295</v>
      </c>
      <c r="C1579">
        <v>6</v>
      </c>
      <c r="D1579">
        <v>0</v>
      </c>
      <c r="E1579">
        <v>0</v>
      </c>
      <c r="F1579">
        <v>0</v>
      </c>
      <c r="G1579">
        <v>0</v>
      </c>
      <c r="H1579" s="14">
        <v>43755.260416666664</v>
      </c>
    </row>
    <row r="1580" spans="1:8" x14ac:dyDescent="0.25">
      <c r="A1580">
        <v>165</v>
      </c>
      <c r="B1580" t="s">
        <v>295</v>
      </c>
      <c r="C1580">
        <v>7</v>
      </c>
      <c r="D1580">
        <v>0</v>
      </c>
      <c r="E1580">
        <v>0</v>
      </c>
      <c r="F1580">
        <v>0</v>
      </c>
      <c r="G1580">
        <v>0</v>
      </c>
      <c r="H1580" s="14">
        <v>43755.260416666664</v>
      </c>
    </row>
    <row r="1581" spans="1:8" x14ac:dyDescent="0.25">
      <c r="A1581">
        <v>166</v>
      </c>
      <c r="B1581" t="s">
        <v>297</v>
      </c>
      <c r="C1581">
        <v>1</v>
      </c>
      <c r="D1581">
        <v>0</v>
      </c>
      <c r="E1581">
        <v>0</v>
      </c>
      <c r="F1581">
        <v>154.31</v>
      </c>
      <c r="G1581">
        <v>45884.86</v>
      </c>
      <c r="H1581" s="14">
        <v>43767.833333333336</v>
      </c>
    </row>
    <row r="1582" spans="1:8" x14ac:dyDescent="0.25">
      <c r="A1582">
        <v>166</v>
      </c>
      <c r="B1582" t="s">
        <v>297</v>
      </c>
      <c r="C1582">
        <v>2</v>
      </c>
      <c r="D1582">
        <v>0</v>
      </c>
      <c r="E1582">
        <v>0</v>
      </c>
      <c r="F1582">
        <v>152.25</v>
      </c>
      <c r="G1582">
        <v>45121.59</v>
      </c>
      <c r="H1582" s="14">
        <v>43767.833333333336</v>
      </c>
    </row>
    <row r="1583" spans="1:8" x14ac:dyDescent="0.25">
      <c r="A1583">
        <v>166</v>
      </c>
      <c r="B1583" t="s">
        <v>297</v>
      </c>
      <c r="C1583">
        <v>3</v>
      </c>
      <c r="D1583">
        <v>0</v>
      </c>
      <c r="E1583">
        <v>0</v>
      </c>
      <c r="F1583">
        <v>150.28</v>
      </c>
      <c r="G1583">
        <v>44675.38</v>
      </c>
      <c r="H1583" s="14">
        <v>43767.833333333336</v>
      </c>
    </row>
    <row r="1584" spans="1:8" x14ac:dyDescent="0.25">
      <c r="A1584">
        <v>166</v>
      </c>
      <c r="B1584" t="s">
        <v>297</v>
      </c>
      <c r="C1584">
        <v>4</v>
      </c>
      <c r="D1584">
        <v>0</v>
      </c>
      <c r="E1584">
        <v>0</v>
      </c>
      <c r="F1584">
        <v>150.12</v>
      </c>
      <c r="G1584">
        <v>44807.76</v>
      </c>
      <c r="H1584" s="14">
        <v>43767.833333333336</v>
      </c>
    </row>
    <row r="1585" spans="1:8" x14ac:dyDescent="0.25">
      <c r="A1585">
        <v>166</v>
      </c>
      <c r="B1585" t="s">
        <v>297</v>
      </c>
      <c r="C1585">
        <v>5</v>
      </c>
      <c r="D1585">
        <v>0</v>
      </c>
      <c r="E1585">
        <v>0</v>
      </c>
      <c r="F1585">
        <v>155.06</v>
      </c>
      <c r="G1585">
        <v>45418.91</v>
      </c>
      <c r="H1585" s="14">
        <v>43767.833333333336</v>
      </c>
    </row>
    <row r="1586" spans="1:8" x14ac:dyDescent="0.25">
      <c r="A1586">
        <v>166</v>
      </c>
      <c r="B1586" t="s">
        <v>297</v>
      </c>
      <c r="C1586">
        <v>6</v>
      </c>
      <c r="D1586">
        <v>0</v>
      </c>
      <c r="E1586">
        <v>0</v>
      </c>
      <c r="F1586">
        <v>153.74</v>
      </c>
      <c r="G1586">
        <v>45471.360000000001</v>
      </c>
      <c r="H1586" s="14">
        <v>43767.833333333336</v>
      </c>
    </row>
    <row r="1587" spans="1:8" x14ac:dyDescent="0.25">
      <c r="A1587">
        <v>166</v>
      </c>
      <c r="B1587" t="s">
        <v>297</v>
      </c>
      <c r="C1587">
        <v>7</v>
      </c>
      <c r="D1587">
        <v>0</v>
      </c>
      <c r="E1587">
        <v>0</v>
      </c>
      <c r="F1587">
        <v>151.52000000000001</v>
      </c>
      <c r="G1587">
        <v>45086.080000000002</v>
      </c>
      <c r="H1587" s="14">
        <v>43767.833333333336</v>
      </c>
    </row>
    <row r="1588" spans="1:8" x14ac:dyDescent="0.25">
      <c r="A1588">
        <v>166</v>
      </c>
      <c r="B1588" t="s">
        <v>297</v>
      </c>
      <c r="C1588">
        <v>8</v>
      </c>
      <c r="D1588">
        <v>0</v>
      </c>
      <c r="E1588">
        <v>0</v>
      </c>
      <c r="F1588">
        <v>150.5</v>
      </c>
      <c r="G1588">
        <v>44838.85</v>
      </c>
      <c r="H1588" s="14">
        <v>43767.833333333336</v>
      </c>
    </row>
    <row r="1589" spans="1:8" x14ac:dyDescent="0.25">
      <c r="A1589">
        <v>166</v>
      </c>
      <c r="B1589" t="s">
        <v>297</v>
      </c>
      <c r="C1589">
        <v>9</v>
      </c>
      <c r="D1589">
        <v>0</v>
      </c>
      <c r="E1589">
        <v>0</v>
      </c>
      <c r="F1589">
        <v>148.49</v>
      </c>
      <c r="G1589">
        <v>42728.32</v>
      </c>
      <c r="H1589" s="14">
        <v>43767.833333333336</v>
      </c>
    </row>
    <row r="1590" spans="1:8" x14ac:dyDescent="0.25">
      <c r="A1590">
        <v>166</v>
      </c>
      <c r="B1590" t="s">
        <v>297</v>
      </c>
      <c r="C1590">
        <v>10</v>
      </c>
      <c r="D1590">
        <v>0</v>
      </c>
      <c r="E1590">
        <v>0</v>
      </c>
      <c r="F1590">
        <v>149.01</v>
      </c>
      <c r="G1590">
        <v>42382.76</v>
      </c>
      <c r="H1590" s="14">
        <v>43767.833333333336</v>
      </c>
    </row>
    <row r="1591" spans="1:8" x14ac:dyDescent="0.25">
      <c r="A1591">
        <v>166</v>
      </c>
      <c r="B1591" t="s">
        <v>297</v>
      </c>
      <c r="C1591">
        <v>11</v>
      </c>
      <c r="D1591">
        <v>0</v>
      </c>
      <c r="E1591">
        <v>0</v>
      </c>
      <c r="F1591">
        <v>147.63999999999999</v>
      </c>
      <c r="G1591">
        <v>43915.09</v>
      </c>
      <c r="H1591" s="14">
        <v>43767.833333333336</v>
      </c>
    </row>
    <row r="1592" spans="1:8" x14ac:dyDescent="0.25">
      <c r="A1592">
        <v>166</v>
      </c>
      <c r="B1592" t="s">
        <v>297</v>
      </c>
      <c r="C1592">
        <v>12</v>
      </c>
      <c r="D1592">
        <v>0</v>
      </c>
      <c r="E1592">
        <v>0</v>
      </c>
      <c r="F1592">
        <v>140.33000000000001</v>
      </c>
      <c r="G1592">
        <v>39738.03</v>
      </c>
      <c r="H1592" s="14">
        <v>43767.833333333336</v>
      </c>
    </row>
    <row r="1593" spans="1:8" x14ac:dyDescent="0.25">
      <c r="A1593">
        <v>167</v>
      </c>
      <c r="B1593" t="s">
        <v>298</v>
      </c>
      <c r="C1593">
        <v>1</v>
      </c>
      <c r="D1593">
        <v>0</v>
      </c>
      <c r="E1593">
        <v>0</v>
      </c>
      <c r="F1593">
        <v>75.59</v>
      </c>
      <c r="G1593">
        <v>28557.1</v>
      </c>
      <c r="H1593" s="14">
        <v>43767.833333333336</v>
      </c>
    </row>
    <row r="1594" spans="1:8" x14ac:dyDescent="0.25">
      <c r="A1594">
        <v>167</v>
      </c>
      <c r="B1594" t="s">
        <v>298</v>
      </c>
      <c r="C1594">
        <v>2</v>
      </c>
      <c r="D1594">
        <v>0</v>
      </c>
      <c r="E1594">
        <v>0</v>
      </c>
      <c r="F1594">
        <v>88.57</v>
      </c>
      <c r="G1594">
        <v>31099.07</v>
      </c>
      <c r="H1594" s="14">
        <v>43767.833333333336</v>
      </c>
    </row>
    <row r="1595" spans="1:8" x14ac:dyDescent="0.25">
      <c r="A1595">
        <v>167</v>
      </c>
      <c r="B1595" t="s">
        <v>298</v>
      </c>
      <c r="C1595">
        <v>3</v>
      </c>
      <c r="D1595">
        <v>0</v>
      </c>
      <c r="E1595">
        <v>0</v>
      </c>
      <c r="F1595">
        <v>70.3</v>
      </c>
      <c r="G1595">
        <v>28610.17</v>
      </c>
      <c r="H1595" s="14">
        <v>43767.833333333336</v>
      </c>
    </row>
    <row r="1596" spans="1:8" x14ac:dyDescent="0.25">
      <c r="A1596">
        <v>167</v>
      </c>
      <c r="B1596" t="s">
        <v>298</v>
      </c>
      <c r="C1596">
        <v>4</v>
      </c>
      <c r="D1596">
        <v>0</v>
      </c>
      <c r="E1596">
        <v>0</v>
      </c>
      <c r="F1596">
        <v>95.69</v>
      </c>
      <c r="G1596">
        <v>31869.21</v>
      </c>
      <c r="H1596" s="14">
        <v>43767.833333333336</v>
      </c>
    </row>
    <row r="1597" spans="1:8" x14ac:dyDescent="0.25">
      <c r="A1597">
        <v>167</v>
      </c>
      <c r="B1597" t="s">
        <v>298</v>
      </c>
      <c r="C1597">
        <v>5</v>
      </c>
      <c r="D1597">
        <v>0</v>
      </c>
      <c r="E1597">
        <v>0</v>
      </c>
      <c r="F1597">
        <v>88.48</v>
      </c>
      <c r="G1597">
        <v>30931.56</v>
      </c>
      <c r="H1597" s="14">
        <v>43767.833333333336</v>
      </c>
    </row>
    <row r="1598" spans="1:8" x14ac:dyDescent="0.25">
      <c r="A1598">
        <v>167</v>
      </c>
      <c r="B1598" t="s">
        <v>298</v>
      </c>
      <c r="C1598">
        <v>6</v>
      </c>
      <c r="D1598">
        <v>0</v>
      </c>
      <c r="E1598">
        <v>0</v>
      </c>
      <c r="F1598">
        <v>71.3</v>
      </c>
      <c r="G1598">
        <v>26182.98</v>
      </c>
      <c r="H1598" s="14">
        <v>43767.833333333336</v>
      </c>
    </row>
    <row r="1599" spans="1:8" x14ac:dyDescent="0.25">
      <c r="A1599">
        <v>167</v>
      </c>
      <c r="B1599" t="s">
        <v>298</v>
      </c>
      <c r="C1599">
        <v>7</v>
      </c>
      <c r="D1599">
        <v>0</v>
      </c>
      <c r="E1599">
        <v>0</v>
      </c>
      <c r="F1599">
        <v>81.61</v>
      </c>
      <c r="G1599">
        <v>31541.57</v>
      </c>
      <c r="H1599" s="14">
        <v>43767.833333333336</v>
      </c>
    </row>
    <row r="1600" spans="1:8" x14ac:dyDescent="0.25">
      <c r="A1600">
        <v>167</v>
      </c>
      <c r="B1600" t="s">
        <v>298</v>
      </c>
      <c r="C1600">
        <v>8</v>
      </c>
      <c r="D1600">
        <v>0</v>
      </c>
      <c r="E1600">
        <v>0</v>
      </c>
      <c r="F1600">
        <v>87.09</v>
      </c>
      <c r="G1600">
        <v>32629.54</v>
      </c>
      <c r="H1600" s="14">
        <v>43767.833333333336</v>
      </c>
    </row>
    <row r="1601" spans="1:8" x14ac:dyDescent="0.25">
      <c r="A1601">
        <v>167</v>
      </c>
      <c r="B1601" t="s">
        <v>298</v>
      </c>
      <c r="C1601">
        <v>9</v>
      </c>
      <c r="D1601">
        <v>0</v>
      </c>
      <c r="E1601">
        <v>0</v>
      </c>
      <c r="F1601">
        <v>88.57</v>
      </c>
      <c r="G1601">
        <v>32937.31</v>
      </c>
      <c r="H1601" s="14">
        <v>43767.833333333336</v>
      </c>
    </row>
    <row r="1602" spans="1:8" x14ac:dyDescent="0.25">
      <c r="A1602">
        <v>167</v>
      </c>
      <c r="B1602" t="s">
        <v>298</v>
      </c>
      <c r="C1602">
        <v>10</v>
      </c>
      <c r="D1602">
        <v>0</v>
      </c>
      <c r="E1602">
        <v>0</v>
      </c>
      <c r="F1602">
        <v>110.44</v>
      </c>
      <c r="G1602">
        <v>37514.839999999997</v>
      </c>
      <c r="H1602" s="14">
        <v>43767.833333333336</v>
      </c>
    </row>
    <row r="1603" spans="1:8" x14ac:dyDescent="0.25">
      <c r="A1603">
        <v>167</v>
      </c>
      <c r="B1603" t="s">
        <v>298</v>
      </c>
      <c r="C1603">
        <v>11</v>
      </c>
      <c r="D1603">
        <v>0</v>
      </c>
      <c r="E1603">
        <v>0</v>
      </c>
      <c r="F1603">
        <v>22.64</v>
      </c>
      <c r="G1603">
        <v>8089.47</v>
      </c>
      <c r="H1603" s="14">
        <v>43767.833333333336</v>
      </c>
    </row>
    <row r="1604" spans="1:8" x14ac:dyDescent="0.25">
      <c r="A1604">
        <v>167</v>
      </c>
      <c r="B1604" t="s">
        <v>298</v>
      </c>
      <c r="C1604">
        <v>12</v>
      </c>
      <c r="D1604">
        <v>0</v>
      </c>
      <c r="E1604">
        <v>0</v>
      </c>
      <c r="F1604">
        <v>98.2</v>
      </c>
      <c r="G1604">
        <v>33642.46</v>
      </c>
      <c r="H1604" s="14">
        <v>43767.833333333336</v>
      </c>
    </row>
    <row r="1605" spans="1:8" x14ac:dyDescent="0.25">
      <c r="A1605">
        <v>167</v>
      </c>
      <c r="B1605" t="s">
        <v>298</v>
      </c>
      <c r="C1605">
        <v>13</v>
      </c>
      <c r="D1605">
        <v>0</v>
      </c>
      <c r="E1605">
        <v>0</v>
      </c>
      <c r="F1605">
        <v>54.59</v>
      </c>
      <c r="G1605">
        <v>19407.32</v>
      </c>
      <c r="H1605" s="14">
        <v>43767.833333333336</v>
      </c>
    </row>
    <row r="1606" spans="1:8" x14ac:dyDescent="0.25">
      <c r="A1606">
        <v>167</v>
      </c>
      <c r="B1606" t="s">
        <v>298</v>
      </c>
      <c r="C1606">
        <v>14</v>
      </c>
      <c r="D1606">
        <v>0</v>
      </c>
      <c r="E1606">
        <v>0</v>
      </c>
      <c r="F1606">
        <v>52.94</v>
      </c>
      <c r="G1606">
        <v>19479.27</v>
      </c>
      <c r="H1606" s="14">
        <v>43767.833333333336</v>
      </c>
    </row>
    <row r="1607" spans="1:8" x14ac:dyDescent="0.25">
      <c r="A1607">
        <v>167</v>
      </c>
      <c r="B1607" t="s">
        <v>298</v>
      </c>
      <c r="C1607">
        <v>15</v>
      </c>
      <c r="D1607">
        <v>0</v>
      </c>
      <c r="E1607">
        <v>0</v>
      </c>
      <c r="F1607">
        <v>72.27</v>
      </c>
      <c r="G1607">
        <v>26300.19</v>
      </c>
      <c r="H1607" s="14">
        <v>43767.833333333336</v>
      </c>
    </row>
    <row r="1608" spans="1:8" x14ac:dyDescent="0.25">
      <c r="A1608">
        <v>167</v>
      </c>
      <c r="B1608" t="s">
        <v>298</v>
      </c>
      <c r="C1608">
        <v>16</v>
      </c>
      <c r="D1608">
        <v>0</v>
      </c>
      <c r="E1608">
        <v>0</v>
      </c>
      <c r="F1608">
        <v>106.18</v>
      </c>
      <c r="G1608">
        <v>35581.93</v>
      </c>
      <c r="H1608" s="14">
        <v>43767.833333333336</v>
      </c>
    </row>
    <row r="1609" spans="1:8" x14ac:dyDescent="0.25">
      <c r="A1609">
        <v>167</v>
      </c>
      <c r="B1609" t="s">
        <v>298</v>
      </c>
      <c r="C1609">
        <v>17</v>
      </c>
      <c r="D1609">
        <v>0</v>
      </c>
      <c r="E1609">
        <v>0</v>
      </c>
      <c r="F1609">
        <v>19.75</v>
      </c>
      <c r="G1609">
        <v>7231.45</v>
      </c>
      <c r="H1609" s="14">
        <v>43767.833333333336</v>
      </c>
    </row>
    <row r="1610" spans="1:8" x14ac:dyDescent="0.25">
      <c r="A1610">
        <v>168</v>
      </c>
      <c r="B1610" t="s">
        <v>299</v>
      </c>
      <c r="C1610">
        <v>1</v>
      </c>
      <c r="D1610">
        <v>0</v>
      </c>
      <c r="E1610">
        <v>0</v>
      </c>
      <c r="F1610">
        <v>100.11</v>
      </c>
      <c r="G1610">
        <v>33312.51</v>
      </c>
      <c r="H1610" s="14">
        <v>43767.833333333336</v>
      </c>
    </row>
    <row r="1611" spans="1:8" x14ac:dyDescent="0.25">
      <c r="A1611">
        <v>168</v>
      </c>
      <c r="B1611" t="s">
        <v>299</v>
      </c>
      <c r="C1611">
        <v>2</v>
      </c>
      <c r="D1611">
        <v>0</v>
      </c>
      <c r="E1611">
        <v>0</v>
      </c>
      <c r="F1611">
        <v>99.76</v>
      </c>
      <c r="G1611">
        <v>33290.25</v>
      </c>
      <c r="H1611" s="14">
        <v>43767.833333333336</v>
      </c>
    </row>
    <row r="1612" spans="1:8" x14ac:dyDescent="0.25">
      <c r="A1612">
        <v>168</v>
      </c>
      <c r="B1612" t="s">
        <v>299</v>
      </c>
      <c r="C1612">
        <v>3</v>
      </c>
      <c r="D1612">
        <v>0</v>
      </c>
      <c r="E1612">
        <v>0</v>
      </c>
      <c r="F1612">
        <v>99.95</v>
      </c>
      <c r="G1612">
        <v>32400.63</v>
      </c>
      <c r="H1612" s="14">
        <v>43767.833333333336</v>
      </c>
    </row>
    <row r="1613" spans="1:8" x14ac:dyDescent="0.25">
      <c r="A1613">
        <v>168</v>
      </c>
      <c r="B1613" t="s">
        <v>299</v>
      </c>
      <c r="C1613">
        <v>4</v>
      </c>
      <c r="D1613">
        <v>0</v>
      </c>
      <c r="E1613">
        <v>0</v>
      </c>
      <c r="F1613">
        <v>100.62</v>
      </c>
      <c r="G1613">
        <v>30241.759999999998</v>
      </c>
      <c r="H1613" s="14">
        <v>43767.833333333336</v>
      </c>
    </row>
    <row r="1614" spans="1:8" x14ac:dyDescent="0.25">
      <c r="A1614">
        <v>168</v>
      </c>
      <c r="B1614" t="s">
        <v>299</v>
      </c>
      <c r="C1614">
        <v>5</v>
      </c>
      <c r="D1614">
        <v>0</v>
      </c>
      <c r="E1614">
        <v>0</v>
      </c>
      <c r="F1614">
        <v>101.15</v>
      </c>
      <c r="G1614">
        <v>28672.51</v>
      </c>
      <c r="H1614" s="14">
        <v>43767.833333333336</v>
      </c>
    </row>
    <row r="1615" spans="1:8" x14ac:dyDescent="0.25">
      <c r="A1615">
        <v>168</v>
      </c>
      <c r="B1615" t="s">
        <v>299</v>
      </c>
      <c r="C1615">
        <v>6</v>
      </c>
      <c r="D1615">
        <v>0</v>
      </c>
      <c r="E1615">
        <v>0</v>
      </c>
      <c r="F1615">
        <v>101.32</v>
      </c>
      <c r="G1615">
        <v>30012.66</v>
      </c>
      <c r="H1615" s="14">
        <v>43767.833333333336</v>
      </c>
    </row>
    <row r="1616" spans="1:8" x14ac:dyDescent="0.25">
      <c r="A1616">
        <v>168</v>
      </c>
      <c r="B1616" t="s">
        <v>299</v>
      </c>
      <c r="C1616">
        <v>7</v>
      </c>
      <c r="D1616">
        <v>0</v>
      </c>
      <c r="E1616">
        <v>0</v>
      </c>
      <c r="F1616">
        <v>101.99</v>
      </c>
      <c r="G1616">
        <v>30511.65</v>
      </c>
      <c r="H1616" s="14">
        <v>43767.833333333336</v>
      </c>
    </row>
    <row r="1617" spans="1:8" x14ac:dyDescent="0.25">
      <c r="A1617">
        <v>168</v>
      </c>
      <c r="B1617" t="s">
        <v>299</v>
      </c>
      <c r="C1617">
        <v>8</v>
      </c>
      <c r="D1617">
        <v>0</v>
      </c>
      <c r="E1617">
        <v>0</v>
      </c>
      <c r="F1617">
        <v>100.45</v>
      </c>
      <c r="G1617">
        <v>29299.83</v>
      </c>
      <c r="H1617" s="14">
        <v>43767.833333333336</v>
      </c>
    </row>
    <row r="1618" spans="1:8" x14ac:dyDescent="0.25">
      <c r="A1618">
        <v>168</v>
      </c>
      <c r="B1618" t="s">
        <v>299</v>
      </c>
      <c r="C1618">
        <v>9</v>
      </c>
      <c r="D1618">
        <v>0</v>
      </c>
      <c r="E1618">
        <v>0</v>
      </c>
      <c r="F1618">
        <v>101.48</v>
      </c>
      <c r="G1618">
        <v>29310.52</v>
      </c>
      <c r="H1618" s="14">
        <v>43767.833333333336</v>
      </c>
    </row>
    <row r="1619" spans="1:8" x14ac:dyDescent="0.25">
      <c r="A1619">
        <v>168</v>
      </c>
      <c r="B1619" t="s">
        <v>299</v>
      </c>
      <c r="C1619">
        <v>10</v>
      </c>
      <c r="D1619">
        <v>0</v>
      </c>
      <c r="E1619">
        <v>0</v>
      </c>
      <c r="F1619">
        <v>100.98</v>
      </c>
      <c r="G1619">
        <v>29421.08</v>
      </c>
      <c r="H1619" s="14">
        <v>43767.833333333336</v>
      </c>
    </row>
    <row r="1620" spans="1:8" x14ac:dyDescent="0.25">
      <c r="A1620">
        <v>168</v>
      </c>
      <c r="B1620" t="s">
        <v>299</v>
      </c>
      <c r="C1620">
        <v>11</v>
      </c>
      <c r="D1620">
        <v>0</v>
      </c>
      <c r="E1620">
        <v>0</v>
      </c>
      <c r="F1620">
        <v>101.05</v>
      </c>
      <c r="G1620">
        <v>30448.51</v>
      </c>
      <c r="H1620" s="14">
        <v>43767.833333333336</v>
      </c>
    </row>
    <row r="1621" spans="1:8" x14ac:dyDescent="0.25">
      <c r="A1621">
        <v>168</v>
      </c>
      <c r="B1621" t="s">
        <v>299</v>
      </c>
      <c r="C1621">
        <v>12</v>
      </c>
      <c r="D1621">
        <v>0</v>
      </c>
      <c r="E1621">
        <v>0</v>
      </c>
      <c r="F1621">
        <v>101.43</v>
      </c>
      <c r="G1621">
        <v>30226.76</v>
      </c>
      <c r="H1621" s="14">
        <v>43767.833333333336</v>
      </c>
    </row>
    <row r="1622" spans="1:8" x14ac:dyDescent="0.25">
      <c r="A1622">
        <v>168</v>
      </c>
      <c r="B1622" t="s">
        <v>299</v>
      </c>
      <c r="C1622">
        <v>13</v>
      </c>
      <c r="D1622">
        <v>0</v>
      </c>
      <c r="E1622">
        <v>0</v>
      </c>
      <c r="F1622">
        <v>100.56</v>
      </c>
      <c r="G1622">
        <v>28307.21</v>
      </c>
      <c r="H1622" s="14">
        <v>43767.833333333336</v>
      </c>
    </row>
    <row r="1623" spans="1:8" x14ac:dyDescent="0.25">
      <c r="A1623">
        <v>168</v>
      </c>
      <c r="B1623" t="s">
        <v>299</v>
      </c>
      <c r="C1623">
        <v>14</v>
      </c>
      <c r="D1623">
        <v>0</v>
      </c>
      <c r="E1623">
        <v>0</v>
      </c>
      <c r="F1623">
        <v>100.11</v>
      </c>
      <c r="G1623">
        <v>29433.1</v>
      </c>
      <c r="H1623" s="14">
        <v>43767.833333333336</v>
      </c>
    </row>
    <row r="1624" spans="1:8" x14ac:dyDescent="0.25">
      <c r="A1624">
        <v>168</v>
      </c>
      <c r="B1624" t="s">
        <v>299</v>
      </c>
      <c r="C1624">
        <v>15</v>
      </c>
      <c r="D1624">
        <v>0</v>
      </c>
      <c r="E1624">
        <v>0</v>
      </c>
      <c r="F1624">
        <v>82.23</v>
      </c>
      <c r="G1624">
        <v>23972.91</v>
      </c>
      <c r="H1624" s="14">
        <v>43767.833333333336</v>
      </c>
    </row>
    <row r="1625" spans="1:8" x14ac:dyDescent="0.25">
      <c r="A1625">
        <v>168</v>
      </c>
      <c r="B1625" t="s">
        <v>299</v>
      </c>
      <c r="C1625">
        <v>16</v>
      </c>
      <c r="D1625">
        <v>0</v>
      </c>
      <c r="E1625">
        <v>0</v>
      </c>
      <c r="F1625">
        <v>53.73</v>
      </c>
      <c r="G1625">
        <v>15380.24</v>
      </c>
      <c r="H1625" s="14">
        <v>43767.833333333336</v>
      </c>
    </row>
    <row r="1626" spans="1:8" x14ac:dyDescent="0.25">
      <c r="A1626">
        <v>169</v>
      </c>
      <c r="B1626" t="s">
        <v>300</v>
      </c>
      <c r="C1626">
        <v>1</v>
      </c>
      <c r="D1626">
        <v>0</v>
      </c>
      <c r="E1626">
        <v>0</v>
      </c>
      <c r="F1626">
        <v>115.5</v>
      </c>
      <c r="G1626">
        <v>34921.879999999997</v>
      </c>
      <c r="H1626" s="14">
        <v>43767.833333333336</v>
      </c>
    </row>
    <row r="1627" spans="1:8" x14ac:dyDescent="0.25">
      <c r="A1627">
        <v>169</v>
      </c>
      <c r="B1627" t="s">
        <v>300</v>
      </c>
      <c r="C1627">
        <v>2</v>
      </c>
      <c r="D1627">
        <v>0</v>
      </c>
      <c r="E1627">
        <v>0</v>
      </c>
      <c r="F1627">
        <v>124.32</v>
      </c>
      <c r="G1627">
        <v>37502.51</v>
      </c>
      <c r="H1627" s="14">
        <v>43767.833333333336</v>
      </c>
    </row>
    <row r="1628" spans="1:8" x14ac:dyDescent="0.25">
      <c r="A1628">
        <v>169</v>
      </c>
      <c r="B1628" t="s">
        <v>300</v>
      </c>
      <c r="C1628">
        <v>3</v>
      </c>
      <c r="D1628">
        <v>0</v>
      </c>
      <c r="E1628">
        <v>0</v>
      </c>
      <c r="F1628">
        <v>109.92</v>
      </c>
      <c r="G1628">
        <v>32802.870000000003</v>
      </c>
      <c r="H1628" s="14">
        <v>43767.833333333336</v>
      </c>
    </row>
    <row r="1629" spans="1:8" x14ac:dyDescent="0.25">
      <c r="A1629">
        <v>169</v>
      </c>
      <c r="B1629" t="s">
        <v>300</v>
      </c>
      <c r="C1629">
        <v>4</v>
      </c>
      <c r="D1629">
        <v>0</v>
      </c>
      <c r="E1629">
        <v>0</v>
      </c>
      <c r="F1629">
        <v>105.59</v>
      </c>
      <c r="G1629">
        <v>31859.14</v>
      </c>
      <c r="H1629" s="14">
        <v>43767.833333333336</v>
      </c>
    </row>
    <row r="1630" spans="1:8" x14ac:dyDescent="0.25">
      <c r="A1630">
        <v>169</v>
      </c>
      <c r="B1630" t="s">
        <v>300</v>
      </c>
      <c r="C1630">
        <v>5</v>
      </c>
      <c r="D1630">
        <v>0</v>
      </c>
      <c r="E1630">
        <v>0</v>
      </c>
      <c r="F1630">
        <v>121.89</v>
      </c>
      <c r="G1630">
        <v>36961.81</v>
      </c>
      <c r="H1630" s="14">
        <v>43767.833333333336</v>
      </c>
    </row>
    <row r="1631" spans="1:8" x14ac:dyDescent="0.25">
      <c r="A1631">
        <v>169</v>
      </c>
      <c r="B1631" t="s">
        <v>300</v>
      </c>
      <c r="C1631">
        <v>6</v>
      </c>
      <c r="D1631">
        <v>0</v>
      </c>
      <c r="E1631">
        <v>0</v>
      </c>
      <c r="F1631">
        <v>73.180000000000007</v>
      </c>
      <c r="G1631">
        <v>21796.52</v>
      </c>
      <c r="H1631" s="14">
        <v>43767.833333333336</v>
      </c>
    </row>
    <row r="1632" spans="1:8" x14ac:dyDescent="0.25">
      <c r="A1632">
        <v>169</v>
      </c>
      <c r="B1632" t="s">
        <v>300</v>
      </c>
      <c r="C1632">
        <v>7</v>
      </c>
      <c r="D1632">
        <v>0</v>
      </c>
      <c r="E1632">
        <v>0</v>
      </c>
      <c r="F1632">
        <v>49.66</v>
      </c>
      <c r="G1632">
        <v>16338.98</v>
      </c>
      <c r="H1632" s="14">
        <v>43767.833333333336</v>
      </c>
    </row>
    <row r="1633" spans="1:8" x14ac:dyDescent="0.25">
      <c r="A1633">
        <v>169</v>
      </c>
      <c r="B1633" t="s">
        <v>300</v>
      </c>
      <c r="C1633">
        <v>8</v>
      </c>
      <c r="D1633">
        <v>0</v>
      </c>
      <c r="E1633">
        <v>0</v>
      </c>
      <c r="F1633">
        <v>32.22</v>
      </c>
      <c r="G1633">
        <v>8713.17</v>
      </c>
      <c r="H1633" s="14">
        <v>43767.833333333336</v>
      </c>
    </row>
    <row r="1634" spans="1:8" x14ac:dyDescent="0.25">
      <c r="A1634">
        <v>169</v>
      </c>
      <c r="B1634" t="s">
        <v>300</v>
      </c>
      <c r="C1634">
        <v>9</v>
      </c>
      <c r="D1634">
        <v>0</v>
      </c>
      <c r="E1634">
        <v>0</v>
      </c>
      <c r="F1634">
        <v>33.01</v>
      </c>
      <c r="G1634">
        <v>10156.549999999999</v>
      </c>
      <c r="H1634" s="14">
        <v>43767.833333333336</v>
      </c>
    </row>
    <row r="1635" spans="1:8" x14ac:dyDescent="0.25">
      <c r="A1635">
        <v>169</v>
      </c>
      <c r="B1635" t="s">
        <v>300</v>
      </c>
      <c r="C1635">
        <v>10</v>
      </c>
      <c r="D1635">
        <v>0</v>
      </c>
      <c r="E1635">
        <v>0</v>
      </c>
      <c r="F1635">
        <v>116.89</v>
      </c>
      <c r="G1635">
        <v>35277.71</v>
      </c>
      <c r="H1635" s="14">
        <v>43767.833333333336</v>
      </c>
    </row>
    <row r="1636" spans="1:8" x14ac:dyDescent="0.25">
      <c r="A1636">
        <v>169</v>
      </c>
      <c r="B1636" t="s">
        <v>300</v>
      </c>
      <c r="C1636">
        <v>11</v>
      </c>
      <c r="D1636">
        <v>0</v>
      </c>
      <c r="E1636">
        <v>0</v>
      </c>
      <c r="F1636">
        <v>120.07</v>
      </c>
      <c r="G1636">
        <v>36861.89</v>
      </c>
      <c r="H1636" s="14">
        <v>43767.833333333336</v>
      </c>
    </row>
    <row r="1637" spans="1:8" x14ac:dyDescent="0.25">
      <c r="A1637">
        <v>169</v>
      </c>
      <c r="B1637" t="s">
        <v>300</v>
      </c>
      <c r="C1637">
        <v>12</v>
      </c>
      <c r="D1637">
        <v>0</v>
      </c>
      <c r="E1637">
        <v>0</v>
      </c>
      <c r="F1637">
        <v>117.34</v>
      </c>
      <c r="G1637">
        <v>35878.269999999997</v>
      </c>
      <c r="H1637" s="14">
        <v>43767.833333333336</v>
      </c>
    </row>
    <row r="1638" spans="1:8" x14ac:dyDescent="0.25">
      <c r="A1638">
        <v>169</v>
      </c>
      <c r="B1638" t="s">
        <v>300</v>
      </c>
      <c r="C1638">
        <v>13</v>
      </c>
      <c r="D1638">
        <v>0</v>
      </c>
      <c r="E1638">
        <v>0</v>
      </c>
      <c r="F1638">
        <v>123.37</v>
      </c>
      <c r="G1638">
        <v>37405.660000000003</v>
      </c>
      <c r="H1638" s="14">
        <v>43767.833333333336</v>
      </c>
    </row>
    <row r="1639" spans="1:8" x14ac:dyDescent="0.25">
      <c r="A1639">
        <v>169</v>
      </c>
      <c r="B1639" t="s">
        <v>300</v>
      </c>
      <c r="C1639">
        <v>14</v>
      </c>
      <c r="D1639">
        <v>0</v>
      </c>
      <c r="E1639">
        <v>0</v>
      </c>
      <c r="F1639">
        <v>72.739999999999995</v>
      </c>
      <c r="G1639">
        <v>22722.43</v>
      </c>
      <c r="H1639" s="14">
        <v>43767.833333333336</v>
      </c>
    </row>
    <row r="1640" spans="1:8" x14ac:dyDescent="0.25">
      <c r="A1640">
        <v>169</v>
      </c>
      <c r="B1640" t="s">
        <v>300</v>
      </c>
      <c r="C1640">
        <v>15</v>
      </c>
      <c r="D1640">
        <v>0</v>
      </c>
      <c r="E1640">
        <v>0</v>
      </c>
      <c r="F1640">
        <v>117.83</v>
      </c>
      <c r="G1640">
        <v>36126.11</v>
      </c>
      <c r="H1640" s="14">
        <v>43767.833333333336</v>
      </c>
    </row>
    <row r="1641" spans="1:8" x14ac:dyDescent="0.25">
      <c r="A1641">
        <v>169</v>
      </c>
      <c r="B1641" t="s">
        <v>300</v>
      </c>
      <c r="C1641">
        <v>16</v>
      </c>
      <c r="D1641">
        <v>0</v>
      </c>
      <c r="E1641">
        <v>0</v>
      </c>
      <c r="F1641">
        <v>77.959999999999994</v>
      </c>
      <c r="G1641">
        <v>23238.35</v>
      </c>
      <c r="H1641" s="14">
        <v>43767.833333333336</v>
      </c>
    </row>
    <row r="1642" spans="1:8" x14ac:dyDescent="0.25">
      <c r="A1642">
        <v>169</v>
      </c>
      <c r="B1642" t="s">
        <v>300</v>
      </c>
      <c r="C1642">
        <v>17</v>
      </c>
      <c r="D1642">
        <v>0</v>
      </c>
      <c r="E1642">
        <v>0</v>
      </c>
      <c r="F1642">
        <v>39.590000000000003</v>
      </c>
      <c r="G1642">
        <v>12258.19</v>
      </c>
      <c r="H1642" s="14">
        <v>43767.833333333336</v>
      </c>
    </row>
    <row r="1643" spans="1:8" x14ac:dyDescent="0.25">
      <c r="A1643">
        <v>169</v>
      </c>
      <c r="B1643" t="s">
        <v>300</v>
      </c>
      <c r="C1643">
        <v>18</v>
      </c>
      <c r="D1643">
        <v>0</v>
      </c>
      <c r="E1643">
        <v>0</v>
      </c>
      <c r="F1643">
        <v>66.290000000000006</v>
      </c>
      <c r="G1643">
        <v>19729.04</v>
      </c>
      <c r="H1643" s="14">
        <v>43767.833333333336</v>
      </c>
    </row>
    <row r="1644" spans="1:8" x14ac:dyDescent="0.25">
      <c r="A1644">
        <v>170</v>
      </c>
      <c r="B1644" t="s">
        <v>301</v>
      </c>
      <c r="C1644">
        <v>1</v>
      </c>
      <c r="D1644">
        <v>0</v>
      </c>
      <c r="E1644">
        <v>0</v>
      </c>
      <c r="F1644">
        <v>85.1</v>
      </c>
      <c r="G1644">
        <v>24282.9</v>
      </c>
      <c r="H1644" s="14">
        <v>43767.833333333336</v>
      </c>
    </row>
    <row r="1645" spans="1:8" x14ac:dyDescent="0.25">
      <c r="A1645">
        <v>170</v>
      </c>
      <c r="B1645" t="s">
        <v>301</v>
      </c>
      <c r="C1645">
        <v>2</v>
      </c>
      <c r="D1645">
        <v>0</v>
      </c>
      <c r="E1645">
        <v>0</v>
      </c>
      <c r="F1645">
        <v>81.28</v>
      </c>
      <c r="G1645">
        <v>23837.599999999999</v>
      </c>
      <c r="H1645" s="14">
        <v>43767.833333333336</v>
      </c>
    </row>
    <row r="1646" spans="1:8" x14ac:dyDescent="0.25">
      <c r="A1646">
        <v>170</v>
      </c>
      <c r="B1646" t="s">
        <v>301</v>
      </c>
      <c r="C1646">
        <v>3</v>
      </c>
      <c r="D1646">
        <v>0</v>
      </c>
      <c r="E1646">
        <v>0</v>
      </c>
      <c r="F1646">
        <v>86.12</v>
      </c>
      <c r="G1646">
        <v>30118.15</v>
      </c>
      <c r="H1646" s="14">
        <v>43767.833333333336</v>
      </c>
    </row>
    <row r="1647" spans="1:8" x14ac:dyDescent="0.25">
      <c r="A1647">
        <v>170</v>
      </c>
      <c r="B1647" t="s">
        <v>301</v>
      </c>
      <c r="C1647">
        <v>4</v>
      </c>
      <c r="D1647">
        <v>0</v>
      </c>
      <c r="E1647">
        <v>0</v>
      </c>
      <c r="F1647">
        <v>80.72</v>
      </c>
      <c r="G1647">
        <v>20343.580000000002</v>
      </c>
      <c r="H1647" s="14">
        <v>43767.833333333336</v>
      </c>
    </row>
    <row r="1648" spans="1:8" x14ac:dyDescent="0.25">
      <c r="A1648">
        <v>170</v>
      </c>
      <c r="B1648" t="s">
        <v>301</v>
      </c>
      <c r="C1648">
        <v>5</v>
      </c>
      <c r="D1648">
        <v>0</v>
      </c>
      <c r="E1648">
        <v>0</v>
      </c>
      <c r="F1648">
        <v>69.95</v>
      </c>
      <c r="G1648">
        <v>18266.349999999999</v>
      </c>
      <c r="H1648" s="14">
        <v>43767.833333333336</v>
      </c>
    </row>
    <row r="1649" spans="1:8" x14ac:dyDescent="0.25">
      <c r="A1649">
        <v>171</v>
      </c>
      <c r="B1649" t="s">
        <v>302</v>
      </c>
      <c r="C1649">
        <v>1</v>
      </c>
      <c r="D1649">
        <v>0</v>
      </c>
      <c r="E1649">
        <v>0</v>
      </c>
      <c r="F1649">
        <v>132.06</v>
      </c>
      <c r="G1649">
        <v>44318.04</v>
      </c>
      <c r="H1649" s="14">
        <v>43767.833333333336</v>
      </c>
    </row>
    <row r="1650" spans="1:8" x14ac:dyDescent="0.25">
      <c r="A1650">
        <v>171</v>
      </c>
      <c r="B1650" t="s">
        <v>302</v>
      </c>
      <c r="C1650">
        <v>2</v>
      </c>
      <c r="D1650">
        <v>0</v>
      </c>
      <c r="E1650">
        <v>0</v>
      </c>
      <c r="F1650">
        <v>39.869999999999997</v>
      </c>
      <c r="G1650">
        <v>12976.68</v>
      </c>
      <c r="H1650" s="14">
        <v>43767.833333333336</v>
      </c>
    </row>
    <row r="1651" spans="1:8" x14ac:dyDescent="0.25">
      <c r="A1651">
        <v>172</v>
      </c>
      <c r="B1651" t="s">
        <v>303</v>
      </c>
      <c r="C1651">
        <v>1</v>
      </c>
      <c r="D1651">
        <v>0</v>
      </c>
      <c r="E1651">
        <v>0</v>
      </c>
      <c r="F1651">
        <v>38.9</v>
      </c>
      <c r="G1651">
        <v>11695.25</v>
      </c>
      <c r="H1651" s="14">
        <v>43767.833333333336</v>
      </c>
    </row>
    <row r="1652" spans="1:8" x14ac:dyDescent="0.25">
      <c r="A1652">
        <v>172</v>
      </c>
      <c r="B1652" t="s">
        <v>303</v>
      </c>
      <c r="C1652">
        <v>2</v>
      </c>
      <c r="D1652">
        <v>0</v>
      </c>
      <c r="E1652">
        <v>0</v>
      </c>
      <c r="F1652">
        <v>123.17</v>
      </c>
      <c r="G1652">
        <v>27445.49</v>
      </c>
      <c r="H1652" s="14">
        <v>43767.833333333336</v>
      </c>
    </row>
    <row r="1653" spans="1:8" x14ac:dyDescent="0.25">
      <c r="A1653">
        <v>172</v>
      </c>
      <c r="B1653" t="s">
        <v>303</v>
      </c>
      <c r="C1653">
        <v>3</v>
      </c>
      <c r="D1653">
        <v>0</v>
      </c>
      <c r="E1653">
        <v>0</v>
      </c>
      <c r="F1653">
        <v>46.52</v>
      </c>
      <c r="G1653">
        <v>13434.07</v>
      </c>
      <c r="H1653" s="14">
        <v>43767.833333333336</v>
      </c>
    </row>
    <row r="1654" spans="1:8" x14ac:dyDescent="0.25">
      <c r="A1654">
        <v>172</v>
      </c>
      <c r="B1654" t="s">
        <v>303</v>
      </c>
      <c r="C1654">
        <v>4</v>
      </c>
      <c r="D1654">
        <v>0</v>
      </c>
      <c r="E1654">
        <v>0</v>
      </c>
      <c r="F1654">
        <v>129.58000000000001</v>
      </c>
      <c r="G1654">
        <v>29287.93</v>
      </c>
      <c r="H1654" s="14">
        <v>43767.833333333336</v>
      </c>
    </row>
    <row r="1655" spans="1:8" x14ac:dyDescent="0.25">
      <c r="A1655">
        <v>173</v>
      </c>
      <c r="B1655" t="s">
        <v>304</v>
      </c>
      <c r="C1655">
        <v>1</v>
      </c>
      <c r="D1655">
        <v>0</v>
      </c>
      <c r="E1655">
        <v>0</v>
      </c>
      <c r="F1655">
        <v>97.98</v>
      </c>
      <c r="G1655">
        <v>29137.98</v>
      </c>
      <c r="H1655" s="14">
        <v>43767.833333333336</v>
      </c>
    </row>
    <row r="1656" spans="1:8" x14ac:dyDescent="0.25">
      <c r="A1656">
        <v>173</v>
      </c>
      <c r="B1656" t="s">
        <v>304</v>
      </c>
      <c r="C1656">
        <v>2</v>
      </c>
      <c r="D1656">
        <v>0</v>
      </c>
      <c r="E1656">
        <v>0</v>
      </c>
      <c r="F1656">
        <v>135.59</v>
      </c>
      <c r="G1656">
        <v>40389.97</v>
      </c>
      <c r="H1656" s="14">
        <v>43767.833333333336</v>
      </c>
    </row>
    <row r="1657" spans="1:8" x14ac:dyDescent="0.25">
      <c r="A1657">
        <v>173</v>
      </c>
      <c r="B1657" t="s">
        <v>304</v>
      </c>
      <c r="C1657">
        <v>3</v>
      </c>
      <c r="D1657">
        <v>0</v>
      </c>
      <c r="E1657">
        <v>0</v>
      </c>
      <c r="F1657">
        <v>138.31</v>
      </c>
      <c r="G1657">
        <v>41288.959999999999</v>
      </c>
      <c r="H1657" s="14">
        <v>43767.833333333336</v>
      </c>
    </row>
    <row r="1658" spans="1:8" x14ac:dyDescent="0.25">
      <c r="A1658">
        <v>174</v>
      </c>
      <c r="B1658" t="s">
        <v>305</v>
      </c>
      <c r="C1658">
        <v>1</v>
      </c>
      <c r="D1658">
        <v>0</v>
      </c>
      <c r="E1658">
        <v>0</v>
      </c>
      <c r="F1658">
        <v>152.88</v>
      </c>
      <c r="G1658">
        <v>45797.32</v>
      </c>
      <c r="H1658" s="14">
        <v>43767.833333333336</v>
      </c>
    </row>
    <row r="1659" spans="1:8" x14ac:dyDescent="0.25">
      <c r="A1659">
        <v>174</v>
      </c>
      <c r="B1659" t="s">
        <v>305</v>
      </c>
      <c r="C1659">
        <v>2</v>
      </c>
      <c r="D1659">
        <v>0</v>
      </c>
      <c r="E1659">
        <v>0</v>
      </c>
      <c r="F1659">
        <v>152.94999999999999</v>
      </c>
      <c r="G1659">
        <v>46310.720000000001</v>
      </c>
      <c r="H1659" s="14">
        <v>43767.833333333336</v>
      </c>
    </row>
    <row r="1660" spans="1:8" x14ac:dyDescent="0.25">
      <c r="A1660">
        <v>174</v>
      </c>
      <c r="B1660" t="s">
        <v>305</v>
      </c>
      <c r="C1660">
        <v>3</v>
      </c>
      <c r="D1660">
        <v>0</v>
      </c>
      <c r="E1660">
        <v>0</v>
      </c>
      <c r="F1660">
        <v>45.4</v>
      </c>
      <c r="G1660">
        <v>13730.3</v>
      </c>
      <c r="H1660" s="14">
        <v>43767.833333333336</v>
      </c>
    </row>
    <row r="1661" spans="1:8" x14ac:dyDescent="0.25">
      <c r="A1661">
        <v>175</v>
      </c>
      <c r="B1661" t="s">
        <v>306</v>
      </c>
      <c r="C1661">
        <v>1</v>
      </c>
      <c r="D1661">
        <v>0</v>
      </c>
      <c r="E1661">
        <v>0</v>
      </c>
      <c r="F1661">
        <v>150.69</v>
      </c>
      <c r="G1661">
        <v>46194.02</v>
      </c>
      <c r="H1661" s="14">
        <v>43767.833333333336</v>
      </c>
    </row>
    <row r="1662" spans="1:8" x14ac:dyDescent="0.25">
      <c r="A1662">
        <v>175</v>
      </c>
      <c r="B1662" t="s">
        <v>306</v>
      </c>
      <c r="C1662">
        <v>2</v>
      </c>
      <c r="D1662">
        <v>0</v>
      </c>
      <c r="E1662">
        <v>0</v>
      </c>
      <c r="F1662">
        <v>101.76</v>
      </c>
      <c r="G1662">
        <v>30714.34</v>
      </c>
      <c r="H1662" s="14">
        <v>43767.833333333336</v>
      </c>
    </row>
    <row r="1663" spans="1:8" x14ac:dyDescent="0.25">
      <c r="A1663">
        <v>175</v>
      </c>
      <c r="B1663" t="s">
        <v>306</v>
      </c>
      <c r="C1663">
        <v>3</v>
      </c>
      <c r="D1663">
        <v>0</v>
      </c>
      <c r="E1663">
        <v>0</v>
      </c>
      <c r="F1663">
        <v>76.11</v>
      </c>
      <c r="G1663">
        <v>22925.119999999999</v>
      </c>
      <c r="H1663" s="14">
        <v>43767.833333333336</v>
      </c>
    </row>
    <row r="1664" spans="1:8" x14ac:dyDescent="0.25">
      <c r="A1664">
        <v>175</v>
      </c>
      <c r="B1664" t="s">
        <v>306</v>
      </c>
      <c r="C1664">
        <v>4</v>
      </c>
      <c r="D1664">
        <v>0</v>
      </c>
      <c r="E1664">
        <v>0</v>
      </c>
      <c r="F1664">
        <v>32.409999999999997</v>
      </c>
      <c r="G1664">
        <v>9789.51</v>
      </c>
      <c r="H1664" s="14">
        <v>43767.833333333336</v>
      </c>
    </row>
    <row r="1665" spans="1:8" x14ac:dyDescent="0.25">
      <c r="A1665">
        <v>176</v>
      </c>
      <c r="B1665" t="s">
        <v>307</v>
      </c>
      <c r="C1665">
        <v>1</v>
      </c>
      <c r="D1665">
        <v>0</v>
      </c>
      <c r="E1665">
        <v>0</v>
      </c>
      <c r="F1665">
        <v>9.2100000000000009</v>
      </c>
      <c r="G1665">
        <v>3366.84</v>
      </c>
      <c r="H1665" s="14">
        <v>43767.833333333336</v>
      </c>
    </row>
    <row r="1666" spans="1:8" x14ac:dyDescent="0.25">
      <c r="A1666">
        <v>176</v>
      </c>
      <c r="B1666" t="s">
        <v>307</v>
      </c>
      <c r="C1666">
        <v>2</v>
      </c>
      <c r="D1666">
        <v>0</v>
      </c>
      <c r="E1666">
        <v>0</v>
      </c>
      <c r="F1666">
        <v>9.2899999999999991</v>
      </c>
      <c r="G1666">
        <v>3379.96</v>
      </c>
      <c r="H1666" s="14">
        <v>43767.833333333336</v>
      </c>
    </row>
    <row r="1667" spans="1:8" x14ac:dyDescent="0.25">
      <c r="A1667">
        <v>176</v>
      </c>
      <c r="B1667" t="s">
        <v>307</v>
      </c>
      <c r="C1667">
        <v>3</v>
      </c>
      <c r="D1667">
        <v>0</v>
      </c>
      <c r="E1667">
        <v>0</v>
      </c>
      <c r="F1667">
        <v>9.34</v>
      </c>
      <c r="G1667">
        <v>3394.03</v>
      </c>
      <c r="H1667" s="14">
        <v>43767.833333333336</v>
      </c>
    </row>
    <row r="1668" spans="1:8" x14ac:dyDescent="0.25">
      <c r="A1668">
        <v>176</v>
      </c>
      <c r="B1668" t="s">
        <v>307</v>
      </c>
      <c r="C1668">
        <v>4</v>
      </c>
      <c r="D1668">
        <v>0</v>
      </c>
      <c r="E1668">
        <v>0</v>
      </c>
      <c r="F1668">
        <v>10.97</v>
      </c>
      <c r="G1668">
        <v>4557.32</v>
      </c>
      <c r="H1668" s="14">
        <v>43767.833333333336</v>
      </c>
    </row>
    <row r="1669" spans="1:8" x14ac:dyDescent="0.25">
      <c r="A1669">
        <v>176</v>
      </c>
      <c r="B1669" t="s">
        <v>307</v>
      </c>
      <c r="C1669">
        <v>5</v>
      </c>
      <c r="D1669">
        <v>0</v>
      </c>
      <c r="E1669">
        <v>0</v>
      </c>
      <c r="F1669">
        <v>11.02</v>
      </c>
      <c r="G1669">
        <v>4593.13</v>
      </c>
      <c r="H1669" s="14">
        <v>43767.833333333336</v>
      </c>
    </row>
    <row r="1670" spans="1:8" x14ac:dyDescent="0.25">
      <c r="A1670">
        <v>177</v>
      </c>
      <c r="B1670" t="s">
        <v>308</v>
      </c>
      <c r="C1670">
        <v>1</v>
      </c>
      <c r="D1670">
        <v>0</v>
      </c>
      <c r="E1670">
        <v>0</v>
      </c>
      <c r="F1670">
        <v>102.22</v>
      </c>
      <c r="G1670">
        <v>10291.700000000001</v>
      </c>
      <c r="H1670" s="14">
        <v>43767.833333333336</v>
      </c>
    </row>
    <row r="1671" spans="1:8" x14ac:dyDescent="0.25">
      <c r="A1671">
        <v>177</v>
      </c>
      <c r="B1671" t="s">
        <v>308</v>
      </c>
      <c r="C1671">
        <v>2</v>
      </c>
      <c r="D1671">
        <v>0</v>
      </c>
      <c r="E1671">
        <v>0</v>
      </c>
      <c r="F1671">
        <v>101.74</v>
      </c>
      <c r="G1671">
        <v>10202.93</v>
      </c>
      <c r="H1671" s="14">
        <v>43767.833333333336</v>
      </c>
    </row>
    <row r="1672" spans="1:8" x14ac:dyDescent="0.25">
      <c r="A1672">
        <v>177</v>
      </c>
      <c r="B1672" t="s">
        <v>308</v>
      </c>
      <c r="C1672">
        <v>3</v>
      </c>
      <c r="D1672">
        <v>0</v>
      </c>
      <c r="E1672">
        <v>0</v>
      </c>
      <c r="F1672">
        <v>89.29</v>
      </c>
      <c r="G1672">
        <v>8911.6299999999992</v>
      </c>
      <c r="H1672" s="14">
        <v>43767.833333333336</v>
      </c>
    </row>
    <row r="1673" spans="1:8" x14ac:dyDescent="0.25">
      <c r="A1673">
        <v>177</v>
      </c>
      <c r="B1673" t="s">
        <v>308</v>
      </c>
      <c r="C1673">
        <v>4</v>
      </c>
      <c r="D1673">
        <v>0</v>
      </c>
      <c r="E1673">
        <v>0</v>
      </c>
      <c r="F1673">
        <v>103.31</v>
      </c>
      <c r="G1673">
        <v>10468.370000000001</v>
      </c>
      <c r="H1673" s="14">
        <v>43767.833333333336</v>
      </c>
    </row>
    <row r="1674" spans="1:8" x14ac:dyDescent="0.25">
      <c r="A1674">
        <v>177</v>
      </c>
      <c r="B1674" t="s">
        <v>308</v>
      </c>
      <c r="C1674">
        <v>5</v>
      </c>
      <c r="D1674">
        <v>0</v>
      </c>
      <c r="E1674">
        <v>0</v>
      </c>
      <c r="F1674">
        <v>107.6</v>
      </c>
      <c r="G1674">
        <v>10454.43</v>
      </c>
      <c r="H1674" s="14">
        <v>43767.833333333336</v>
      </c>
    </row>
    <row r="1675" spans="1:8" x14ac:dyDescent="0.25">
      <c r="A1675">
        <v>177</v>
      </c>
      <c r="B1675" t="s">
        <v>308</v>
      </c>
      <c r="C1675">
        <v>6</v>
      </c>
      <c r="D1675">
        <v>0</v>
      </c>
      <c r="E1675">
        <v>0</v>
      </c>
      <c r="F1675">
        <v>88.76</v>
      </c>
      <c r="G1675">
        <v>8926.7900000000009</v>
      </c>
      <c r="H1675" s="14">
        <v>43767.833333333336</v>
      </c>
    </row>
    <row r="1676" spans="1:8" x14ac:dyDescent="0.25">
      <c r="A1676">
        <v>177</v>
      </c>
      <c r="B1676" t="s">
        <v>308</v>
      </c>
      <c r="C1676">
        <v>7</v>
      </c>
      <c r="D1676">
        <v>0</v>
      </c>
      <c r="E1676">
        <v>0</v>
      </c>
      <c r="F1676">
        <v>101.33</v>
      </c>
      <c r="G1676">
        <v>9467.82</v>
      </c>
      <c r="H1676" s="14">
        <v>43767.833333333336</v>
      </c>
    </row>
    <row r="1677" spans="1:8" x14ac:dyDescent="0.25">
      <c r="A1677">
        <v>177</v>
      </c>
      <c r="B1677" t="s">
        <v>308</v>
      </c>
      <c r="C1677">
        <v>8</v>
      </c>
      <c r="D1677">
        <v>0</v>
      </c>
      <c r="E1677">
        <v>0</v>
      </c>
      <c r="F1677">
        <v>103</v>
      </c>
      <c r="G1677">
        <v>9354.6200000000008</v>
      </c>
      <c r="H1677" s="14">
        <v>43767.833333333336</v>
      </c>
    </row>
    <row r="1678" spans="1:8" x14ac:dyDescent="0.25">
      <c r="A1678">
        <v>177</v>
      </c>
      <c r="B1678" t="s">
        <v>308</v>
      </c>
      <c r="C1678">
        <v>9</v>
      </c>
      <c r="D1678">
        <v>0</v>
      </c>
      <c r="E1678">
        <v>0</v>
      </c>
      <c r="F1678">
        <v>101.09</v>
      </c>
      <c r="G1678">
        <v>9198.39</v>
      </c>
      <c r="H1678" s="14">
        <v>43767.833333333336</v>
      </c>
    </row>
    <row r="1679" spans="1:8" x14ac:dyDescent="0.25">
      <c r="A1679">
        <v>177</v>
      </c>
      <c r="B1679" t="s">
        <v>308</v>
      </c>
      <c r="C1679">
        <v>10</v>
      </c>
      <c r="D1679">
        <v>0</v>
      </c>
      <c r="E1679">
        <v>0</v>
      </c>
      <c r="F1679">
        <v>102.76</v>
      </c>
      <c r="G1679">
        <v>9381.34</v>
      </c>
      <c r="H1679" s="14">
        <v>43767.833333333336</v>
      </c>
    </row>
    <row r="1680" spans="1:8" x14ac:dyDescent="0.25">
      <c r="A1680">
        <v>177</v>
      </c>
      <c r="B1680" t="s">
        <v>308</v>
      </c>
      <c r="C1680">
        <v>11</v>
      </c>
      <c r="D1680">
        <v>0</v>
      </c>
      <c r="E1680">
        <v>0</v>
      </c>
      <c r="F1680">
        <v>104.86</v>
      </c>
      <c r="G1680">
        <v>9489.67</v>
      </c>
      <c r="H1680" s="14">
        <v>43767.833333333336</v>
      </c>
    </row>
    <row r="1681" spans="1:8" x14ac:dyDescent="0.25">
      <c r="A1681">
        <v>178</v>
      </c>
      <c r="B1681" t="s">
        <v>309</v>
      </c>
      <c r="C1681">
        <v>1</v>
      </c>
      <c r="D1681">
        <v>0</v>
      </c>
      <c r="E1681">
        <v>0</v>
      </c>
      <c r="F1681">
        <v>163.26</v>
      </c>
      <c r="G1681">
        <v>49857.8</v>
      </c>
      <c r="H1681" s="14">
        <v>43767.833333333336</v>
      </c>
    </row>
    <row r="1682" spans="1:8" x14ac:dyDescent="0.25">
      <c r="A1682">
        <v>178</v>
      </c>
      <c r="B1682" t="s">
        <v>309</v>
      </c>
      <c r="C1682">
        <v>2</v>
      </c>
      <c r="D1682">
        <v>0</v>
      </c>
      <c r="E1682">
        <v>0</v>
      </c>
      <c r="F1682">
        <v>163.12</v>
      </c>
      <c r="G1682">
        <v>51023.48</v>
      </c>
      <c r="H1682" s="14">
        <v>43767.833333333336</v>
      </c>
    </row>
    <row r="1683" spans="1:8" x14ac:dyDescent="0.25">
      <c r="A1683">
        <v>178</v>
      </c>
      <c r="B1683" t="s">
        <v>309</v>
      </c>
      <c r="C1683">
        <v>3</v>
      </c>
      <c r="D1683">
        <v>0</v>
      </c>
      <c r="E1683">
        <v>0</v>
      </c>
      <c r="F1683">
        <v>158.93</v>
      </c>
      <c r="G1683">
        <v>49537.94</v>
      </c>
      <c r="H1683" s="14">
        <v>43767.833333333336</v>
      </c>
    </row>
    <row r="1684" spans="1:8" x14ac:dyDescent="0.25">
      <c r="A1684">
        <v>178</v>
      </c>
      <c r="B1684" t="s">
        <v>309</v>
      </c>
      <c r="C1684">
        <v>4</v>
      </c>
      <c r="D1684">
        <v>0</v>
      </c>
      <c r="E1684">
        <v>0</v>
      </c>
      <c r="F1684">
        <v>163.37</v>
      </c>
      <c r="G1684">
        <v>51039.92</v>
      </c>
      <c r="H1684" s="14">
        <v>43767.833333333336</v>
      </c>
    </row>
    <row r="1685" spans="1:8" x14ac:dyDescent="0.25">
      <c r="A1685">
        <v>178</v>
      </c>
      <c r="B1685" t="s">
        <v>309</v>
      </c>
      <c r="C1685">
        <v>5</v>
      </c>
      <c r="D1685">
        <v>0</v>
      </c>
      <c r="E1685">
        <v>0</v>
      </c>
      <c r="F1685">
        <v>163.33000000000001</v>
      </c>
      <c r="G1685">
        <v>51176.69</v>
      </c>
      <c r="H1685" s="14">
        <v>43767.833333333336</v>
      </c>
    </row>
    <row r="1686" spans="1:8" x14ac:dyDescent="0.25">
      <c r="A1686">
        <v>178</v>
      </c>
      <c r="B1686" t="s">
        <v>309</v>
      </c>
      <c r="C1686">
        <v>6</v>
      </c>
      <c r="D1686">
        <v>0</v>
      </c>
      <c r="E1686">
        <v>0</v>
      </c>
      <c r="F1686">
        <v>154.81</v>
      </c>
      <c r="G1686">
        <v>48357.29</v>
      </c>
      <c r="H1686" s="14">
        <v>43767.833333333336</v>
      </c>
    </row>
    <row r="1687" spans="1:8" x14ac:dyDescent="0.25">
      <c r="A1687">
        <v>178</v>
      </c>
      <c r="B1687" t="s">
        <v>309</v>
      </c>
      <c r="C1687">
        <v>7</v>
      </c>
      <c r="D1687">
        <v>0</v>
      </c>
      <c r="E1687">
        <v>0</v>
      </c>
      <c r="F1687">
        <v>162.32</v>
      </c>
      <c r="G1687">
        <v>50758.31</v>
      </c>
      <c r="H1687" s="14">
        <v>43767.833333333336</v>
      </c>
    </row>
    <row r="1688" spans="1:8" x14ac:dyDescent="0.25">
      <c r="A1688">
        <v>178</v>
      </c>
      <c r="B1688" t="s">
        <v>309</v>
      </c>
      <c r="C1688">
        <v>8</v>
      </c>
      <c r="D1688">
        <v>0</v>
      </c>
      <c r="E1688">
        <v>0</v>
      </c>
      <c r="F1688">
        <v>120.18</v>
      </c>
      <c r="G1688">
        <v>39569.51</v>
      </c>
      <c r="H1688" s="14">
        <v>43767.833333333336</v>
      </c>
    </row>
    <row r="1689" spans="1:8" x14ac:dyDescent="0.25">
      <c r="A1689">
        <v>178</v>
      </c>
      <c r="B1689" t="s">
        <v>309</v>
      </c>
      <c r="C1689">
        <v>9</v>
      </c>
      <c r="D1689">
        <v>0</v>
      </c>
      <c r="E1689">
        <v>0</v>
      </c>
      <c r="F1689">
        <v>91.51</v>
      </c>
      <c r="G1689">
        <v>28927.8</v>
      </c>
      <c r="H1689" s="14">
        <v>43767.833333333336</v>
      </c>
    </row>
    <row r="1690" spans="1:8" x14ac:dyDescent="0.25">
      <c r="A1690">
        <v>179</v>
      </c>
      <c r="C1690">
        <v>1</v>
      </c>
      <c r="D1690">
        <v>0</v>
      </c>
      <c r="E1690">
        <v>0</v>
      </c>
      <c r="F1690">
        <v>0</v>
      </c>
      <c r="G1690">
        <v>0</v>
      </c>
      <c r="H1690" s="14">
        <v>36526</v>
      </c>
    </row>
    <row r="1691" spans="1:8" x14ac:dyDescent="0.25">
      <c r="A1691">
        <v>179</v>
      </c>
      <c r="C1691">
        <v>2</v>
      </c>
      <c r="D1691">
        <v>0</v>
      </c>
      <c r="E1691">
        <v>0</v>
      </c>
      <c r="F1691">
        <v>0</v>
      </c>
      <c r="G1691">
        <v>0</v>
      </c>
      <c r="H1691" s="14">
        <v>36526</v>
      </c>
    </row>
    <row r="1692" spans="1:8" x14ac:dyDescent="0.25">
      <c r="A1692">
        <v>180</v>
      </c>
      <c r="B1692" t="s">
        <v>312</v>
      </c>
      <c r="C1692">
        <v>1</v>
      </c>
      <c r="D1692">
        <v>0</v>
      </c>
      <c r="E1692">
        <v>0</v>
      </c>
      <c r="F1692">
        <v>92.67</v>
      </c>
      <c r="G1692">
        <v>8278.49</v>
      </c>
      <c r="H1692" s="14">
        <v>43767.833333333336</v>
      </c>
    </row>
    <row r="1693" spans="1:8" x14ac:dyDescent="0.25">
      <c r="A1693">
        <v>180</v>
      </c>
      <c r="B1693" t="s">
        <v>312</v>
      </c>
      <c r="C1693">
        <v>2</v>
      </c>
      <c r="D1693">
        <v>0</v>
      </c>
      <c r="E1693">
        <v>0</v>
      </c>
      <c r="F1693">
        <v>110.99</v>
      </c>
      <c r="G1693">
        <v>9921.1200000000008</v>
      </c>
      <c r="H1693" s="14">
        <v>43767.833333333336</v>
      </c>
    </row>
    <row r="1694" spans="1:8" x14ac:dyDescent="0.25">
      <c r="A1694">
        <v>180</v>
      </c>
      <c r="B1694" t="s">
        <v>312</v>
      </c>
      <c r="C1694">
        <v>3</v>
      </c>
      <c r="D1694">
        <v>0</v>
      </c>
      <c r="E1694">
        <v>0</v>
      </c>
      <c r="F1694">
        <v>112.04</v>
      </c>
      <c r="G1694">
        <v>9896.42</v>
      </c>
      <c r="H1694" s="14">
        <v>43767.833333333336</v>
      </c>
    </row>
    <row r="1695" spans="1:8" x14ac:dyDescent="0.25">
      <c r="A1695">
        <v>180</v>
      </c>
      <c r="B1695" t="s">
        <v>312</v>
      </c>
      <c r="C1695">
        <v>4</v>
      </c>
      <c r="D1695">
        <v>0</v>
      </c>
      <c r="E1695">
        <v>0</v>
      </c>
      <c r="F1695">
        <v>0</v>
      </c>
      <c r="G1695">
        <v>0</v>
      </c>
      <c r="H1695" s="14">
        <v>36526</v>
      </c>
    </row>
    <row r="1696" spans="1:8" x14ac:dyDescent="0.25">
      <c r="A1696">
        <v>180</v>
      </c>
      <c r="B1696" t="s">
        <v>312</v>
      </c>
      <c r="C1696">
        <v>5</v>
      </c>
      <c r="D1696">
        <v>0</v>
      </c>
      <c r="E1696">
        <v>0</v>
      </c>
      <c r="F1696">
        <v>0</v>
      </c>
      <c r="G1696">
        <v>0</v>
      </c>
      <c r="H1696" s="14">
        <v>36526</v>
      </c>
    </row>
    <row r="1697" spans="1:8" x14ac:dyDescent="0.25">
      <c r="A1697">
        <v>180</v>
      </c>
      <c r="B1697" t="s">
        <v>312</v>
      </c>
      <c r="C1697">
        <v>6</v>
      </c>
      <c r="D1697">
        <v>0</v>
      </c>
      <c r="E1697">
        <v>0</v>
      </c>
      <c r="F1697">
        <v>0</v>
      </c>
      <c r="G1697">
        <v>0</v>
      </c>
      <c r="H1697" s="14">
        <v>36526</v>
      </c>
    </row>
    <row r="1698" spans="1:8" x14ac:dyDescent="0.25">
      <c r="A1698">
        <v>180</v>
      </c>
      <c r="B1698" t="s">
        <v>312</v>
      </c>
      <c r="C1698">
        <v>7</v>
      </c>
      <c r="D1698">
        <v>0</v>
      </c>
      <c r="E1698">
        <v>0</v>
      </c>
      <c r="F1698">
        <v>0</v>
      </c>
      <c r="G1698">
        <v>0</v>
      </c>
      <c r="H1698" s="14">
        <v>36526</v>
      </c>
    </row>
    <row r="1699" spans="1:8" x14ac:dyDescent="0.25">
      <c r="A1699">
        <v>180</v>
      </c>
      <c r="B1699" t="s">
        <v>312</v>
      </c>
      <c r="C1699">
        <v>8</v>
      </c>
      <c r="D1699">
        <v>0</v>
      </c>
      <c r="E1699">
        <v>0</v>
      </c>
      <c r="F1699">
        <v>0</v>
      </c>
      <c r="G1699">
        <v>0</v>
      </c>
      <c r="H1699" s="14">
        <v>36526</v>
      </c>
    </row>
    <row r="1700" spans="1:8" x14ac:dyDescent="0.25">
      <c r="A1700">
        <v>180</v>
      </c>
      <c r="B1700" t="s">
        <v>312</v>
      </c>
      <c r="C1700">
        <v>9</v>
      </c>
      <c r="D1700">
        <v>0</v>
      </c>
      <c r="E1700">
        <v>0</v>
      </c>
      <c r="F1700">
        <v>0</v>
      </c>
      <c r="G1700">
        <v>0</v>
      </c>
      <c r="H1700" s="14">
        <v>36526</v>
      </c>
    </row>
    <row r="1701" spans="1:8" x14ac:dyDescent="0.25">
      <c r="A1701">
        <v>180</v>
      </c>
      <c r="B1701" t="s">
        <v>312</v>
      </c>
      <c r="C1701">
        <v>10</v>
      </c>
      <c r="D1701">
        <v>0</v>
      </c>
      <c r="E1701">
        <v>0</v>
      </c>
      <c r="F1701">
        <v>0</v>
      </c>
      <c r="G1701">
        <v>0</v>
      </c>
      <c r="H1701" s="14">
        <v>36526</v>
      </c>
    </row>
    <row r="1702" spans="1:8" x14ac:dyDescent="0.25">
      <c r="A1702">
        <v>180</v>
      </c>
      <c r="B1702" t="s">
        <v>312</v>
      </c>
      <c r="C1702">
        <v>11</v>
      </c>
      <c r="D1702">
        <v>0</v>
      </c>
      <c r="E1702">
        <v>0</v>
      </c>
      <c r="F1702">
        <v>0</v>
      </c>
      <c r="G1702">
        <v>0</v>
      </c>
      <c r="H1702" s="14">
        <v>36526</v>
      </c>
    </row>
    <row r="1703" spans="1:8" x14ac:dyDescent="0.25">
      <c r="A1703">
        <v>180</v>
      </c>
      <c r="B1703" t="s">
        <v>312</v>
      </c>
      <c r="C1703">
        <v>12</v>
      </c>
      <c r="D1703">
        <v>0</v>
      </c>
      <c r="E1703">
        <v>0</v>
      </c>
      <c r="F1703">
        <v>0</v>
      </c>
      <c r="G1703">
        <v>0</v>
      </c>
      <c r="H1703" s="14">
        <v>36526</v>
      </c>
    </row>
    <row r="1704" spans="1:8" x14ac:dyDescent="0.25">
      <c r="A1704">
        <v>181</v>
      </c>
      <c r="B1704" t="s">
        <v>313</v>
      </c>
      <c r="C1704">
        <v>1</v>
      </c>
      <c r="D1704">
        <v>0</v>
      </c>
      <c r="E1704">
        <v>0</v>
      </c>
      <c r="F1704">
        <v>150.53</v>
      </c>
      <c r="G1704">
        <v>41826.629999999997</v>
      </c>
      <c r="H1704" s="14">
        <v>43767.833333333336</v>
      </c>
    </row>
    <row r="1705" spans="1:8" x14ac:dyDescent="0.25">
      <c r="A1705">
        <v>181</v>
      </c>
      <c r="B1705" t="s">
        <v>313</v>
      </c>
      <c r="C1705">
        <v>2</v>
      </c>
      <c r="D1705">
        <v>0</v>
      </c>
      <c r="E1705">
        <v>0</v>
      </c>
      <c r="F1705">
        <v>147.03</v>
      </c>
      <c r="G1705">
        <v>41737.42</v>
      </c>
      <c r="H1705" s="14">
        <v>43767.833333333336</v>
      </c>
    </row>
    <row r="1706" spans="1:8" x14ac:dyDescent="0.25">
      <c r="A1706">
        <v>181</v>
      </c>
      <c r="B1706" t="s">
        <v>313</v>
      </c>
      <c r="C1706">
        <v>3</v>
      </c>
      <c r="D1706">
        <v>0</v>
      </c>
      <c r="E1706">
        <v>0</v>
      </c>
      <c r="F1706">
        <v>143.94</v>
      </c>
      <c r="G1706">
        <v>41550.65</v>
      </c>
      <c r="H1706" s="14">
        <v>43767.833333333336</v>
      </c>
    </row>
    <row r="1707" spans="1:8" x14ac:dyDescent="0.25">
      <c r="A1707">
        <v>181</v>
      </c>
      <c r="B1707" t="s">
        <v>313</v>
      </c>
      <c r="C1707">
        <v>4</v>
      </c>
      <c r="D1707">
        <v>0</v>
      </c>
      <c r="E1707">
        <v>0</v>
      </c>
      <c r="F1707">
        <v>163.32</v>
      </c>
      <c r="G1707">
        <v>33742.99</v>
      </c>
      <c r="H1707" s="14">
        <v>43767.833333333336</v>
      </c>
    </row>
    <row r="1708" spans="1:8" x14ac:dyDescent="0.25">
      <c r="A1708">
        <v>181</v>
      </c>
      <c r="B1708" t="s">
        <v>313</v>
      </c>
      <c r="C1708">
        <v>5</v>
      </c>
      <c r="D1708">
        <v>0</v>
      </c>
      <c r="E1708">
        <v>0</v>
      </c>
      <c r="F1708">
        <v>159.69999999999999</v>
      </c>
      <c r="G1708">
        <v>39428.75</v>
      </c>
      <c r="H1708" s="14">
        <v>43767.833333333336</v>
      </c>
    </row>
    <row r="1709" spans="1:8" x14ac:dyDescent="0.25">
      <c r="A1709">
        <v>181</v>
      </c>
      <c r="B1709" t="s">
        <v>313</v>
      </c>
      <c r="C1709">
        <v>6</v>
      </c>
      <c r="D1709">
        <v>0</v>
      </c>
      <c r="E1709">
        <v>0</v>
      </c>
      <c r="F1709">
        <v>154.13</v>
      </c>
      <c r="G1709">
        <v>39575.050000000003</v>
      </c>
      <c r="H1709" s="14">
        <v>43767.833333333336</v>
      </c>
    </row>
    <row r="1710" spans="1:8" x14ac:dyDescent="0.25">
      <c r="A1710">
        <v>181</v>
      </c>
      <c r="B1710" t="s">
        <v>313</v>
      </c>
      <c r="C1710">
        <v>7</v>
      </c>
      <c r="D1710">
        <v>0</v>
      </c>
      <c r="E1710">
        <v>0</v>
      </c>
      <c r="F1710">
        <v>139.38999999999999</v>
      </c>
      <c r="G1710">
        <v>40106.46</v>
      </c>
      <c r="H1710" s="14">
        <v>43767.833333333336</v>
      </c>
    </row>
    <row r="1711" spans="1:8" x14ac:dyDescent="0.25">
      <c r="A1711">
        <v>181</v>
      </c>
      <c r="B1711" t="s">
        <v>313</v>
      </c>
      <c r="C1711">
        <v>8</v>
      </c>
      <c r="D1711">
        <v>0</v>
      </c>
      <c r="E1711">
        <v>0</v>
      </c>
      <c r="F1711">
        <v>149.91</v>
      </c>
      <c r="G1711">
        <v>40818.910000000003</v>
      </c>
      <c r="H1711" s="14">
        <v>43767.833333333336</v>
      </c>
    </row>
    <row r="1712" spans="1:8" x14ac:dyDescent="0.25">
      <c r="A1712">
        <v>181</v>
      </c>
      <c r="B1712" t="s">
        <v>313</v>
      </c>
      <c r="C1712">
        <v>9</v>
      </c>
      <c r="D1712">
        <v>0</v>
      </c>
      <c r="E1712">
        <v>0</v>
      </c>
      <c r="F1712">
        <v>155.44</v>
      </c>
      <c r="G1712">
        <v>41592.410000000003</v>
      </c>
      <c r="H1712" s="14">
        <v>43767.833333333336</v>
      </c>
    </row>
    <row r="1713" spans="1:8" x14ac:dyDescent="0.25">
      <c r="A1713">
        <v>181</v>
      </c>
      <c r="B1713" t="s">
        <v>313</v>
      </c>
      <c r="C1713">
        <v>10</v>
      </c>
      <c r="D1713">
        <v>0</v>
      </c>
      <c r="E1713">
        <v>0</v>
      </c>
      <c r="F1713">
        <v>139.24</v>
      </c>
      <c r="G1713">
        <v>35158.79</v>
      </c>
      <c r="H1713" s="14">
        <v>43767.833333333336</v>
      </c>
    </row>
    <row r="1714" spans="1:8" x14ac:dyDescent="0.25">
      <c r="A1714">
        <v>181</v>
      </c>
      <c r="B1714" t="s">
        <v>313</v>
      </c>
      <c r="C1714">
        <v>11</v>
      </c>
      <c r="D1714">
        <v>0</v>
      </c>
      <c r="E1714">
        <v>0</v>
      </c>
      <c r="F1714">
        <v>125.01</v>
      </c>
      <c r="G1714">
        <v>38417</v>
      </c>
      <c r="H1714" s="14">
        <v>43767.833333333336</v>
      </c>
    </row>
    <row r="1715" spans="1:8" x14ac:dyDescent="0.25">
      <c r="A1715">
        <v>181</v>
      </c>
      <c r="B1715" t="s">
        <v>313</v>
      </c>
      <c r="C1715">
        <v>12</v>
      </c>
      <c r="D1715">
        <v>0</v>
      </c>
      <c r="E1715">
        <v>0</v>
      </c>
      <c r="F1715">
        <v>150.22999999999999</v>
      </c>
      <c r="G1715">
        <v>40104.82</v>
      </c>
      <c r="H1715" s="14">
        <v>43767.833333333336</v>
      </c>
    </row>
    <row r="1716" spans="1:8" x14ac:dyDescent="0.25">
      <c r="A1716">
        <v>182</v>
      </c>
      <c r="B1716" t="s">
        <v>314</v>
      </c>
      <c r="C1716">
        <v>1</v>
      </c>
      <c r="D1716">
        <v>0</v>
      </c>
      <c r="E1716">
        <v>0</v>
      </c>
      <c r="F1716">
        <v>142.47999999999999</v>
      </c>
      <c r="G1716">
        <v>42794.47</v>
      </c>
      <c r="H1716" s="14">
        <v>43767.833333333336</v>
      </c>
    </row>
    <row r="1717" spans="1:8" x14ac:dyDescent="0.25">
      <c r="A1717">
        <v>182</v>
      </c>
      <c r="B1717" t="s">
        <v>314</v>
      </c>
      <c r="C1717">
        <v>2</v>
      </c>
      <c r="D1717">
        <v>0</v>
      </c>
      <c r="E1717">
        <v>0</v>
      </c>
      <c r="F1717">
        <v>142.63999999999999</v>
      </c>
      <c r="G1717">
        <v>42966.05</v>
      </c>
      <c r="H1717" s="14">
        <v>43767.833333333336</v>
      </c>
    </row>
    <row r="1718" spans="1:8" x14ac:dyDescent="0.25">
      <c r="A1718">
        <v>182</v>
      </c>
      <c r="B1718" t="s">
        <v>314</v>
      </c>
      <c r="C1718">
        <v>3</v>
      </c>
      <c r="D1718">
        <v>0</v>
      </c>
      <c r="E1718">
        <v>0</v>
      </c>
      <c r="F1718">
        <v>128.44999999999999</v>
      </c>
      <c r="G1718">
        <v>39825.5</v>
      </c>
      <c r="H1718" s="14">
        <v>43767.833333333336</v>
      </c>
    </row>
    <row r="1719" spans="1:8" x14ac:dyDescent="0.25">
      <c r="A1719">
        <v>182</v>
      </c>
      <c r="B1719" t="s">
        <v>314</v>
      </c>
      <c r="C1719">
        <v>4</v>
      </c>
      <c r="D1719">
        <v>0</v>
      </c>
      <c r="E1719">
        <v>0</v>
      </c>
      <c r="F1719">
        <v>132.6</v>
      </c>
      <c r="G1719">
        <v>41284.959999999999</v>
      </c>
      <c r="H1719" s="14">
        <v>43767.833333333336</v>
      </c>
    </row>
    <row r="1720" spans="1:8" x14ac:dyDescent="0.25">
      <c r="A1720">
        <v>182</v>
      </c>
      <c r="B1720" t="s">
        <v>314</v>
      </c>
      <c r="C1720">
        <v>5</v>
      </c>
      <c r="D1720">
        <v>0</v>
      </c>
      <c r="E1720">
        <v>0</v>
      </c>
      <c r="F1720">
        <v>142.22</v>
      </c>
      <c r="G1720">
        <v>42744.74</v>
      </c>
      <c r="H1720" s="14">
        <v>43767.833333333336</v>
      </c>
    </row>
    <row r="1721" spans="1:8" x14ac:dyDescent="0.25">
      <c r="A1721">
        <v>182</v>
      </c>
      <c r="B1721" t="s">
        <v>314</v>
      </c>
      <c r="C1721">
        <v>6</v>
      </c>
      <c r="D1721">
        <v>0</v>
      </c>
      <c r="E1721">
        <v>0</v>
      </c>
      <c r="F1721">
        <v>46.4</v>
      </c>
      <c r="G1721">
        <v>15763.87</v>
      </c>
      <c r="H1721" s="14">
        <v>43767.833333333336</v>
      </c>
    </row>
    <row r="1722" spans="1:8" x14ac:dyDescent="0.25">
      <c r="A1722">
        <v>182</v>
      </c>
      <c r="B1722" t="s">
        <v>314</v>
      </c>
      <c r="C1722">
        <v>7</v>
      </c>
      <c r="D1722">
        <v>0</v>
      </c>
      <c r="E1722">
        <v>0</v>
      </c>
      <c r="F1722">
        <v>111.2</v>
      </c>
      <c r="G1722">
        <v>34216.480000000003</v>
      </c>
      <c r="H1722" s="14">
        <v>43767.833333333336</v>
      </c>
    </row>
    <row r="1723" spans="1:8" x14ac:dyDescent="0.25">
      <c r="A1723">
        <v>182</v>
      </c>
      <c r="B1723" t="s">
        <v>314</v>
      </c>
      <c r="C1723">
        <v>8</v>
      </c>
      <c r="D1723">
        <v>0</v>
      </c>
      <c r="E1723">
        <v>0</v>
      </c>
      <c r="F1723">
        <v>133.65</v>
      </c>
      <c r="G1723">
        <v>40697.93</v>
      </c>
      <c r="H1723" s="14">
        <v>43767.833333333336</v>
      </c>
    </row>
    <row r="1724" spans="1:8" x14ac:dyDescent="0.25">
      <c r="A1724">
        <v>182</v>
      </c>
      <c r="B1724" t="s">
        <v>314</v>
      </c>
      <c r="C1724">
        <v>9</v>
      </c>
      <c r="D1724">
        <v>0</v>
      </c>
      <c r="E1724">
        <v>0</v>
      </c>
      <c r="F1724">
        <v>138.06</v>
      </c>
      <c r="G1724">
        <v>42704.58</v>
      </c>
      <c r="H1724" s="14">
        <v>43767.833333333336</v>
      </c>
    </row>
    <row r="1725" spans="1:8" x14ac:dyDescent="0.25">
      <c r="A1725">
        <v>182</v>
      </c>
      <c r="B1725" t="s">
        <v>314</v>
      </c>
      <c r="C1725">
        <v>10</v>
      </c>
      <c r="D1725">
        <v>0</v>
      </c>
      <c r="E1725">
        <v>0</v>
      </c>
      <c r="F1725">
        <v>127.87</v>
      </c>
      <c r="G1725">
        <v>40984.69</v>
      </c>
      <c r="H1725" s="14">
        <v>43767.833333333336</v>
      </c>
    </row>
    <row r="1726" spans="1:8" x14ac:dyDescent="0.25">
      <c r="A1726">
        <v>183</v>
      </c>
      <c r="B1726" t="s">
        <v>315</v>
      </c>
      <c r="C1726">
        <v>1</v>
      </c>
      <c r="D1726">
        <v>0</v>
      </c>
      <c r="E1726">
        <v>0</v>
      </c>
      <c r="F1726">
        <v>100.44</v>
      </c>
      <c r="G1726">
        <v>34344.54</v>
      </c>
      <c r="H1726" s="14">
        <v>43767.833333333336</v>
      </c>
    </row>
    <row r="1727" spans="1:8" x14ac:dyDescent="0.25">
      <c r="A1727">
        <v>183</v>
      </c>
      <c r="B1727" t="s">
        <v>315</v>
      </c>
      <c r="C1727">
        <v>2</v>
      </c>
      <c r="D1727">
        <v>0</v>
      </c>
      <c r="E1727">
        <v>0</v>
      </c>
      <c r="F1727">
        <v>29.22</v>
      </c>
      <c r="G1727">
        <v>8164.33</v>
      </c>
      <c r="H1727" s="14">
        <v>43767.833333333336</v>
      </c>
    </row>
    <row r="1728" spans="1:8" x14ac:dyDescent="0.25">
      <c r="A1728">
        <v>183</v>
      </c>
      <c r="B1728" t="s">
        <v>315</v>
      </c>
      <c r="C1728">
        <v>3</v>
      </c>
      <c r="D1728">
        <v>0</v>
      </c>
      <c r="E1728">
        <v>0</v>
      </c>
      <c r="F1728">
        <v>81.489999999999995</v>
      </c>
      <c r="G1728">
        <v>29749.34</v>
      </c>
      <c r="H1728" s="14">
        <v>43767.833333333336</v>
      </c>
    </row>
    <row r="1729" spans="1:8" x14ac:dyDescent="0.25">
      <c r="A1729">
        <v>183</v>
      </c>
      <c r="B1729" t="s">
        <v>315</v>
      </c>
      <c r="C1729">
        <v>4</v>
      </c>
      <c r="D1729">
        <v>0</v>
      </c>
      <c r="E1729">
        <v>0</v>
      </c>
      <c r="F1729">
        <v>98.58</v>
      </c>
      <c r="G1729">
        <v>32196.5</v>
      </c>
      <c r="H1729" s="14">
        <v>43767.833333333336</v>
      </c>
    </row>
    <row r="1730" spans="1:8" x14ac:dyDescent="0.25">
      <c r="A1730">
        <v>183</v>
      </c>
      <c r="B1730" t="s">
        <v>315</v>
      </c>
      <c r="C1730">
        <v>5</v>
      </c>
      <c r="D1730">
        <v>0</v>
      </c>
      <c r="E1730">
        <v>0</v>
      </c>
      <c r="F1730">
        <v>90.16</v>
      </c>
      <c r="G1730">
        <v>31031.52</v>
      </c>
      <c r="H1730" s="14">
        <v>43767.833333333336</v>
      </c>
    </row>
    <row r="1731" spans="1:8" x14ac:dyDescent="0.25">
      <c r="A1731">
        <v>183</v>
      </c>
      <c r="B1731" t="s">
        <v>315</v>
      </c>
      <c r="C1731">
        <v>6</v>
      </c>
      <c r="D1731">
        <v>0</v>
      </c>
      <c r="E1731">
        <v>0</v>
      </c>
      <c r="F1731">
        <v>79.39</v>
      </c>
      <c r="G1731">
        <v>29274.81</v>
      </c>
      <c r="H1731" s="14">
        <v>43767.833333333336</v>
      </c>
    </row>
    <row r="1732" spans="1:8" x14ac:dyDescent="0.25">
      <c r="A1732">
        <v>183</v>
      </c>
      <c r="B1732" t="s">
        <v>315</v>
      </c>
      <c r="C1732">
        <v>7</v>
      </c>
      <c r="D1732">
        <v>0</v>
      </c>
      <c r="E1732">
        <v>0</v>
      </c>
      <c r="F1732">
        <v>81.83</v>
      </c>
      <c r="G1732">
        <v>28698.240000000002</v>
      </c>
      <c r="H1732" s="14">
        <v>43767.833333333336</v>
      </c>
    </row>
    <row r="1733" spans="1:8" x14ac:dyDescent="0.25">
      <c r="A1733">
        <v>183</v>
      </c>
      <c r="B1733" t="s">
        <v>315</v>
      </c>
      <c r="C1733">
        <v>8</v>
      </c>
      <c r="D1733">
        <v>0</v>
      </c>
      <c r="E1733">
        <v>0</v>
      </c>
      <c r="F1733">
        <v>86.18</v>
      </c>
      <c r="G1733">
        <v>30079.54</v>
      </c>
      <c r="H1733" s="14">
        <v>43767.833333333336</v>
      </c>
    </row>
    <row r="1734" spans="1:8" x14ac:dyDescent="0.25">
      <c r="A1734">
        <v>183</v>
      </c>
      <c r="B1734" t="s">
        <v>315</v>
      </c>
      <c r="C1734">
        <v>9</v>
      </c>
      <c r="D1734">
        <v>0</v>
      </c>
      <c r="E1734">
        <v>0</v>
      </c>
      <c r="F1734">
        <v>79.88</v>
      </c>
      <c r="G1734">
        <v>27508.61</v>
      </c>
      <c r="H1734" s="14">
        <v>43767.833333333336</v>
      </c>
    </row>
    <row r="1735" spans="1:8" x14ac:dyDescent="0.25">
      <c r="A1735">
        <v>183</v>
      </c>
      <c r="B1735" t="s">
        <v>315</v>
      </c>
      <c r="C1735">
        <v>10</v>
      </c>
      <c r="D1735">
        <v>0</v>
      </c>
      <c r="E1735">
        <v>0</v>
      </c>
      <c r="F1735">
        <v>25.4</v>
      </c>
      <c r="G1735">
        <v>8247.82</v>
      </c>
      <c r="H1735" s="14">
        <v>43767.833333333336</v>
      </c>
    </row>
    <row r="1736" spans="1:8" x14ac:dyDescent="0.25">
      <c r="A1736">
        <v>183</v>
      </c>
      <c r="B1736" t="s">
        <v>315</v>
      </c>
      <c r="C1736">
        <v>11</v>
      </c>
      <c r="D1736">
        <v>0</v>
      </c>
      <c r="E1736">
        <v>0</v>
      </c>
      <c r="F1736">
        <v>53.1</v>
      </c>
      <c r="G1736">
        <v>18120.71</v>
      </c>
      <c r="H1736" s="14">
        <v>43767.833333333336</v>
      </c>
    </row>
    <row r="1737" spans="1:8" x14ac:dyDescent="0.25">
      <c r="A1737">
        <v>184</v>
      </c>
      <c r="B1737" t="s">
        <v>316</v>
      </c>
      <c r="C1737">
        <v>1</v>
      </c>
      <c r="D1737">
        <v>0</v>
      </c>
      <c r="E1737">
        <v>0</v>
      </c>
      <c r="F1737">
        <v>9.82</v>
      </c>
      <c r="G1737">
        <v>4648.6099999999997</v>
      </c>
      <c r="H1737" s="14">
        <v>43767.833333333336</v>
      </c>
    </row>
    <row r="1738" spans="1:8" x14ac:dyDescent="0.25">
      <c r="A1738">
        <v>184</v>
      </c>
      <c r="B1738" t="s">
        <v>316</v>
      </c>
      <c r="C1738">
        <v>2</v>
      </c>
      <c r="D1738">
        <v>0</v>
      </c>
      <c r="E1738">
        <v>0</v>
      </c>
      <c r="F1738">
        <v>9.93</v>
      </c>
      <c r="G1738">
        <v>4682.16</v>
      </c>
      <c r="H1738" s="14">
        <v>43767.833333333336</v>
      </c>
    </row>
    <row r="1739" spans="1:8" x14ac:dyDescent="0.25">
      <c r="A1739">
        <v>184</v>
      </c>
      <c r="B1739" t="s">
        <v>316</v>
      </c>
      <c r="C1739">
        <v>3</v>
      </c>
      <c r="D1739">
        <v>0</v>
      </c>
      <c r="E1739">
        <v>0</v>
      </c>
      <c r="F1739">
        <v>9.8699999999999992</v>
      </c>
      <c r="G1739">
        <v>4979.7299999999996</v>
      </c>
      <c r="H1739" s="14">
        <v>43767.833333333336</v>
      </c>
    </row>
    <row r="1740" spans="1:8" x14ac:dyDescent="0.25">
      <c r="A1740">
        <v>184</v>
      </c>
      <c r="B1740" t="s">
        <v>316</v>
      </c>
      <c r="C1740">
        <v>4</v>
      </c>
      <c r="D1740">
        <v>0</v>
      </c>
      <c r="E1740">
        <v>0</v>
      </c>
      <c r="F1740">
        <v>13.49</v>
      </c>
      <c r="G1740">
        <v>5906.76</v>
      </c>
      <c r="H1740" s="14">
        <v>43767.833333333336</v>
      </c>
    </row>
    <row r="1741" spans="1:8" x14ac:dyDescent="0.25">
      <c r="A1741">
        <v>184</v>
      </c>
      <c r="B1741" t="s">
        <v>316</v>
      </c>
      <c r="C1741">
        <v>5</v>
      </c>
      <c r="D1741">
        <v>0</v>
      </c>
      <c r="E1741">
        <v>0</v>
      </c>
      <c r="F1741">
        <v>14.17</v>
      </c>
      <c r="G1741">
        <v>6120.76</v>
      </c>
      <c r="H1741" s="14">
        <v>43767.833333333336</v>
      </c>
    </row>
    <row r="1742" spans="1:8" x14ac:dyDescent="0.25">
      <c r="A1742">
        <v>184</v>
      </c>
      <c r="B1742" t="s">
        <v>316</v>
      </c>
      <c r="C1742">
        <v>6</v>
      </c>
      <c r="D1742">
        <v>0</v>
      </c>
      <c r="E1742">
        <v>0</v>
      </c>
      <c r="F1742">
        <v>14.13</v>
      </c>
      <c r="G1742">
        <v>6132.95</v>
      </c>
      <c r="H1742" s="14">
        <v>43767.833333333336</v>
      </c>
    </row>
    <row r="1743" spans="1:8" x14ac:dyDescent="0.25">
      <c r="A1743">
        <v>184</v>
      </c>
      <c r="B1743" t="s">
        <v>316</v>
      </c>
      <c r="C1743">
        <v>7</v>
      </c>
      <c r="D1743">
        <v>0</v>
      </c>
      <c r="E1743">
        <v>0</v>
      </c>
      <c r="F1743">
        <v>11.69</v>
      </c>
      <c r="G1743">
        <v>5788.98</v>
      </c>
      <c r="H1743" s="14">
        <v>43767.833333333336</v>
      </c>
    </row>
    <row r="1744" spans="1:8" x14ac:dyDescent="0.25">
      <c r="A1744">
        <v>184</v>
      </c>
      <c r="B1744" t="s">
        <v>316</v>
      </c>
      <c r="C1744">
        <v>8</v>
      </c>
      <c r="D1744">
        <v>0</v>
      </c>
      <c r="E1744">
        <v>0</v>
      </c>
      <c r="F1744">
        <v>13.28</v>
      </c>
      <c r="G1744">
        <v>5984.19</v>
      </c>
      <c r="H1744" s="14">
        <v>43767.833333333336</v>
      </c>
    </row>
    <row r="1745" spans="1:8" x14ac:dyDescent="0.25">
      <c r="A1745">
        <v>185</v>
      </c>
      <c r="B1745" t="s">
        <v>317</v>
      </c>
      <c r="C1745">
        <v>1</v>
      </c>
      <c r="D1745">
        <v>0</v>
      </c>
      <c r="E1745">
        <v>0</v>
      </c>
      <c r="F1745">
        <v>13.25</v>
      </c>
      <c r="G1745">
        <v>6594.38</v>
      </c>
      <c r="H1745" s="14">
        <v>43767.833333333336</v>
      </c>
    </row>
    <row r="1746" spans="1:8" x14ac:dyDescent="0.25">
      <c r="A1746">
        <v>185</v>
      </c>
      <c r="B1746" t="s">
        <v>317</v>
      </c>
      <c r="C1746">
        <v>2</v>
      </c>
      <c r="D1746">
        <v>0</v>
      </c>
      <c r="E1746">
        <v>0</v>
      </c>
      <c r="F1746">
        <v>13.29</v>
      </c>
      <c r="G1746">
        <v>6639.02</v>
      </c>
      <c r="H1746" s="14">
        <v>43767.833333333336</v>
      </c>
    </row>
    <row r="1747" spans="1:8" x14ac:dyDescent="0.25">
      <c r="A1747">
        <v>185</v>
      </c>
      <c r="B1747" t="s">
        <v>317</v>
      </c>
      <c r="C1747">
        <v>3</v>
      </c>
      <c r="D1747">
        <v>0</v>
      </c>
      <c r="E1747">
        <v>0</v>
      </c>
      <c r="F1747">
        <v>13.49</v>
      </c>
      <c r="G1747">
        <v>6723.87</v>
      </c>
      <c r="H1747" s="14">
        <v>43767.833333333336</v>
      </c>
    </row>
    <row r="1748" spans="1:8" x14ac:dyDescent="0.25">
      <c r="A1748">
        <v>185</v>
      </c>
      <c r="B1748" t="s">
        <v>317</v>
      </c>
      <c r="C1748">
        <v>4</v>
      </c>
      <c r="D1748">
        <v>0</v>
      </c>
      <c r="E1748">
        <v>0</v>
      </c>
      <c r="F1748">
        <v>12.78</v>
      </c>
      <c r="G1748">
        <v>6651.57</v>
      </c>
      <c r="H1748" s="14">
        <v>43767.833333333336</v>
      </c>
    </row>
    <row r="1749" spans="1:8" x14ac:dyDescent="0.25">
      <c r="A1749">
        <v>185</v>
      </c>
      <c r="B1749" t="s">
        <v>317</v>
      </c>
      <c r="C1749">
        <v>5</v>
      </c>
      <c r="D1749">
        <v>0</v>
      </c>
      <c r="E1749">
        <v>0</v>
      </c>
      <c r="F1749">
        <v>12.49</v>
      </c>
      <c r="G1749">
        <v>6705.74</v>
      </c>
      <c r="H1749" s="14">
        <v>43767.833333333336</v>
      </c>
    </row>
    <row r="1750" spans="1:8" x14ac:dyDescent="0.25">
      <c r="A1750">
        <v>185</v>
      </c>
      <c r="B1750" t="s">
        <v>317</v>
      </c>
      <c r="C1750">
        <v>6</v>
      </c>
      <c r="D1750">
        <v>0</v>
      </c>
      <c r="E1750">
        <v>0</v>
      </c>
      <c r="F1750">
        <v>10.68</v>
      </c>
      <c r="G1750">
        <v>6385.73</v>
      </c>
      <c r="H1750" s="14">
        <v>43767.833333333336</v>
      </c>
    </row>
    <row r="1751" spans="1:8" x14ac:dyDescent="0.25">
      <c r="A1751">
        <v>185</v>
      </c>
      <c r="B1751" t="s">
        <v>317</v>
      </c>
      <c r="C1751">
        <v>7</v>
      </c>
      <c r="D1751">
        <v>0</v>
      </c>
      <c r="E1751">
        <v>0</v>
      </c>
      <c r="F1751">
        <v>13.08</v>
      </c>
      <c r="G1751">
        <v>6564.34</v>
      </c>
      <c r="H1751" s="14">
        <v>43767.833333333336</v>
      </c>
    </row>
    <row r="1752" spans="1:8" x14ac:dyDescent="0.25">
      <c r="A1752">
        <v>185</v>
      </c>
      <c r="B1752" t="s">
        <v>317</v>
      </c>
      <c r="C1752">
        <v>8</v>
      </c>
      <c r="D1752">
        <v>0</v>
      </c>
      <c r="E1752">
        <v>0</v>
      </c>
      <c r="F1752">
        <v>13.29</v>
      </c>
      <c r="G1752">
        <v>6687.11</v>
      </c>
      <c r="H1752" s="14">
        <v>43767.833333333336</v>
      </c>
    </row>
    <row r="1753" spans="1:8" x14ac:dyDescent="0.25">
      <c r="A1753">
        <v>185</v>
      </c>
      <c r="B1753" t="s">
        <v>317</v>
      </c>
      <c r="C1753">
        <v>9</v>
      </c>
      <c r="D1753">
        <v>0</v>
      </c>
      <c r="E1753">
        <v>0</v>
      </c>
      <c r="F1753">
        <v>13.4</v>
      </c>
      <c r="G1753">
        <v>6730.11</v>
      </c>
      <c r="H1753" s="14">
        <v>43767.833333333336</v>
      </c>
    </row>
    <row r="1754" spans="1:8" x14ac:dyDescent="0.25">
      <c r="A1754">
        <v>185</v>
      </c>
      <c r="B1754" t="s">
        <v>317</v>
      </c>
      <c r="C1754">
        <v>10</v>
      </c>
      <c r="D1754">
        <v>0</v>
      </c>
      <c r="E1754">
        <v>0</v>
      </c>
      <c r="F1754">
        <v>13.1</v>
      </c>
      <c r="G1754">
        <v>6637.39</v>
      </c>
      <c r="H1754" s="14">
        <v>43767.833333333336</v>
      </c>
    </row>
    <row r="1755" spans="1:8" x14ac:dyDescent="0.25">
      <c r="A1755">
        <v>185</v>
      </c>
      <c r="B1755" t="s">
        <v>317</v>
      </c>
      <c r="C1755">
        <v>11</v>
      </c>
      <c r="D1755">
        <v>0</v>
      </c>
      <c r="E1755">
        <v>0</v>
      </c>
      <c r="F1755">
        <v>12.88</v>
      </c>
      <c r="G1755">
        <v>6487.64</v>
      </c>
      <c r="H1755" s="14">
        <v>43767.833333333336</v>
      </c>
    </row>
    <row r="1756" spans="1:8" x14ac:dyDescent="0.25">
      <c r="A1756">
        <v>185</v>
      </c>
      <c r="B1756" t="s">
        <v>317</v>
      </c>
      <c r="C1756">
        <v>12</v>
      </c>
      <c r="D1756">
        <v>0</v>
      </c>
      <c r="E1756">
        <v>0</v>
      </c>
      <c r="F1756">
        <v>13.44</v>
      </c>
      <c r="G1756">
        <v>6712.78</v>
      </c>
      <c r="H1756" s="14">
        <v>43767.833333333336</v>
      </c>
    </row>
    <row r="1757" spans="1:8" x14ac:dyDescent="0.25">
      <c r="A1757">
        <v>185</v>
      </c>
      <c r="B1757" t="s">
        <v>317</v>
      </c>
      <c r="C1757">
        <v>13</v>
      </c>
      <c r="D1757">
        <v>0</v>
      </c>
      <c r="E1757">
        <v>0</v>
      </c>
      <c r="F1757">
        <v>12.96</v>
      </c>
      <c r="G1757">
        <v>6450.87</v>
      </c>
      <c r="H1757" s="14">
        <v>43767.833333333336</v>
      </c>
    </row>
    <row r="1758" spans="1:8" x14ac:dyDescent="0.25">
      <c r="A1758">
        <v>185</v>
      </c>
      <c r="B1758" t="s">
        <v>317</v>
      </c>
      <c r="C1758">
        <v>14</v>
      </c>
      <c r="D1758">
        <v>0</v>
      </c>
      <c r="E1758">
        <v>0</v>
      </c>
      <c r="F1758">
        <v>13.19</v>
      </c>
      <c r="G1758">
        <v>6568.19</v>
      </c>
      <c r="H1758" s="14">
        <v>43767.833333333336</v>
      </c>
    </row>
    <row r="1759" spans="1:8" x14ac:dyDescent="0.25">
      <c r="A1759">
        <v>185</v>
      </c>
      <c r="B1759" t="s">
        <v>317</v>
      </c>
      <c r="C1759">
        <v>15</v>
      </c>
      <c r="D1759">
        <v>0</v>
      </c>
      <c r="E1759">
        <v>0</v>
      </c>
      <c r="F1759">
        <v>13.65</v>
      </c>
      <c r="G1759">
        <v>6786.79</v>
      </c>
      <c r="H1759" s="14">
        <v>43767.833333333336</v>
      </c>
    </row>
    <row r="1760" spans="1:8" x14ac:dyDescent="0.25">
      <c r="A1760">
        <v>185</v>
      </c>
      <c r="B1760" t="s">
        <v>317</v>
      </c>
      <c r="C1760">
        <v>16</v>
      </c>
      <c r="D1760">
        <v>0</v>
      </c>
      <c r="E1760">
        <v>0</v>
      </c>
      <c r="F1760">
        <v>14.48</v>
      </c>
      <c r="G1760">
        <v>7351.48</v>
      </c>
      <c r="H1760" s="14">
        <v>43767.833333333336</v>
      </c>
    </row>
    <row r="1761" spans="1:8" x14ac:dyDescent="0.25">
      <c r="A1761">
        <v>185</v>
      </c>
      <c r="B1761" t="s">
        <v>317</v>
      </c>
      <c r="C1761">
        <v>17</v>
      </c>
      <c r="D1761">
        <v>0</v>
      </c>
      <c r="E1761">
        <v>0</v>
      </c>
      <c r="F1761">
        <v>14.8</v>
      </c>
      <c r="G1761">
        <v>7502.46</v>
      </c>
      <c r="H1761" s="14">
        <v>43767.833333333336</v>
      </c>
    </row>
    <row r="1762" spans="1:8" x14ac:dyDescent="0.25">
      <c r="A1762">
        <v>185</v>
      </c>
      <c r="B1762" t="s">
        <v>317</v>
      </c>
      <c r="C1762">
        <v>18</v>
      </c>
      <c r="D1762">
        <v>0</v>
      </c>
      <c r="E1762">
        <v>0</v>
      </c>
      <c r="F1762">
        <v>14.85</v>
      </c>
      <c r="G1762">
        <v>7490.12</v>
      </c>
      <c r="H1762" s="14">
        <v>43767.833333333336</v>
      </c>
    </row>
    <row r="1763" spans="1:8" x14ac:dyDescent="0.25">
      <c r="A1763">
        <v>186</v>
      </c>
      <c r="B1763" t="s">
        <v>319</v>
      </c>
      <c r="C1763">
        <v>1</v>
      </c>
      <c r="D1763">
        <v>0</v>
      </c>
      <c r="E1763">
        <v>0</v>
      </c>
      <c r="F1763">
        <v>12.68</v>
      </c>
      <c r="G1763">
        <v>6811.33</v>
      </c>
      <c r="H1763" s="14">
        <v>43767.833333333336</v>
      </c>
    </row>
    <row r="1764" spans="1:8" x14ac:dyDescent="0.25">
      <c r="A1764">
        <v>186</v>
      </c>
      <c r="B1764" t="s">
        <v>319</v>
      </c>
      <c r="C1764">
        <v>2</v>
      </c>
      <c r="D1764">
        <v>0</v>
      </c>
      <c r="E1764">
        <v>0</v>
      </c>
      <c r="F1764">
        <v>11.99</v>
      </c>
      <c r="G1764">
        <v>6488.69</v>
      </c>
      <c r="H1764" s="14">
        <v>43767.833333333336</v>
      </c>
    </row>
    <row r="1765" spans="1:8" x14ac:dyDescent="0.25">
      <c r="A1765">
        <v>186</v>
      </c>
      <c r="B1765" t="s">
        <v>319</v>
      </c>
      <c r="C1765">
        <v>3</v>
      </c>
      <c r="D1765">
        <v>0</v>
      </c>
      <c r="E1765">
        <v>0</v>
      </c>
      <c r="F1765">
        <v>12.34</v>
      </c>
      <c r="G1765">
        <v>6794.11</v>
      </c>
      <c r="H1765" s="14">
        <v>43767.833333333336</v>
      </c>
    </row>
    <row r="1766" spans="1:8" x14ac:dyDescent="0.25">
      <c r="A1766">
        <v>186</v>
      </c>
      <c r="B1766" t="s">
        <v>319</v>
      </c>
      <c r="C1766">
        <v>4</v>
      </c>
      <c r="D1766">
        <v>0</v>
      </c>
      <c r="E1766">
        <v>0</v>
      </c>
      <c r="F1766">
        <v>12.76</v>
      </c>
      <c r="G1766">
        <v>6869.3</v>
      </c>
      <c r="H1766" s="14">
        <v>43767.833333333336</v>
      </c>
    </row>
    <row r="1767" spans="1:8" x14ac:dyDescent="0.25">
      <c r="A1767">
        <v>186</v>
      </c>
      <c r="B1767" t="s">
        <v>319</v>
      </c>
      <c r="C1767">
        <v>5</v>
      </c>
      <c r="D1767">
        <v>0</v>
      </c>
      <c r="E1767">
        <v>0</v>
      </c>
      <c r="F1767">
        <v>12.44</v>
      </c>
      <c r="G1767">
        <v>6756.11</v>
      </c>
      <c r="H1767" s="14">
        <v>43767.833333333336</v>
      </c>
    </row>
    <row r="1768" spans="1:8" x14ac:dyDescent="0.25">
      <c r="A1768">
        <v>186</v>
      </c>
      <c r="B1768" t="s">
        <v>319</v>
      </c>
      <c r="C1768">
        <v>6</v>
      </c>
      <c r="D1768">
        <v>0</v>
      </c>
      <c r="E1768">
        <v>0</v>
      </c>
      <c r="F1768">
        <v>12.69</v>
      </c>
      <c r="G1768">
        <v>6844.3</v>
      </c>
      <c r="H1768" s="14">
        <v>43767.833333333336</v>
      </c>
    </row>
    <row r="1769" spans="1:8" x14ac:dyDescent="0.25">
      <c r="A1769">
        <v>186</v>
      </c>
      <c r="B1769" t="s">
        <v>319</v>
      </c>
      <c r="C1769">
        <v>7</v>
      </c>
      <c r="D1769">
        <v>0</v>
      </c>
      <c r="E1769">
        <v>0</v>
      </c>
      <c r="F1769">
        <v>12.16</v>
      </c>
      <c r="G1769">
        <v>6662.51</v>
      </c>
      <c r="H1769" s="14">
        <v>43767.833333333336</v>
      </c>
    </row>
    <row r="1770" spans="1:8" x14ac:dyDescent="0.25">
      <c r="A1770">
        <v>186</v>
      </c>
      <c r="B1770" t="s">
        <v>319</v>
      </c>
      <c r="C1770">
        <v>8</v>
      </c>
      <c r="D1770">
        <v>0</v>
      </c>
      <c r="E1770">
        <v>0</v>
      </c>
      <c r="F1770">
        <v>12.86</v>
      </c>
      <c r="G1770">
        <v>6852.06</v>
      </c>
      <c r="H1770" s="14">
        <v>43767.833333333336</v>
      </c>
    </row>
    <row r="1771" spans="1:8" x14ac:dyDescent="0.25">
      <c r="A1771">
        <v>186</v>
      </c>
      <c r="B1771" t="s">
        <v>319</v>
      </c>
      <c r="C1771">
        <v>9</v>
      </c>
      <c r="D1771">
        <v>0</v>
      </c>
      <c r="E1771">
        <v>0</v>
      </c>
      <c r="F1771">
        <v>11.74</v>
      </c>
      <c r="G1771">
        <v>6369.85</v>
      </c>
      <c r="H1771" s="14">
        <v>43767.833333333336</v>
      </c>
    </row>
    <row r="1772" spans="1:8" x14ac:dyDescent="0.25">
      <c r="A1772">
        <v>186</v>
      </c>
      <c r="B1772" t="s">
        <v>319</v>
      </c>
      <c r="C1772">
        <v>10</v>
      </c>
      <c r="D1772">
        <v>0</v>
      </c>
      <c r="E1772">
        <v>0</v>
      </c>
      <c r="F1772">
        <v>12.75</v>
      </c>
      <c r="G1772">
        <v>6817.61</v>
      </c>
      <c r="H1772" s="14">
        <v>43767.833333333336</v>
      </c>
    </row>
    <row r="1773" spans="1:8" x14ac:dyDescent="0.25">
      <c r="A1773">
        <v>186</v>
      </c>
      <c r="B1773" t="s">
        <v>319</v>
      </c>
      <c r="C1773">
        <v>11</v>
      </c>
      <c r="D1773">
        <v>0</v>
      </c>
      <c r="E1773">
        <v>0</v>
      </c>
      <c r="F1773">
        <v>7.45</v>
      </c>
      <c r="G1773">
        <v>1084.72</v>
      </c>
      <c r="H1773" s="14">
        <v>43767.833333333336</v>
      </c>
    </row>
    <row r="1774" spans="1:8" x14ac:dyDescent="0.25">
      <c r="A1774">
        <v>186</v>
      </c>
      <c r="B1774" t="s">
        <v>319</v>
      </c>
      <c r="C1774">
        <v>12</v>
      </c>
      <c r="D1774">
        <v>0</v>
      </c>
      <c r="E1774">
        <v>0</v>
      </c>
      <c r="F1774">
        <v>12.51</v>
      </c>
      <c r="G1774">
        <v>6721.62</v>
      </c>
      <c r="H1774" s="14">
        <v>43767.833333333336</v>
      </c>
    </row>
    <row r="1775" spans="1:8" x14ac:dyDescent="0.25">
      <c r="A1775">
        <v>186</v>
      </c>
      <c r="B1775" t="s">
        <v>319</v>
      </c>
      <c r="C1775">
        <v>13</v>
      </c>
      <c r="D1775">
        <v>0</v>
      </c>
      <c r="E1775">
        <v>0</v>
      </c>
      <c r="F1775">
        <v>12.78</v>
      </c>
      <c r="G1775">
        <v>6818.82</v>
      </c>
      <c r="H1775" s="14">
        <v>43767.833333333336</v>
      </c>
    </row>
    <row r="1776" spans="1:8" x14ac:dyDescent="0.25">
      <c r="A1776">
        <v>186</v>
      </c>
      <c r="B1776" t="s">
        <v>319</v>
      </c>
      <c r="C1776">
        <v>14</v>
      </c>
      <c r="D1776">
        <v>0</v>
      </c>
      <c r="E1776">
        <v>0</v>
      </c>
      <c r="F1776">
        <v>12.67</v>
      </c>
      <c r="G1776">
        <v>6803.41</v>
      </c>
      <c r="H1776" s="14">
        <v>43767.833333333336</v>
      </c>
    </row>
    <row r="1777" spans="1:8" x14ac:dyDescent="0.25">
      <c r="A1777">
        <v>186</v>
      </c>
      <c r="B1777" t="s">
        <v>319</v>
      </c>
      <c r="C1777">
        <v>15</v>
      </c>
      <c r="D1777">
        <v>0</v>
      </c>
      <c r="E1777">
        <v>0</v>
      </c>
      <c r="F1777">
        <v>12.69</v>
      </c>
      <c r="G1777">
        <v>6847.26</v>
      </c>
      <c r="H1777" s="14">
        <v>43767.833333333336</v>
      </c>
    </row>
    <row r="1778" spans="1:8" x14ac:dyDescent="0.25">
      <c r="A1778">
        <v>187</v>
      </c>
      <c r="B1778" t="s">
        <v>320</v>
      </c>
      <c r="C1778">
        <v>1</v>
      </c>
      <c r="D1778">
        <v>0</v>
      </c>
      <c r="E1778">
        <v>0</v>
      </c>
      <c r="F1778">
        <v>9.99</v>
      </c>
      <c r="G1778">
        <v>6723.51</v>
      </c>
      <c r="H1778" s="14">
        <v>43767.833333333336</v>
      </c>
    </row>
    <row r="1779" spans="1:8" x14ac:dyDescent="0.25">
      <c r="A1779">
        <v>187</v>
      </c>
      <c r="B1779" t="s">
        <v>320</v>
      </c>
      <c r="C1779">
        <v>2</v>
      </c>
      <c r="D1779">
        <v>0</v>
      </c>
      <c r="E1779">
        <v>0</v>
      </c>
      <c r="F1779">
        <v>10.199999999999999</v>
      </c>
      <c r="G1779">
        <v>6853.24</v>
      </c>
      <c r="H1779" s="14">
        <v>43767.833333333336</v>
      </c>
    </row>
    <row r="1780" spans="1:8" x14ac:dyDescent="0.25">
      <c r="A1780">
        <v>187</v>
      </c>
      <c r="B1780" t="s">
        <v>320</v>
      </c>
      <c r="C1780">
        <v>3</v>
      </c>
      <c r="D1780">
        <v>0</v>
      </c>
      <c r="E1780">
        <v>0</v>
      </c>
      <c r="F1780">
        <v>9.9</v>
      </c>
      <c r="G1780">
        <v>6754.21</v>
      </c>
      <c r="H1780" s="14">
        <v>43767.833333333336</v>
      </c>
    </row>
    <row r="1781" spans="1:8" x14ac:dyDescent="0.25">
      <c r="A1781">
        <v>187</v>
      </c>
      <c r="B1781" t="s">
        <v>320</v>
      </c>
      <c r="C1781">
        <v>4</v>
      </c>
      <c r="D1781">
        <v>0</v>
      </c>
      <c r="E1781">
        <v>0</v>
      </c>
      <c r="F1781">
        <v>9.9700000000000006</v>
      </c>
      <c r="G1781">
        <v>6818.98</v>
      </c>
      <c r="H1781" s="14">
        <v>43767.833333333336</v>
      </c>
    </row>
    <row r="1782" spans="1:8" x14ac:dyDescent="0.25">
      <c r="A1782">
        <v>187</v>
      </c>
      <c r="B1782" t="s">
        <v>320</v>
      </c>
      <c r="C1782">
        <v>5</v>
      </c>
      <c r="D1782">
        <v>0</v>
      </c>
      <c r="E1782">
        <v>0</v>
      </c>
      <c r="F1782">
        <v>9.6300000000000008</v>
      </c>
      <c r="G1782">
        <v>6672.57</v>
      </c>
      <c r="H1782" s="14">
        <v>43767.833333333336</v>
      </c>
    </row>
    <row r="1783" spans="1:8" x14ac:dyDescent="0.25">
      <c r="A1783">
        <v>187</v>
      </c>
      <c r="B1783" t="s">
        <v>320</v>
      </c>
      <c r="C1783">
        <v>6</v>
      </c>
      <c r="D1783">
        <v>0</v>
      </c>
      <c r="E1783">
        <v>0</v>
      </c>
      <c r="F1783">
        <v>10.09</v>
      </c>
      <c r="G1783">
        <v>6832.61</v>
      </c>
      <c r="H1783" s="14">
        <v>43767.833333333336</v>
      </c>
    </row>
    <row r="1784" spans="1:8" x14ac:dyDescent="0.25">
      <c r="A1784">
        <v>187</v>
      </c>
      <c r="B1784" t="s">
        <v>320</v>
      </c>
      <c r="C1784">
        <v>7</v>
      </c>
      <c r="D1784">
        <v>0</v>
      </c>
      <c r="E1784">
        <v>0</v>
      </c>
      <c r="F1784">
        <v>10.08</v>
      </c>
      <c r="G1784">
        <v>6855.22</v>
      </c>
      <c r="H1784" s="14">
        <v>43767.833333333336</v>
      </c>
    </row>
    <row r="1785" spans="1:8" x14ac:dyDescent="0.25">
      <c r="A1785">
        <v>187</v>
      </c>
      <c r="B1785" t="s">
        <v>320</v>
      </c>
      <c r="C1785">
        <v>8</v>
      </c>
      <c r="D1785">
        <v>0</v>
      </c>
      <c r="E1785">
        <v>0</v>
      </c>
      <c r="F1785">
        <v>10.24</v>
      </c>
      <c r="G1785">
        <v>6821.88</v>
      </c>
      <c r="H1785" s="14">
        <v>43767.833333333336</v>
      </c>
    </row>
    <row r="1786" spans="1:8" x14ac:dyDescent="0.25">
      <c r="A1786">
        <v>187</v>
      </c>
      <c r="B1786" t="s">
        <v>320</v>
      </c>
      <c r="C1786">
        <v>9</v>
      </c>
      <c r="D1786">
        <v>0</v>
      </c>
      <c r="E1786">
        <v>0</v>
      </c>
      <c r="F1786">
        <v>10.15</v>
      </c>
      <c r="G1786">
        <v>6777.97</v>
      </c>
      <c r="H1786" s="14">
        <v>43767.833333333336</v>
      </c>
    </row>
    <row r="1787" spans="1:8" x14ac:dyDescent="0.25">
      <c r="A1787">
        <v>187</v>
      </c>
      <c r="B1787" t="s">
        <v>320</v>
      </c>
      <c r="C1787">
        <v>10</v>
      </c>
      <c r="D1787">
        <v>0</v>
      </c>
      <c r="E1787">
        <v>0</v>
      </c>
      <c r="F1787">
        <v>9.74</v>
      </c>
      <c r="G1787">
        <v>6588.23</v>
      </c>
      <c r="H1787" s="14">
        <v>43767.833333333336</v>
      </c>
    </row>
    <row r="1788" spans="1:8" x14ac:dyDescent="0.25">
      <c r="A1788">
        <v>187</v>
      </c>
      <c r="B1788" t="s">
        <v>320</v>
      </c>
      <c r="C1788">
        <v>11</v>
      </c>
      <c r="D1788">
        <v>0</v>
      </c>
      <c r="E1788">
        <v>0</v>
      </c>
      <c r="F1788">
        <v>10.24</v>
      </c>
      <c r="G1788">
        <v>6822.83</v>
      </c>
      <c r="H1788" s="14">
        <v>43767.833333333336</v>
      </c>
    </row>
    <row r="1789" spans="1:8" x14ac:dyDescent="0.25">
      <c r="A1789">
        <v>187</v>
      </c>
      <c r="B1789" t="s">
        <v>320</v>
      </c>
      <c r="C1789">
        <v>12</v>
      </c>
      <c r="D1789">
        <v>0</v>
      </c>
      <c r="E1789">
        <v>0</v>
      </c>
      <c r="F1789">
        <v>9.92</v>
      </c>
      <c r="G1789">
        <v>6621.3</v>
      </c>
      <c r="H1789" s="14">
        <v>43767.833333333336</v>
      </c>
    </row>
    <row r="1790" spans="1:8" x14ac:dyDescent="0.25">
      <c r="A1790">
        <v>187</v>
      </c>
      <c r="B1790" t="s">
        <v>320</v>
      </c>
      <c r="C1790">
        <v>13</v>
      </c>
      <c r="D1790">
        <v>0</v>
      </c>
      <c r="E1790">
        <v>0</v>
      </c>
      <c r="F1790">
        <v>10.26</v>
      </c>
      <c r="G1790">
        <v>6760.17</v>
      </c>
      <c r="H1790" s="14">
        <v>43767.833333333336</v>
      </c>
    </row>
    <row r="1791" spans="1:8" x14ac:dyDescent="0.25">
      <c r="A1791">
        <v>187</v>
      </c>
      <c r="B1791" t="s">
        <v>320</v>
      </c>
      <c r="C1791">
        <v>14</v>
      </c>
      <c r="D1791">
        <v>0</v>
      </c>
      <c r="E1791">
        <v>0</v>
      </c>
      <c r="F1791">
        <v>10.18</v>
      </c>
      <c r="G1791">
        <v>6804.48</v>
      </c>
      <c r="H1791" s="14">
        <v>43767.833333333336</v>
      </c>
    </row>
    <row r="1792" spans="1:8" x14ac:dyDescent="0.25">
      <c r="A1792">
        <v>187</v>
      </c>
      <c r="B1792" t="s">
        <v>320</v>
      </c>
      <c r="C1792">
        <v>15</v>
      </c>
      <c r="D1792">
        <v>0</v>
      </c>
      <c r="E1792">
        <v>0</v>
      </c>
      <c r="F1792">
        <v>10.039999999999999</v>
      </c>
      <c r="G1792">
        <v>6728.11</v>
      </c>
      <c r="H1792" s="14">
        <v>43767.833333333336</v>
      </c>
    </row>
    <row r="1793" spans="1:8" x14ac:dyDescent="0.25">
      <c r="A1793">
        <v>187</v>
      </c>
      <c r="B1793" t="s">
        <v>320</v>
      </c>
      <c r="C1793">
        <v>16</v>
      </c>
      <c r="D1793">
        <v>0</v>
      </c>
      <c r="E1793">
        <v>0</v>
      </c>
      <c r="F1793">
        <v>11.5</v>
      </c>
      <c r="G1793">
        <v>7684.83</v>
      </c>
      <c r="H1793" s="14">
        <v>43767.833333333336</v>
      </c>
    </row>
    <row r="1794" spans="1:8" x14ac:dyDescent="0.25">
      <c r="A1794">
        <v>187</v>
      </c>
      <c r="B1794" t="s">
        <v>320</v>
      </c>
      <c r="C1794">
        <v>17</v>
      </c>
      <c r="D1794">
        <v>0</v>
      </c>
      <c r="E1794">
        <v>0</v>
      </c>
      <c r="F1794">
        <v>11.39</v>
      </c>
      <c r="G1794">
        <v>7602.52</v>
      </c>
      <c r="H1794" s="14">
        <v>43767.833333333336</v>
      </c>
    </row>
    <row r="1795" spans="1:8" x14ac:dyDescent="0.25">
      <c r="A1795">
        <v>187</v>
      </c>
      <c r="B1795" t="s">
        <v>320</v>
      </c>
      <c r="C1795">
        <v>18</v>
      </c>
      <c r="D1795">
        <v>0</v>
      </c>
      <c r="E1795">
        <v>0</v>
      </c>
      <c r="F1795">
        <v>11.26</v>
      </c>
      <c r="G1795">
        <v>7553.19</v>
      </c>
      <c r="H1795" s="14">
        <v>43767.833333333336</v>
      </c>
    </row>
    <row r="1796" spans="1:8" x14ac:dyDescent="0.25">
      <c r="A1796">
        <v>188</v>
      </c>
      <c r="B1796" t="s">
        <v>321</v>
      </c>
      <c r="C1796">
        <v>1</v>
      </c>
      <c r="D1796">
        <v>0</v>
      </c>
      <c r="E1796">
        <v>0</v>
      </c>
      <c r="F1796">
        <v>11.41</v>
      </c>
      <c r="G1796">
        <v>7580.32</v>
      </c>
      <c r="H1796" s="14">
        <v>43767.833333333336</v>
      </c>
    </row>
    <row r="1797" spans="1:8" x14ac:dyDescent="0.25">
      <c r="A1797">
        <v>188</v>
      </c>
      <c r="B1797" t="s">
        <v>321</v>
      </c>
      <c r="C1797">
        <v>2</v>
      </c>
      <c r="D1797">
        <v>0</v>
      </c>
      <c r="E1797">
        <v>0</v>
      </c>
      <c r="F1797">
        <v>10.34</v>
      </c>
      <c r="G1797">
        <v>6865.34</v>
      </c>
      <c r="H1797" s="14">
        <v>43767.833333333336</v>
      </c>
    </row>
    <row r="1798" spans="1:8" x14ac:dyDescent="0.25">
      <c r="A1798">
        <v>188</v>
      </c>
      <c r="B1798" t="s">
        <v>321</v>
      </c>
      <c r="C1798">
        <v>3</v>
      </c>
      <c r="D1798">
        <v>0</v>
      </c>
      <c r="E1798">
        <v>0</v>
      </c>
      <c r="F1798">
        <v>10.49</v>
      </c>
      <c r="G1798">
        <v>6927.28</v>
      </c>
      <c r="H1798" s="14">
        <v>43767.833333333336</v>
      </c>
    </row>
    <row r="1799" spans="1:8" x14ac:dyDescent="0.25">
      <c r="A1799">
        <v>188</v>
      </c>
      <c r="B1799" t="s">
        <v>321</v>
      </c>
      <c r="C1799">
        <v>4</v>
      </c>
      <c r="D1799">
        <v>0</v>
      </c>
      <c r="E1799">
        <v>0</v>
      </c>
      <c r="F1799">
        <v>10.42</v>
      </c>
      <c r="G1799">
        <v>6932.88</v>
      </c>
      <c r="H1799" s="14">
        <v>43767.833333333336</v>
      </c>
    </row>
    <row r="1800" spans="1:8" x14ac:dyDescent="0.25">
      <c r="A1800">
        <v>188</v>
      </c>
      <c r="B1800" t="s">
        <v>321</v>
      </c>
      <c r="C1800">
        <v>5</v>
      </c>
      <c r="D1800">
        <v>0</v>
      </c>
      <c r="E1800">
        <v>0</v>
      </c>
      <c r="F1800">
        <v>10.1</v>
      </c>
      <c r="G1800">
        <v>6849.32</v>
      </c>
      <c r="H1800" s="14">
        <v>43767.833333333336</v>
      </c>
    </row>
    <row r="1801" spans="1:8" x14ac:dyDescent="0.25">
      <c r="A1801">
        <v>188</v>
      </c>
      <c r="B1801" t="s">
        <v>321</v>
      </c>
      <c r="C1801">
        <v>6</v>
      </c>
      <c r="D1801">
        <v>0</v>
      </c>
      <c r="E1801">
        <v>0</v>
      </c>
      <c r="F1801">
        <v>10.32</v>
      </c>
      <c r="G1801">
        <v>6888.26</v>
      </c>
      <c r="H1801" s="14">
        <v>43767.833333333336</v>
      </c>
    </row>
    <row r="1802" spans="1:8" x14ac:dyDescent="0.25">
      <c r="A1802">
        <v>188</v>
      </c>
      <c r="B1802" t="s">
        <v>321</v>
      </c>
      <c r="C1802">
        <v>7</v>
      </c>
      <c r="D1802">
        <v>0</v>
      </c>
      <c r="E1802">
        <v>0</v>
      </c>
      <c r="F1802">
        <v>10.41</v>
      </c>
      <c r="G1802">
        <v>6930.73</v>
      </c>
      <c r="H1802" s="14">
        <v>43767.833333333336</v>
      </c>
    </row>
    <row r="1803" spans="1:8" x14ac:dyDescent="0.25">
      <c r="A1803">
        <v>188</v>
      </c>
      <c r="B1803" t="s">
        <v>321</v>
      </c>
      <c r="C1803">
        <v>8</v>
      </c>
      <c r="D1803">
        <v>0</v>
      </c>
      <c r="E1803">
        <v>0</v>
      </c>
      <c r="F1803">
        <v>10.42</v>
      </c>
      <c r="G1803">
        <v>6937.21</v>
      </c>
      <c r="H1803" s="14">
        <v>43767.833333333336</v>
      </c>
    </row>
    <row r="1804" spans="1:8" x14ac:dyDescent="0.25">
      <c r="A1804">
        <v>188</v>
      </c>
      <c r="B1804" t="s">
        <v>321</v>
      </c>
      <c r="C1804">
        <v>9</v>
      </c>
      <c r="D1804">
        <v>0</v>
      </c>
      <c r="E1804">
        <v>0</v>
      </c>
      <c r="F1804">
        <v>10.36</v>
      </c>
      <c r="G1804">
        <v>6876.97</v>
      </c>
      <c r="H1804" s="14">
        <v>43767.833333333336</v>
      </c>
    </row>
    <row r="1805" spans="1:8" x14ac:dyDescent="0.25">
      <c r="A1805">
        <v>188</v>
      </c>
      <c r="B1805" t="s">
        <v>321</v>
      </c>
      <c r="C1805">
        <v>10</v>
      </c>
      <c r="D1805">
        <v>0</v>
      </c>
      <c r="E1805">
        <v>0</v>
      </c>
      <c r="F1805">
        <v>10.01</v>
      </c>
      <c r="G1805">
        <v>6495.46</v>
      </c>
      <c r="H1805" s="14">
        <v>43767.833333333336</v>
      </c>
    </row>
    <row r="1806" spans="1:8" x14ac:dyDescent="0.25">
      <c r="A1806">
        <v>188</v>
      </c>
      <c r="B1806" t="s">
        <v>321</v>
      </c>
      <c r="C1806">
        <v>11</v>
      </c>
      <c r="D1806">
        <v>0</v>
      </c>
      <c r="E1806">
        <v>0</v>
      </c>
      <c r="F1806">
        <v>10.119999999999999</v>
      </c>
      <c r="G1806">
        <v>6742.43</v>
      </c>
      <c r="H1806" s="14">
        <v>43767.833333333336</v>
      </c>
    </row>
    <row r="1807" spans="1:8" x14ac:dyDescent="0.25">
      <c r="A1807">
        <v>188</v>
      </c>
      <c r="B1807" t="s">
        <v>321</v>
      </c>
      <c r="C1807">
        <v>12</v>
      </c>
      <c r="D1807">
        <v>0</v>
      </c>
      <c r="E1807">
        <v>0</v>
      </c>
      <c r="F1807">
        <v>10.02</v>
      </c>
      <c r="G1807">
        <v>6685.45</v>
      </c>
      <c r="H1807" s="14">
        <v>43767.833333333336</v>
      </c>
    </row>
    <row r="1808" spans="1:8" x14ac:dyDescent="0.25">
      <c r="A1808">
        <v>188</v>
      </c>
      <c r="B1808" t="s">
        <v>321</v>
      </c>
      <c r="C1808">
        <v>13</v>
      </c>
      <c r="D1808">
        <v>0</v>
      </c>
      <c r="E1808">
        <v>0</v>
      </c>
      <c r="F1808">
        <v>10.09</v>
      </c>
      <c r="G1808">
        <v>6666.08</v>
      </c>
      <c r="H1808" s="14">
        <v>43767.833333333336</v>
      </c>
    </row>
    <row r="1809" spans="1:8" x14ac:dyDescent="0.25">
      <c r="A1809">
        <v>188</v>
      </c>
      <c r="B1809" t="s">
        <v>321</v>
      </c>
      <c r="C1809">
        <v>14</v>
      </c>
      <c r="D1809">
        <v>0</v>
      </c>
      <c r="E1809">
        <v>0</v>
      </c>
      <c r="F1809">
        <v>10.31</v>
      </c>
      <c r="G1809">
        <v>6892.86</v>
      </c>
      <c r="H1809" s="14">
        <v>43767.833333333336</v>
      </c>
    </row>
    <row r="1810" spans="1:8" x14ac:dyDescent="0.25">
      <c r="A1810">
        <v>188</v>
      </c>
      <c r="B1810" t="s">
        <v>321</v>
      </c>
      <c r="C1810">
        <v>15</v>
      </c>
      <c r="D1810">
        <v>0</v>
      </c>
      <c r="E1810">
        <v>0</v>
      </c>
      <c r="F1810">
        <v>10.130000000000001</v>
      </c>
      <c r="G1810">
        <v>6861.39</v>
      </c>
      <c r="H1810" s="14">
        <v>43767.833333333336</v>
      </c>
    </row>
    <row r="1811" spans="1:8" x14ac:dyDescent="0.25">
      <c r="A1811">
        <v>188</v>
      </c>
      <c r="B1811" t="s">
        <v>321</v>
      </c>
      <c r="C1811">
        <v>16</v>
      </c>
      <c r="D1811">
        <v>0</v>
      </c>
      <c r="E1811">
        <v>0</v>
      </c>
      <c r="F1811">
        <v>11.19</v>
      </c>
      <c r="G1811">
        <v>7528.76</v>
      </c>
      <c r="H1811" s="14">
        <v>43767.833333333336</v>
      </c>
    </row>
    <row r="1812" spans="1:8" x14ac:dyDescent="0.25">
      <c r="A1812">
        <v>188</v>
      </c>
      <c r="B1812" t="s">
        <v>321</v>
      </c>
      <c r="C1812">
        <v>17</v>
      </c>
      <c r="D1812">
        <v>0</v>
      </c>
      <c r="E1812">
        <v>0</v>
      </c>
      <c r="F1812">
        <v>11.28</v>
      </c>
      <c r="G1812">
        <v>7499.7</v>
      </c>
      <c r="H1812" s="14">
        <v>43767.833333333336</v>
      </c>
    </row>
    <row r="1813" spans="1:8" x14ac:dyDescent="0.25">
      <c r="A1813">
        <v>188</v>
      </c>
      <c r="B1813" t="s">
        <v>321</v>
      </c>
      <c r="C1813">
        <v>18</v>
      </c>
      <c r="D1813">
        <v>0</v>
      </c>
      <c r="E1813">
        <v>0</v>
      </c>
      <c r="F1813">
        <v>10.62</v>
      </c>
      <c r="G1813">
        <v>7006.88</v>
      </c>
      <c r="H1813" s="14">
        <v>43767.833333333336</v>
      </c>
    </row>
    <row r="1814" spans="1:8" x14ac:dyDescent="0.25">
      <c r="A1814">
        <v>189</v>
      </c>
      <c r="B1814" t="s">
        <v>322</v>
      </c>
      <c r="C1814">
        <v>1</v>
      </c>
      <c r="D1814">
        <v>0</v>
      </c>
      <c r="E1814">
        <v>0</v>
      </c>
      <c r="F1814">
        <v>150.28</v>
      </c>
      <c r="G1814">
        <v>32886.58</v>
      </c>
      <c r="H1814" s="14">
        <v>43767.833333333336</v>
      </c>
    </row>
    <row r="1815" spans="1:8" x14ac:dyDescent="0.25">
      <c r="A1815">
        <v>189</v>
      </c>
      <c r="B1815" t="s">
        <v>322</v>
      </c>
      <c r="C1815">
        <v>2</v>
      </c>
      <c r="D1815">
        <v>0</v>
      </c>
      <c r="E1815">
        <v>0</v>
      </c>
      <c r="F1815">
        <v>147.08000000000001</v>
      </c>
      <c r="G1815">
        <v>32620.18</v>
      </c>
      <c r="H1815" s="14">
        <v>43767.833333333336</v>
      </c>
    </row>
    <row r="1816" spans="1:8" x14ac:dyDescent="0.25">
      <c r="A1816">
        <v>189</v>
      </c>
      <c r="B1816" t="s">
        <v>322</v>
      </c>
      <c r="C1816">
        <v>3</v>
      </c>
      <c r="D1816">
        <v>0</v>
      </c>
      <c r="E1816">
        <v>0</v>
      </c>
      <c r="F1816">
        <v>79.75</v>
      </c>
      <c r="G1816">
        <v>16488.32</v>
      </c>
      <c r="H1816" s="14">
        <v>43767.833333333336</v>
      </c>
    </row>
    <row r="1817" spans="1:8" x14ac:dyDescent="0.25">
      <c r="A1817">
        <v>189</v>
      </c>
      <c r="B1817" t="s">
        <v>322</v>
      </c>
      <c r="C1817">
        <v>4</v>
      </c>
      <c r="D1817">
        <v>0</v>
      </c>
      <c r="E1817">
        <v>0</v>
      </c>
      <c r="F1817">
        <v>35.630000000000003</v>
      </c>
      <c r="G1817">
        <v>8789.86</v>
      </c>
      <c r="H1817" s="14">
        <v>43767.833333333336</v>
      </c>
    </row>
    <row r="1818" spans="1:8" x14ac:dyDescent="0.25">
      <c r="A1818">
        <v>190</v>
      </c>
      <c r="B1818" t="s">
        <v>323</v>
      </c>
      <c r="C1818">
        <v>1</v>
      </c>
      <c r="D1818">
        <v>0</v>
      </c>
      <c r="E1818">
        <v>0</v>
      </c>
      <c r="F1818">
        <v>103.48</v>
      </c>
      <c r="G1818">
        <v>42681.96</v>
      </c>
      <c r="H1818" s="14">
        <v>43767.833333333336</v>
      </c>
    </row>
    <row r="1819" spans="1:8" x14ac:dyDescent="0.25">
      <c r="A1819">
        <v>190</v>
      </c>
      <c r="B1819" t="s">
        <v>323</v>
      </c>
      <c r="C1819">
        <v>2</v>
      </c>
      <c r="D1819">
        <v>0</v>
      </c>
      <c r="E1819">
        <v>0</v>
      </c>
      <c r="F1819">
        <v>104.62</v>
      </c>
      <c r="G1819">
        <v>42900.28</v>
      </c>
      <c r="H1819" s="14">
        <v>43767.833333333336</v>
      </c>
    </row>
    <row r="1820" spans="1:8" x14ac:dyDescent="0.25">
      <c r="A1820">
        <v>190</v>
      </c>
      <c r="B1820" t="s">
        <v>323</v>
      </c>
      <c r="C1820">
        <v>3</v>
      </c>
      <c r="D1820">
        <v>0</v>
      </c>
      <c r="E1820">
        <v>0</v>
      </c>
      <c r="F1820">
        <v>62.08</v>
      </c>
      <c r="G1820">
        <v>25623.09</v>
      </c>
      <c r="H1820" s="14">
        <v>43767.833333333336</v>
      </c>
    </row>
    <row r="1821" spans="1:8" x14ac:dyDescent="0.25">
      <c r="A1821">
        <v>191</v>
      </c>
      <c r="B1821" t="s">
        <v>324</v>
      </c>
      <c r="C1821">
        <v>1</v>
      </c>
      <c r="D1821">
        <v>0</v>
      </c>
      <c r="E1821">
        <v>0</v>
      </c>
      <c r="F1821">
        <v>104.88</v>
      </c>
      <c r="G1821">
        <v>40607.120000000003</v>
      </c>
      <c r="H1821" s="14">
        <v>43767.833333333336</v>
      </c>
    </row>
    <row r="1822" spans="1:8" x14ac:dyDescent="0.25">
      <c r="A1822">
        <v>191</v>
      </c>
      <c r="B1822" t="s">
        <v>324</v>
      </c>
      <c r="C1822">
        <v>2</v>
      </c>
      <c r="D1822">
        <v>0</v>
      </c>
      <c r="E1822">
        <v>0</v>
      </c>
      <c r="F1822">
        <v>103.94</v>
      </c>
      <c r="G1822">
        <v>40644.25</v>
      </c>
      <c r="H1822" s="14">
        <v>43767.833333333336</v>
      </c>
    </row>
    <row r="1823" spans="1:8" x14ac:dyDescent="0.25">
      <c r="A1823">
        <v>191</v>
      </c>
      <c r="B1823" t="s">
        <v>324</v>
      </c>
      <c r="C1823">
        <v>3</v>
      </c>
      <c r="D1823">
        <v>0</v>
      </c>
      <c r="E1823">
        <v>0</v>
      </c>
      <c r="F1823">
        <v>102.5</v>
      </c>
      <c r="G1823">
        <v>40727.35</v>
      </c>
      <c r="H1823" s="14">
        <v>43767.833333333336</v>
      </c>
    </row>
    <row r="1824" spans="1:8" x14ac:dyDescent="0.25">
      <c r="A1824">
        <v>191</v>
      </c>
      <c r="B1824" t="s">
        <v>324</v>
      </c>
      <c r="C1824">
        <v>4</v>
      </c>
      <c r="D1824">
        <v>0</v>
      </c>
      <c r="E1824">
        <v>0</v>
      </c>
      <c r="F1824">
        <v>105.05</v>
      </c>
      <c r="G1824">
        <v>40691.24</v>
      </c>
      <c r="H1824" s="14">
        <v>43767.833333333336</v>
      </c>
    </row>
    <row r="1825" spans="1:8" x14ac:dyDescent="0.25">
      <c r="A1825">
        <v>191</v>
      </c>
      <c r="B1825" t="s">
        <v>324</v>
      </c>
      <c r="C1825">
        <v>5</v>
      </c>
      <c r="D1825">
        <v>0</v>
      </c>
      <c r="E1825">
        <v>0</v>
      </c>
      <c r="F1825">
        <v>105.55</v>
      </c>
      <c r="G1825">
        <v>40978.949999999997</v>
      </c>
      <c r="H1825" s="14">
        <v>43767.833333333336</v>
      </c>
    </row>
    <row r="1826" spans="1:8" x14ac:dyDescent="0.25">
      <c r="A1826">
        <v>191</v>
      </c>
      <c r="B1826" t="s">
        <v>324</v>
      </c>
      <c r="C1826">
        <v>6</v>
      </c>
      <c r="D1826">
        <v>0</v>
      </c>
      <c r="E1826">
        <v>0</v>
      </c>
      <c r="F1826">
        <v>69.95</v>
      </c>
      <c r="G1826">
        <v>27051.72</v>
      </c>
      <c r="H1826" s="14">
        <v>43767.833333333336</v>
      </c>
    </row>
    <row r="1827" spans="1:8" x14ac:dyDescent="0.25">
      <c r="A1827">
        <v>191</v>
      </c>
      <c r="B1827" t="s">
        <v>324</v>
      </c>
      <c r="C1827">
        <v>7</v>
      </c>
      <c r="D1827">
        <v>0</v>
      </c>
      <c r="E1827">
        <v>0</v>
      </c>
      <c r="F1827">
        <v>119.59</v>
      </c>
      <c r="G1827">
        <v>46007.94</v>
      </c>
      <c r="H1827" s="14">
        <v>43767.833333333336</v>
      </c>
    </row>
    <row r="1828" spans="1:8" x14ac:dyDescent="0.25">
      <c r="A1828">
        <v>192</v>
      </c>
      <c r="B1828" t="s">
        <v>325</v>
      </c>
      <c r="C1828">
        <v>1</v>
      </c>
      <c r="D1828">
        <v>0</v>
      </c>
      <c r="E1828">
        <v>0</v>
      </c>
      <c r="F1828">
        <v>113.05</v>
      </c>
      <c r="G1828">
        <v>44936.06</v>
      </c>
      <c r="H1828" s="14">
        <v>43767.833333333336</v>
      </c>
    </row>
    <row r="1829" spans="1:8" x14ac:dyDescent="0.25">
      <c r="A1829">
        <v>192</v>
      </c>
      <c r="B1829" t="s">
        <v>325</v>
      </c>
      <c r="C1829">
        <v>2</v>
      </c>
      <c r="D1829">
        <v>0</v>
      </c>
      <c r="E1829">
        <v>0</v>
      </c>
      <c r="F1829">
        <v>114.48</v>
      </c>
      <c r="G1829">
        <v>1177.07</v>
      </c>
      <c r="H1829" s="14">
        <v>43767.833333333336</v>
      </c>
    </row>
    <row r="1830" spans="1:8" x14ac:dyDescent="0.25">
      <c r="A1830">
        <v>192</v>
      </c>
      <c r="B1830" t="s">
        <v>325</v>
      </c>
      <c r="C1830">
        <v>3</v>
      </c>
      <c r="D1830">
        <v>0</v>
      </c>
      <c r="E1830">
        <v>0</v>
      </c>
      <c r="F1830">
        <v>77.17</v>
      </c>
      <c r="G1830">
        <v>31421.42</v>
      </c>
      <c r="H1830" s="14">
        <v>43767.833333333336</v>
      </c>
    </row>
    <row r="1831" spans="1:8" x14ac:dyDescent="0.25">
      <c r="A1831">
        <v>193</v>
      </c>
      <c r="B1831" t="s">
        <v>326</v>
      </c>
      <c r="C1831">
        <v>1</v>
      </c>
      <c r="D1831">
        <v>0</v>
      </c>
      <c r="E1831">
        <v>0</v>
      </c>
      <c r="F1831">
        <v>89.6</v>
      </c>
      <c r="G1831">
        <v>40500.65</v>
      </c>
      <c r="H1831" s="14">
        <v>43767.833333333336</v>
      </c>
    </row>
    <row r="1832" spans="1:8" x14ac:dyDescent="0.25">
      <c r="A1832">
        <v>193</v>
      </c>
      <c r="B1832" t="s">
        <v>326</v>
      </c>
      <c r="C1832">
        <v>2</v>
      </c>
      <c r="D1832">
        <v>0</v>
      </c>
      <c r="E1832">
        <v>0</v>
      </c>
      <c r="F1832">
        <v>94.7</v>
      </c>
      <c r="G1832">
        <v>41410.89</v>
      </c>
      <c r="H1832" s="14">
        <v>43767.833333333336</v>
      </c>
    </row>
    <row r="1833" spans="1:8" x14ac:dyDescent="0.25">
      <c r="A1833">
        <v>193</v>
      </c>
      <c r="B1833" t="s">
        <v>326</v>
      </c>
      <c r="C1833">
        <v>3</v>
      </c>
      <c r="D1833">
        <v>0</v>
      </c>
      <c r="E1833">
        <v>0</v>
      </c>
      <c r="F1833">
        <v>38.880000000000003</v>
      </c>
      <c r="G1833">
        <v>18746.82</v>
      </c>
      <c r="H1833" s="14">
        <v>43767.833333333336</v>
      </c>
    </row>
    <row r="1834" spans="1:8" x14ac:dyDescent="0.25">
      <c r="A1834">
        <v>194</v>
      </c>
      <c r="B1834" t="s">
        <v>327</v>
      </c>
      <c r="C1834">
        <v>1</v>
      </c>
      <c r="D1834">
        <v>0</v>
      </c>
      <c r="E1834">
        <v>0</v>
      </c>
      <c r="F1834">
        <v>135.16</v>
      </c>
      <c r="G1834">
        <v>33702.32</v>
      </c>
      <c r="H1834" s="14">
        <v>43767.833333333336</v>
      </c>
    </row>
    <row r="1835" spans="1:8" x14ac:dyDescent="0.25">
      <c r="A1835">
        <v>194</v>
      </c>
      <c r="B1835" t="s">
        <v>327</v>
      </c>
      <c r="C1835">
        <v>2</v>
      </c>
      <c r="D1835">
        <v>0</v>
      </c>
      <c r="E1835">
        <v>0</v>
      </c>
      <c r="F1835">
        <v>150.05000000000001</v>
      </c>
      <c r="G1835">
        <v>5114.62</v>
      </c>
      <c r="H1835" s="14">
        <v>43767.833333333336</v>
      </c>
    </row>
    <row r="1836" spans="1:8" x14ac:dyDescent="0.25">
      <c r="A1836">
        <v>194</v>
      </c>
      <c r="B1836" t="s">
        <v>327</v>
      </c>
      <c r="C1836">
        <v>3</v>
      </c>
      <c r="D1836">
        <v>0</v>
      </c>
      <c r="E1836">
        <v>0</v>
      </c>
      <c r="F1836">
        <v>148.93</v>
      </c>
      <c r="G1836">
        <v>36954.36</v>
      </c>
      <c r="H1836" s="14">
        <v>43767.833333333336</v>
      </c>
    </row>
    <row r="1837" spans="1:8" x14ac:dyDescent="0.25">
      <c r="A1837">
        <v>194</v>
      </c>
      <c r="B1837" t="s">
        <v>327</v>
      </c>
      <c r="C1837">
        <v>4</v>
      </c>
      <c r="D1837">
        <v>0</v>
      </c>
      <c r="E1837">
        <v>0</v>
      </c>
      <c r="F1837">
        <v>144.47999999999999</v>
      </c>
      <c r="G1837">
        <v>35906.18</v>
      </c>
      <c r="H1837" s="14">
        <v>43767.833333333336</v>
      </c>
    </row>
    <row r="1838" spans="1:8" x14ac:dyDescent="0.25">
      <c r="A1838">
        <v>194</v>
      </c>
      <c r="B1838" t="s">
        <v>327</v>
      </c>
      <c r="C1838">
        <v>5</v>
      </c>
      <c r="D1838">
        <v>0</v>
      </c>
      <c r="E1838">
        <v>0</v>
      </c>
      <c r="F1838">
        <v>148.04</v>
      </c>
      <c r="G1838">
        <v>36590.22</v>
      </c>
      <c r="H1838" s="14">
        <v>43767.833333333336</v>
      </c>
    </row>
    <row r="1839" spans="1:8" x14ac:dyDescent="0.25">
      <c r="A1839">
        <v>194</v>
      </c>
      <c r="B1839" t="s">
        <v>327</v>
      </c>
      <c r="C1839">
        <v>6</v>
      </c>
      <c r="D1839">
        <v>0</v>
      </c>
      <c r="E1839">
        <v>0</v>
      </c>
      <c r="F1839">
        <v>144.27000000000001</v>
      </c>
      <c r="G1839">
        <v>35634.800000000003</v>
      </c>
      <c r="H1839" s="14">
        <v>43767.833333333336</v>
      </c>
    </row>
    <row r="1840" spans="1:8" x14ac:dyDescent="0.25">
      <c r="A1840">
        <v>194</v>
      </c>
      <c r="B1840" t="s">
        <v>327</v>
      </c>
      <c r="C1840">
        <v>7</v>
      </c>
      <c r="D1840">
        <v>0</v>
      </c>
      <c r="E1840">
        <v>0</v>
      </c>
      <c r="F1840">
        <v>81.67</v>
      </c>
      <c r="G1840">
        <v>20870.900000000001</v>
      </c>
      <c r="H1840" s="14">
        <v>43767.833333333336</v>
      </c>
    </row>
    <row r="1841" spans="1:8" x14ac:dyDescent="0.25">
      <c r="A1841">
        <v>195</v>
      </c>
      <c r="B1841" t="s">
        <v>328</v>
      </c>
      <c r="C1841">
        <v>1</v>
      </c>
      <c r="D1841">
        <v>0</v>
      </c>
      <c r="E1841">
        <v>0</v>
      </c>
      <c r="F1841">
        <v>149.78</v>
      </c>
      <c r="G1841">
        <v>36185.47</v>
      </c>
      <c r="H1841" s="14">
        <v>43767.833333333336</v>
      </c>
    </row>
    <row r="1842" spans="1:8" x14ac:dyDescent="0.25">
      <c r="A1842">
        <v>195</v>
      </c>
      <c r="B1842" t="s">
        <v>328</v>
      </c>
      <c r="C1842">
        <v>2</v>
      </c>
      <c r="D1842">
        <v>0</v>
      </c>
      <c r="E1842">
        <v>0</v>
      </c>
      <c r="F1842">
        <v>150.05000000000001</v>
      </c>
      <c r="G1842">
        <v>37133.81</v>
      </c>
      <c r="H1842" s="14">
        <v>43767.833333333336</v>
      </c>
    </row>
    <row r="1843" spans="1:8" x14ac:dyDescent="0.25">
      <c r="A1843">
        <v>195</v>
      </c>
      <c r="B1843" t="s">
        <v>328</v>
      </c>
      <c r="C1843">
        <v>3</v>
      </c>
      <c r="D1843">
        <v>0</v>
      </c>
      <c r="E1843">
        <v>0</v>
      </c>
      <c r="F1843">
        <v>150.01</v>
      </c>
      <c r="G1843">
        <v>37226.65</v>
      </c>
      <c r="H1843" s="14">
        <v>43767.833333333336</v>
      </c>
    </row>
    <row r="1844" spans="1:8" x14ac:dyDescent="0.25">
      <c r="A1844">
        <v>195</v>
      </c>
      <c r="B1844" t="s">
        <v>328</v>
      </c>
      <c r="C1844">
        <v>4</v>
      </c>
      <c r="D1844">
        <v>0</v>
      </c>
      <c r="E1844">
        <v>0</v>
      </c>
      <c r="F1844">
        <v>150.47999999999999</v>
      </c>
      <c r="G1844">
        <v>37348.519999999997</v>
      </c>
      <c r="H1844" s="14">
        <v>43767.833333333336</v>
      </c>
    </row>
    <row r="1845" spans="1:8" x14ac:dyDescent="0.25">
      <c r="A1845">
        <v>195</v>
      </c>
      <c r="B1845" t="s">
        <v>328</v>
      </c>
      <c r="C1845">
        <v>5</v>
      </c>
      <c r="D1845">
        <v>0</v>
      </c>
      <c r="E1845">
        <v>0</v>
      </c>
      <c r="F1845">
        <v>74.2</v>
      </c>
      <c r="G1845">
        <v>18171.25</v>
      </c>
      <c r="H1845" s="14">
        <v>43767.833333333336</v>
      </c>
    </row>
    <row r="1846" spans="1:8" x14ac:dyDescent="0.25">
      <c r="A1846">
        <v>196</v>
      </c>
      <c r="B1846" t="s">
        <v>329</v>
      </c>
      <c r="C1846">
        <v>1</v>
      </c>
      <c r="D1846">
        <v>0</v>
      </c>
      <c r="E1846">
        <v>0</v>
      </c>
      <c r="F1846">
        <v>129.38</v>
      </c>
      <c r="G1846">
        <v>40311.129999999997</v>
      </c>
      <c r="H1846" s="14">
        <v>43767.833333333336</v>
      </c>
    </row>
    <row r="1847" spans="1:8" x14ac:dyDescent="0.25">
      <c r="A1847">
        <v>196</v>
      </c>
      <c r="B1847" t="s">
        <v>329</v>
      </c>
      <c r="C1847">
        <v>2</v>
      </c>
      <c r="D1847">
        <v>0</v>
      </c>
      <c r="E1847">
        <v>0</v>
      </c>
      <c r="F1847">
        <v>126.31</v>
      </c>
      <c r="G1847">
        <v>40061.800000000003</v>
      </c>
      <c r="H1847" s="14">
        <v>43767.833333333336</v>
      </c>
    </row>
    <row r="1848" spans="1:8" x14ac:dyDescent="0.25">
      <c r="A1848">
        <v>196</v>
      </c>
      <c r="B1848" t="s">
        <v>329</v>
      </c>
      <c r="C1848">
        <v>3</v>
      </c>
      <c r="D1848">
        <v>0</v>
      </c>
      <c r="E1848">
        <v>0</v>
      </c>
      <c r="F1848">
        <v>127.47</v>
      </c>
      <c r="G1848">
        <v>40438.589999999997</v>
      </c>
      <c r="H1848" s="14">
        <v>43767.833333333336</v>
      </c>
    </row>
    <row r="1849" spans="1:8" x14ac:dyDescent="0.25">
      <c r="A1849">
        <v>196</v>
      </c>
      <c r="B1849" t="s">
        <v>329</v>
      </c>
      <c r="C1849">
        <v>4</v>
      </c>
      <c r="D1849">
        <v>0</v>
      </c>
      <c r="E1849">
        <v>0</v>
      </c>
      <c r="F1849">
        <v>130.22</v>
      </c>
      <c r="G1849">
        <v>40799.33</v>
      </c>
      <c r="H1849" s="14">
        <v>43767.833333333336</v>
      </c>
    </row>
    <row r="1850" spans="1:8" x14ac:dyDescent="0.25">
      <c r="A1850">
        <v>196</v>
      </c>
      <c r="B1850" t="s">
        <v>329</v>
      </c>
      <c r="C1850">
        <v>5</v>
      </c>
      <c r="D1850">
        <v>0</v>
      </c>
      <c r="E1850">
        <v>0</v>
      </c>
      <c r="F1850">
        <v>134.13999999999999</v>
      </c>
      <c r="G1850">
        <v>41526.25</v>
      </c>
      <c r="H1850" s="14">
        <v>43767.833333333336</v>
      </c>
    </row>
    <row r="1851" spans="1:8" x14ac:dyDescent="0.25">
      <c r="A1851">
        <v>196</v>
      </c>
      <c r="B1851" t="s">
        <v>329</v>
      </c>
      <c r="C1851">
        <v>6</v>
      </c>
      <c r="D1851">
        <v>0</v>
      </c>
      <c r="E1851">
        <v>0</v>
      </c>
      <c r="F1851">
        <v>127.27</v>
      </c>
      <c r="G1851">
        <v>40928.82</v>
      </c>
      <c r="H1851" s="14">
        <v>43767.833333333336</v>
      </c>
    </row>
    <row r="1852" spans="1:8" x14ac:dyDescent="0.25">
      <c r="A1852">
        <v>196</v>
      </c>
      <c r="B1852" t="s">
        <v>329</v>
      </c>
      <c r="C1852">
        <v>7</v>
      </c>
      <c r="D1852">
        <v>0</v>
      </c>
      <c r="E1852">
        <v>0</v>
      </c>
      <c r="F1852">
        <v>91.74</v>
      </c>
      <c r="G1852">
        <v>29276.69</v>
      </c>
      <c r="H1852" s="14">
        <v>43767.833333333336</v>
      </c>
    </row>
    <row r="1853" spans="1:8" x14ac:dyDescent="0.25">
      <c r="A1853">
        <v>197</v>
      </c>
      <c r="B1853" t="s">
        <v>330</v>
      </c>
      <c r="C1853">
        <v>1</v>
      </c>
      <c r="D1853">
        <v>0</v>
      </c>
      <c r="E1853">
        <v>0</v>
      </c>
      <c r="F1853">
        <v>131.6</v>
      </c>
      <c r="G1853">
        <v>40351.68</v>
      </c>
      <c r="H1853" s="14">
        <v>43767.833333333336</v>
      </c>
    </row>
    <row r="1854" spans="1:8" x14ac:dyDescent="0.25">
      <c r="A1854">
        <v>197</v>
      </c>
      <c r="B1854" t="s">
        <v>330</v>
      </c>
      <c r="C1854">
        <v>2</v>
      </c>
      <c r="D1854">
        <v>0</v>
      </c>
      <c r="E1854">
        <v>0</v>
      </c>
      <c r="F1854">
        <v>132.62</v>
      </c>
      <c r="G1854">
        <v>41342.58</v>
      </c>
      <c r="H1854" s="14">
        <v>43767.833333333336</v>
      </c>
    </row>
    <row r="1855" spans="1:8" x14ac:dyDescent="0.25">
      <c r="A1855">
        <v>197</v>
      </c>
      <c r="B1855" t="s">
        <v>330</v>
      </c>
      <c r="C1855">
        <v>3</v>
      </c>
      <c r="D1855">
        <v>0</v>
      </c>
      <c r="E1855">
        <v>0</v>
      </c>
      <c r="F1855">
        <v>133.63</v>
      </c>
      <c r="G1855">
        <v>41448.54</v>
      </c>
      <c r="H1855" s="14">
        <v>43767.833333333336</v>
      </c>
    </row>
    <row r="1856" spans="1:8" x14ac:dyDescent="0.25">
      <c r="A1856">
        <v>197</v>
      </c>
      <c r="B1856" t="s">
        <v>330</v>
      </c>
      <c r="C1856">
        <v>4</v>
      </c>
      <c r="D1856">
        <v>0</v>
      </c>
      <c r="E1856">
        <v>0</v>
      </c>
      <c r="F1856">
        <v>133.71</v>
      </c>
      <c r="G1856">
        <v>41413.85</v>
      </c>
      <c r="H1856" s="14">
        <v>43767.833333333336</v>
      </c>
    </row>
    <row r="1857" spans="1:8" x14ac:dyDescent="0.25">
      <c r="A1857">
        <v>197</v>
      </c>
      <c r="B1857" t="s">
        <v>330</v>
      </c>
      <c r="C1857">
        <v>5</v>
      </c>
      <c r="D1857">
        <v>0</v>
      </c>
      <c r="E1857">
        <v>0</v>
      </c>
      <c r="F1857">
        <v>127.47</v>
      </c>
      <c r="G1857">
        <v>40917.760000000002</v>
      </c>
      <c r="H1857" s="14">
        <v>43767.833333333336</v>
      </c>
    </row>
    <row r="1858" spans="1:8" x14ac:dyDescent="0.25">
      <c r="A1858">
        <v>197</v>
      </c>
      <c r="B1858" t="s">
        <v>330</v>
      </c>
      <c r="C1858">
        <v>6</v>
      </c>
      <c r="D1858">
        <v>0</v>
      </c>
      <c r="E1858">
        <v>0</v>
      </c>
      <c r="F1858">
        <v>131.35</v>
      </c>
      <c r="G1858">
        <v>39814.47</v>
      </c>
      <c r="H1858" s="14">
        <v>43767.833333333336</v>
      </c>
    </row>
    <row r="1859" spans="1:8" x14ac:dyDescent="0.25">
      <c r="A1859">
        <v>197</v>
      </c>
      <c r="B1859" t="s">
        <v>330</v>
      </c>
      <c r="C1859">
        <v>7</v>
      </c>
      <c r="D1859">
        <v>0</v>
      </c>
      <c r="E1859">
        <v>0</v>
      </c>
      <c r="F1859">
        <v>129.19999999999999</v>
      </c>
      <c r="G1859">
        <v>40631.47</v>
      </c>
      <c r="H1859" s="14">
        <v>43767.833333333336</v>
      </c>
    </row>
    <row r="1860" spans="1:8" x14ac:dyDescent="0.25">
      <c r="A1860">
        <v>197</v>
      </c>
      <c r="B1860" t="s">
        <v>330</v>
      </c>
      <c r="C1860">
        <v>8</v>
      </c>
      <c r="D1860">
        <v>0</v>
      </c>
      <c r="E1860">
        <v>0</v>
      </c>
      <c r="F1860">
        <v>63.87</v>
      </c>
      <c r="G1860">
        <v>21963.16</v>
      </c>
      <c r="H1860" s="14">
        <v>43767.833333333336</v>
      </c>
    </row>
    <row r="1861" spans="1:8" x14ac:dyDescent="0.25">
      <c r="A1861">
        <v>198</v>
      </c>
      <c r="B1861" t="s">
        <v>331</v>
      </c>
      <c r="C1861">
        <v>1</v>
      </c>
      <c r="D1861">
        <v>0</v>
      </c>
      <c r="E1861">
        <v>0</v>
      </c>
      <c r="F1861">
        <v>115.51</v>
      </c>
      <c r="G1861">
        <v>50236.5</v>
      </c>
      <c r="H1861" s="14">
        <v>43767.833333333336</v>
      </c>
    </row>
    <row r="1862" spans="1:8" x14ac:dyDescent="0.25">
      <c r="A1862">
        <v>198</v>
      </c>
      <c r="B1862" t="s">
        <v>331</v>
      </c>
      <c r="C1862">
        <v>2</v>
      </c>
      <c r="D1862">
        <v>0</v>
      </c>
      <c r="E1862">
        <v>0</v>
      </c>
      <c r="F1862">
        <v>116.72</v>
      </c>
      <c r="G1862">
        <v>50515.14</v>
      </c>
      <c r="H1862" s="14">
        <v>43767.833333333336</v>
      </c>
    </row>
    <row r="1863" spans="1:8" x14ac:dyDescent="0.25">
      <c r="A1863">
        <v>198</v>
      </c>
      <c r="B1863" t="s">
        <v>331</v>
      </c>
      <c r="C1863">
        <v>3</v>
      </c>
      <c r="D1863">
        <v>0</v>
      </c>
      <c r="E1863">
        <v>0</v>
      </c>
      <c r="F1863">
        <v>104.01</v>
      </c>
      <c r="G1863">
        <v>45045.07</v>
      </c>
      <c r="H1863" s="14">
        <v>43767.833333333336</v>
      </c>
    </row>
    <row r="1864" spans="1:8" x14ac:dyDescent="0.25">
      <c r="A1864">
        <v>198</v>
      </c>
      <c r="B1864" t="s">
        <v>331</v>
      </c>
      <c r="C1864">
        <v>4</v>
      </c>
      <c r="D1864">
        <v>0</v>
      </c>
      <c r="E1864">
        <v>0</v>
      </c>
      <c r="F1864">
        <v>116.75</v>
      </c>
      <c r="G1864">
        <v>50508.56</v>
      </c>
      <c r="H1864" s="14">
        <v>43767.833333333336</v>
      </c>
    </row>
    <row r="1865" spans="1:8" x14ac:dyDescent="0.25">
      <c r="A1865">
        <v>198</v>
      </c>
      <c r="B1865" t="s">
        <v>331</v>
      </c>
      <c r="C1865">
        <v>5</v>
      </c>
      <c r="D1865">
        <v>0</v>
      </c>
      <c r="E1865">
        <v>0</v>
      </c>
      <c r="F1865">
        <v>116.26</v>
      </c>
      <c r="G1865">
        <v>50446.82</v>
      </c>
      <c r="H1865" s="14">
        <v>43767.833333333336</v>
      </c>
    </row>
    <row r="1866" spans="1:8" x14ac:dyDescent="0.25">
      <c r="A1866">
        <v>198</v>
      </c>
      <c r="B1866" t="s">
        <v>331</v>
      </c>
      <c r="C1866">
        <v>6</v>
      </c>
      <c r="D1866">
        <v>0</v>
      </c>
      <c r="E1866">
        <v>0</v>
      </c>
      <c r="F1866">
        <v>104.64</v>
      </c>
      <c r="G1866">
        <v>45347.16</v>
      </c>
      <c r="H1866" s="14">
        <v>43767.833333333336</v>
      </c>
    </row>
    <row r="1867" spans="1:8" x14ac:dyDescent="0.25">
      <c r="A1867">
        <v>198</v>
      </c>
      <c r="B1867" t="s">
        <v>331</v>
      </c>
      <c r="C1867">
        <v>7</v>
      </c>
      <c r="D1867">
        <v>0</v>
      </c>
      <c r="E1867">
        <v>0</v>
      </c>
      <c r="F1867">
        <v>67.72</v>
      </c>
      <c r="G1867">
        <v>29688.57</v>
      </c>
      <c r="H1867" s="14">
        <v>43767.833333333336</v>
      </c>
    </row>
    <row r="1868" spans="1:8" x14ac:dyDescent="0.25">
      <c r="A1868">
        <v>198</v>
      </c>
      <c r="B1868" t="s">
        <v>331</v>
      </c>
      <c r="C1868">
        <v>8</v>
      </c>
      <c r="D1868">
        <v>0</v>
      </c>
      <c r="E1868">
        <v>0</v>
      </c>
      <c r="F1868">
        <v>35.049999999999997</v>
      </c>
      <c r="G1868">
        <v>16137.03</v>
      </c>
      <c r="H1868" s="14">
        <v>43767.833333333336</v>
      </c>
    </row>
    <row r="1869" spans="1:8" x14ac:dyDescent="0.25">
      <c r="A1869">
        <v>199</v>
      </c>
      <c r="B1869" t="s">
        <v>332</v>
      </c>
      <c r="C1869">
        <v>1</v>
      </c>
      <c r="D1869">
        <v>0</v>
      </c>
      <c r="E1869">
        <v>0</v>
      </c>
      <c r="F1869">
        <v>121.98</v>
      </c>
      <c r="G1869">
        <v>52692.71</v>
      </c>
      <c r="H1869" s="14">
        <v>43767.833333333336</v>
      </c>
    </row>
    <row r="1870" spans="1:8" x14ac:dyDescent="0.25">
      <c r="A1870">
        <v>199</v>
      </c>
      <c r="B1870" t="s">
        <v>332</v>
      </c>
      <c r="C1870">
        <v>2</v>
      </c>
      <c r="D1870">
        <v>0</v>
      </c>
      <c r="E1870">
        <v>0</v>
      </c>
      <c r="F1870">
        <v>123.29</v>
      </c>
      <c r="G1870">
        <v>17419.88</v>
      </c>
      <c r="H1870" s="14">
        <v>43767.833333333336</v>
      </c>
    </row>
    <row r="1871" spans="1:8" x14ac:dyDescent="0.25">
      <c r="A1871">
        <v>199</v>
      </c>
      <c r="B1871" t="s">
        <v>332</v>
      </c>
      <c r="C1871">
        <v>3</v>
      </c>
      <c r="D1871">
        <v>0</v>
      </c>
      <c r="E1871">
        <v>0</v>
      </c>
      <c r="F1871">
        <v>79.67</v>
      </c>
      <c r="G1871">
        <v>34670.42</v>
      </c>
      <c r="H1871" s="14">
        <v>43767.833333333336</v>
      </c>
    </row>
    <row r="1872" spans="1:8" x14ac:dyDescent="0.25">
      <c r="A1872">
        <v>199</v>
      </c>
      <c r="B1872" t="s">
        <v>332</v>
      </c>
      <c r="C1872">
        <v>4</v>
      </c>
      <c r="D1872">
        <v>0</v>
      </c>
      <c r="E1872">
        <v>0</v>
      </c>
      <c r="F1872">
        <v>73.61</v>
      </c>
      <c r="G1872">
        <v>33450.660000000003</v>
      </c>
      <c r="H1872" s="14">
        <v>43767.833333333336</v>
      </c>
    </row>
    <row r="1873" spans="1:8" x14ac:dyDescent="0.25">
      <c r="A1873">
        <v>200</v>
      </c>
      <c r="B1873" t="s">
        <v>333</v>
      </c>
      <c r="C1873">
        <v>1</v>
      </c>
      <c r="D1873">
        <v>0</v>
      </c>
      <c r="E1873">
        <v>0</v>
      </c>
      <c r="F1873">
        <v>116.28</v>
      </c>
      <c r="G1873">
        <v>50450.79</v>
      </c>
      <c r="H1873" s="14">
        <v>43767.833333333336</v>
      </c>
    </row>
    <row r="1874" spans="1:8" x14ac:dyDescent="0.25">
      <c r="A1874">
        <v>200</v>
      </c>
      <c r="B1874" t="s">
        <v>333</v>
      </c>
      <c r="C1874">
        <v>2</v>
      </c>
      <c r="D1874">
        <v>0</v>
      </c>
      <c r="E1874">
        <v>0</v>
      </c>
      <c r="F1874">
        <v>116.95</v>
      </c>
      <c r="G1874">
        <v>50916.03</v>
      </c>
      <c r="H1874" s="14">
        <v>43767.833333333336</v>
      </c>
    </row>
    <row r="1875" spans="1:8" x14ac:dyDescent="0.25">
      <c r="A1875">
        <v>200</v>
      </c>
      <c r="B1875" t="s">
        <v>333</v>
      </c>
      <c r="C1875">
        <v>3</v>
      </c>
      <c r="D1875">
        <v>0</v>
      </c>
      <c r="E1875">
        <v>0</v>
      </c>
      <c r="F1875">
        <v>117.42</v>
      </c>
      <c r="G1875">
        <v>51007.61</v>
      </c>
      <c r="H1875" s="14">
        <v>43767.833333333336</v>
      </c>
    </row>
    <row r="1876" spans="1:8" x14ac:dyDescent="0.25">
      <c r="A1876">
        <v>200</v>
      </c>
      <c r="B1876" t="s">
        <v>333</v>
      </c>
      <c r="C1876">
        <v>4</v>
      </c>
      <c r="D1876">
        <v>0</v>
      </c>
      <c r="E1876">
        <v>0</v>
      </c>
      <c r="F1876">
        <v>77.23</v>
      </c>
      <c r="G1876">
        <v>33366</v>
      </c>
      <c r="H1876" s="14">
        <v>43767.833333333336</v>
      </c>
    </row>
    <row r="1877" spans="1:8" x14ac:dyDescent="0.25">
      <c r="A1877">
        <v>200</v>
      </c>
      <c r="B1877" t="s">
        <v>333</v>
      </c>
      <c r="C1877">
        <v>5</v>
      </c>
      <c r="D1877">
        <v>0</v>
      </c>
      <c r="E1877">
        <v>0</v>
      </c>
      <c r="F1877">
        <v>69.930000000000007</v>
      </c>
      <c r="G1877">
        <v>31679.49</v>
      </c>
      <c r="H1877" s="14">
        <v>43767.833333333336</v>
      </c>
    </row>
    <row r="1878" spans="1:8" x14ac:dyDescent="0.25">
      <c r="A1878">
        <v>201</v>
      </c>
      <c r="C1878">
        <v>1</v>
      </c>
      <c r="D1878">
        <v>0</v>
      </c>
      <c r="E1878">
        <v>0</v>
      </c>
      <c r="F1878">
        <v>119.44</v>
      </c>
      <c r="G1878">
        <v>123938.55</v>
      </c>
      <c r="H1878" s="14">
        <v>43767.833333333336</v>
      </c>
    </row>
    <row r="1879" spans="1:8" x14ac:dyDescent="0.25">
      <c r="A1879">
        <v>201</v>
      </c>
      <c r="C1879">
        <v>2</v>
      </c>
      <c r="D1879">
        <v>0</v>
      </c>
      <c r="E1879">
        <v>0</v>
      </c>
      <c r="F1879">
        <v>116</v>
      </c>
      <c r="G1879">
        <v>122008.79</v>
      </c>
      <c r="H1879" s="14">
        <v>43767.833333333336</v>
      </c>
    </row>
    <row r="1880" spans="1:8" x14ac:dyDescent="0.25">
      <c r="A1880">
        <v>201</v>
      </c>
      <c r="C1880">
        <v>3</v>
      </c>
      <c r="D1880">
        <v>0</v>
      </c>
      <c r="E1880">
        <v>0</v>
      </c>
      <c r="F1880">
        <v>113.92</v>
      </c>
      <c r="G1880">
        <v>120213.3</v>
      </c>
      <c r="H1880" s="14">
        <v>43767.833333333336</v>
      </c>
    </row>
    <row r="1881" spans="1:8" x14ac:dyDescent="0.25">
      <c r="A1881">
        <v>201</v>
      </c>
      <c r="C1881">
        <v>4</v>
      </c>
      <c r="D1881">
        <v>0</v>
      </c>
      <c r="E1881">
        <v>0</v>
      </c>
      <c r="F1881">
        <v>115.19</v>
      </c>
      <c r="G1881">
        <v>115077.53</v>
      </c>
      <c r="H1881" s="14">
        <v>43767.833333333336</v>
      </c>
    </row>
    <row r="1882" spans="1:8" x14ac:dyDescent="0.25">
      <c r="A1882">
        <v>201</v>
      </c>
      <c r="C1882">
        <v>5</v>
      </c>
      <c r="D1882">
        <v>0</v>
      </c>
      <c r="E1882">
        <v>0</v>
      </c>
      <c r="F1882">
        <v>116.1</v>
      </c>
      <c r="G1882">
        <v>121104.68</v>
      </c>
      <c r="H1882" s="14">
        <v>43767.833333333336</v>
      </c>
    </row>
    <row r="1883" spans="1:8" x14ac:dyDescent="0.25">
      <c r="A1883">
        <v>201</v>
      </c>
      <c r="C1883">
        <v>6</v>
      </c>
      <c r="D1883">
        <v>0</v>
      </c>
      <c r="E1883">
        <v>0</v>
      </c>
      <c r="F1883">
        <v>115.39</v>
      </c>
      <c r="G1883">
        <v>121808.19</v>
      </c>
      <c r="H1883" s="14">
        <v>43767.833333333336</v>
      </c>
    </row>
    <row r="1884" spans="1:8" x14ac:dyDescent="0.25">
      <c r="A1884">
        <v>201</v>
      </c>
      <c r="C1884">
        <v>7</v>
      </c>
      <c r="D1884">
        <v>0</v>
      </c>
      <c r="E1884">
        <v>0</v>
      </c>
      <c r="F1884">
        <v>116.15</v>
      </c>
      <c r="G1884">
        <v>18986.349999999999</v>
      </c>
      <c r="H1884" s="14">
        <v>43767.833333333336</v>
      </c>
    </row>
    <row r="1885" spans="1:8" x14ac:dyDescent="0.25">
      <c r="A1885">
        <v>201</v>
      </c>
      <c r="C1885">
        <v>8</v>
      </c>
      <c r="D1885">
        <v>0</v>
      </c>
      <c r="E1885">
        <v>0</v>
      </c>
      <c r="F1885">
        <v>116.62</v>
      </c>
      <c r="G1885">
        <v>112150.39</v>
      </c>
      <c r="H1885" s="14">
        <v>43767.833333333336</v>
      </c>
    </row>
    <row r="1886" spans="1:8" x14ac:dyDescent="0.25">
      <c r="A1886">
        <v>201</v>
      </c>
      <c r="C1886">
        <v>9</v>
      </c>
      <c r="D1886">
        <v>0</v>
      </c>
      <c r="E1886">
        <v>0</v>
      </c>
      <c r="F1886">
        <v>124.58</v>
      </c>
      <c r="G1886">
        <v>126836.47</v>
      </c>
      <c r="H1886" s="14">
        <v>43767.833333333336</v>
      </c>
    </row>
    <row r="1887" spans="1:8" x14ac:dyDescent="0.25">
      <c r="A1887">
        <v>201</v>
      </c>
      <c r="C1887">
        <v>10</v>
      </c>
      <c r="D1887">
        <v>0</v>
      </c>
      <c r="E1887">
        <v>0</v>
      </c>
      <c r="F1887">
        <v>114.35</v>
      </c>
      <c r="G1887">
        <v>119634.05</v>
      </c>
      <c r="H1887" s="14">
        <v>43767.833333333336</v>
      </c>
    </row>
    <row r="1888" spans="1:8" x14ac:dyDescent="0.25">
      <c r="A1888">
        <v>201</v>
      </c>
      <c r="C1888">
        <v>11</v>
      </c>
      <c r="D1888">
        <v>0</v>
      </c>
      <c r="E1888">
        <v>0</v>
      </c>
      <c r="F1888">
        <v>115.68</v>
      </c>
      <c r="G1888">
        <v>121862.84</v>
      </c>
      <c r="H1888" s="14">
        <v>43767.833333333336</v>
      </c>
    </row>
    <row r="1889" spans="1:8" x14ac:dyDescent="0.25">
      <c r="A1889">
        <v>201</v>
      </c>
      <c r="C1889">
        <v>12</v>
      </c>
      <c r="D1889">
        <v>0</v>
      </c>
      <c r="E1889">
        <v>0</v>
      </c>
      <c r="F1889">
        <v>115.79</v>
      </c>
      <c r="G1889">
        <v>122128.52</v>
      </c>
      <c r="H1889" s="14">
        <v>43767.833333333336</v>
      </c>
    </row>
    <row r="1890" spans="1:8" x14ac:dyDescent="0.25">
      <c r="A1890">
        <v>201</v>
      </c>
      <c r="C1890">
        <v>13</v>
      </c>
      <c r="D1890">
        <v>0</v>
      </c>
      <c r="E1890">
        <v>0</v>
      </c>
      <c r="F1890">
        <v>115.72</v>
      </c>
      <c r="G1890">
        <v>121073.66</v>
      </c>
      <c r="H1890" s="14">
        <v>43767.833333333336</v>
      </c>
    </row>
    <row r="1891" spans="1:8" x14ac:dyDescent="0.25">
      <c r="A1891">
        <v>201</v>
      </c>
      <c r="C1891">
        <v>14</v>
      </c>
      <c r="D1891">
        <v>0</v>
      </c>
      <c r="E1891">
        <v>0</v>
      </c>
      <c r="F1891">
        <v>95.91</v>
      </c>
      <c r="G1891">
        <v>85879.98</v>
      </c>
      <c r="H1891" s="14">
        <v>43767.833333333336</v>
      </c>
    </row>
    <row r="1892" spans="1:8" x14ac:dyDescent="0.25">
      <c r="A1892">
        <v>201</v>
      </c>
      <c r="C1892">
        <v>15</v>
      </c>
      <c r="D1892">
        <v>0</v>
      </c>
      <c r="E1892">
        <v>0</v>
      </c>
      <c r="F1892">
        <v>97.2</v>
      </c>
      <c r="G1892">
        <v>14354.02</v>
      </c>
      <c r="H1892" s="14">
        <v>43767.833333333336</v>
      </c>
    </row>
    <row r="1893" spans="1:8" x14ac:dyDescent="0.25">
      <c r="A1893">
        <v>201</v>
      </c>
      <c r="C1893">
        <v>16</v>
      </c>
      <c r="D1893">
        <v>0</v>
      </c>
      <c r="E1893">
        <v>0</v>
      </c>
      <c r="F1893">
        <v>117.13</v>
      </c>
      <c r="G1893">
        <v>118948.72</v>
      </c>
      <c r="H1893" s="14">
        <v>43767.833333333336</v>
      </c>
    </row>
    <row r="1894" spans="1:8" x14ac:dyDescent="0.25">
      <c r="A1894">
        <v>201</v>
      </c>
      <c r="C1894">
        <v>17</v>
      </c>
      <c r="D1894">
        <v>0</v>
      </c>
      <c r="E1894">
        <v>0</v>
      </c>
      <c r="F1894">
        <v>118.43</v>
      </c>
      <c r="G1894">
        <v>120307.01</v>
      </c>
      <c r="H1894" s="14">
        <v>43767.833333333336</v>
      </c>
    </row>
    <row r="1895" spans="1:8" x14ac:dyDescent="0.25">
      <c r="A1895">
        <v>201</v>
      </c>
      <c r="C1895">
        <v>18</v>
      </c>
      <c r="D1895">
        <v>0</v>
      </c>
      <c r="E1895">
        <v>0</v>
      </c>
      <c r="F1895">
        <v>116.15</v>
      </c>
      <c r="G1895">
        <v>120384.2</v>
      </c>
      <c r="H1895" s="14">
        <v>43767.833333333336</v>
      </c>
    </row>
    <row r="1896" spans="1:8" x14ac:dyDescent="0.25">
      <c r="A1896">
        <v>201</v>
      </c>
      <c r="C1896">
        <v>19</v>
      </c>
      <c r="D1896">
        <v>0</v>
      </c>
      <c r="E1896">
        <v>0</v>
      </c>
      <c r="F1896">
        <v>127.39</v>
      </c>
      <c r="G1896">
        <v>128016.48</v>
      </c>
      <c r="H1896" s="14">
        <v>43767.833333333336</v>
      </c>
    </row>
    <row r="1897" spans="1:8" x14ac:dyDescent="0.25">
      <c r="A1897">
        <v>201</v>
      </c>
      <c r="C1897">
        <v>20</v>
      </c>
      <c r="D1897">
        <v>0</v>
      </c>
      <c r="E1897">
        <v>0</v>
      </c>
      <c r="F1897">
        <v>117.37</v>
      </c>
      <c r="G1897">
        <v>122733.66</v>
      </c>
      <c r="H1897" s="14">
        <v>43767.833333333336</v>
      </c>
    </row>
    <row r="1898" spans="1:8" x14ac:dyDescent="0.25">
      <c r="A1898">
        <v>201</v>
      </c>
      <c r="C1898">
        <v>21</v>
      </c>
      <c r="D1898">
        <v>0</v>
      </c>
      <c r="E1898">
        <v>0</v>
      </c>
      <c r="F1898">
        <v>117.92</v>
      </c>
      <c r="G1898">
        <v>123543.86</v>
      </c>
      <c r="H1898" s="14">
        <v>43767.833333333336</v>
      </c>
    </row>
    <row r="1899" spans="1:8" x14ac:dyDescent="0.25">
      <c r="A1899">
        <v>201</v>
      </c>
      <c r="C1899">
        <v>22</v>
      </c>
      <c r="D1899">
        <v>0</v>
      </c>
      <c r="E1899">
        <v>0</v>
      </c>
      <c r="F1899">
        <v>73.3</v>
      </c>
      <c r="G1899">
        <v>79491.03</v>
      </c>
      <c r="H1899" s="14">
        <v>43767.833333333336</v>
      </c>
    </row>
    <row r="1900" spans="1:8" x14ac:dyDescent="0.25">
      <c r="A1900">
        <v>202</v>
      </c>
      <c r="C1900">
        <v>1</v>
      </c>
      <c r="D1900">
        <v>0</v>
      </c>
      <c r="E1900">
        <v>0</v>
      </c>
      <c r="F1900">
        <v>81.83</v>
      </c>
      <c r="G1900">
        <v>123901.27</v>
      </c>
      <c r="H1900" s="14">
        <v>43767.833333333336</v>
      </c>
    </row>
    <row r="1901" spans="1:8" x14ac:dyDescent="0.25">
      <c r="A1901">
        <v>202</v>
      </c>
      <c r="C1901">
        <v>2</v>
      </c>
      <c r="D1901">
        <v>0</v>
      </c>
      <c r="E1901">
        <v>0</v>
      </c>
      <c r="F1901">
        <v>80.23</v>
      </c>
      <c r="G1901">
        <v>120717.96</v>
      </c>
      <c r="H1901" s="14">
        <v>43767.833333333336</v>
      </c>
    </row>
    <row r="1902" spans="1:8" x14ac:dyDescent="0.25">
      <c r="A1902">
        <v>202</v>
      </c>
      <c r="C1902">
        <v>3</v>
      </c>
      <c r="D1902">
        <v>0</v>
      </c>
      <c r="E1902">
        <v>0</v>
      </c>
      <c r="F1902">
        <v>81.19</v>
      </c>
      <c r="G1902">
        <v>123809.52</v>
      </c>
      <c r="H1902" s="14">
        <v>43767.833333333336</v>
      </c>
    </row>
    <row r="1903" spans="1:8" x14ac:dyDescent="0.25">
      <c r="A1903">
        <v>202</v>
      </c>
      <c r="C1903">
        <v>4</v>
      </c>
      <c r="D1903">
        <v>0</v>
      </c>
      <c r="E1903">
        <v>0</v>
      </c>
      <c r="F1903">
        <v>80.92</v>
      </c>
      <c r="G1903">
        <v>121346.44</v>
      </c>
      <c r="H1903" s="14">
        <v>43767.833333333336</v>
      </c>
    </row>
    <row r="1904" spans="1:8" x14ac:dyDescent="0.25">
      <c r="A1904">
        <v>202</v>
      </c>
      <c r="C1904">
        <v>5</v>
      </c>
      <c r="D1904">
        <v>0</v>
      </c>
      <c r="E1904">
        <v>0</v>
      </c>
      <c r="F1904">
        <v>79.709999999999994</v>
      </c>
      <c r="G1904">
        <v>122350.62</v>
      </c>
      <c r="H1904" s="14">
        <v>43767.833333333336</v>
      </c>
    </row>
    <row r="1905" spans="1:8" x14ac:dyDescent="0.25">
      <c r="A1905">
        <v>202</v>
      </c>
      <c r="C1905">
        <v>6</v>
      </c>
      <c r="D1905">
        <v>0</v>
      </c>
      <c r="E1905">
        <v>0</v>
      </c>
      <c r="F1905">
        <v>90.22</v>
      </c>
      <c r="G1905">
        <v>21260.69</v>
      </c>
      <c r="H1905" s="14">
        <v>43767.833333333336</v>
      </c>
    </row>
    <row r="1906" spans="1:8" x14ac:dyDescent="0.25">
      <c r="A1906">
        <v>202</v>
      </c>
      <c r="C1906">
        <v>7</v>
      </c>
      <c r="D1906">
        <v>0</v>
      </c>
      <c r="E1906">
        <v>0</v>
      </c>
      <c r="F1906">
        <v>90.8</v>
      </c>
      <c r="G1906">
        <v>50369.57</v>
      </c>
      <c r="H1906" s="14">
        <v>43767.833333333336</v>
      </c>
    </row>
    <row r="1907" spans="1:8" x14ac:dyDescent="0.25">
      <c r="A1907">
        <v>202</v>
      </c>
      <c r="C1907">
        <v>8</v>
      </c>
      <c r="D1907">
        <v>0</v>
      </c>
      <c r="E1907">
        <v>0</v>
      </c>
      <c r="F1907">
        <v>90.24</v>
      </c>
      <c r="G1907">
        <v>119833.25</v>
      </c>
      <c r="H1907" s="14">
        <v>43767.833333333336</v>
      </c>
    </row>
    <row r="1908" spans="1:8" x14ac:dyDescent="0.25">
      <c r="A1908">
        <v>202</v>
      </c>
      <c r="C1908">
        <v>9</v>
      </c>
      <c r="D1908">
        <v>0</v>
      </c>
      <c r="E1908">
        <v>0</v>
      </c>
      <c r="F1908">
        <v>90.03</v>
      </c>
      <c r="G1908">
        <v>119396.37</v>
      </c>
      <c r="H1908" s="14">
        <v>43767.833333333336</v>
      </c>
    </row>
    <row r="1909" spans="1:8" x14ac:dyDescent="0.25">
      <c r="A1909">
        <v>202</v>
      </c>
      <c r="C1909">
        <v>10</v>
      </c>
      <c r="D1909">
        <v>0</v>
      </c>
      <c r="E1909">
        <v>0</v>
      </c>
      <c r="F1909">
        <v>89.14</v>
      </c>
      <c r="G1909">
        <v>123376.41</v>
      </c>
      <c r="H1909" s="14">
        <v>43767.833333333336</v>
      </c>
    </row>
    <row r="1910" spans="1:8" x14ac:dyDescent="0.25">
      <c r="A1910">
        <v>202</v>
      </c>
      <c r="C1910">
        <v>11</v>
      </c>
      <c r="D1910">
        <v>0</v>
      </c>
      <c r="E1910">
        <v>0</v>
      </c>
      <c r="F1910">
        <v>90.07</v>
      </c>
      <c r="G1910">
        <v>125841.14</v>
      </c>
      <c r="H1910" s="14">
        <v>43767.833333333336</v>
      </c>
    </row>
    <row r="1911" spans="1:8" x14ac:dyDescent="0.25">
      <c r="A1911">
        <v>202</v>
      </c>
      <c r="C1911">
        <v>12</v>
      </c>
      <c r="D1911">
        <v>0</v>
      </c>
      <c r="E1911">
        <v>0</v>
      </c>
      <c r="F1911">
        <v>90.03</v>
      </c>
      <c r="G1911">
        <v>123120.08</v>
      </c>
      <c r="H1911" s="14">
        <v>43767.833333333336</v>
      </c>
    </row>
    <row r="1912" spans="1:8" x14ac:dyDescent="0.25">
      <c r="A1912">
        <v>202</v>
      </c>
      <c r="C1912">
        <v>13</v>
      </c>
      <c r="D1912">
        <v>0</v>
      </c>
      <c r="E1912">
        <v>0</v>
      </c>
      <c r="F1912">
        <v>89.61</v>
      </c>
      <c r="G1912">
        <v>126894.12</v>
      </c>
      <c r="H1912" s="14">
        <v>43767.833333333336</v>
      </c>
    </row>
    <row r="1913" spans="1:8" x14ac:dyDescent="0.25">
      <c r="A1913">
        <v>202</v>
      </c>
      <c r="C1913">
        <v>14</v>
      </c>
      <c r="D1913">
        <v>0</v>
      </c>
      <c r="E1913">
        <v>0</v>
      </c>
      <c r="F1913">
        <v>86.7</v>
      </c>
      <c r="G1913">
        <v>123953.95</v>
      </c>
      <c r="H1913" s="14">
        <v>43767.833333333336</v>
      </c>
    </row>
    <row r="1914" spans="1:8" x14ac:dyDescent="0.25">
      <c r="A1914">
        <v>202</v>
      </c>
      <c r="C1914">
        <v>15</v>
      </c>
      <c r="D1914">
        <v>0</v>
      </c>
      <c r="E1914">
        <v>0</v>
      </c>
      <c r="F1914">
        <v>79.59</v>
      </c>
      <c r="G1914">
        <v>116184.28</v>
      </c>
      <c r="H1914" s="14">
        <v>43767.833333333336</v>
      </c>
    </row>
    <row r="1915" spans="1:8" x14ac:dyDescent="0.25">
      <c r="A1915">
        <v>202</v>
      </c>
      <c r="C1915">
        <v>16</v>
      </c>
      <c r="D1915">
        <v>0</v>
      </c>
      <c r="E1915">
        <v>0</v>
      </c>
      <c r="F1915">
        <v>79.72</v>
      </c>
      <c r="G1915">
        <v>122754.23</v>
      </c>
      <c r="H1915" s="14">
        <v>43767.833333333336</v>
      </c>
    </row>
    <row r="1916" spans="1:8" x14ac:dyDescent="0.25">
      <c r="A1916">
        <v>202</v>
      </c>
      <c r="C1916">
        <v>17</v>
      </c>
      <c r="D1916">
        <v>0</v>
      </c>
      <c r="E1916">
        <v>0</v>
      </c>
      <c r="F1916">
        <v>79.84</v>
      </c>
      <c r="G1916">
        <v>108552.18</v>
      </c>
      <c r="H1916" s="14">
        <v>43767.833333333336</v>
      </c>
    </row>
    <row r="1917" spans="1:8" x14ac:dyDescent="0.25">
      <c r="A1917">
        <v>202</v>
      </c>
      <c r="C1917">
        <v>18</v>
      </c>
      <c r="D1917">
        <v>0</v>
      </c>
      <c r="E1917">
        <v>0</v>
      </c>
      <c r="F1917">
        <v>79.349999999999994</v>
      </c>
      <c r="G1917">
        <v>104446.39999999999</v>
      </c>
      <c r="H1917" s="14">
        <v>43767.833333333336</v>
      </c>
    </row>
    <row r="1918" spans="1:8" x14ac:dyDescent="0.25">
      <c r="A1918">
        <v>202</v>
      </c>
      <c r="C1918">
        <v>19</v>
      </c>
      <c r="D1918">
        <v>0</v>
      </c>
      <c r="E1918">
        <v>0</v>
      </c>
      <c r="F1918">
        <v>79.69</v>
      </c>
      <c r="G1918">
        <v>115269.39</v>
      </c>
      <c r="H1918" s="14">
        <v>43767.833333333336</v>
      </c>
    </row>
    <row r="1919" spans="1:8" x14ac:dyDescent="0.25">
      <c r="A1919">
        <v>202</v>
      </c>
      <c r="C1919">
        <v>20</v>
      </c>
      <c r="D1919">
        <v>0</v>
      </c>
      <c r="E1919">
        <v>0</v>
      </c>
      <c r="F1919">
        <v>84.67</v>
      </c>
      <c r="G1919">
        <v>122458.96</v>
      </c>
      <c r="H1919" s="14">
        <v>43767.833333333336</v>
      </c>
    </row>
    <row r="1920" spans="1:8" x14ac:dyDescent="0.25">
      <c r="A1920">
        <v>202</v>
      </c>
      <c r="C1920">
        <v>21</v>
      </c>
      <c r="D1920">
        <v>0</v>
      </c>
      <c r="E1920">
        <v>0</v>
      </c>
      <c r="F1920">
        <v>89.2</v>
      </c>
      <c r="G1920">
        <v>118852.5</v>
      </c>
      <c r="H1920" s="14">
        <v>43767.833333333336</v>
      </c>
    </row>
    <row r="1921" spans="1:8" x14ac:dyDescent="0.25">
      <c r="A1921">
        <v>202</v>
      </c>
      <c r="C1921">
        <v>22</v>
      </c>
      <c r="D1921">
        <v>0</v>
      </c>
      <c r="E1921">
        <v>0</v>
      </c>
      <c r="F1921">
        <v>89.65</v>
      </c>
      <c r="G1921">
        <v>117093.27</v>
      </c>
      <c r="H1921" s="14">
        <v>43767.833333333336</v>
      </c>
    </row>
    <row r="1922" spans="1:8" x14ac:dyDescent="0.25">
      <c r="A1922">
        <v>202</v>
      </c>
      <c r="C1922">
        <v>23</v>
      </c>
      <c r="D1922">
        <v>0</v>
      </c>
      <c r="E1922">
        <v>0</v>
      </c>
      <c r="F1922">
        <v>89.75</v>
      </c>
      <c r="G1922">
        <v>113446.14</v>
      </c>
      <c r="H1922" s="14">
        <v>43767.833333333336</v>
      </c>
    </row>
    <row r="1923" spans="1:8" x14ac:dyDescent="0.25">
      <c r="A1923">
        <v>202</v>
      </c>
      <c r="C1923">
        <v>24</v>
      </c>
      <c r="D1923">
        <v>0</v>
      </c>
      <c r="E1923">
        <v>0</v>
      </c>
      <c r="F1923">
        <v>88.84</v>
      </c>
      <c r="G1923">
        <v>116140.12</v>
      </c>
      <c r="H1923" s="14">
        <v>43767.833333333336</v>
      </c>
    </row>
    <row r="1924" spans="1:8" x14ac:dyDescent="0.25">
      <c r="A1924">
        <v>202</v>
      </c>
      <c r="C1924">
        <v>25</v>
      </c>
      <c r="D1924">
        <v>0</v>
      </c>
      <c r="E1924">
        <v>0</v>
      </c>
      <c r="F1924">
        <v>87.91</v>
      </c>
      <c r="G1924">
        <v>126322.52</v>
      </c>
      <c r="H1924" s="14">
        <v>43767.833333333336</v>
      </c>
    </row>
    <row r="1925" spans="1:8" x14ac:dyDescent="0.25">
      <c r="A1925">
        <v>202</v>
      </c>
      <c r="C1925">
        <v>26</v>
      </c>
      <c r="D1925">
        <v>0</v>
      </c>
      <c r="E1925">
        <v>0</v>
      </c>
      <c r="F1925">
        <v>88.51</v>
      </c>
      <c r="G1925">
        <v>123409.73</v>
      </c>
      <c r="H1925" s="14">
        <v>43767.833333333336</v>
      </c>
    </row>
    <row r="1926" spans="1:8" x14ac:dyDescent="0.25">
      <c r="A1926">
        <v>202</v>
      </c>
      <c r="C1926">
        <v>27</v>
      </c>
      <c r="D1926">
        <v>0</v>
      </c>
      <c r="E1926">
        <v>0</v>
      </c>
      <c r="F1926">
        <v>89.4</v>
      </c>
      <c r="G1926">
        <v>123895.38</v>
      </c>
      <c r="H1926" s="14">
        <v>43767.833333333336</v>
      </c>
    </row>
    <row r="1927" spans="1:8" x14ac:dyDescent="0.25">
      <c r="A1927">
        <v>202</v>
      </c>
      <c r="C1927">
        <v>28</v>
      </c>
      <c r="D1927">
        <v>0</v>
      </c>
      <c r="E1927">
        <v>0</v>
      </c>
      <c r="F1927">
        <v>91.67</v>
      </c>
      <c r="G1927">
        <v>122408.08</v>
      </c>
      <c r="H1927" s="14">
        <v>43767.833333333336</v>
      </c>
    </row>
    <row r="1928" spans="1:8" x14ac:dyDescent="0.25">
      <c r="A1928">
        <v>203</v>
      </c>
      <c r="C1928">
        <v>1</v>
      </c>
      <c r="D1928">
        <v>0</v>
      </c>
      <c r="E1928">
        <v>0</v>
      </c>
      <c r="F1928">
        <v>85</v>
      </c>
      <c r="G1928">
        <v>125080.39</v>
      </c>
      <c r="H1928" s="14">
        <v>43767.833333333336</v>
      </c>
    </row>
    <row r="1929" spans="1:8" x14ac:dyDescent="0.25">
      <c r="A1929">
        <v>203</v>
      </c>
      <c r="C1929">
        <v>2</v>
      </c>
      <c r="D1929">
        <v>0</v>
      </c>
      <c r="E1929">
        <v>0</v>
      </c>
      <c r="F1929">
        <v>83.5</v>
      </c>
      <c r="G1929">
        <v>111856.3</v>
      </c>
      <c r="H1929" s="14">
        <v>43767.833333333336</v>
      </c>
    </row>
    <row r="1930" spans="1:8" x14ac:dyDescent="0.25">
      <c r="A1930">
        <v>203</v>
      </c>
      <c r="C1930">
        <v>3</v>
      </c>
      <c r="D1930">
        <v>0</v>
      </c>
      <c r="E1930">
        <v>0</v>
      </c>
      <c r="F1930">
        <v>88.89</v>
      </c>
      <c r="G1930">
        <v>123214.77</v>
      </c>
      <c r="H1930" s="14">
        <v>43767.833333333336</v>
      </c>
    </row>
    <row r="1931" spans="1:8" x14ac:dyDescent="0.25">
      <c r="A1931">
        <v>203</v>
      </c>
      <c r="C1931">
        <v>4</v>
      </c>
      <c r="D1931">
        <v>0</v>
      </c>
      <c r="E1931">
        <v>0</v>
      </c>
      <c r="F1931">
        <v>94.56</v>
      </c>
      <c r="G1931">
        <v>127994.95</v>
      </c>
      <c r="H1931" s="14">
        <v>43767.833333333336</v>
      </c>
    </row>
    <row r="1932" spans="1:8" x14ac:dyDescent="0.25">
      <c r="A1932">
        <v>203</v>
      </c>
      <c r="C1932">
        <v>5</v>
      </c>
      <c r="D1932">
        <v>0</v>
      </c>
      <c r="E1932">
        <v>0</v>
      </c>
      <c r="F1932">
        <v>90.51</v>
      </c>
      <c r="G1932">
        <v>124273.02</v>
      </c>
      <c r="H1932" s="14">
        <v>43767.833333333336</v>
      </c>
    </row>
    <row r="1933" spans="1:8" x14ac:dyDescent="0.25">
      <c r="A1933">
        <v>203</v>
      </c>
      <c r="C1933">
        <v>6</v>
      </c>
      <c r="D1933">
        <v>0</v>
      </c>
      <c r="E1933">
        <v>0</v>
      </c>
      <c r="F1933">
        <v>61.39</v>
      </c>
      <c r="G1933">
        <v>86294.01</v>
      </c>
      <c r="H1933" s="14">
        <v>43767.833333333336</v>
      </c>
    </row>
    <row r="1934" spans="1:8" x14ac:dyDescent="0.25">
      <c r="A1934">
        <v>203</v>
      </c>
      <c r="C1934">
        <v>7</v>
      </c>
      <c r="D1934">
        <v>0</v>
      </c>
      <c r="E1934">
        <v>0</v>
      </c>
      <c r="F1934">
        <v>98.97</v>
      </c>
      <c r="G1934">
        <v>128239.91</v>
      </c>
      <c r="H1934" s="14">
        <v>43767.833333333336</v>
      </c>
    </row>
    <row r="1935" spans="1:8" x14ac:dyDescent="0.25">
      <c r="A1935">
        <v>203</v>
      </c>
      <c r="C1935">
        <v>8</v>
      </c>
      <c r="D1935">
        <v>0</v>
      </c>
      <c r="E1935">
        <v>0</v>
      </c>
      <c r="F1935">
        <v>99.2</v>
      </c>
      <c r="G1935">
        <v>127718.97</v>
      </c>
      <c r="H1935" s="14">
        <v>43767.833333333336</v>
      </c>
    </row>
    <row r="1936" spans="1:8" x14ac:dyDescent="0.25">
      <c r="A1936">
        <v>203</v>
      </c>
      <c r="C1936">
        <v>9</v>
      </c>
      <c r="D1936">
        <v>0</v>
      </c>
      <c r="E1936">
        <v>0</v>
      </c>
      <c r="F1936">
        <v>98.03</v>
      </c>
      <c r="G1936">
        <v>127537.3</v>
      </c>
      <c r="H1936" s="14">
        <v>43767.833333333336</v>
      </c>
    </row>
    <row r="1937" spans="1:8" x14ac:dyDescent="0.25">
      <c r="A1937">
        <v>203</v>
      </c>
      <c r="C1937">
        <v>10</v>
      </c>
      <c r="D1937">
        <v>0</v>
      </c>
      <c r="E1937">
        <v>0</v>
      </c>
      <c r="F1937">
        <v>103.94</v>
      </c>
      <c r="G1937">
        <v>137349.28</v>
      </c>
      <c r="H1937" s="14">
        <v>43767.833333333336</v>
      </c>
    </row>
    <row r="1938" spans="1:8" x14ac:dyDescent="0.25">
      <c r="A1938">
        <v>203</v>
      </c>
      <c r="C1938">
        <v>11</v>
      </c>
      <c r="D1938">
        <v>0</v>
      </c>
      <c r="E1938">
        <v>0</v>
      </c>
      <c r="F1938">
        <v>103.76</v>
      </c>
      <c r="G1938">
        <v>124951.83</v>
      </c>
      <c r="H1938" s="14">
        <v>43767.833333333336</v>
      </c>
    </row>
    <row r="1939" spans="1:8" x14ac:dyDescent="0.25">
      <c r="A1939">
        <v>203</v>
      </c>
      <c r="C1939">
        <v>12</v>
      </c>
      <c r="D1939">
        <v>0</v>
      </c>
      <c r="E1939">
        <v>0</v>
      </c>
      <c r="F1939">
        <v>104.18</v>
      </c>
      <c r="G1939">
        <v>127200.8</v>
      </c>
      <c r="H1939" s="14">
        <v>43767.833333333336</v>
      </c>
    </row>
    <row r="1940" spans="1:8" x14ac:dyDescent="0.25">
      <c r="A1940">
        <v>203</v>
      </c>
      <c r="C1940">
        <v>13</v>
      </c>
      <c r="D1940">
        <v>0</v>
      </c>
      <c r="E1940">
        <v>0</v>
      </c>
      <c r="F1940">
        <v>35.049999999999997</v>
      </c>
      <c r="G1940">
        <v>43714.55</v>
      </c>
      <c r="H1940" s="14">
        <v>43767.833333333336</v>
      </c>
    </row>
    <row r="1941" spans="1:8" x14ac:dyDescent="0.25">
      <c r="A1941">
        <v>203</v>
      </c>
      <c r="C1941">
        <v>14</v>
      </c>
      <c r="D1941">
        <v>0</v>
      </c>
      <c r="E1941">
        <v>0</v>
      </c>
      <c r="F1941">
        <v>77.75</v>
      </c>
      <c r="G1941">
        <v>117934.55</v>
      </c>
      <c r="H1941" s="14">
        <v>43767.833333333336</v>
      </c>
    </row>
    <row r="1942" spans="1:8" x14ac:dyDescent="0.25">
      <c r="A1942">
        <v>203</v>
      </c>
      <c r="C1942">
        <v>15</v>
      </c>
      <c r="D1942">
        <v>0</v>
      </c>
      <c r="E1942">
        <v>0</v>
      </c>
      <c r="F1942">
        <v>77.760000000000005</v>
      </c>
      <c r="G1942">
        <v>112225.76</v>
      </c>
      <c r="H1942" s="14">
        <v>43767.833333333336</v>
      </c>
    </row>
    <row r="1943" spans="1:8" x14ac:dyDescent="0.25">
      <c r="A1943">
        <v>203</v>
      </c>
      <c r="C1943">
        <v>16</v>
      </c>
      <c r="D1943">
        <v>0</v>
      </c>
      <c r="E1943">
        <v>0</v>
      </c>
      <c r="F1943">
        <v>78.36</v>
      </c>
      <c r="G1943">
        <v>118244.44</v>
      </c>
      <c r="H1943" s="14">
        <v>43767.833333333336</v>
      </c>
    </row>
    <row r="1944" spans="1:8" x14ac:dyDescent="0.25">
      <c r="A1944">
        <v>204</v>
      </c>
      <c r="C1944">
        <v>1</v>
      </c>
      <c r="D1944">
        <v>0</v>
      </c>
      <c r="E1944">
        <v>0</v>
      </c>
      <c r="F1944">
        <v>80.78</v>
      </c>
      <c r="G1944">
        <v>115603.65</v>
      </c>
      <c r="H1944" s="14">
        <v>43767.833333333336</v>
      </c>
    </row>
    <row r="1945" spans="1:8" x14ac:dyDescent="0.25">
      <c r="A1945">
        <v>204</v>
      </c>
      <c r="C1945">
        <v>2</v>
      </c>
      <c r="D1945">
        <v>0</v>
      </c>
      <c r="E1945">
        <v>0</v>
      </c>
      <c r="F1945">
        <v>95.19</v>
      </c>
      <c r="G1945">
        <v>126494.49</v>
      </c>
      <c r="H1945" s="14">
        <v>43767.833333333336</v>
      </c>
    </row>
    <row r="1946" spans="1:8" x14ac:dyDescent="0.25">
      <c r="A1946">
        <v>204</v>
      </c>
      <c r="C1946">
        <v>3</v>
      </c>
      <c r="D1946">
        <v>0</v>
      </c>
      <c r="E1946">
        <v>0</v>
      </c>
      <c r="F1946">
        <v>95.87</v>
      </c>
      <c r="G1946">
        <v>129471.91</v>
      </c>
      <c r="H1946" s="14">
        <v>43767.833333333336</v>
      </c>
    </row>
    <row r="1947" spans="1:8" x14ac:dyDescent="0.25">
      <c r="A1947">
        <v>204</v>
      </c>
      <c r="C1947">
        <v>4</v>
      </c>
      <c r="D1947">
        <v>0</v>
      </c>
      <c r="E1947">
        <v>0</v>
      </c>
      <c r="F1947">
        <v>94.95</v>
      </c>
      <c r="G1947">
        <v>129373.31</v>
      </c>
      <c r="H1947" s="14">
        <v>43767.833333333336</v>
      </c>
    </row>
    <row r="1948" spans="1:8" x14ac:dyDescent="0.25">
      <c r="A1948">
        <v>204</v>
      </c>
      <c r="C1948">
        <v>5</v>
      </c>
      <c r="D1948">
        <v>0</v>
      </c>
      <c r="E1948">
        <v>0</v>
      </c>
      <c r="F1948">
        <v>94.16</v>
      </c>
      <c r="G1948">
        <v>126219.6</v>
      </c>
      <c r="H1948" s="14">
        <v>43767.833333333336</v>
      </c>
    </row>
    <row r="1949" spans="1:8" x14ac:dyDescent="0.25">
      <c r="A1949">
        <v>204</v>
      </c>
      <c r="C1949">
        <v>6</v>
      </c>
      <c r="D1949">
        <v>0</v>
      </c>
      <c r="E1949">
        <v>0</v>
      </c>
      <c r="F1949">
        <v>94.87</v>
      </c>
      <c r="G1949">
        <v>127048.15</v>
      </c>
      <c r="H1949" s="14">
        <v>43767.833333333336</v>
      </c>
    </row>
    <row r="1950" spans="1:8" x14ac:dyDescent="0.25">
      <c r="A1950">
        <v>204</v>
      </c>
      <c r="C1950">
        <v>7</v>
      </c>
      <c r="D1950">
        <v>0</v>
      </c>
      <c r="E1950">
        <v>0</v>
      </c>
      <c r="F1950">
        <v>95.45</v>
      </c>
      <c r="G1950">
        <v>127521.8</v>
      </c>
      <c r="H1950" s="14">
        <v>43767.833333333336</v>
      </c>
    </row>
    <row r="1951" spans="1:8" x14ac:dyDescent="0.25">
      <c r="A1951">
        <v>204</v>
      </c>
      <c r="C1951">
        <v>8</v>
      </c>
      <c r="D1951">
        <v>0</v>
      </c>
      <c r="E1951">
        <v>0</v>
      </c>
      <c r="F1951">
        <v>95.79</v>
      </c>
      <c r="G1951">
        <v>128128.6</v>
      </c>
      <c r="H1951" s="14">
        <v>43767.833333333336</v>
      </c>
    </row>
    <row r="1952" spans="1:8" x14ac:dyDescent="0.25">
      <c r="A1952">
        <v>204</v>
      </c>
      <c r="C1952">
        <v>9</v>
      </c>
      <c r="D1952">
        <v>0</v>
      </c>
      <c r="E1952">
        <v>0</v>
      </c>
      <c r="F1952">
        <v>91.48</v>
      </c>
      <c r="G1952">
        <v>66318.19</v>
      </c>
      <c r="H1952" s="14">
        <v>43767.833333333336</v>
      </c>
    </row>
    <row r="1953" spans="1:8" x14ac:dyDescent="0.25">
      <c r="A1953">
        <v>204</v>
      </c>
      <c r="C1953">
        <v>10</v>
      </c>
      <c r="D1953">
        <v>0</v>
      </c>
      <c r="E1953">
        <v>0</v>
      </c>
      <c r="F1953">
        <v>95.45</v>
      </c>
      <c r="G1953">
        <v>127589.29</v>
      </c>
      <c r="H1953" s="14">
        <v>43767.833333333336</v>
      </c>
    </row>
    <row r="1954" spans="1:8" x14ac:dyDescent="0.25">
      <c r="A1954">
        <v>204</v>
      </c>
      <c r="C1954">
        <v>11</v>
      </c>
      <c r="D1954">
        <v>0</v>
      </c>
      <c r="E1954">
        <v>0</v>
      </c>
      <c r="F1954">
        <v>96.11</v>
      </c>
      <c r="G1954">
        <v>126686.69</v>
      </c>
      <c r="H1954" s="14">
        <v>43767.833333333336</v>
      </c>
    </row>
    <row r="1955" spans="1:8" x14ac:dyDescent="0.25">
      <c r="A1955">
        <v>204</v>
      </c>
      <c r="C1955">
        <v>12</v>
      </c>
      <c r="D1955">
        <v>0</v>
      </c>
      <c r="E1955">
        <v>0</v>
      </c>
      <c r="F1955">
        <v>90.33</v>
      </c>
      <c r="G1955">
        <v>125048.45</v>
      </c>
      <c r="H1955" s="14">
        <v>43767.833333333336</v>
      </c>
    </row>
    <row r="1956" spans="1:8" x14ac:dyDescent="0.25">
      <c r="A1956">
        <v>204</v>
      </c>
      <c r="C1956">
        <v>13</v>
      </c>
      <c r="D1956">
        <v>0</v>
      </c>
      <c r="E1956">
        <v>0</v>
      </c>
      <c r="F1956">
        <v>94.15</v>
      </c>
      <c r="G1956">
        <v>124250.42</v>
      </c>
      <c r="H1956" s="14">
        <v>43767.833333333336</v>
      </c>
    </row>
    <row r="1957" spans="1:8" x14ac:dyDescent="0.25">
      <c r="A1957">
        <v>204</v>
      </c>
      <c r="C1957">
        <v>14</v>
      </c>
      <c r="D1957">
        <v>0</v>
      </c>
      <c r="E1957">
        <v>0</v>
      </c>
      <c r="F1957">
        <v>97.03</v>
      </c>
      <c r="G1957">
        <v>127157.82</v>
      </c>
      <c r="H1957" s="14">
        <v>43767.833333333336</v>
      </c>
    </row>
    <row r="1958" spans="1:8" x14ac:dyDescent="0.25">
      <c r="A1958">
        <v>204</v>
      </c>
      <c r="C1958">
        <v>15</v>
      </c>
      <c r="D1958">
        <v>0</v>
      </c>
      <c r="E1958">
        <v>0</v>
      </c>
      <c r="F1958">
        <v>92.44</v>
      </c>
      <c r="G1958">
        <v>121867.94</v>
      </c>
      <c r="H1958" s="14">
        <v>43767.833333333336</v>
      </c>
    </row>
    <row r="1959" spans="1:8" x14ac:dyDescent="0.25">
      <c r="A1959">
        <v>204</v>
      </c>
      <c r="C1959">
        <v>16</v>
      </c>
      <c r="D1959">
        <v>0</v>
      </c>
      <c r="E1959">
        <v>0</v>
      </c>
      <c r="F1959">
        <v>80.33</v>
      </c>
      <c r="G1959">
        <v>110772.11</v>
      </c>
      <c r="H1959" s="14">
        <v>43767.833333333336</v>
      </c>
    </row>
    <row r="1960" spans="1:8" x14ac:dyDescent="0.25">
      <c r="A1960">
        <v>204</v>
      </c>
      <c r="C1960">
        <v>17</v>
      </c>
      <c r="D1960">
        <v>0</v>
      </c>
      <c r="E1960">
        <v>0</v>
      </c>
      <c r="F1960">
        <v>103.57</v>
      </c>
      <c r="G1960">
        <v>122682.46</v>
      </c>
      <c r="H1960" s="14">
        <v>43767.833333333336</v>
      </c>
    </row>
    <row r="1961" spans="1:8" x14ac:dyDescent="0.25">
      <c r="A1961">
        <v>204</v>
      </c>
      <c r="C1961">
        <v>18</v>
      </c>
      <c r="D1961">
        <v>0</v>
      </c>
      <c r="E1961">
        <v>0</v>
      </c>
      <c r="F1961">
        <v>19.63</v>
      </c>
      <c r="G1961">
        <v>23556.53</v>
      </c>
      <c r="H1961" s="14">
        <v>43767.833333333336</v>
      </c>
    </row>
    <row r="1962" spans="1:8" x14ac:dyDescent="0.25">
      <c r="A1962">
        <v>205</v>
      </c>
      <c r="C1962">
        <v>1</v>
      </c>
      <c r="D1962">
        <v>0</v>
      </c>
      <c r="E1962">
        <v>0</v>
      </c>
      <c r="F1962">
        <v>82.19</v>
      </c>
      <c r="G1962">
        <v>82204.83</v>
      </c>
      <c r="H1962" s="14">
        <v>43767.833333333336</v>
      </c>
    </row>
    <row r="1963" spans="1:8" x14ac:dyDescent="0.25">
      <c r="A1963">
        <v>205</v>
      </c>
      <c r="C1963">
        <v>2</v>
      </c>
      <c r="D1963">
        <v>0</v>
      </c>
      <c r="E1963">
        <v>0</v>
      </c>
      <c r="F1963">
        <v>83.04</v>
      </c>
      <c r="G1963">
        <v>133201.98000000001</v>
      </c>
      <c r="H1963" s="14">
        <v>43767.833333333336</v>
      </c>
    </row>
    <row r="1964" spans="1:8" x14ac:dyDescent="0.25">
      <c r="A1964">
        <v>205</v>
      </c>
      <c r="C1964">
        <v>3</v>
      </c>
      <c r="D1964">
        <v>0</v>
      </c>
      <c r="E1964">
        <v>0</v>
      </c>
      <c r="F1964">
        <v>83.44</v>
      </c>
      <c r="G1964">
        <v>132891.49</v>
      </c>
      <c r="H1964" s="14">
        <v>43767.833333333336</v>
      </c>
    </row>
    <row r="1965" spans="1:8" x14ac:dyDescent="0.25">
      <c r="A1965">
        <v>205</v>
      </c>
      <c r="C1965">
        <v>4</v>
      </c>
      <c r="D1965">
        <v>0</v>
      </c>
      <c r="E1965">
        <v>0</v>
      </c>
      <c r="F1965">
        <v>80.83</v>
      </c>
      <c r="G1965">
        <v>118259.64</v>
      </c>
      <c r="H1965" s="14">
        <v>43767.833333333336</v>
      </c>
    </row>
    <row r="1966" spans="1:8" x14ac:dyDescent="0.25">
      <c r="A1966">
        <v>205</v>
      </c>
      <c r="C1966">
        <v>5</v>
      </c>
      <c r="D1966">
        <v>0</v>
      </c>
      <c r="E1966">
        <v>0</v>
      </c>
      <c r="F1966">
        <v>82.72</v>
      </c>
      <c r="G1966">
        <v>131571.5</v>
      </c>
      <c r="H1966" s="14">
        <v>43767.833333333336</v>
      </c>
    </row>
    <row r="1967" spans="1:8" x14ac:dyDescent="0.25">
      <c r="A1967">
        <v>205</v>
      </c>
      <c r="C1967">
        <v>6</v>
      </c>
      <c r="D1967">
        <v>0</v>
      </c>
      <c r="E1967">
        <v>0</v>
      </c>
      <c r="F1967">
        <v>91.94</v>
      </c>
      <c r="G1967">
        <v>139803.31</v>
      </c>
      <c r="H1967" s="14">
        <v>43767.833333333336</v>
      </c>
    </row>
    <row r="1968" spans="1:8" x14ac:dyDescent="0.25">
      <c r="A1968">
        <v>205</v>
      </c>
      <c r="C1968">
        <v>7</v>
      </c>
      <c r="D1968">
        <v>0</v>
      </c>
      <c r="E1968">
        <v>0</v>
      </c>
      <c r="F1968">
        <v>81.91</v>
      </c>
      <c r="G1968">
        <v>128745.01</v>
      </c>
      <c r="H1968" s="14">
        <v>43767.833333333336</v>
      </c>
    </row>
    <row r="1969" spans="1:8" x14ac:dyDescent="0.25">
      <c r="A1969">
        <v>205</v>
      </c>
      <c r="C1969">
        <v>8</v>
      </c>
      <c r="D1969">
        <v>0</v>
      </c>
      <c r="E1969">
        <v>0</v>
      </c>
      <c r="F1969">
        <v>81.52</v>
      </c>
      <c r="G1969">
        <v>131426.1</v>
      </c>
      <c r="H1969" s="14">
        <v>43767.833333333336</v>
      </c>
    </row>
    <row r="1970" spans="1:8" x14ac:dyDescent="0.25">
      <c r="A1970">
        <v>205</v>
      </c>
      <c r="C1970">
        <v>9</v>
      </c>
      <c r="D1970">
        <v>0</v>
      </c>
      <c r="E1970">
        <v>0</v>
      </c>
      <c r="F1970">
        <v>80.83</v>
      </c>
      <c r="G1970">
        <v>130491.41</v>
      </c>
      <c r="H1970" s="14">
        <v>43767.833333333336</v>
      </c>
    </row>
    <row r="1971" spans="1:8" x14ac:dyDescent="0.25">
      <c r="A1971">
        <v>205</v>
      </c>
      <c r="C1971">
        <v>10</v>
      </c>
      <c r="D1971">
        <v>0</v>
      </c>
      <c r="E1971">
        <v>0</v>
      </c>
      <c r="F1971">
        <v>83.42</v>
      </c>
      <c r="G1971">
        <v>133537.51</v>
      </c>
      <c r="H1971" s="14">
        <v>43767.833333333336</v>
      </c>
    </row>
    <row r="1972" spans="1:8" x14ac:dyDescent="0.25">
      <c r="A1972">
        <v>205</v>
      </c>
      <c r="C1972">
        <v>11</v>
      </c>
      <c r="D1972">
        <v>0</v>
      </c>
      <c r="E1972">
        <v>0</v>
      </c>
      <c r="F1972">
        <v>81.93</v>
      </c>
      <c r="G1972">
        <v>74469.19</v>
      </c>
      <c r="H1972" s="14">
        <v>43767.833333333336</v>
      </c>
    </row>
    <row r="1973" spans="1:8" x14ac:dyDescent="0.25">
      <c r="A1973">
        <v>205</v>
      </c>
      <c r="C1973">
        <v>12</v>
      </c>
      <c r="D1973">
        <v>0</v>
      </c>
      <c r="E1973">
        <v>0</v>
      </c>
      <c r="F1973">
        <v>82.03</v>
      </c>
      <c r="G1973">
        <v>131657.45000000001</v>
      </c>
      <c r="H1973" s="14">
        <v>43767.833333333336</v>
      </c>
    </row>
    <row r="1974" spans="1:8" x14ac:dyDescent="0.25">
      <c r="A1974">
        <v>205</v>
      </c>
      <c r="C1974">
        <v>13</v>
      </c>
      <c r="D1974">
        <v>0</v>
      </c>
      <c r="E1974">
        <v>0</v>
      </c>
      <c r="F1974">
        <v>81.790000000000006</v>
      </c>
      <c r="G1974">
        <v>132243.73000000001</v>
      </c>
      <c r="H1974" s="14">
        <v>43767.833333333336</v>
      </c>
    </row>
    <row r="1975" spans="1:8" x14ac:dyDescent="0.25">
      <c r="A1975">
        <v>205</v>
      </c>
      <c r="C1975">
        <v>14</v>
      </c>
      <c r="D1975">
        <v>0</v>
      </c>
      <c r="E1975">
        <v>0</v>
      </c>
      <c r="F1975">
        <v>60.12</v>
      </c>
      <c r="G1975">
        <v>92485.32</v>
      </c>
      <c r="H1975" s="14">
        <v>43767.833333333336</v>
      </c>
    </row>
    <row r="1976" spans="1:8" x14ac:dyDescent="0.25">
      <c r="A1976">
        <v>205</v>
      </c>
      <c r="C1976">
        <v>15</v>
      </c>
      <c r="D1976">
        <v>0</v>
      </c>
      <c r="E1976">
        <v>0</v>
      </c>
      <c r="F1976">
        <v>99.43</v>
      </c>
      <c r="G1976">
        <v>145213.66</v>
      </c>
      <c r="H1976" s="14">
        <v>43767.833333333336</v>
      </c>
    </row>
    <row r="1977" spans="1:8" x14ac:dyDescent="0.25">
      <c r="A1977">
        <v>205</v>
      </c>
      <c r="C1977">
        <v>16</v>
      </c>
      <c r="D1977">
        <v>0</v>
      </c>
      <c r="E1977">
        <v>0</v>
      </c>
      <c r="F1977">
        <v>100.71</v>
      </c>
      <c r="G1977">
        <v>146143.69</v>
      </c>
      <c r="H1977" s="14">
        <v>43767.833333333336</v>
      </c>
    </row>
    <row r="1978" spans="1:8" x14ac:dyDescent="0.25">
      <c r="A1978">
        <v>205</v>
      </c>
      <c r="C1978">
        <v>17</v>
      </c>
      <c r="D1978">
        <v>0</v>
      </c>
      <c r="E1978">
        <v>0</v>
      </c>
      <c r="F1978">
        <v>102.33</v>
      </c>
      <c r="G1978">
        <v>148500.88</v>
      </c>
      <c r="H1978" s="14">
        <v>43767.833333333336</v>
      </c>
    </row>
    <row r="1979" spans="1:8" x14ac:dyDescent="0.25">
      <c r="A1979">
        <v>205</v>
      </c>
      <c r="C1979">
        <v>18</v>
      </c>
      <c r="D1979">
        <v>0</v>
      </c>
      <c r="E1979">
        <v>0</v>
      </c>
      <c r="F1979">
        <v>102.57</v>
      </c>
      <c r="G1979">
        <v>147222.13</v>
      </c>
      <c r="H1979" s="14">
        <v>43767.833333333336</v>
      </c>
    </row>
    <row r="1980" spans="1:8" x14ac:dyDescent="0.25">
      <c r="A1980">
        <v>205</v>
      </c>
      <c r="C1980">
        <v>19</v>
      </c>
      <c r="D1980">
        <v>0</v>
      </c>
      <c r="E1980">
        <v>0</v>
      </c>
      <c r="F1980">
        <v>101.03</v>
      </c>
      <c r="G1980">
        <v>137460.34</v>
      </c>
      <c r="H1980" s="14">
        <v>43767.833333333336</v>
      </c>
    </row>
    <row r="1981" spans="1:8" x14ac:dyDescent="0.25">
      <c r="A1981">
        <v>205</v>
      </c>
      <c r="C1981">
        <v>20</v>
      </c>
      <c r="D1981">
        <v>0</v>
      </c>
      <c r="E1981">
        <v>0</v>
      </c>
      <c r="F1981">
        <v>101.78</v>
      </c>
      <c r="G1981">
        <v>147750.85</v>
      </c>
      <c r="H1981" s="14">
        <v>43767.833333333336</v>
      </c>
    </row>
    <row r="1982" spans="1:8" x14ac:dyDescent="0.25">
      <c r="A1982">
        <v>205</v>
      </c>
      <c r="C1982">
        <v>21</v>
      </c>
      <c r="D1982">
        <v>0</v>
      </c>
      <c r="E1982">
        <v>0</v>
      </c>
      <c r="F1982">
        <v>103.12</v>
      </c>
      <c r="G1982">
        <v>149601</v>
      </c>
      <c r="H1982" s="14">
        <v>43767.833333333336</v>
      </c>
    </row>
    <row r="1983" spans="1:8" x14ac:dyDescent="0.25">
      <c r="A1983">
        <v>205</v>
      </c>
      <c r="C1983">
        <v>22</v>
      </c>
      <c r="D1983">
        <v>0</v>
      </c>
      <c r="E1983">
        <v>0</v>
      </c>
      <c r="F1983">
        <v>101.69</v>
      </c>
      <c r="G1983">
        <v>6883.53</v>
      </c>
      <c r="H1983" s="14">
        <v>43767.833333333336</v>
      </c>
    </row>
    <row r="1984" spans="1:8" x14ac:dyDescent="0.25">
      <c r="A1984">
        <v>205</v>
      </c>
      <c r="C1984">
        <v>23</v>
      </c>
      <c r="D1984">
        <v>0</v>
      </c>
      <c r="E1984">
        <v>0</v>
      </c>
      <c r="F1984">
        <v>98.37</v>
      </c>
      <c r="G1984">
        <v>6908.5</v>
      </c>
      <c r="H1984" s="14">
        <v>43767.833333333336</v>
      </c>
    </row>
    <row r="1985" spans="1:8" x14ac:dyDescent="0.25">
      <c r="A1985">
        <v>205</v>
      </c>
      <c r="C1985">
        <v>24</v>
      </c>
      <c r="D1985">
        <v>0</v>
      </c>
      <c r="E1985">
        <v>0</v>
      </c>
      <c r="F1985">
        <v>102.21</v>
      </c>
      <c r="G1985">
        <v>146989.35</v>
      </c>
      <c r="H1985" s="14">
        <v>43767.833333333336</v>
      </c>
    </row>
    <row r="1986" spans="1:8" x14ac:dyDescent="0.25">
      <c r="A1986">
        <v>205</v>
      </c>
      <c r="C1986">
        <v>25</v>
      </c>
      <c r="D1986">
        <v>0</v>
      </c>
      <c r="E1986">
        <v>0</v>
      </c>
      <c r="F1986">
        <v>102.15</v>
      </c>
      <c r="G1986">
        <v>9277.1200000000008</v>
      </c>
      <c r="H1986" s="14">
        <v>43767.833333333336</v>
      </c>
    </row>
    <row r="1987" spans="1:8" x14ac:dyDescent="0.25">
      <c r="A1987">
        <v>205</v>
      </c>
      <c r="C1987">
        <v>26</v>
      </c>
      <c r="D1987">
        <v>0</v>
      </c>
      <c r="E1987">
        <v>0</v>
      </c>
      <c r="F1987">
        <v>102.73</v>
      </c>
      <c r="G1987">
        <v>150379.24</v>
      </c>
      <c r="H1987" s="14">
        <v>43767.833333333336</v>
      </c>
    </row>
    <row r="1988" spans="1:8" x14ac:dyDescent="0.25">
      <c r="A1988">
        <v>205</v>
      </c>
      <c r="C1988">
        <v>27</v>
      </c>
      <c r="D1988">
        <v>0</v>
      </c>
      <c r="E1988">
        <v>0</v>
      </c>
      <c r="F1988">
        <v>100.97</v>
      </c>
      <c r="G1988">
        <v>146768.85</v>
      </c>
      <c r="H1988" s="14">
        <v>43767.833333333336</v>
      </c>
    </row>
    <row r="1989" spans="1:8" x14ac:dyDescent="0.25">
      <c r="A1989">
        <v>205</v>
      </c>
      <c r="C1989">
        <v>28</v>
      </c>
      <c r="D1989">
        <v>0</v>
      </c>
      <c r="E1989">
        <v>0</v>
      </c>
      <c r="F1989">
        <v>65.3</v>
      </c>
      <c r="G1989">
        <v>101294.63</v>
      </c>
      <c r="H1989" s="14">
        <v>43767.833333333336</v>
      </c>
    </row>
    <row r="1990" spans="1:8" x14ac:dyDescent="0.25">
      <c r="A1990">
        <v>206</v>
      </c>
      <c r="C1990">
        <v>1</v>
      </c>
      <c r="D1990">
        <v>0</v>
      </c>
      <c r="E1990">
        <v>0</v>
      </c>
      <c r="F1990">
        <v>94.82</v>
      </c>
      <c r="G1990">
        <v>65373.54</v>
      </c>
      <c r="H1990" s="14">
        <v>43767.833333333336</v>
      </c>
    </row>
    <row r="1991" spans="1:8" x14ac:dyDescent="0.25">
      <c r="A1991">
        <v>206</v>
      </c>
      <c r="C1991">
        <v>2</v>
      </c>
      <c r="D1991">
        <v>0</v>
      </c>
      <c r="E1991">
        <v>0</v>
      </c>
      <c r="F1991">
        <v>95.6</v>
      </c>
      <c r="G1991">
        <v>75654.09</v>
      </c>
      <c r="H1991" s="14">
        <v>43767.833333333336</v>
      </c>
    </row>
    <row r="1992" spans="1:8" x14ac:dyDescent="0.25">
      <c r="A1992">
        <v>206</v>
      </c>
      <c r="C1992">
        <v>3</v>
      </c>
      <c r="D1992">
        <v>0</v>
      </c>
      <c r="E1992">
        <v>0</v>
      </c>
      <c r="F1992">
        <v>84.42</v>
      </c>
      <c r="G1992">
        <v>69530.37</v>
      </c>
      <c r="H1992" s="14">
        <v>43767.833333333336</v>
      </c>
    </row>
    <row r="1993" spans="1:8" x14ac:dyDescent="0.25">
      <c r="A1993">
        <v>206</v>
      </c>
      <c r="C1993">
        <v>4</v>
      </c>
      <c r="D1993">
        <v>0</v>
      </c>
      <c r="E1993">
        <v>0</v>
      </c>
      <c r="F1993">
        <v>90.28</v>
      </c>
      <c r="G1993">
        <v>73617.69</v>
      </c>
      <c r="H1993" s="14">
        <v>43767.833333333336</v>
      </c>
    </row>
    <row r="1994" spans="1:8" x14ac:dyDescent="0.25">
      <c r="A1994">
        <v>206</v>
      </c>
      <c r="C1994">
        <v>5</v>
      </c>
      <c r="D1994">
        <v>0</v>
      </c>
      <c r="E1994">
        <v>0</v>
      </c>
      <c r="F1994">
        <v>59.12</v>
      </c>
      <c r="G1994">
        <v>49881.08</v>
      </c>
      <c r="H1994" s="14">
        <v>43767.833333333336</v>
      </c>
    </row>
    <row r="1995" spans="1:8" x14ac:dyDescent="0.25">
      <c r="A1995">
        <v>206</v>
      </c>
      <c r="C1995">
        <v>6</v>
      </c>
      <c r="D1995">
        <v>0</v>
      </c>
      <c r="E1995">
        <v>0</v>
      </c>
      <c r="F1995">
        <v>62.34</v>
      </c>
      <c r="G1995">
        <v>49503.76</v>
      </c>
      <c r="H1995" s="14">
        <v>43767.833333333336</v>
      </c>
    </row>
    <row r="1996" spans="1:8" x14ac:dyDescent="0.25">
      <c r="A1996">
        <v>206</v>
      </c>
      <c r="C1996">
        <v>7</v>
      </c>
      <c r="D1996">
        <v>0</v>
      </c>
      <c r="E1996">
        <v>0</v>
      </c>
      <c r="F1996">
        <v>28.26</v>
      </c>
      <c r="G1996">
        <v>21761.22</v>
      </c>
      <c r="H1996" s="14">
        <v>43767.833333333336</v>
      </c>
    </row>
    <row r="1997" spans="1:8" x14ac:dyDescent="0.25">
      <c r="A1997">
        <v>206</v>
      </c>
      <c r="C1997">
        <v>8</v>
      </c>
      <c r="D1997">
        <v>0</v>
      </c>
      <c r="E1997">
        <v>0</v>
      </c>
      <c r="F1997">
        <v>20.87</v>
      </c>
      <c r="G1997">
        <v>17219.490000000002</v>
      </c>
      <c r="H1997" s="14">
        <v>43767.833333333336</v>
      </c>
    </row>
    <row r="1998" spans="1:8" x14ac:dyDescent="0.25">
      <c r="A1998">
        <v>206</v>
      </c>
      <c r="C1998">
        <v>9</v>
      </c>
      <c r="D1998">
        <v>0</v>
      </c>
      <c r="E1998">
        <v>0</v>
      </c>
      <c r="F1998">
        <v>42.95</v>
      </c>
      <c r="G1998">
        <v>36713.46</v>
      </c>
      <c r="H1998" s="14">
        <v>43767.833333333336</v>
      </c>
    </row>
    <row r="1999" spans="1:8" x14ac:dyDescent="0.25">
      <c r="A1999">
        <v>206</v>
      </c>
      <c r="C1999">
        <v>10</v>
      </c>
      <c r="D1999">
        <v>0</v>
      </c>
      <c r="E1999">
        <v>0</v>
      </c>
      <c r="F1999">
        <v>63.49</v>
      </c>
      <c r="G1999">
        <v>51984.98</v>
      </c>
      <c r="H1999" s="14">
        <v>43767.833333333336</v>
      </c>
    </row>
    <row r="2000" spans="1:8" x14ac:dyDescent="0.25">
      <c r="A2000">
        <v>206</v>
      </c>
      <c r="C2000">
        <v>11</v>
      </c>
      <c r="D2000">
        <v>0</v>
      </c>
      <c r="E2000">
        <v>0</v>
      </c>
      <c r="F2000">
        <v>95</v>
      </c>
      <c r="G2000">
        <v>77556.710000000006</v>
      </c>
      <c r="H2000" s="14">
        <v>43767.833333333336</v>
      </c>
    </row>
    <row r="2001" spans="1:8" x14ac:dyDescent="0.25">
      <c r="A2001">
        <v>206</v>
      </c>
      <c r="C2001">
        <v>12</v>
      </c>
      <c r="D2001">
        <v>0</v>
      </c>
      <c r="E2001">
        <v>0</v>
      </c>
      <c r="F2001">
        <v>0</v>
      </c>
      <c r="G2001">
        <v>0</v>
      </c>
      <c r="H2001" s="14">
        <v>36526</v>
      </c>
    </row>
    <row r="2002" spans="1:8" x14ac:dyDescent="0.25">
      <c r="A2002">
        <v>206</v>
      </c>
      <c r="C2002">
        <v>13</v>
      </c>
      <c r="D2002">
        <v>0</v>
      </c>
      <c r="E2002">
        <v>0</v>
      </c>
      <c r="F2002">
        <v>0</v>
      </c>
      <c r="G2002">
        <v>0</v>
      </c>
      <c r="H2002" s="14">
        <v>36526</v>
      </c>
    </row>
    <row r="2003" spans="1:8" x14ac:dyDescent="0.25">
      <c r="A2003">
        <v>206</v>
      </c>
      <c r="C2003">
        <v>14</v>
      </c>
      <c r="D2003">
        <v>0</v>
      </c>
      <c r="E2003">
        <v>0</v>
      </c>
      <c r="F2003">
        <v>0</v>
      </c>
      <c r="G2003">
        <v>0</v>
      </c>
      <c r="H2003" s="14">
        <v>36526</v>
      </c>
    </row>
    <row r="2004" spans="1:8" x14ac:dyDescent="0.25">
      <c r="A2004">
        <v>206</v>
      </c>
      <c r="C2004">
        <v>15</v>
      </c>
      <c r="D2004">
        <v>0</v>
      </c>
      <c r="E2004">
        <v>0</v>
      </c>
      <c r="F2004">
        <v>0</v>
      </c>
      <c r="G2004">
        <v>0</v>
      </c>
      <c r="H2004" s="14">
        <v>36526</v>
      </c>
    </row>
    <row r="2005" spans="1:8" x14ac:dyDescent="0.25">
      <c r="A2005">
        <v>206</v>
      </c>
      <c r="C2005">
        <v>16</v>
      </c>
      <c r="D2005">
        <v>0</v>
      </c>
      <c r="E2005">
        <v>0</v>
      </c>
      <c r="F2005">
        <v>0</v>
      </c>
      <c r="G2005">
        <v>0</v>
      </c>
      <c r="H2005" s="14">
        <v>36526</v>
      </c>
    </row>
    <row r="2006" spans="1:8" x14ac:dyDescent="0.25">
      <c r="A2006">
        <v>206</v>
      </c>
      <c r="C2006">
        <v>17</v>
      </c>
      <c r="D2006">
        <v>0</v>
      </c>
      <c r="E2006">
        <v>0</v>
      </c>
      <c r="F2006">
        <v>0</v>
      </c>
      <c r="G2006">
        <v>0</v>
      </c>
      <c r="H2006" s="14">
        <v>36526</v>
      </c>
    </row>
    <row r="2007" spans="1:8" x14ac:dyDescent="0.25">
      <c r="A2007">
        <v>206</v>
      </c>
      <c r="C2007">
        <v>18</v>
      </c>
      <c r="D2007">
        <v>0</v>
      </c>
      <c r="E2007">
        <v>0</v>
      </c>
      <c r="F2007">
        <v>0</v>
      </c>
      <c r="G2007">
        <v>0</v>
      </c>
      <c r="H2007" s="14">
        <v>36526</v>
      </c>
    </row>
    <row r="2008" spans="1:8" x14ac:dyDescent="0.25">
      <c r="A2008">
        <v>206</v>
      </c>
      <c r="C2008">
        <v>19</v>
      </c>
      <c r="D2008">
        <v>0</v>
      </c>
      <c r="E2008">
        <v>0</v>
      </c>
      <c r="F2008">
        <v>0</v>
      </c>
      <c r="G2008">
        <v>0</v>
      </c>
      <c r="H2008" s="14">
        <v>36526</v>
      </c>
    </row>
    <row r="2009" spans="1:8" x14ac:dyDescent="0.25">
      <c r="A2009">
        <v>206</v>
      </c>
      <c r="C2009">
        <v>20</v>
      </c>
      <c r="D2009">
        <v>0</v>
      </c>
      <c r="E2009">
        <v>0</v>
      </c>
      <c r="F2009">
        <v>0</v>
      </c>
      <c r="G2009">
        <v>0</v>
      </c>
      <c r="H2009" s="14">
        <v>36526</v>
      </c>
    </row>
    <row r="2010" spans="1:8" x14ac:dyDescent="0.25">
      <c r="A2010">
        <v>206</v>
      </c>
      <c r="C2010">
        <v>21</v>
      </c>
      <c r="D2010">
        <v>0</v>
      </c>
      <c r="E2010">
        <v>0</v>
      </c>
      <c r="F2010">
        <v>0</v>
      </c>
      <c r="G2010">
        <v>0</v>
      </c>
      <c r="H2010" s="14">
        <v>36526</v>
      </c>
    </row>
    <row r="2011" spans="1:8" x14ac:dyDescent="0.25">
      <c r="A2011">
        <v>206</v>
      </c>
      <c r="C2011">
        <v>22</v>
      </c>
      <c r="D2011">
        <v>0</v>
      </c>
      <c r="E2011">
        <v>0</v>
      </c>
      <c r="F2011">
        <v>0</v>
      </c>
      <c r="G2011">
        <v>0</v>
      </c>
      <c r="H2011" s="14">
        <v>36526</v>
      </c>
    </row>
    <row r="2012" spans="1:8" x14ac:dyDescent="0.25">
      <c r="A2012">
        <v>207</v>
      </c>
      <c r="C2012">
        <v>1</v>
      </c>
      <c r="D2012">
        <v>0</v>
      </c>
      <c r="E2012">
        <v>0</v>
      </c>
      <c r="F2012">
        <v>48.16</v>
      </c>
      <c r="G2012">
        <v>47635.53</v>
      </c>
      <c r="H2012" s="14">
        <v>43767.833333333336</v>
      </c>
    </row>
    <row r="2013" spans="1:8" x14ac:dyDescent="0.25">
      <c r="A2013">
        <v>207</v>
      </c>
      <c r="C2013">
        <v>2</v>
      </c>
      <c r="D2013">
        <v>0</v>
      </c>
      <c r="E2013">
        <v>0</v>
      </c>
      <c r="F2013">
        <v>58.77</v>
      </c>
      <c r="G2013">
        <v>58810.28</v>
      </c>
      <c r="H2013" s="14">
        <v>43767.833333333336</v>
      </c>
    </row>
    <row r="2014" spans="1:8" x14ac:dyDescent="0.25">
      <c r="A2014">
        <v>207</v>
      </c>
      <c r="C2014">
        <v>3</v>
      </c>
      <c r="D2014">
        <v>0</v>
      </c>
      <c r="E2014">
        <v>0</v>
      </c>
      <c r="F2014">
        <v>87.96</v>
      </c>
      <c r="G2014">
        <v>86417.73</v>
      </c>
      <c r="H2014" s="14">
        <v>43767.833333333336</v>
      </c>
    </row>
    <row r="2015" spans="1:8" x14ac:dyDescent="0.25">
      <c r="A2015">
        <v>207</v>
      </c>
      <c r="C2015">
        <v>4</v>
      </c>
      <c r="D2015">
        <v>0</v>
      </c>
      <c r="E2015">
        <v>0</v>
      </c>
      <c r="F2015">
        <v>88.1</v>
      </c>
      <c r="G2015">
        <v>87584.39</v>
      </c>
      <c r="H2015" s="14">
        <v>43767.833333333336</v>
      </c>
    </row>
    <row r="2016" spans="1:8" x14ac:dyDescent="0.25">
      <c r="A2016">
        <v>207</v>
      </c>
      <c r="C2016">
        <v>5</v>
      </c>
      <c r="D2016">
        <v>0</v>
      </c>
      <c r="E2016">
        <v>0</v>
      </c>
      <c r="F2016">
        <v>81.93</v>
      </c>
      <c r="G2016">
        <v>35319.800000000003</v>
      </c>
      <c r="H2016" s="14">
        <v>43767.833333333336</v>
      </c>
    </row>
    <row r="2017" spans="1:8" x14ac:dyDescent="0.25">
      <c r="A2017">
        <v>207</v>
      </c>
      <c r="C2017">
        <v>6</v>
      </c>
      <c r="D2017">
        <v>0</v>
      </c>
      <c r="E2017">
        <v>0</v>
      </c>
      <c r="F2017">
        <v>83.06</v>
      </c>
      <c r="G2017">
        <v>85515.83</v>
      </c>
      <c r="H2017" s="14">
        <v>43767.833333333336</v>
      </c>
    </row>
    <row r="2018" spans="1:8" x14ac:dyDescent="0.25">
      <c r="A2018">
        <v>207</v>
      </c>
      <c r="C2018">
        <v>7</v>
      </c>
      <c r="D2018">
        <v>0</v>
      </c>
      <c r="E2018">
        <v>0</v>
      </c>
      <c r="F2018">
        <v>83.8</v>
      </c>
      <c r="G2018">
        <v>79245.119999999995</v>
      </c>
      <c r="H2018" s="14">
        <v>43767.833333333336</v>
      </c>
    </row>
    <row r="2019" spans="1:8" x14ac:dyDescent="0.25">
      <c r="A2019">
        <v>207</v>
      </c>
      <c r="C2019">
        <v>8</v>
      </c>
      <c r="D2019">
        <v>0</v>
      </c>
      <c r="E2019">
        <v>0</v>
      </c>
      <c r="F2019">
        <v>53.16</v>
      </c>
      <c r="G2019">
        <v>76669.75</v>
      </c>
      <c r="H2019" s="14">
        <v>43767.833333333336</v>
      </c>
    </row>
    <row r="2020" spans="1:8" x14ac:dyDescent="0.25">
      <c r="A2020">
        <v>207</v>
      </c>
      <c r="C2020">
        <v>9</v>
      </c>
      <c r="D2020">
        <v>0</v>
      </c>
      <c r="E2020">
        <v>0</v>
      </c>
      <c r="F2020">
        <v>88</v>
      </c>
      <c r="G2020">
        <v>81725.19</v>
      </c>
      <c r="H2020" s="14">
        <v>43767.833333333336</v>
      </c>
    </row>
    <row r="2021" spans="1:8" x14ac:dyDescent="0.25">
      <c r="A2021">
        <v>207</v>
      </c>
      <c r="C2021">
        <v>10</v>
      </c>
      <c r="D2021">
        <v>0</v>
      </c>
      <c r="E2021">
        <v>0</v>
      </c>
      <c r="F2021">
        <v>17.5</v>
      </c>
      <c r="G2021">
        <v>78622.179999999993</v>
      </c>
      <c r="H2021" s="14">
        <v>43767.833333333336</v>
      </c>
    </row>
    <row r="2022" spans="1:8" x14ac:dyDescent="0.25">
      <c r="A2022">
        <v>207</v>
      </c>
      <c r="C2022">
        <v>11</v>
      </c>
      <c r="D2022">
        <v>0</v>
      </c>
      <c r="E2022">
        <v>0</v>
      </c>
      <c r="F2022">
        <v>40.770000000000003</v>
      </c>
      <c r="G2022">
        <v>10903.34</v>
      </c>
      <c r="H2022" s="14">
        <v>43767.833333333336</v>
      </c>
    </row>
    <row r="2023" spans="1:8" x14ac:dyDescent="0.25">
      <c r="A2023">
        <v>208</v>
      </c>
      <c r="B2023" t="s">
        <v>334</v>
      </c>
      <c r="C2023">
        <v>1</v>
      </c>
      <c r="D2023">
        <v>0</v>
      </c>
      <c r="E2023">
        <v>0</v>
      </c>
      <c r="F2023">
        <v>102.2</v>
      </c>
      <c r="G2023">
        <v>43767.16</v>
      </c>
      <c r="H2023" s="14">
        <v>43767.833333333336</v>
      </c>
    </row>
    <row r="2024" spans="1:8" x14ac:dyDescent="0.25">
      <c r="A2024">
        <v>208</v>
      </c>
      <c r="B2024" t="s">
        <v>334</v>
      </c>
      <c r="C2024">
        <v>2</v>
      </c>
      <c r="D2024">
        <v>0</v>
      </c>
      <c r="E2024">
        <v>0</v>
      </c>
      <c r="F2024">
        <v>104.56</v>
      </c>
      <c r="G2024">
        <v>44114.43</v>
      </c>
      <c r="H2024" s="14">
        <v>43767.833333333336</v>
      </c>
    </row>
    <row r="2025" spans="1:8" x14ac:dyDescent="0.25">
      <c r="A2025">
        <v>208</v>
      </c>
      <c r="B2025" t="s">
        <v>334</v>
      </c>
      <c r="C2025">
        <v>3</v>
      </c>
      <c r="D2025">
        <v>0</v>
      </c>
      <c r="E2025">
        <v>0</v>
      </c>
      <c r="F2025">
        <v>103.21</v>
      </c>
      <c r="G2025">
        <v>44043.82</v>
      </c>
      <c r="H2025" s="14">
        <v>43767.833333333336</v>
      </c>
    </row>
    <row r="2026" spans="1:8" x14ac:dyDescent="0.25">
      <c r="A2026">
        <v>208</v>
      </c>
      <c r="B2026" t="s">
        <v>334</v>
      </c>
      <c r="C2026">
        <v>4</v>
      </c>
      <c r="D2026">
        <v>0</v>
      </c>
      <c r="E2026">
        <v>0</v>
      </c>
      <c r="F2026">
        <v>104.54</v>
      </c>
      <c r="G2026">
        <v>44485.35</v>
      </c>
      <c r="H2026" s="14">
        <v>43767.833333333336</v>
      </c>
    </row>
    <row r="2027" spans="1:8" x14ac:dyDescent="0.25">
      <c r="A2027">
        <v>208</v>
      </c>
      <c r="B2027" t="s">
        <v>334</v>
      </c>
      <c r="C2027">
        <v>5</v>
      </c>
      <c r="D2027">
        <v>0</v>
      </c>
      <c r="E2027">
        <v>0</v>
      </c>
      <c r="F2027">
        <v>69.73</v>
      </c>
      <c r="G2027">
        <v>29541.759999999998</v>
      </c>
      <c r="H2027" s="14">
        <v>43767.833333333336</v>
      </c>
    </row>
    <row r="2028" spans="1:8" x14ac:dyDescent="0.25">
      <c r="A2028">
        <v>208</v>
      </c>
      <c r="B2028" t="s">
        <v>334</v>
      </c>
      <c r="C2028">
        <v>6</v>
      </c>
      <c r="D2028">
        <v>0</v>
      </c>
      <c r="E2028">
        <v>0</v>
      </c>
      <c r="F2028">
        <v>69.48</v>
      </c>
      <c r="G2028">
        <v>29446.52</v>
      </c>
      <c r="H2028" s="14">
        <v>43767.833333333336</v>
      </c>
    </row>
    <row r="2029" spans="1:8" x14ac:dyDescent="0.25">
      <c r="A2029">
        <v>209</v>
      </c>
      <c r="B2029" t="s">
        <v>335</v>
      </c>
      <c r="C2029">
        <v>1</v>
      </c>
      <c r="D2029">
        <v>0</v>
      </c>
      <c r="E2029">
        <v>0</v>
      </c>
      <c r="F2029">
        <v>111.73</v>
      </c>
      <c r="G2029">
        <v>47665.13</v>
      </c>
      <c r="H2029" s="14">
        <v>43767.833333333336</v>
      </c>
    </row>
    <row r="2030" spans="1:8" x14ac:dyDescent="0.25">
      <c r="A2030">
        <v>209</v>
      </c>
      <c r="B2030" t="s">
        <v>335</v>
      </c>
      <c r="C2030">
        <v>2</v>
      </c>
      <c r="D2030">
        <v>0</v>
      </c>
      <c r="E2030">
        <v>0</v>
      </c>
      <c r="F2030">
        <v>113.74</v>
      </c>
      <c r="G2030">
        <v>46895.41</v>
      </c>
      <c r="H2030" s="14">
        <v>43767.833333333336</v>
      </c>
    </row>
    <row r="2031" spans="1:8" x14ac:dyDescent="0.25">
      <c r="A2031">
        <v>209</v>
      </c>
      <c r="B2031" t="s">
        <v>335</v>
      </c>
      <c r="C2031">
        <v>3</v>
      </c>
      <c r="D2031">
        <v>0</v>
      </c>
      <c r="E2031">
        <v>0</v>
      </c>
      <c r="F2031">
        <v>114.9</v>
      </c>
      <c r="G2031">
        <v>48612.99</v>
      </c>
      <c r="H2031" s="14">
        <v>43767.833333333336</v>
      </c>
    </row>
    <row r="2032" spans="1:8" x14ac:dyDescent="0.25">
      <c r="A2032">
        <v>209</v>
      </c>
      <c r="B2032" t="s">
        <v>335</v>
      </c>
      <c r="C2032">
        <v>4</v>
      </c>
      <c r="D2032">
        <v>0</v>
      </c>
      <c r="E2032">
        <v>0</v>
      </c>
      <c r="F2032">
        <v>114.35</v>
      </c>
      <c r="G2032">
        <v>48269.89</v>
      </c>
      <c r="H2032" s="14">
        <v>43767.833333333336</v>
      </c>
    </row>
    <row r="2033" spans="1:8" x14ac:dyDescent="0.25">
      <c r="A2033">
        <v>209</v>
      </c>
      <c r="B2033" t="s">
        <v>335</v>
      </c>
      <c r="C2033">
        <v>5</v>
      </c>
      <c r="D2033">
        <v>0</v>
      </c>
      <c r="E2033">
        <v>0</v>
      </c>
      <c r="F2033">
        <v>120.86</v>
      </c>
      <c r="G2033">
        <v>51140.75</v>
      </c>
      <c r="H2033" s="14">
        <v>43767.833333333336</v>
      </c>
    </row>
    <row r="2034" spans="1:8" x14ac:dyDescent="0.25">
      <c r="A2034">
        <v>209</v>
      </c>
      <c r="B2034" t="s">
        <v>335</v>
      </c>
      <c r="C2034">
        <v>6</v>
      </c>
      <c r="D2034">
        <v>0</v>
      </c>
      <c r="E2034">
        <v>0</v>
      </c>
      <c r="F2034">
        <v>81.94</v>
      </c>
      <c r="G2034">
        <v>34403.93</v>
      </c>
      <c r="H2034" s="14">
        <v>43767.833333333336</v>
      </c>
    </row>
    <row r="2035" spans="1:8" x14ac:dyDescent="0.25">
      <c r="A2035">
        <v>209</v>
      </c>
      <c r="B2035" t="s">
        <v>335</v>
      </c>
      <c r="C2035">
        <v>7</v>
      </c>
      <c r="D2035">
        <v>0</v>
      </c>
      <c r="E2035">
        <v>0</v>
      </c>
      <c r="F2035">
        <v>76.83</v>
      </c>
      <c r="G2035">
        <v>32866.49</v>
      </c>
      <c r="H2035" s="14">
        <v>43767.833333333336</v>
      </c>
    </row>
    <row r="2036" spans="1:8" x14ac:dyDescent="0.25">
      <c r="A2036">
        <v>209</v>
      </c>
      <c r="B2036" t="s">
        <v>335</v>
      </c>
      <c r="C2036">
        <v>8</v>
      </c>
      <c r="D2036">
        <v>0</v>
      </c>
      <c r="E2036">
        <v>0</v>
      </c>
      <c r="F2036">
        <v>76.05</v>
      </c>
      <c r="G2036">
        <v>31766.959999999999</v>
      </c>
      <c r="H2036" s="14">
        <v>43767.833333333336</v>
      </c>
    </row>
    <row r="2037" spans="1:8" x14ac:dyDescent="0.25">
      <c r="A2037">
        <v>209</v>
      </c>
      <c r="B2037" t="s">
        <v>335</v>
      </c>
      <c r="C2037">
        <v>9</v>
      </c>
      <c r="D2037">
        <v>0</v>
      </c>
      <c r="E2037">
        <v>0</v>
      </c>
      <c r="F2037">
        <v>39.020000000000003</v>
      </c>
      <c r="G2037">
        <v>16364.99</v>
      </c>
      <c r="H2037" s="14">
        <v>43767.833333333336</v>
      </c>
    </row>
    <row r="2038" spans="1:8" x14ac:dyDescent="0.25">
      <c r="A2038">
        <v>210</v>
      </c>
      <c r="B2038" t="s">
        <v>336</v>
      </c>
      <c r="C2038">
        <v>1</v>
      </c>
      <c r="D2038">
        <v>0</v>
      </c>
      <c r="E2038">
        <v>0</v>
      </c>
      <c r="F2038">
        <v>117.59</v>
      </c>
      <c r="G2038">
        <v>49563.69</v>
      </c>
      <c r="H2038" s="14">
        <v>43767.833333333336</v>
      </c>
    </row>
    <row r="2039" spans="1:8" x14ac:dyDescent="0.25">
      <c r="A2039">
        <v>210</v>
      </c>
      <c r="B2039" t="s">
        <v>336</v>
      </c>
      <c r="C2039">
        <v>2</v>
      </c>
      <c r="D2039">
        <v>0</v>
      </c>
      <c r="E2039">
        <v>0</v>
      </c>
      <c r="F2039">
        <v>122.7</v>
      </c>
      <c r="G2039">
        <v>51856.14</v>
      </c>
      <c r="H2039" s="14">
        <v>43767.833333333336</v>
      </c>
    </row>
    <row r="2040" spans="1:8" x14ac:dyDescent="0.25">
      <c r="A2040">
        <v>210</v>
      </c>
      <c r="B2040" t="s">
        <v>336</v>
      </c>
      <c r="C2040">
        <v>3</v>
      </c>
      <c r="D2040">
        <v>0</v>
      </c>
      <c r="E2040">
        <v>0</v>
      </c>
      <c r="F2040">
        <v>122.88</v>
      </c>
      <c r="G2040">
        <v>51825.89</v>
      </c>
      <c r="H2040" s="14">
        <v>43767.833333333336</v>
      </c>
    </row>
    <row r="2041" spans="1:8" x14ac:dyDescent="0.25">
      <c r="A2041">
        <v>210</v>
      </c>
      <c r="B2041" t="s">
        <v>336</v>
      </c>
      <c r="C2041">
        <v>4</v>
      </c>
      <c r="D2041">
        <v>0</v>
      </c>
      <c r="E2041">
        <v>0</v>
      </c>
      <c r="F2041">
        <v>123.73</v>
      </c>
      <c r="G2041">
        <v>52212.43</v>
      </c>
      <c r="H2041" s="14">
        <v>43767.833333333336</v>
      </c>
    </row>
    <row r="2042" spans="1:8" x14ac:dyDescent="0.25">
      <c r="A2042">
        <v>210</v>
      </c>
      <c r="B2042" t="s">
        <v>336</v>
      </c>
      <c r="C2042">
        <v>5</v>
      </c>
      <c r="D2042">
        <v>0</v>
      </c>
      <c r="E2042">
        <v>0</v>
      </c>
      <c r="F2042">
        <v>122.94</v>
      </c>
      <c r="G2042">
        <v>51561.3</v>
      </c>
      <c r="H2042" s="14">
        <v>43767.833333333336</v>
      </c>
    </row>
    <row r="2043" spans="1:8" x14ac:dyDescent="0.25">
      <c r="A2043">
        <v>210</v>
      </c>
      <c r="B2043" t="s">
        <v>336</v>
      </c>
      <c r="C2043">
        <v>6</v>
      </c>
      <c r="D2043">
        <v>0</v>
      </c>
      <c r="E2043">
        <v>0</v>
      </c>
      <c r="F2043">
        <v>123.25</v>
      </c>
      <c r="G2043">
        <v>51547.11</v>
      </c>
      <c r="H2043" s="14">
        <v>43767.833333333336</v>
      </c>
    </row>
    <row r="2044" spans="1:8" x14ac:dyDescent="0.25">
      <c r="A2044">
        <v>210</v>
      </c>
      <c r="B2044" t="s">
        <v>336</v>
      </c>
      <c r="C2044">
        <v>7</v>
      </c>
      <c r="D2044">
        <v>0</v>
      </c>
      <c r="E2044">
        <v>0</v>
      </c>
      <c r="F2044">
        <v>124.72</v>
      </c>
      <c r="G2044">
        <v>52080.98</v>
      </c>
      <c r="H2044" s="14">
        <v>43767.833333333336</v>
      </c>
    </row>
    <row r="2045" spans="1:8" x14ac:dyDescent="0.25">
      <c r="A2045">
        <v>210</v>
      </c>
      <c r="B2045" t="s">
        <v>336</v>
      </c>
      <c r="C2045">
        <v>8</v>
      </c>
      <c r="D2045">
        <v>0</v>
      </c>
      <c r="E2045">
        <v>0</v>
      </c>
      <c r="F2045">
        <v>123.8</v>
      </c>
      <c r="G2045">
        <v>51567.7</v>
      </c>
      <c r="H2045" s="14">
        <v>43767.833333333336</v>
      </c>
    </row>
    <row r="2046" spans="1:8" x14ac:dyDescent="0.25">
      <c r="A2046">
        <v>211</v>
      </c>
      <c r="B2046" t="s">
        <v>337</v>
      </c>
      <c r="C2046">
        <v>1</v>
      </c>
      <c r="D2046">
        <v>0</v>
      </c>
      <c r="E2046">
        <v>0</v>
      </c>
      <c r="F2046">
        <v>123.94</v>
      </c>
      <c r="G2046">
        <v>25347.67</v>
      </c>
      <c r="H2046" s="14">
        <v>43767.833333333336</v>
      </c>
    </row>
    <row r="2047" spans="1:8" x14ac:dyDescent="0.25">
      <c r="A2047">
        <v>211</v>
      </c>
      <c r="B2047" t="s">
        <v>337</v>
      </c>
      <c r="C2047">
        <v>2</v>
      </c>
      <c r="D2047">
        <v>0</v>
      </c>
      <c r="E2047">
        <v>0</v>
      </c>
      <c r="F2047">
        <v>124.31</v>
      </c>
      <c r="G2047">
        <v>50777.01</v>
      </c>
      <c r="H2047" s="14">
        <v>43767.833333333336</v>
      </c>
    </row>
    <row r="2048" spans="1:8" x14ac:dyDescent="0.25">
      <c r="A2048">
        <v>211</v>
      </c>
      <c r="B2048" t="s">
        <v>337</v>
      </c>
      <c r="C2048">
        <v>3</v>
      </c>
      <c r="D2048">
        <v>0</v>
      </c>
      <c r="E2048">
        <v>0</v>
      </c>
      <c r="F2048">
        <v>81.92</v>
      </c>
      <c r="G2048">
        <v>33383.82</v>
      </c>
      <c r="H2048" s="14">
        <v>43767.833333333336</v>
      </c>
    </row>
    <row r="2049" spans="1:8" x14ac:dyDescent="0.25">
      <c r="A2049">
        <v>211</v>
      </c>
      <c r="B2049" t="s">
        <v>337</v>
      </c>
      <c r="C2049">
        <v>4</v>
      </c>
      <c r="D2049">
        <v>0</v>
      </c>
      <c r="E2049">
        <v>0</v>
      </c>
      <c r="F2049">
        <v>70.7</v>
      </c>
      <c r="G2049">
        <v>28777.31</v>
      </c>
      <c r="H2049" s="14">
        <v>43767.833333333336</v>
      </c>
    </row>
    <row r="2050" spans="1:8" x14ac:dyDescent="0.25">
      <c r="A2050">
        <v>212</v>
      </c>
      <c r="B2050" t="s">
        <v>338</v>
      </c>
      <c r="C2050">
        <v>1</v>
      </c>
      <c r="D2050">
        <v>0</v>
      </c>
      <c r="E2050">
        <v>0</v>
      </c>
      <c r="F2050">
        <v>87.29</v>
      </c>
      <c r="G2050">
        <v>22649.18</v>
      </c>
      <c r="H2050" s="14">
        <v>43767.833333333336</v>
      </c>
    </row>
    <row r="2051" spans="1:8" x14ac:dyDescent="0.25">
      <c r="A2051">
        <v>212</v>
      </c>
      <c r="B2051" t="s">
        <v>338</v>
      </c>
      <c r="C2051">
        <v>2</v>
      </c>
      <c r="D2051">
        <v>0</v>
      </c>
      <c r="E2051">
        <v>0</v>
      </c>
      <c r="F2051">
        <v>57.54</v>
      </c>
      <c r="G2051">
        <v>15152.39</v>
      </c>
      <c r="H2051" s="14">
        <v>43767.833333333336</v>
      </c>
    </row>
    <row r="2052" spans="1:8" x14ac:dyDescent="0.25">
      <c r="A2052">
        <v>212</v>
      </c>
      <c r="B2052" t="s">
        <v>338</v>
      </c>
      <c r="C2052">
        <v>3</v>
      </c>
      <c r="D2052">
        <v>0</v>
      </c>
      <c r="E2052">
        <v>0</v>
      </c>
      <c r="F2052">
        <v>99.43</v>
      </c>
      <c r="G2052">
        <v>25961.53</v>
      </c>
      <c r="H2052" s="14">
        <v>43767.833333333336</v>
      </c>
    </row>
    <row r="2053" spans="1:8" x14ac:dyDescent="0.25">
      <c r="A2053">
        <v>213</v>
      </c>
      <c r="B2053" t="s">
        <v>339</v>
      </c>
      <c r="C2053">
        <v>1</v>
      </c>
      <c r="D2053">
        <v>0</v>
      </c>
      <c r="E2053">
        <v>0</v>
      </c>
      <c r="F2053">
        <v>90.21</v>
      </c>
      <c r="G2053">
        <v>20846.900000000001</v>
      </c>
      <c r="H2053" s="14">
        <v>43767.833333333336</v>
      </c>
    </row>
    <row r="2054" spans="1:8" x14ac:dyDescent="0.25">
      <c r="A2054">
        <v>213</v>
      </c>
      <c r="B2054" t="s">
        <v>339</v>
      </c>
      <c r="C2054">
        <v>2</v>
      </c>
      <c r="D2054">
        <v>0</v>
      </c>
      <c r="E2054">
        <v>0</v>
      </c>
      <c r="F2054">
        <v>93.05</v>
      </c>
      <c r="G2054">
        <v>22530.28</v>
      </c>
      <c r="H2054" s="14">
        <v>43767.833333333336</v>
      </c>
    </row>
    <row r="2055" spans="1:8" x14ac:dyDescent="0.25">
      <c r="A2055">
        <v>213</v>
      </c>
      <c r="B2055" t="s">
        <v>339</v>
      </c>
      <c r="C2055">
        <v>3</v>
      </c>
      <c r="D2055">
        <v>0</v>
      </c>
      <c r="E2055">
        <v>0</v>
      </c>
      <c r="F2055">
        <v>71.790000000000006</v>
      </c>
      <c r="G2055">
        <v>17529.25</v>
      </c>
      <c r="H2055" s="14">
        <v>43767.833333333336</v>
      </c>
    </row>
    <row r="2056" spans="1:8" x14ac:dyDescent="0.25">
      <c r="A2056">
        <v>214</v>
      </c>
      <c r="B2056" t="s">
        <v>340</v>
      </c>
      <c r="C2056">
        <v>1</v>
      </c>
      <c r="D2056">
        <v>0</v>
      </c>
      <c r="E2056">
        <v>0</v>
      </c>
      <c r="F2056">
        <v>93.22</v>
      </c>
      <c r="G2056">
        <v>22926.92</v>
      </c>
      <c r="H2056" s="14">
        <v>43767.833333333336</v>
      </c>
    </row>
    <row r="2057" spans="1:8" x14ac:dyDescent="0.25">
      <c r="A2057">
        <v>214</v>
      </c>
      <c r="B2057" t="s">
        <v>340</v>
      </c>
      <c r="C2057">
        <v>2</v>
      </c>
      <c r="D2057">
        <v>0</v>
      </c>
      <c r="E2057">
        <v>0</v>
      </c>
      <c r="F2057">
        <v>89.22</v>
      </c>
      <c r="G2057">
        <v>21512.91</v>
      </c>
      <c r="H2057" s="14">
        <v>43767.833333333336</v>
      </c>
    </row>
    <row r="2058" spans="1:8" x14ac:dyDescent="0.25">
      <c r="A2058">
        <v>214</v>
      </c>
      <c r="B2058" t="s">
        <v>340</v>
      </c>
      <c r="C2058">
        <v>3</v>
      </c>
      <c r="D2058">
        <v>0</v>
      </c>
      <c r="E2058">
        <v>0</v>
      </c>
      <c r="F2058">
        <v>77</v>
      </c>
      <c r="G2058">
        <v>19245.37</v>
      </c>
      <c r="H2058" s="14">
        <v>43767.833333333336</v>
      </c>
    </row>
    <row r="2059" spans="1:8" x14ac:dyDescent="0.25">
      <c r="A2059">
        <v>215</v>
      </c>
      <c r="B2059" t="s">
        <v>341</v>
      </c>
      <c r="C2059">
        <v>1</v>
      </c>
      <c r="D2059">
        <v>0</v>
      </c>
      <c r="E2059">
        <v>0</v>
      </c>
      <c r="F2059">
        <v>97.31</v>
      </c>
      <c r="G2059">
        <v>25555.66</v>
      </c>
      <c r="H2059" s="14">
        <v>43767.833333333336</v>
      </c>
    </row>
    <row r="2060" spans="1:8" x14ac:dyDescent="0.25">
      <c r="A2060">
        <v>215</v>
      </c>
      <c r="B2060" t="s">
        <v>341</v>
      </c>
      <c r="C2060">
        <v>2</v>
      </c>
      <c r="D2060">
        <v>0</v>
      </c>
      <c r="E2060">
        <v>0</v>
      </c>
      <c r="F2060">
        <v>96.4</v>
      </c>
      <c r="G2060">
        <v>7509.33</v>
      </c>
      <c r="H2060" s="14">
        <v>43767.833333333336</v>
      </c>
    </row>
    <row r="2061" spans="1:8" x14ac:dyDescent="0.25">
      <c r="A2061">
        <v>215</v>
      </c>
      <c r="B2061" t="s">
        <v>341</v>
      </c>
      <c r="C2061">
        <v>3</v>
      </c>
      <c r="D2061">
        <v>0</v>
      </c>
      <c r="E2061">
        <v>0</v>
      </c>
      <c r="F2061">
        <v>68.790000000000006</v>
      </c>
      <c r="G2061">
        <v>15039.96</v>
      </c>
      <c r="H2061" s="14">
        <v>43767.833333333336</v>
      </c>
    </row>
    <row r="2062" spans="1:8" x14ac:dyDescent="0.25">
      <c r="A2062">
        <v>216</v>
      </c>
      <c r="B2062" t="s">
        <v>342</v>
      </c>
      <c r="C2062">
        <v>1</v>
      </c>
      <c r="D2062">
        <v>0</v>
      </c>
      <c r="E2062">
        <v>0</v>
      </c>
      <c r="F2062">
        <v>92.19</v>
      </c>
      <c r="G2062">
        <v>17790.2</v>
      </c>
      <c r="H2062" s="14">
        <v>43767.833333333336</v>
      </c>
    </row>
    <row r="2063" spans="1:8" x14ac:dyDescent="0.25">
      <c r="A2063">
        <v>216</v>
      </c>
      <c r="B2063" t="s">
        <v>342</v>
      </c>
      <c r="C2063">
        <v>2</v>
      </c>
      <c r="D2063">
        <v>0</v>
      </c>
      <c r="E2063">
        <v>0</v>
      </c>
      <c r="F2063">
        <v>82.84</v>
      </c>
      <c r="G2063">
        <v>21271.18</v>
      </c>
      <c r="H2063" s="14">
        <v>43767.833333333336</v>
      </c>
    </row>
    <row r="2064" spans="1:8" x14ac:dyDescent="0.25">
      <c r="A2064">
        <v>216</v>
      </c>
      <c r="B2064" t="s">
        <v>342</v>
      </c>
      <c r="C2064">
        <v>3</v>
      </c>
      <c r="D2064">
        <v>0</v>
      </c>
      <c r="E2064">
        <v>0</v>
      </c>
      <c r="F2064">
        <v>85.82</v>
      </c>
      <c r="G2064">
        <v>19788.57</v>
      </c>
      <c r="H2064" s="14">
        <v>43767.833333333336</v>
      </c>
    </row>
    <row r="2065" spans="1:8" x14ac:dyDescent="0.25">
      <c r="A2065">
        <v>217</v>
      </c>
      <c r="B2065" t="s">
        <v>343</v>
      </c>
      <c r="C2065">
        <v>1</v>
      </c>
      <c r="D2065">
        <v>0</v>
      </c>
      <c r="E2065">
        <v>0</v>
      </c>
      <c r="F2065">
        <v>97.94</v>
      </c>
      <c r="G2065">
        <v>21739.34</v>
      </c>
      <c r="H2065" s="14">
        <v>43767.833333333336</v>
      </c>
    </row>
    <row r="2066" spans="1:8" x14ac:dyDescent="0.25">
      <c r="A2066">
        <v>217</v>
      </c>
      <c r="B2066" t="s">
        <v>343</v>
      </c>
      <c r="C2066">
        <v>2</v>
      </c>
      <c r="D2066">
        <v>0</v>
      </c>
      <c r="E2066">
        <v>0</v>
      </c>
      <c r="F2066">
        <v>98.46</v>
      </c>
      <c r="G2066">
        <v>21492.77</v>
      </c>
      <c r="H2066" s="14">
        <v>43767.833333333336</v>
      </c>
    </row>
    <row r="2067" spans="1:8" x14ac:dyDescent="0.25">
      <c r="A2067">
        <v>217</v>
      </c>
      <c r="B2067" t="s">
        <v>343</v>
      </c>
      <c r="C2067">
        <v>3</v>
      </c>
      <c r="D2067">
        <v>0</v>
      </c>
      <c r="E2067">
        <v>0</v>
      </c>
      <c r="F2067">
        <v>96.62</v>
      </c>
      <c r="G2067">
        <v>21486.959999999999</v>
      </c>
      <c r="H2067" s="14">
        <v>43767.833333333336</v>
      </c>
    </row>
    <row r="2068" spans="1:8" x14ac:dyDescent="0.25">
      <c r="A2068">
        <v>218</v>
      </c>
      <c r="B2068" t="s">
        <v>344</v>
      </c>
      <c r="C2068">
        <v>1</v>
      </c>
      <c r="D2068">
        <v>0</v>
      </c>
      <c r="E2068">
        <v>0</v>
      </c>
      <c r="F2068">
        <v>131.72999999999999</v>
      </c>
      <c r="G2068">
        <v>28255.93</v>
      </c>
      <c r="H2068" s="14">
        <v>43767.833333333336</v>
      </c>
    </row>
    <row r="2069" spans="1:8" x14ac:dyDescent="0.25">
      <c r="A2069">
        <v>218</v>
      </c>
      <c r="B2069" t="s">
        <v>344</v>
      </c>
      <c r="C2069">
        <v>2</v>
      </c>
      <c r="D2069">
        <v>0</v>
      </c>
      <c r="E2069">
        <v>0</v>
      </c>
      <c r="F2069">
        <v>128.29</v>
      </c>
      <c r="G2069">
        <v>28068.38</v>
      </c>
      <c r="H2069" s="14">
        <v>43767.833333333336</v>
      </c>
    </row>
    <row r="2070" spans="1:8" x14ac:dyDescent="0.25">
      <c r="A2070">
        <v>218</v>
      </c>
      <c r="B2070" t="s">
        <v>344</v>
      </c>
      <c r="C2070">
        <v>3</v>
      </c>
      <c r="D2070">
        <v>0</v>
      </c>
      <c r="E2070">
        <v>0</v>
      </c>
      <c r="F2070">
        <v>103.47</v>
      </c>
      <c r="G2070">
        <v>22785.49</v>
      </c>
      <c r="H2070" s="14">
        <v>43767.833333333336</v>
      </c>
    </row>
    <row r="2071" spans="1:8" x14ac:dyDescent="0.25">
      <c r="A2071">
        <v>219</v>
      </c>
      <c r="B2071" t="s">
        <v>345</v>
      </c>
      <c r="C2071">
        <v>1</v>
      </c>
      <c r="D2071">
        <v>4.28</v>
      </c>
      <c r="E2071">
        <v>0</v>
      </c>
      <c r="F2071">
        <v>14.51</v>
      </c>
      <c r="G2071">
        <v>3215.83</v>
      </c>
      <c r="H2071" s="14">
        <v>43767.833333333336</v>
      </c>
    </row>
    <row r="2072" spans="1:8" x14ac:dyDescent="0.25">
      <c r="A2072">
        <v>219</v>
      </c>
      <c r="B2072" t="s">
        <v>345</v>
      </c>
      <c r="C2072">
        <v>2</v>
      </c>
      <c r="D2072">
        <v>4.47</v>
      </c>
      <c r="E2072">
        <v>0</v>
      </c>
      <c r="F2072">
        <v>14.51</v>
      </c>
      <c r="G2072">
        <v>3211.25</v>
      </c>
      <c r="H2072" s="14">
        <v>43767.833333333336</v>
      </c>
    </row>
    <row r="2073" spans="1:8" x14ac:dyDescent="0.25">
      <c r="A2073">
        <v>219</v>
      </c>
      <c r="B2073" t="s">
        <v>345</v>
      </c>
      <c r="C2073">
        <v>3</v>
      </c>
      <c r="D2073">
        <v>4.41</v>
      </c>
      <c r="E2073">
        <v>0</v>
      </c>
      <c r="F2073">
        <v>14.37</v>
      </c>
      <c r="G2073">
        <v>3185.4</v>
      </c>
      <c r="H2073" s="14">
        <v>43767.833333333336</v>
      </c>
    </row>
    <row r="2074" spans="1:8" x14ac:dyDescent="0.25">
      <c r="A2074">
        <v>219</v>
      </c>
      <c r="B2074" t="s">
        <v>345</v>
      </c>
      <c r="C2074">
        <v>4</v>
      </c>
      <c r="D2074">
        <v>4.3099999999999996</v>
      </c>
      <c r="E2074">
        <v>0</v>
      </c>
      <c r="F2074">
        <v>-11122742.73</v>
      </c>
      <c r="G2074">
        <v>3164.27</v>
      </c>
      <c r="H2074" s="14">
        <v>43767.833333333336</v>
      </c>
    </row>
    <row r="2075" spans="1:8" x14ac:dyDescent="0.25">
      <c r="A2075">
        <v>219</v>
      </c>
      <c r="B2075" t="s">
        <v>345</v>
      </c>
      <c r="C2075">
        <v>5</v>
      </c>
      <c r="D2075">
        <v>4.45</v>
      </c>
      <c r="E2075">
        <v>0</v>
      </c>
      <c r="F2075">
        <v>14.36</v>
      </c>
      <c r="G2075">
        <v>2932.05</v>
      </c>
      <c r="H2075" s="14">
        <v>43767.833333333336</v>
      </c>
    </row>
    <row r="2076" spans="1:8" x14ac:dyDescent="0.25">
      <c r="A2076">
        <v>219</v>
      </c>
      <c r="B2076" t="s">
        <v>345</v>
      </c>
      <c r="C2076">
        <v>6</v>
      </c>
      <c r="D2076">
        <v>4.41</v>
      </c>
      <c r="E2076">
        <v>0</v>
      </c>
      <c r="F2076">
        <v>14.31</v>
      </c>
      <c r="G2076">
        <v>2287.6</v>
      </c>
      <c r="H2076" s="14">
        <v>43767.833333333336</v>
      </c>
    </row>
    <row r="2077" spans="1:8" x14ac:dyDescent="0.25">
      <c r="A2077">
        <v>219</v>
      </c>
      <c r="B2077" t="s">
        <v>345</v>
      </c>
      <c r="C2077">
        <v>7</v>
      </c>
      <c r="D2077">
        <v>4.17</v>
      </c>
      <c r="E2077">
        <v>0</v>
      </c>
      <c r="F2077">
        <v>-11122754.060000001</v>
      </c>
      <c r="G2077">
        <v>3107.94</v>
      </c>
      <c r="H2077" s="14">
        <v>43767.833333333336</v>
      </c>
    </row>
    <row r="2078" spans="1:8" x14ac:dyDescent="0.25">
      <c r="A2078">
        <v>219</v>
      </c>
      <c r="B2078" t="s">
        <v>345</v>
      </c>
      <c r="C2078">
        <v>8</v>
      </c>
      <c r="D2078">
        <v>4.3600000000000003</v>
      </c>
      <c r="E2078">
        <v>0</v>
      </c>
      <c r="F2078">
        <v>14.56</v>
      </c>
      <c r="G2078">
        <v>3074.28</v>
      </c>
      <c r="H2078" s="14">
        <v>43767.833333333336</v>
      </c>
    </row>
    <row r="2079" spans="1:8" x14ac:dyDescent="0.25">
      <c r="A2079">
        <v>219</v>
      </c>
      <c r="B2079" t="s">
        <v>345</v>
      </c>
      <c r="C2079">
        <v>9</v>
      </c>
      <c r="D2079">
        <v>4.43</v>
      </c>
      <c r="E2079">
        <v>0</v>
      </c>
      <c r="F2079">
        <v>14.36</v>
      </c>
      <c r="G2079">
        <v>3143.74</v>
      </c>
      <c r="H2079" s="14">
        <v>43767.833333333336</v>
      </c>
    </row>
    <row r="2080" spans="1:8" x14ac:dyDescent="0.25">
      <c r="A2080">
        <v>219</v>
      </c>
      <c r="B2080" t="s">
        <v>345</v>
      </c>
      <c r="C2080">
        <v>10</v>
      </c>
      <c r="D2080">
        <v>4.38</v>
      </c>
      <c r="E2080">
        <v>0</v>
      </c>
      <c r="F2080">
        <v>14.11</v>
      </c>
      <c r="G2080">
        <v>3047.64</v>
      </c>
      <c r="H2080" s="14">
        <v>43767.833333333336</v>
      </c>
    </row>
    <row r="2081" spans="1:8" x14ac:dyDescent="0.25">
      <c r="A2081">
        <v>219</v>
      </c>
      <c r="B2081" t="s">
        <v>345</v>
      </c>
      <c r="C2081">
        <v>11</v>
      </c>
      <c r="D2081">
        <v>4.2300000000000004</v>
      </c>
      <c r="E2081">
        <v>0</v>
      </c>
      <c r="F2081">
        <v>14.09</v>
      </c>
      <c r="G2081">
        <v>1451.26</v>
      </c>
      <c r="H2081" s="14">
        <v>43767.833333333336</v>
      </c>
    </row>
    <row r="2082" spans="1:8" x14ac:dyDescent="0.25">
      <c r="A2082">
        <v>219</v>
      </c>
      <c r="B2082" t="s">
        <v>345</v>
      </c>
      <c r="C2082">
        <v>12</v>
      </c>
      <c r="D2082">
        <v>4.12</v>
      </c>
      <c r="E2082">
        <v>0</v>
      </c>
      <c r="F2082">
        <v>14.13</v>
      </c>
      <c r="G2082">
        <v>3151.82</v>
      </c>
      <c r="H2082" s="14">
        <v>43767.833333333336</v>
      </c>
    </row>
    <row r="2083" spans="1:8" x14ac:dyDescent="0.25">
      <c r="A2083">
        <v>219</v>
      </c>
      <c r="B2083" t="s">
        <v>345</v>
      </c>
      <c r="C2083">
        <v>13</v>
      </c>
      <c r="D2083">
        <v>4.4000000000000004</v>
      </c>
      <c r="E2083">
        <v>0</v>
      </c>
      <c r="F2083">
        <v>14.21</v>
      </c>
      <c r="G2083">
        <v>2922.36</v>
      </c>
      <c r="H2083" s="14">
        <v>43767.833333333336</v>
      </c>
    </row>
    <row r="2084" spans="1:8" x14ac:dyDescent="0.25">
      <c r="A2084">
        <v>219</v>
      </c>
      <c r="B2084" t="s">
        <v>345</v>
      </c>
      <c r="C2084">
        <v>14</v>
      </c>
      <c r="D2084">
        <v>4.3499999999999996</v>
      </c>
      <c r="E2084">
        <v>0</v>
      </c>
      <c r="F2084">
        <v>12.55</v>
      </c>
      <c r="G2084">
        <v>2313.11</v>
      </c>
      <c r="H2084" s="14">
        <v>43767.833333333336</v>
      </c>
    </row>
    <row r="2085" spans="1:8" x14ac:dyDescent="0.25">
      <c r="A2085">
        <v>219</v>
      </c>
      <c r="B2085" t="s">
        <v>345</v>
      </c>
      <c r="C2085">
        <v>15</v>
      </c>
      <c r="D2085">
        <v>4.38</v>
      </c>
      <c r="E2085">
        <v>0</v>
      </c>
      <c r="F2085">
        <v>14.02</v>
      </c>
      <c r="G2085">
        <v>1448.84</v>
      </c>
      <c r="H2085" s="14">
        <v>43767.833333333336</v>
      </c>
    </row>
    <row r="2086" spans="1:8" x14ac:dyDescent="0.25">
      <c r="A2086">
        <v>219</v>
      </c>
      <c r="B2086" t="s">
        <v>345</v>
      </c>
      <c r="C2086">
        <v>16</v>
      </c>
      <c r="D2086">
        <v>4.3</v>
      </c>
      <c r="E2086">
        <v>0</v>
      </c>
      <c r="F2086">
        <v>13.73</v>
      </c>
      <c r="G2086">
        <v>2956.65</v>
      </c>
      <c r="H2086" s="14">
        <v>43767.833333333336</v>
      </c>
    </row>
    <row r="2087" spans="1:8" x14ac:dyDescent="0.25">
      <c r="A2087">
        <v>219</v>
      </c>
      <c r="B2087" t="s">
        <v>345</v>
      </c>
      <c r="C2087">
        <v>17</v>
      </c>
      <c r="D2087">
        <v>2.71</v>
      </c>
      <c r="E2087">
        <v>0</v>
      </c>
      <c r="F2087">
        <v>8.16</v>
      </c>
      <c r="G2087">
        <v>1585.54</v>
      </c>
      <c r="H2087" s="14">
        <v>43767.833333333336</v>
      </c>
    </row>
    <row r="2088" spans="1:8" x14ac:dyDescent="0.25">
      <c r="A2088">
        <v>219</v>
      </c>
      <c r="B2088" t="s">
        <v>345</v>
      </c>
      <c r="C2088">
        <v>18</v>
      </c>
      <c r="D2088">
        <v>2.69</v>
      </c>
      <c r="E2088">
        <v>0</v>
      </c>
      <c r="F2088">
        <v>7.99</v>
      </c>
      <c r="G2088">
        <v>118.37</v>
      </c>
      <c r="H2088" s="14">
        <v>43767.833333333336</v>
      </c>
    </row>
    <row r="2089" spans="1:8" x14ac:dyDescent="0.25">
      <c r="A2089">
        <v>220</v>
      </c>
      <c r="B2089" t="s">
        <v>346</v>
      </c>
      <c r="C2089">
        <v>1</v>
      </c>
      <c r="D2089">
        <v>0</v>
      </c>
      <c r="E2089">
        <v>0</v>
      </c>
      <c r="F2089">
        <v>101.85</v>
      </c>
      <c r="G2089">
        <v>23523.31</v>
      </c>
      <c r="H2089" s="14">
        <v>43767.833333333336</v>
      </c>
    </row>
    <row r="2090" spans="1:8" x14ac:dyDescent="0.25">
      <c r="A2090">
        <v>220</v>
      </c>
      <c r="B2090" t="s">
        <v>346</v>
      </c>
      <c r="C2090">
        <v>2</v>
      </c>
      <c r="D2090">
        <v>0</v>
      </c>
      <c r="E2090">
        <v>0</v>
      </c>
      <c r="F2090">
        <v>95.5</v>
      </c>
      <c r="G2090">
        <v>21776.77</v>
      </c>
      <c r="H2090" s="14">
        <v>43767.833333333336</v>
      </c>
    </row>
    <row r="2091" spans="1:8" x14ac:dyDescent="0.25">
      <c r="A2091">
        <v>220</v>
      </c>
      <c r="B2091" t="s">
        <v>346</v>
      </c>
      <c r="C2091">
        <v>3</v>
      </c>
      <c r="D2091">
        <v>0</v>
      </c>
      <c r="E2091">
        <v>0</v>
      </c>
      <c r="F2091">
        <v>78.849999999999994</v>
      </c>
      <c r="G2091">
        <v>18050.689999999999</v>
      </c>
      <c r="H2091" s="14">
        <v>43767.833333333336</v>
      </c>
    </row>
    <row r="2092" spans="1:8" x14ac:dyDescent="0.25">
      <c r="A2092">
        <v>221</v>
      </c>
      <c r="B2092" t="s">
        <v>347</v>
      </c>
      <c r="C2092">
        <v>1</v>
      </c>
      <c r="D2092">
        <v>0</v>
      </c>
      <c r="E2092">
        <v>0</v>
      </c>
      <c r="F2092">
        <v>102.48</v>
      </c>
      <c r="G2092">
        <v>24209.03</v>
      </c>
      <c r="H2092" s="14">
        <v>43767.833333333336</v>
      </c>
    </row>
    <row r="2093" spans="1:8" x14ac:dyDescent="0.25">
      <c r="A2093">
        <v>221</v>
      </c>
      <c r="B2093" t="s">
        <v>347</v>
      </c>
      <c r="C2093">
        <v>2</v>
      </c>
      <c r="D2093">
        <v>0</v>
      </c>
      <c r="E2093">
        <v>0</v>
      </c>
      <c r="F2093">
        <v>96.04</v>
      </c>
      <c r="G2093">
        <v>22616.47</v>
      </c>
      <c r="H2093" s="14">
        <v>43767.833333333336</v>
      </c>
    </row>
    <row r="2094" spans="1:8" x14ac:dyDescent="0.25">
      <c r="A2094">
        <v>221</v>
      </c>
      <c r="B2094" t="s">
        <v>347</v>
      </c>
      <c r="C2094">
        <v>3</v>
      </c>
      <c r="D2094">
        <v>0</v>
      </c>
      <c r="E2094">
        <v>0</v>
      </c>
      <c r="F2094">
        <v>80.06</v>
      </c>
      <c r="G2094">
        <v>18752.189999999999</v>
      </c>
      <c r="H2094" s="14">
        <v>43767.833333333336</v>
      </c>
    </row>
    <row r="2095" spans="1:8" x14ac:dyDescent="0.25">
      <c r="A2095">
        <v>222</v>
      </c>
      <c r="B2095" t="s">
        <v>349</v>
      </c>
      <c r="C2095">
        <v>1</v>
      </c>
      <c r="D2095">
        <v>0</v>
      </c>
      <c r="E2095">
        <v>0</v>
      </c>
      <c r="F2095">
        <v>100.46</v>
      </c>
      <c r="G2095">
        <v>23982.720000000001</v>
      </c>
      <c r="H2095" s="14">
        <v>43767.833333333336</v>
      </c>
    </row>
    <row r="2096" spans="1:8" x14ac:dyDescent="0.25">
      <c r="A2096">
        <v>222</v>
      </c>
      <c r="B2096" t="s">
        <v>349</v>
      </c>
      <c r="C2096">
        <v>2</v>
      </c>
      <c r="D2096">
        <v>0</v>
      </c>
      <c r="E2096">
        <v>0</v>
      </c>
      <c r="F2096">
        <v>96.93</v>
      </c>
      <c r="G2096">
        <v>22589.14</v>
      </c>
      <c r="H2096" s="14">
        <v>43767.833333333336</v>
      </c>
    </row>
    <row r="2097" spans="1:8" x14ac:dyDescent="0.25">
      <c r="A2097">
        <v>222</v>
      </c>
      <c r="B2097" t="s">
        <v>349</v>
      </c>
      <c r="C2097">
        <v>3</v>
      </c>
      <c r="D2097">
        <v>0</v>
      </c>
      <c r="E2097">
        <v>0</v>
      </c>
      <c r="F2097">
        <v>81</v>
      </c>
      <c r="G2097">
        <v>18601.150000000001</v>
      </c>
      <c r="H2097" s="14">
        <v>43767.833333333336</v>
      </c>
    </row>
    <row r="2098" spans="1:8" x14ac:dyDescent="0.25">
      <c r="A2098">
        <v>223</v>
      </c>
      <c r="B2098" t="s">
        <v>350</v>
      </c>
      <c r="C2098">
        <v>1</v>
      </c>
      <c r="D2098">
        <v>4.76</v>
      </c>
      <c r="E2098">
        <v>0</v>
      </c>
      <c r="F2098">
        <v>14.6</v>
      </c>
      <c r="G2098">
        <v>3360.66</v>
      </c>
      <c r="H2098" s="14">
        <v>43767.833333333336</v>
      </c>
    </row>
    <row r="2099" spans="1:8" x14ac:dyDescent="0.25">
      <c r="A2099">
        <v>223</v>
      </c>
      <c r="B2099" t="s">
        <v>350</v>
      </c>
      <c r="C2099">
        <v>2</v>
      </c>
      <c r="D2099">
        <v>4.62</v>
      </c>
      <c r="E2099">
        <v>0</v>
      </c>
      <c r="F2099">
        <v>14.76</v>
      </c>
      <c r="G2099">
        <v>3362.6</v>
      </c>
      <c r="H2099" s="14">
        <v>43767.833333333336</v>
      </c>
    </row>
    <row r="2100" spans="1:8" x14ac:dyDescent="0.25">
      <c r="A2100">
        <v>223</v>
      </c>
      <c r="B2100" t="s">
        <v>350</v>
      </c>
      <c r="C2100">
        <v>3</v>
      </c>
      <c r="D2100">
        <v>4.6500000000000004</v>
      </c>
      <c r="E2100">
        <v>0</v>
      </c>
      <c r="F2100">
        <v>14.85</v>
      </c>
      <c r="G2100">
        <v>3347.81</v>
      </c>
      <c r="H2100" s="14">
        <v>43767.833333333336</v>
      </c>
    </row>
    <row r="2101" spans="1:8" x14ac:dyDescent="0.25">
      <c r="A2101">
        <v>223</v>
      </c>
      <c r="B2101" t="s">
        <v>350</v>
      </c>
      <c r="C2101">
        <v>4</v>
      </c>
      <c r="D2101">
        <v>4.74</v>
      </c>
      <c r="E2101">
        <v>0</v>
      </c>
      <c r="F2101">
        <v>14.42</v>
      </c>
      <c r="G2101">
        <v>3288.27</v>
      </c>
      <c r="H2101" s="14">
        <v>43767.833333333336</v>
      </c>
    </row>
    <row r="2102" spans="1:8" x14ac:dyDescent="0.25">
      <c r="A2102">
        <v>223</v>
      </c>
      <c r="B2102" t="s">
        <v>350</v>
      </c>
      <c r="C2102">
        <v>5</v>
      </c>
      <c r="D2102">
        <v>4.5999999999999996</v>
      </c>
      <c r="E2102">
        <v>0</v>
      </c>
      <c r="F2102">
        <v>14.54</v>
      </c>
      <c r="G2102">
        <v>3197.49</v>
      </c>
      <c r="H2102" s="14">
        <v>43767.833333333336</v>
      </c>
    </row>
    <row r="2103" spans="1:8" x14ac:dyDescent="0.25">
      <c r="A2103">
        <v>223</v>
      </c>
      <c r="B2103" t="s">
        <v>350</v>
      </c>
      <c r="C2103">
        <v>6</v>
      </c>
      <c r="D2103">
        <v>4.59</v>
      </c>
      <c r="E2103">
        <v>0</v>
      </c>
      <c r="F2103">
        <v>14.08</v>
      </c>
      <c r="G2103">
        <v>2879.54</v>
      </c>
      <c r="H2103" s="14">
        <v>43767.833333333336</v>
      </c>
    </row>
    <row r="2104" spans="1:8" x14ac:dyDescent="0.25">
      <c r="A2104">
        <v>223</v>
      </c>
      <c r="B2104" t="s">
        <v>350</v>
      </c>
      <c r="C2104">
        <v>7</v>
      </c>
      <c r="D2104">
        <v>4.57</v>
      </c>
      <c r="E2104">
        <v>0</v>
      </c>
      <c r="F2104">
        <v>14.72</v>
      </c>
      <c r="G2104">
        <v>3404.84</v>
      </c>
      <c r="H2104" s="14">
        <v>43767.833333333336</v>
      </c>
    </row>
    <row r="2105" spans="1:8" x14ac:dyDescent="0.25">
      <c r="A2105">
        <v>223</v>
      </c>
      <c r="B2105" t="s">
        <v>350</v>
      </c>
      <c r="C2105">
        <v>8</v>
      </c>
      <c r="D2105">
        <v>4.66</v>
      </c>
      <c r="E2105">
        <v>0</v>
      </c>
      <c r="F2105">
        <v>14.96</v>
      </c>
      <c r="G2105">
        <v>3220.27</v>
      </c>
      <c r="H2105" s="14">
        <v>43767.833333333336</v>
      </c>
    </row>
    <row r="2106" spans="1:8" x14ac:dyDescent="0.25">
      <c r="A2106">
        <v>223</v>
      </c>
      <c r="B2106" t="s">
        <v>350</v>
      </c>
      <c r="C2106">
        <v>9</v>
      </c>
      <c r="D2106">
        <v>4.8499999999999996</v>
      </c>
      <c r="E2106">
        <v>0</v>
      </c>
      <c r="F2106">
        <v>15.03</v>
      </c>
      <c r="G2106">
        <v>601.26</v>
      </c>
      <c r="H2106" s="14">
        <v>43767.833333333336</v>
      </c>
    </row>
    <row r="2107" spans="1:8" x14ac:dyDescent="0.25">
      <c r="A2107">
        <v>223</v>
      </c>
      <c r="B2107" t="s">
        <v>350</v>
      </c>
      <c r="C2107">
        <v>10</v>
      </c>
      <c r="D2107">
        <v>4.63</v>
      </c>
      <c r="E2107">
        <v>0</v>
      </c>
      <c r="F2107">
        <v>14.8</v>
      </c>
      <c r="G2107">
        <v>3420.73</v>
      </c>
      <c r="H2107" s="14">
        <v>43767.833333333336</v>
      </c>
    </row>
    <row r="2108" spans="1:8" x14ac:dyDescent="0.25">
      <c r="A2108">
        <v>223</v>
      </c>
      <c r="B2108" t="s">
        <v>350</v>
      </c>
      <c r="C2108">
        <v>11</v>
      </c>
      <c r="D2108">
        <v>4.68</v>
      </c>
      <c r="E2108">
        <v>0</v>
      </c>
      <c r="F2108">
        <v>14.92</v>
      </c>
      <c r="G2108">
        <v>3397.41</v>
      </c>
      <c r="H2108" s="14">
        <v>43767.833333333336</v>
      </c>
    </row>
    <row r="2109" spans="1:8" x14ac:dyDescent="0.25">
      <c r="A2109">
        <v>223</v>
      </c>
      <c r="B2109" t="s">
        <v>350</v>
      </c>
      <c r="C2109">
        <v>12</v>
      </c>
      <c r="D2109">
        <v>4.62</v>
      </c>
      <c r="E2109">
        <v>0</v>
      </c>
      <c r="F2109">
        <v>14.64</v>
      </c>
      <c r="G2109">
        <v>3306.96</v>
      </c>
      <c r="H2109" s="14">
        <v>43767.833333333336</v>
      </c>
    </row>
    <row r="2110" spans="1:8" x14ac:dyDescent="0.25">
      <c r="A2110">
        <v>223</v>
      </c>
      <c r="B2110" t="s">
        <v>350</v>
      </c>
      <c r="C2110">
        <v>13</v>
      </c>
      <c r="D2110">
        <v>4.13</v>
      </c>
      <c r="E2110">
        <v>0</v>
      </c>
      <c r="F2110">
        <v>13.29</v>
      </c>
      <c r="G2110">
        <v>3056.4</v>
      </c>
      <c r="H2110" s="14">
        <v>43767.833333333336</v>
      </c>
    </row>
    <row r="2111" spans="1:8" x14ac:dyDescent="0.25">
      <c r="A2111">
        <v>223</v>
      </c>
      <c r="B2111" t="s">
        <v>350</v>
      </c>
      <c r="C2111">
        <v>14</v>
      </c>
      <c r="D2111">
        <v>4.04</v>
      </c>
      <c r="E2111">
        <v>0</v>
      </c>
      <c r="F2111">
        <v>12.98</v>
      </c>
      <c r="G2111">
        <v>3024.07</v>
      </c>
      <c r="H2111" s="14">
        <v>43767.833333333336</v>
      </c>
    </row>
    <row r="2112" spans="1:8" x14ac:dyDescent="0.25">
      <c r="A2112">
        <v>223</v>
      </c>
      <c r="B2112" t="s">
        <v>350</v>
      </c>
      <c r="C2112">
        <v>15</v>
      </c>
      <c r="D2112">
        <v>3.82</v>
      </c>
      <c r="E2112">
        <v>0</v>
      </c>
      <c r="F2112">
        <v>12.99</v>
      </c>
      <c r="G2112">
        <v>3358.18</v>
      </c>
      <c r="H2112" s="14">
        <v>43767.833333333336</v>
      </c>
    </row>
    <row r="2113" spans="1:8" x14ac:dyDescent="0.25">
      <c r="A2113">
        <v>223</v>
      </c>
      <c r="B2113" t="s">
        <v>350</v>
      </c>
      <c r="C2113">
        <v>16</v>
      </c>
      <c r="D2113">
        <v>4.4800000000000004</v>
      </c>
      <c r="E2113">
        <v>0</v>
      </c>
      <c r="F2113">
        <v>12.82</v>
      </c>
      <c r="G2113">
        <v>3015.05</v>
      </c>
      <c r="H2113" s="14">
        <v>43767.833333333336</v>
      </c>
    </row>
    <row r="2114" spans="1:8" x14ac:dyDescent="0.25">
      <c r="A2114">
        <v>223</v>
      </c>
      <c r="B2114" t="s">
        <v>350</v>
      </c>
      <c r="C2114">
        <v>17</v>
      </c>
      <c r="D2114">
        <v>4.0999999999999996</v>
      </c>
      <c r="E2114">
        <v>0</v>
      </c>
      <c r="F2114">
        <v>13.12</v>
      </c>
      <c r="G2114">
        <v>3015.81</v>
      </c>
      <c r="H2114" s="14">
        <v>43767.833333333336</v>
      </c>
    </row>
    <row r="2115" spans="1:8" x14ac:dyDescent="0.25">
      <c r="A2115">
        <v>223</v>
      </c>
      <c r="B2115" t="s">
        <v>350</v>
      </c>
      <c r="C2115">
        <v>18</v>
      </c>
      <c r="D2115">
        <v>4.53</v>
      </c>
      <c r="E2115">
        <v>0</v>
      </c>
      <c r="F2115">
        <v>12.96</v>
      </c>
      <c r="G2115">
        <v>2980.76</v>
      </c>
      <c r="H2115" s="14">
        <v>43767.833333333336</v>
      </c>
    </row>
    <row r="2116" spans="1:8" x14ac:dyDescent="0.25">
      <c r="A2116">
        <v>223</v>
      </c>
      <c r="B2116" t="s">
        <v>350</v>
      </c>
      <c r="C2116">
        <v>19</v>
      </c>
      <c r="D2116">
        <v>4.09</v>
      </c>
      <c r="E2116">
        <v>0</v>
      </c>
      <c r="F2116">
        <v>12.47</v>
      </c>
      <c r="G2116">
        <v>2321.17</v>
      </c>
      <c r="H2116" s="14">
        <v>43767.833333333336</v>
      </c>
    </row>
    <row r="2117" spans="1:8" x14ac:dyDescent="0.25">
      <c r="A2117">
        <v>224</v>
      </c>
      <c r="B2117" t="s">
        <v>351</v>
      </c>
      <c r="C2117">
        <v>1</v>
      </c>
      <c r="D2117">
        <v>0</v>
      </c>
      <c r="E2117">
        <v>0</v>
      </c>
      <c r="F2117">
        <v>110.07</v>
      </c>
      <c r="G2117">
        <v>23233.02</v>
      </c>
      <c r="H2117" s="14">
        <v>43767.833333333336</v>
      </c>
    </row>
    <row r="2118" spans="1:8" x14ac:dyDescent="0.25">
      <c r="A2118">
        <v>224</v>
      </c>
      <c r="B2118" t="s">
        <v>351</v>
      </c>
      <c r="C2118">
        <v>2</v>
      </c>
      <c r="D2118">
        <v>0</v>
      </c>
      <c r="E2118">
        <v>0</v>
      </c>
      <c r="F2118">
        <v>90.82</v>
      </c>
      <c r="G2118">
        <v>19326.98</v>
      </c>
      <c r="H2118" s="14">
        <v>43767.833333333336</v>
      </c>
    </row>
    <row r="2119" spans="1:8" x14ac:dyDescent="0.25">
      <c r="A2119">
        <v>224</v>
      </c>
      <c r="B2119" t="s">
        <v>351</v>
      </c>
      <c r="C2119">
        <v>3</v>
      </c>
      <c r="D2119">
        <v>0</v>
      </c>
      <c r="E2119">
        <v>0</v>
      </c>
      <c r="F2119">
        <v>91.12</v>
      </c>
      <c r="G2119">
        <v>19395.09</v>
      </c>
      <c r="H2119" s="14">
        <v>43767.833333333336</v>
      </c>
    </row>
    <row r="2120" spans="1:8" x14ac:dyDescent="0.25">
      <c r="A2120">
        <v>225</v>
      </c>
      <c r="B2120" t="s">
        <v>352</v>
      </c>
      <c r="C2120">
        <v>1</v>
      </c>
      <c r="D2120">
        <v>0</v>
      </c>
      <c r="E2120">
        <v>0</v>
      </c>
      <c r="F2120">
        <v>109</v>
      </c>
      <c r="G2120">
        <v>23167.9</v>
      </c>
      <c r="H2120" s="14">
        <v>43767.833333333336</v>
      </c>
    </row>
    <row r="2121" spans="1:8" x14ac:dyDescent="0.25">
      <c r="A2121">
        <v>225</v>
      </c>
      <c r="B2121" t="s">
        <v>352</v>
      </c>
      <c r="C2121">
        <v>2</v>
      </c>
      <c r="D2121">
        <v>0</v>
      </c>
      <c r="E2121">
        <v>0</v>
      </c>
      <c r="F2121">
        <v>92.08</v>
      </c>
      <c r="G2121">
        <v>19117.61</v>
      </c>
      <c r="H2121" s="14">
        <v>43767.833333333336</v>
      </c>
    </row>
    <row r="2122" spans="1:8" x14ac:dyDescent="0.25">
      <c r="A2122">
        <v>225</v>
      </c>
      <c r="B2122" t="s">
        <v>352</v>
      </c>
      <c r="C2122">
        <v>3</v>
      </c>
      <c r="D2122">
        <v>0</v>
      </c>
      <c r="E2122">
        <v>0</v>
      </c>
      <c r="F2122">
        <v>73.260000000000005</v>
      </c>
      <c r="G2122">
        <v>15466.47</v>
      </c>
      <c r="H2122" s="14">
        <v>43767.833333333336</v>
      </c>
    </row>
    <row r="2123" spans="1:8" x14ac:dyDescent="0.25">
      <c r="A2123">
        <v>226</v>
      </c>
      <c r="B2123" t="s">
        <v>353</v>
      </c>
      <c r="C2123">
        <v>1</v>
      </c>
      <c r="D2123">
        <v>0</v>
      </c>
      <c r="E2123">
        <v>0</v>
      </c>
      <c r="F2123">
        <v>73.150000000000006</v>
      </c>
      <c r="G2123">
        <v>16882.41</v>
      </c>
      <c r="H2123" s="14">
        <v>43767.833333333336</v>
      </c>
    </row>
    <row r="2124" spans="1:8" x14ac:dyDescent="0.25">
      <c r="A2124">
        <v>226</v>
      </c>
      <c r="B2124" t="s">
        <v>353</v>
      </c>
      <c r="C2124">
        <v>2</v>
      </c>
      <c r="D2124">
        <v>0</v>
      </c>
      <c r="E2124">
        <v>0</v>
      </c>
      <c r="F2124">
        <v>91.98</v>
      </c>
      <c r="G2124">
        <v>21141.72</v>
      </c>
      <c r="H2124" s="14">
        <v>43767.833333333336</v>
      </c>
    </row>
    <row r="2125" spans="1:8" x14ac:dyDescent="0.25">
      <c r="A2125">
        <v>226</v>
      </c>
      <c r="B2125" t="s">
        <v>353</v>
      </c>
      <c r="C2125">
        <v>3</v>
      </c>
      <c r="D2125">
        <v>0</v>
      </c>
      <c r="E2125">
        <v>0</v>
      </c>
      <c r="F2125">
        <v>65.08</v>
      </c>
      <c r="G2125">
        <v>14907.23</v>
      </c>
      <c r="H2125" s="14">
        <v>43767.833333333336</v>
      </c>
    </row>
    <row r="2126" spans="1:8" x14ac:dyDescent="0.25">
      <c r="A2126">
        <v>227</v>
      </c>
      <c r="B2126" t="s">
        <v>354</v>
      </c>
      <c r="C2126">
        <v>1</v>
      </c>
      <c r="D2126">
        <v>0</v>
      </c>
      <c r="E2126">
        <v>0</v>
      </c>
      <c r="F2126">
        <v>75.53</v>
      </c>
      <c r="G2126">
        <v>11721.05</v>
      </c>
      <c r="H2126" s="14">
        <v>43767.833333333336</v>
      </c>
    </row>
    <row r="2127" spans="1:8" x14ac:dyDescent="0.25">
      <c r="A2127">
        <v>227</v>
      </c>
      <c r="B2127" t="s">
        <v>354</v>
      </c>
      <c r="C2127">
        <v>2</v>
      </c>
      <c r="D2127">
        <v>0</v>
      </c>
      <c r="E2127">
        <v>0</v>
      </c>
      <c r="F2127">
        <v>84.41</v>
      </c>
      <c r="G2127">
        <v>14635.84</v>
      </c>
      <c r="H2127" s="14">
        <v>43767.833333333336</v>
      </c>
    </row>
    <row r="2128" spans="1:8" x14ac:dyDescent="0.25">
      <c r="A2128">
        <v>227</v>
      </c>
      <c r="B2128" t="s">
        <v>354</v>
      </c>
      <c r="C2128">
        <v>3</v>
      </c>
      <c r="D2128">
        <v>0</v>
      </c>
      <c r="E2128">
        <v>0</v>
      </c>
      <c r="F2128">
        <v>74.12</v>
      </c>
      <c r="G2128">
        <v>11401.44</v>
      </c>
      <c r="H2128" s="14">
        <v>43767.833333333336</v>
      </c>
    </row>
    <row r="2129" spans="1:8" x14ac:dyDescent="0.25">
      <c r="A2129">
        <v>228</v>
      </c>
      <c r="B2129" t="s">
        <v>355</v>
      </c>
      <c r="C2129">
        <v>1</v>
      </c>
      <c r="D2129">
        <v>0</v>
      </c>
      <c r="E2129">
        <v>0</v>
      </c>
      <c r="F2129">
        <v>109.51</v>
      </c>
      <c r="G2129">
        <v>23116.05</v>
      </c>
      <c r="H2129" s="14">
        <v>43767.833333333336</v>
      </c>
    </row>
    <row r="2130" spans="1:8" x14ac:dyDescent="0.25">
      <c r="A2130">
        <v>228</v>
      </c>
      <c r="B2130" t="s">
        <v>355</v>
      </c>
      <c r="C2130">
        <v>2</v>
      </c>
      <c r="D2130">
        <v>0</v>
      </c>
      <c r="E2130">
        <v>0</v>
      </c>
      <c r="F2130">
        <v>92.78</v>
      </c>
      <c r="G2130">
        <v>16741.919999999998</v>
      </c>
      <c r="H2130" s="14">
        <v>43767.833333333336</v>
      </c>
    </row>
    <row r="2131" spans="1:8" x14ac:dyDescent="0.25">
      <c r="A2131">
        <v>228</v>
      </c>
      <c r="B2131" t="s">
        <v>355</v>
      </c>
      <c r="C2131">
        <v>3</v>
      </c>
      <c r="D2131">
        <v>0</v>
      </c>
      <c r="E2131">
        <v>0</v>
      </c>
      <c r="F2131">
        <v>73.930000000000007</v>
      </c>
      <c r="G2131">
        <v>15584.49</v>
      </c>
      <c r="H2131" s="14">
        <v>43767.833333333336</v>
      </c>
    </row>
    <row r="2132" spans="1:8" x14ac:dyDescent="0.25">
      <c r="A2132">
        <v>229</v>
      </c>
      <c r="B2132" t="s">
        <v>356</v>
      </c>
      <c r="C2132">
        <v>1</v>
      </c>
      <c r="D2132">
        <v>0</v>
      </c>
      <c r="E2132">
        <v>0</v>
      </c>
      <c r="F2132">
        <v>92.12</v>
      </c>
      <c r="G2132">
        <v>19388.04</v>
      </c>
      <c r="H2132" s="14">
        <v>43767.833333333336</v>
      </c>
    </row>
    <row r="2133" spans="1:8" x14ac:dyDescent="0.25">
      <c r="A2133">
        <v>229</v>
      </c>
      <c r="B2133" t="s">
        <v>356</v>
      </c>
      <c r="C2133">
        <v>2</v>
      </c>
      <c r="D2133">
        <v>0</v>
      </c>
      <c r="E2133">
        <v>0</v>
      </c>
      <c r="F2133">
        <v>92.1</v>
      </c>
      <c r="G2133">
        <v>16702.91</v>
      </c>
      <c r="H2133" s="14">
        <v>43767.833333333336</v>
      </c>
    </row>
    <row r="2134" spans="1:8" x14ac:dyDescent="0.25">
      <c r="A2134">
        <v>229</v>
      </c>
      <c r="B2134" t="s">
        <v>356</v>
      </c>
      <c r="C2134">
        <v>3</v>
      </c>
      <c r="D2134">
        <v>0</v>
      </c>
      <c r="E2134">
        <v>0</v>
      </c>
      <c r="F2134">
        <v>110.03</v>
      </c>
      <c r="G2134">
        <v>23173.79</v>
      </c>
      <c r="H2134" s="14">
        <v>43767.833333333336</v>
      </c>
    </row>
    <row r="2135" spans="1:8" x14ac:dyDescent="0.25">
      <c r="A2135">
        <v>230</v>
      </c>
      <c r="B2135" t="s">
        <v>357</v>
      </c>
      <c r="C2135">
        <v>1</v>
      </c>
      <c r="D2135">
        <v>0</v>
      </c>
      <c r="E2135">
        <v>0</v>
      </c>
      <c r="F2135">
        <v>99.16</v>
      </c>
      <c r="G2135">
        <v>21882.01</v>
      </c>
      <c r="H2135" s="14">
        <v>43767.833333333336</v>
      </c>
    </row>
    <row r="2136" spans="1:8" x14ac:dyDescent="0.25">
      <c r="A2136">
        <v>230</v>
      </c>
      <c r="B2136" t="s">
        <v>357</v>
      </c>
      <c r="C2136">
        <v>2</v>
      </c>
      <c r="D2136">
        <v>0</v>
      </c>
      <c r="E2136">
        <v>0</v>
      </c>
      <c r="F2136">
        <v>99.76</v>
      </c>
      <c r="G2136">
        <v>22300.28</v>
      </c>
      <c r="H2136" s="14">
        <v>43767.833333333336</v>
      </c>
    </row>
    <row r="2137" spans="1:8" x14ac:dyDescent="0.25">
      <c r="A2137">
        <v>230</v>
      </c>
      <c r="B2137" t="s">
        <v>357</v>
      </c>
      <c r="C2137">
        <v>3</v>
      </c>
      <c r="D2137">
        <v>0</v>
      </c>
      <c r="E2137">
        <v>0</v>
      </c>
      <c r="F2137">
        <v>67.67</v>
      </c>
      <c r="G2137">
        <v>15361.09</v>
      </c>
      <c r="H2137" s="14">
        <v>43767.833333333336</v>
      </c>
    </row>
    <row r="2138" spans="1:8" x14ac:dyDescent="0.25">
      <c r="A2138">
        <v>231</v>
      </c>
      <c r="B2138" t="s">
        <v>358</v>
      </c>
      <c r="C2138">
        <v>1</v>
      </c>
      <c r="D2138">
        <v>4.51</v>
      </c>
      <c r="E2138">
        <v>0</v>
      </c>
      <c r="F2138">
        <v>16.07</v>
      </c>
      <c r="G2138">
        <v>3225.55</v>
      </c>
      <c r="H2138" s="14">
        <v>43767.833333333336</v>
      </c>
    </row>
    <row r="2139" spans="1:8" x14ac:dyDescent="0.25">
      <c r="A2139">
        <v>231</v>
      </c>
      <c r="B2139" t="s">
        <v>358</v>
      </c>
      <c r="C2139">
        <v>2</v>
      </c>
      <c r="D2139">
        <v>4.46</v>
      </c>
      <c r="E2139">
        <v>0</v>
      </c>
      <c r="F2139">
        <v>15.97</v>
      </c>
      <c r="G2139">
        <v>3203.34</v>
      </c>
      <c r="H2139" s="14">
        <v>43767.833333333336</v>
      </c>
    </row>
    <row r="2140" spans="1:8" x14ac:dyDescent="0.25">
      <c r="A2140">
        <v>231</v>
      </c>
      <c r="B2140" t="s">
        <v>358</v>
      </c>
      <c r="C2140">
        <v>3</v>
      </c>
      <c r="D2140">
        <v>4.34</v>
      </c>
      <c r="E2140">
        <v>0</v>
      </c>
      <c r="F2140">
        <v>15.98</v>
      </c>
      <c r="G2140">
        <v>3206.22</v>
      </c>
      <c r="H2140" s="14">
        <v>43767.833333333336</v>
      </c>
    </row>
    <row r="2141" spans="1:8" x14ac:dyDescent="0.25">
      <c r="A2141">
        <v>231</v>
      </c>
      <c r="B2141" t="s">
        <v>358</v>
      </c>
      <c r="C2141">
        <v>4</v>
      </c>
      <c r="D2141">
        <v>4.5999999999999996</v>
      </c>
      <c r="E2141">
        <v>0</v>
      </c>
      <c r="F2141">
        <v>15.91</v>
      </c>
      <c r="G2141">
        <v>3171.91</v>
      </c>
      <c r="H2141" s="14">
        <v>43767.833333333336</v>
      </c>
    </row>
    <row r="2142" spans="1:8" x14ac:dyDescent="0.25">
      <c r="A2142">
        <v>231</v>
      </c>
      <c r="B2142" t="s">
        <v>358</v>
      </c>
      <c r="C2142">
        <v>5</v>
      </c>
      <c r="D2142">
        <v>4.2</v>
      </c>
      <c r="E2142">
        <v>0</v>
      </c>
      <c r="F2142">
        <v>15.95</v>
      </c>
      <c r="G2142">
        <v>3168.77</v>
      </c>
      <c r="H2142" s="14">
        <v>43767.833333333336</v>
      </c>
    </row>
    <row r="2143" spans="1:8" x14ac:dyDescent="0.25">
      <c r="A2143">
        <v>231</v>
      </c>
      <c r="B2143" t="s">
        <v>358</v>
      </c>
      <c r="C2143">
        <v>6</v>
      </c>
      <c r="D2143">
        <v>4.54</v>
      </c>
      <c r="E2143">
        <v>0</v>
      </c>
      <c r="F2143">
        <v>15.97</v>
      </c>
      <c r="G2143">
        <v>3155.7</v>
      </c>
      <c r="H2143" s="14">
        <v>43767.833333333336</v>
      </c>
    </row>
    <row r="2144" spans="1:8" x14ac:dyDescent="0.25">
      <c r="A2144">
        <v>231</v>
      </c>
      <c r="B2144" t="s">
        <v>358</v>
      </c>
      <c r="C2144">
        <v>7</v>
      </c>
      <c r="D2144">
        <v>4.32</v>
      </c>
      <c r="E2144">
        <v>0</v>
      </c>
      <c r="F2144">
        <v>15.67</v>
      </c>
      <c r="G2144">
        <v>3096.42</v>
      </c>
      <c r="H2144" s="14">
        <v>43767.833333333336</v>
      </c>
    </row>
    <row r="2145" spans="1:8" x14ac:dyDescent="0.25">
      <c r="A2145">
        <v>231</v>
      </c>
      <c r="B2145" t="s">
        <v>358</v>
      </c>
      <c r="C2145">
        <v>8</v>
      </c>
      <c r="D2145">
        <v>4.26</v>
      </c>
      <c r="E2145">
        <v>0</v>
      </c>
      <c r="F2145">
        <v>15.85</v>
      </c>
      <c r="G2145">
        <v>3156.49</v>
      </c>
      <c r="H2145" s="14">
        <v>43767.833333333336</v>
      </c>
    </row>
    <row r="2146" spans="1:8" x14ac:dyDescent="0.25">
      <c r="A2146">
        <v>231</v>
      </c>
      <c r="B2146" t="s">
        <v>358</v>
      </c>
      <c r="C2146">
        <v>9</v>
      </c>
      <c r="D2146">
        <v>4.5199999999999996</v>
      </c>
      <c r="E2146">
        <v>0</v>
      </c>
      <c r="F2146">
        <v>15.91</v>
      </c>
      <c r="G2146">
        <v>3212.93</v>
      </c>
      <c r="H2146" s="14">
        <v>43767.833333333336</v>
      </c>
    </row>
    <row r="2147" spans="1:8" x14ac:dyDescent="0.25">
      <c r="A2147">
        <v>231</v>
      </c>
      <c r="B2147" t="s">
        <v>358</v>
      </c>
      <c r="C2147">
        <v>10</v>
      </c>
      <c r="D2147">
        <v>4.51</v>
      </c>
      <c r="E2147">
        <v>0</v>
      </c>
      <c r="F2147">
        <v>16.07</v>
      </c>
      <c r="G2147">
        <v>3243.17</v>
      </c>
      <c r="H2147" s="14">
        <v>43767.833333333336</v>
      </c>
    </row>
    <row r="2148" spans="1:8" x14ac:dyDescent="0.25">
      <c r="A2148">
        <v>231</v>
      </c>
      <c r="B2148" t="s">
        <v>358</v>
      </c>
      <c r="C2148">
        <v>11</v>
      </c>
      <c r="D2148">
        <v>4.16</v>
      </c>
      <c r="E2148">
        <v>0</v>
      </c>
      <c r="F2148">
        <v>15.9</v>
      </c>
      <c r="G2148">
        <v>3243.46</v>
      </c>
      <c r="H2148" s="14">
        <v>43767.833333333336</v>
      </c>
    </row>
    <row r="2149" spans="1:8" x14ac:dyDescent="0.25">
      <c r="A2149">
        <v>231</v>
      </c>
      <c r="B2149" t="s">
        <v>358</v>
      </c>
      <c r="C2149">
        <v>12</v>
      </c>
      <c r="D2149">
        <v>4.3499999999999996</v>
      </c>
      <c r="E2149">
        <v>0</v>
      </c>
      <c r="F2149">
        <v>15.76</v>
      </c>
      <c r="G2149">
        <v>3225.96</v>
      </c>
      <c r="H2149" s="14">
        <v>43767.833333333336</v>
      </c>
    </row>
    <row r="2150" spans="1:8" x14ac:dyDescent="0.25">
      <c r="A2150">
        <v>231</v>
      </c>
      <c r="B2150" t="s">
        <v>358</v>
      </c>
      <c r="C2150">
        <v>13</v>
      </c>
      <c r="D2150">
        <v>4.05</v>
      </c>
      <c r="E2150">
        <v>0</v>
      </c>
      <c r="F2150">
        <v>14.06</v>
      </c>
      <c r="G2150">
        <v>2790.43</v>
      </c>
      <c r="H2150" s="14">
        <v>43767.833333333336</v>
      </c>
    </row>
    <row r="2151" spans="1:8" x14ac:dyDescent="0.25">
      <c r="A2151">
        <v>231</v>
      </c>
      <c r="B2151" t="s">
        <v>358</v>
      </c>
      <c r="C2151">
        <v>14</v>
      </c>
      <c r="D2151">
        <v>3.82</v>
      </c>
      <c r="E2151">
        <v>0</v>
      </c>
      <c r="F2151">
        <v>13.97</v>
      </c>
      <c r="G2151">
        <v>2819.66</v>
      </c>
      <c r="H2151" s="14">
        <v>43767.833333333336</v>
      </c>
    </row>
    <row r="2152" spans="1:8" x14ac:dyDescent="0.25">
      <c r="A2152">
        <v>231</v>
      </c>
      <c r="B2152" t="s">
        <v>358</v>
      </c>
      <c r="C2152">
        <v>15</v>
      </c>
      <c r="D2152">
        <v>4</v>
      </c>
      <c r="E2152">
        <v>0</v>
      </c>
      <c r="F2152">
        <v>14.28</v>
      </c>
      <c r="G2152">
        <v>2888.24</v>
      </c>
      <c r="H2152" s="14">
        <v>43767.833333333336</v>
      </c>
    </row>
    <row r="2153" spans="1:8" x14ac:dyDescent="0.25">
      <c r="A2153">
        <v>231</v>
      </c>
      <c r="B2153" t="s">
        <v>358</v>
      </c>
      <c r="C2153">
        <v>16</v>
      </c>
      <c r="D2153">
        <v>3.72</v>
      </c>
      <c r="E2153">
        <v>0</v>
      </c>
      <c r="F2153">
        <v>14.23</v>
      </c>
      <c r="G2153">
        <v>2893.7</v>
      </c>
      <c r="H2153" s="14">
        <v>43767.833333333336</v>
      </c>
    </row>
    <row r="2154" spans="1:8" x14ac:dyDescent="0.25">
      <c r="A2154">
        <v>232</v>
      </c>
      <c r="B2154" t="s">
        <v>359</v>
      </c>
      <c r="C2154">
        <v>1</v>
      </c>
      <c r="D2154">
        <v>0</v>
      </c>
      <c r="E2154">
        <v>0</v>
      </c>
      <c r="F2154">
        <v>91.02</v>
      </c>
      <c r="G2154">
        <v>11330.07</v>
      </c>
      <c r="H2154" s="14">
        <v>43767.833333333336</v>
      </c>
    </row>
    <row r="2155" spans="1:8" x14ac:dyDescent="0.25">
      <c r="A2155">
        <v>232</v>
      </c>
      <c r="B2155" t="s">
        <v>359</v>
      </c>
      <c r="C2155">
        <v>2</v>
      </c>
      <c r="D2155">
        <v>0</v>
      </c>
      <c r="E2155">
        <v>0</v>
      </c>
      <c r="F2155">
        <v>101.82</v>
      </c>
      <c r="G2155">
        <v>13229.54</v>
      </c>
      <c r="H2155" s="14">
        <v>43767.833333333336</v>
      </c>
    </row>
    <row r="2156" spans="1:8" x14ac:dyDescent="0.25">
      <c r="A2156">
        <v>232</v>
      </c>
      <c r="B2156" t="s">
        <v>359</v>
      </c>
      <c r="C2156">
        <v>3</v>
      </c>
      <c r="D2156">
        <v>0</v>
      </c>
      <c r="E2156">
        <v>0</v>
      </c>
      <c r="F2156">
        <v>74.59</v>
      </c>
      <c r="G2156">
        <v>8276.02</v>
      </c>
      <c r="H2156" s="14">
        <v>43767.833333333336</v>
      </c>
    </row>
    <row r="2157" spans="1:8" x14ac:dyDescent="0.25">
      <c r="A2157">
        <v>233</v>
      </c>
      <c r="B2157" t="s">
        <v>360</v>
      </c>
      <c r="C2157">
        <v>1</v>
      </c>
      <c r="D2157">
        <v>0</v>
      </c>
      <c r="E2157">
        <v>0</v>
      </c>
      <c r="F2157">
        <v>73.5</v>
      </c>
      <c r="G2157">
        <v>15377.62</v>
      </c>
      <c r="H2157" s="14">
        <v>43767.833333333336</v>
      </c>
    </row>
    <row r="2158" spans="1:8" x14ac:dyDescent="0.25">
      <c r="A2158">
        <v>233</v>
      </c>
      <c r="B2158" t="s">
        <v>360</v>
      </c>
      <c r="C2158">
        <v>2</v>
      </c>
      <c r="D2158">
        <v>0</v>
      </c>
      <c r="E2158">
        <v>0</v>
      </c>
      <c r="F2158">
        <v>96.91</v>
      </c>
      <c r="G2158">
        <v>15707.81</v>
      </c>
      <c r="H2158" s="14">
        <v>43767.833333333336</v>
      </c>
    </row>
    <row r="2159" spans="1:8" x14ac:dyDescent="0.25">
      <c r="A2159">
        <v>233</v>
      </c>
      <c r="B2159" t="s">
        <v>360</v>
      </c>
      <c r="C2159">
        <v>3</v>
      </c>
      <c r="D2159">
        <v>0</v>
      </c>
      <c r="E2159">
        <v>0</v>
      </c>
      <c r="F2159">
        <v>65.010000000000005</v>
      </c>
      <c r="G2159">
        <v>13593.29</v>
      </c>
      <c r="H2159" s="14">
        <v>43767.833333333336</v>
      </c>
    </row>
    <row r="2160" spans="1:8" x14ac:dyDescent="0.25">
      <c r="A2160">
        <v>233</v>
      </c>
      <c r="B2160" t="s">
        <v>360</v>
      </c>
      <c r="C2160">
        <v>4</v>
      </c>
      <c r="D2160">
        <v>0</v>
      </c>
      <c r="E2160">
        <v>0</v>
      </c>
      <c r="F2160">
        <v>75.42</v>
      </c>
      <c r="G2160">
        <v>13385.61</v>
      </c>
      <c r="H2160" s="14">
        <v>43767.833333333336</v>
      </c>
    </row>
    <row r="2161" spans="1:8" x14ac:dyDescent="0.25">
      <c r="A2161">
        <v>233</v>
      </c>
      <c r="B2161" t="s">
        <v>360</v>
      </c>
      <c r="C2161">
        <v>5</v>
      </c>
      <c r="D2161">
        <v>0</v>
      </c>
      <c r="E2161">
        <v>0</v>
      </c>
      <c r="F2161">
        <v>97.03</v>
      </c>
      <c r="G2161">
        <v>15645.36</v>
      </c>
      <c r="H2161" s="14">
        <v>43767.833333333336</v>
      </c>
    </row>
    <row r="2162" spans="1:8" x14ac:dyDescent="0.25">
      <c r="A2162">
        <v>233</v>
      </c>
      <c r="B2162" t="s">
        <v>360</v>
      </c>
      <c r="C2162">
        <v>6</v>
      </c>
      <c r="D2162">
        <v>0</v>
      </c>
      <c r="E2162">
        <v>0</v>
      </c>
      <c r="F2162">
        <v>81.239999999999995</v>
      </c>
      <c r="G2162">
        <v>14262.19</v>
      </c>
      <c r="H2162" s="14">
        <v>43767.833333333336</v>
      </c>
    </row>
    <row r="2163" spans="1:8" x14ac:dyDescent="0.25">
      <c r="A2163">
        <v>233</v>
      </c>
      <c r="B2163" t="s">
        <v>360</v>
      </c>
      <c r="C2163">
        <v>7</v>
      </c>
      <c r="D2163">
        <v>0</v>
      </c>
      <c r="E2163">
        <v>0</v>
      </c>
      <c r="F2163">
        <v>59.63</v>
      </c>
      <c r="G2163">
        <v>11055.98</v>
      </c>
      <c r="H2163" s="14">
        <v>43767.833333333336</v>
      </c>
    </row>
    <row r="2164" spans="1:8" x14ac:dyDescent="0.25">
      <c r="A2164">
        <v>233</v>
      </c>
      <c r="B2164" t="s">
        <v>360</v>
      </c>
      <c r="C2164">
        <v>8</v>
      </c>
      <c r="D2164">
        <v>0</v>
      </c>
      <c r="E2164">
        <v>0</v>
      </c>
      <c r="F2164">
        <v>52.71</v>
      </c>
      <c r="G2164">
        <v>9650.1</v>
      </c>
      <c r="H2164" s="14">
        <v>43767.833333333336</v>
      </c>
    </row>
    <row r="2165" spans="1:8" x14ac:dyDescent="0.25">
      <c r="A2165">
        <v>234</v>
      </c>
      <c r="B2165" t="s">
        <v>361</v>
      </c>
      <c r="C2165">
        <v>1</v>
      </c>
      <c r="D2165">
        <v>0</v>
      </c>
      <c r="E2165">
        <v>0</v>
      </c>
      <c r="F2165">
        <v>46.76</v>
      </c>
      <c r="G2165">
        <v>29582.799999999999</v>
      </c>
      <c r="H2165" s="14">
        <v>43767.833333333336</v>
      </c>
    </row>
    <row r="2166" spans="1:8" x14ac:dyDescent="0.25">
      <c r="A2166">
        <v>234</v>
      </c>
      <c r="B2166" t="s">
        <v>361</v>
      </c>
      <c r="C2166">
        <v>2</v>
      </c>
      <c r="D2166">
        <v>0</v>
      </c>
      <c r="E2166">
        <v>0</v>
      </c>
      <c r="F2166">
        <v>47.2</v>
      </c>
      <c r="G2166">
        <v>30208.63</v>
      </c>
      <c r="H2166" s="14">
        <v>43767.833333333336</v>
      </c>
    </row>
    <row r="2167" spans="1:8" x14ac:dyDescent="0.25">
      <c r="A2167">
        <v>234</v>
      </c>
      <c r="B2167" t="s">
        <v>361</v>
      </c>
      <c r="C2167">
        <v>3</v>
      </c>
      <c r="D2167">
        <v>0</v>
      </c>
      <c r="E2167">
        <v>0</v>
      </c>
      <c r="F2167">
        <v>47.58</v>
      </c>
      <c r="G2167">
        <v>30130.61</v>
      </c>
      <c r="H2167" s="14">
        <v>43767.833333333336</v>
      </c>
    </row>
    <row r="2168" spans="1:8" x14ac:dyDescent="0.25">
      <c r="A2168">
        <v>234</v>
      </c>
      <c r="B2168" t="s">
        <v>361</v>
      </c>
      <c r="C2168">
        <v>4</v>
      </c>
      <c r="D2168">
        <v>0</v>
      </c>
      <c r="E2168">
        <v>0</v>
      </c>
      <c r="F2168">
        <v>45.28</v>
      </c>
      <c r="G2168">
        <v>29839.5</v>
      </c>
      <c r="H2168" s="14">
        <v>43767.833333333336</v>
      </c>
    </row>
    <row r="2169" spans="1:8" x14ac:dyDescent="0.25">
      <c r="A2169">
        <v>234</v>
      </c>
      <c r="B2169" t="s">
        <v>361</v>
      </c>
      <c r="C2169">
        <v>5</v>
      </c>
      <c r="D2169">
        <v>0</v>
      </c>
      <c r="E2169">
        <v>0</v>
      </c>
      <c r="F2169">
        <v>35.97</v>
      </c>
      <c r="G2169">
        <v>24394.95</v>
      </c>
      <c r="H2169" s="14">
        <v>43767.833333333336</v>
      </c>
    </row>
    <row r="2170" spans="1:8" x14ac:dyDescent="0.25">
      <c r="A2170">
        <v>234</v>
      </c>
      <c r="B2170" t="s">
        <v>361</v>
      </c>
      <c r="C2170">
        <v>6</v>
      </c>
      <c r="D2170">
        <v>0</v>
      </c>
      <c r="E2170">
        <v>0</v>
      </c>
      <c r="F2170">
        <v>25.84</v>
      </c>
      <c r="G2170">
        <v>17514.64</v>
      </c>
      <c r="H2170" s="14">
        <v>43767.833333333336</v>
      </c>
    </row>
    <row r="2171" spans="1:8" x14ac:dyDescent="0.25">
      <c r="A2171">
        <v>234</v>
      </c>
      <c r="B2171" t="s">
        <v>361</v>
      </c>
      <c r="C2171">
        <v>7</v>
      </c>
      <c r="D2171">
        <v>0</v>
      </c>
      <c r="E2171">
        <v>0</v>
      </c>
      <c r="F2171">
        <v>29.3</v>
      </c>
      <c r="G2171">
        <v>20611.82</v>
      </c>
      <c r="H2171" s="14">
        <v>43767.833333333336</v>
      </c>
    </row>
    <row r="2172" spans="1:8" x14ac:dyDescent="0.25">
      <c r="A2172">
        <v>235</v>
      </c>
      <c r="B2172" t="s">
        <v>362</v>
      </c>
      <c r="C2172">
        <v>1</v>
      </c>
      <c r="D2172">
        <v>0</v>
      </c>
      <c r="E2172">
        <v>0</v>
      </c>
      <c r="F2172">
        <v>127.62</v>
      </c>
      <c r="G2172">
        <v>18297.189999999999</v>
      </c>
      <c r="H2172" s="14">
        <v>43767.833333333336</v>
      </c>
    </row>
    <row r="2173" spans="1:8" x14ac:dyDescent="0.25">
      <c r="A2173">
        <v>235</v>
      </c>
      <c r="B2173" t="s">
        <v>362</v>
      </c>
      <c r="C2173">
        <v>2</v>
      </c>
      <c r="D2173">
        <v>0</v>
      </c>
      <c r="E2173">
        <v>0</v>
      </c>
      <c r="F2173">
        <v>120.91</v>
      </c>
      <c r="G2173">
        <v>17295.28</v>
      </c>
      <c r="H2173" s="14">
        <v>43767.833333333336</v>
      </c>
    </row>
    <row r="2174" spans="1:8" x14ac:dyDescent="0.25">
      <c r="A2174">
        <v>235</v>
      </c>
      <c r="B2174" t="s">
        <v>362</v>
      </c>
      <c r="C2174">
        <v>3</v>
      </c>
      <c r="D2174">
        <v>0</v>
      </c>
      <c r="E2174">
        <v>0</v>
      </c>
      <c r="F2174">
        <v>124.37</v>
      </c>
      <c r="G2174">
        <v>17633.34</v>
      </c>
      <c r="H2174" s="14">
        <v>43767.833333333336</v>
      </c>
    </row>
    <row r="2175" spans="1:8" x14ac:dyDescent="0.25">
      <c r="A2175">
        <v>235</v>
      </c>
      <c r="B2175" t="s">
        <v>362</v>
      </c>
      <c r="C2175">
        <v>4</v>
      </c>
      <c r="D2175">
        <v>0</v>
      </c>
      <c r="E2175">
        <v>0</v>
      </c>
      <c r="F2175">
        <v>121.83</v>
      </c>
      <c r="G2175">
        <v>17076.71</v>
      </c>
      <c r="H2175" s="14">
        <v>43767.833333333336</v>
      </c>
    </row>
    <row r="2176" spans="1:8" x14ac:dyDescent="0.25">
      <c r="A2176">
        <v>235</v>
      </c>
      <c r="B2176" t="s">
        <v>362</v>
      </c>
      <c r="C2176">
        <v>5</v>
      </c>
      <c r="D2176">
        <v>0</v>
      </c>
      <c r="E2176">
        <v>0</v>
      </c>
      <c r="F2176">
        <v>145.35</v>
      </c>
      <c r="G2176">
        <v>18925.79</v>
      </c>
      <c r="H2176" s="14">
        <v>43767.833333333336</v>
      </c>
    </row>
    <row r="2177" spans="1:8" x14ac:dyDescent="0.25">
      <c r="A2177">
        <v>235</v>
      </c>
      <c r="B2177" t="s">
        <v>362</v>
      </c>
      <c r="C2177">
        <v>6</v>
      </c>
      <c r="D2177">
        <v>0</v>
      </c>
      <c r="E2177">
        <v>0</v>
      </c>
      <c r="F2177">
        <v>138.28</v>
      </c>
      <c r="G2177">
        <v>17835.599999999999</v>
      </c>
      <c r="H2177" s="14">
        <v>43767.833333333336</v>
      </c>
    </row>
    <row r="2178" spans="1:8" x14ac:dyDescent="0.25">
      <c r="A2178">
        <v>235</v>
      </c>
      <c r="B2178" t="s">
        <v>362</v>
      </c>
      <c r="C2178">
        <v>7</v>
      </c>
      <c r="D2178">
        <v>0</v>
      </c>
      <c r="E2178">
        <v>0</v>
      </c>
      <c r="F2178">
        <v>144.12</v>
      </c>
      <c r="G2178">
        <v>18418.73</v>
      </c>
      <c r="H2178" s="14">
        <v>43767.833333333336</v>
      </c>
    </row>
    <row r="2179" spans="1:8" x14ac:dyDescent="0.25">
      <c r="A2179">
        <v>235</v>
      </c>
      <c r="B2179" t="s">
        <v>362</v>
      </c>
      <c r="C2179">
        <v>8</v>
      </c>
      <c r="D2179">
        <v>0</v>
      </c>
      <c r="E2179">
        <v>0</v>
      </c>
      <c r="F2179">
        <v>133.66</v>
      </c>
      <c r="G2179">
        <v>17111.37</v>
      </c>
      <c r="H2179" s="14">
        <v>43767.833333333336</v>
      </c>
    </row>
    <row r="2180" spans="1:8" x14ac:dyDescent="0.25">
      <c r="A2180">
        <v>235</v>
      </c>
      <c r="B2180" t="s">
        <v>362</v>
      </c>
      <c r="C2180">
        <v>9</v>
      </c>
      <c r="D2180">
        <v>0</v>
      </c>
      <c r="E2180">
        <v>0</v>
      </c>
      <c r="F2180">
        <v>124.44</v>
      </c>
      <c r="G2180">
        <v>17115.97</v>
      </c>
      <c r="H2180" s="14">
        <v>43767.833333333336</v>
      </c>
    </row>
    <row r="2181" spans="1:8" x14ac:dyDescent="0.25">
      <c r="A2181">
        <v>235</v>
      </c>
      <c r="B2181" t="s">
        <v>362</v>
      </c>
      <c r="C2181">
        <v>10</v>
      </c>
      <c r="D2181">
        <v>0</v>
      </c>
      <c r="E2181">
        <v>0</v>
      </c>
      <c r="F2181">
        <v>116.52</v>
      </c>
      <c r="G2181">
        <v>16122.06</v>
      </c>
      <c r="H2181" s="14">
        <v>43767.833333333336</v>
      </c>
    </row>
    <row r="2182" spans="1:8" x14ac:dyDescent="0.25">
      <c r="A2182">
        <v>235</v>
      </c>
      <c r="B2182" t="s">
        <v>362</v>
      </c>
      <c r="C2182">
        <v>11</v>
      </c>
      <c r="D2182">
        <v>0</v>
      </c>
      <c r="E2182">
        <v>0</v>
      </c>
      <c r="F2182">
        <v>128.74</v>
      </c>
      <c r="G2182">
        <v>16678.37</v>
      </c>
      <c r="H2182" s="14">
        <v>43767.833333333336</v>
      </c>
    </row>
    <row r="2183" spans="1:8" x14ac:dyDescent="0.25">
      <c r="A2183">
        <v>235</v>
      </c>
      <c r="B2183" t="s">
        <v>362</v>
      </c>
      <c r="C2183">
        <v>12</v>
      </c>
      <c r="D2183">
        <v>0</v>
      </c>
      <c r="E2183">
        <v>0</v>
      </c>
      <c r="F2183">
        <v>142.38</v>
      </c>
      <c r="G2183">
        <v>18733.52</v>
      </c>
      <c r="H2183" s="14">
        <v>43767.833333333336</v>
      </c>
    </row>
    <row r="2184" spans="1:8" x14ac:dyDescent="0.25">
      <c r="A2184">
        <v>235</v>
      </c>
      <c r="B2184" t="s">
        <v>362</v>
      </c>
      <c r="C2184">
        <v>13</v>
      </c>
      <c r="D2184">
        <v>0</v>
      </c>
      <c r="E2184">
        <v>0</v>
      </c>
      <c r="F2184">
        <v>116.78</v>
      </c>
      <c r="G2184">
        <v>15594.92</v>
      </c>
      <c r="H2184" s="14">
        <v>43767.833333333336</v>
      </c>
    </row>
    <row r="2185" spans="1:8" x14ac:dyDescent="0.25">
      <c r="A2185">
        <v>236</v>
      </c>
      <c r="B2185" t="s">
        <v>363</v>
      </c>
      <c r="C2185">
        <v>1</v>
      </c>
      <c r="D2185">
        <v>0</v>
      </c>
      <c r="E2185">
        <v>0</v>
      </c>
      <c r="F2185">
        <v>134.46</v>
      </c>
      <c r="G2185">
        <v>17573.22</v>
      </c>
      <c r="H2185" s="14">
        <v>43767.833333333336</v>
      </c>
    </row>
    <row r="2186" spans="1:8" x14ac:dyDescent="0.25">
      <c r="A2186">
        <v>236</v>
      </c>
      <c r="B2186" t="s">
        <v>363</v>
      </c>
      <c r="C2186">
        <v>2</v>
      </c>
      <c r="D2186">
        <v>0</v>
      </c>
      <c r="E2186">
        <v>0</v>
      </c>
      <c r="F2186">
        <v>117.95</v>
      </c>
      <c r="G2186">
        <v>16713.259999999998</v>
      </c>
      <c r="H2186" s="14">
        <v>43767.833333333336</v>
      </c>
    </row>
    <row r="2187" spans="1:8" x14ac:dyDescent="0.25">
      <c r="A2187">
        <v>236</v>
      </c>
      <c r="B2187" t="s">
        <v>363</v>
      </c>
      <c r="C2187">
        <v>3</v>
      </c>
      <c r="D2187">
        <v>0</v>
      </c>
      <c r="E2187">
        <v>0</v>
      </c>
      <c r="F2187">
        <v>109.61</v>
      </c>
      <c r="G2187">
        <v>14874.28</v>
      </c>
      <c r="H2187" s="14">
        <v>43767.833333333336</v>
      </c>
    </row>
    <row r="2188" spans="1:8" x14ac:dyDescent="0.25">
      <c r="A2188">
        <v>236</v>
      </c>
      <c r="B2188" t="s">
        <v>363</v>
      </c>
      <c r="C2188">
        <v>4</v>
      </c>
      <c r="D2188">
        <v>0</v>
      </c>
      <c r="E2188">
        <v>0</v>
      </c>
      <c r="F2188">
        <v>78.2</v>
      </c>
      <c r="G2188">
        <v>11101.85</v>
      </c>
      <c r="H2188" s="14">
        <v>43767.833333333336</v>
      </c>
    </row>
    <row r="2189" spans="1:8" x14ac:dyDescent="0.25">
      <c r="A2189">
        <v>237</v>
      </c>
      <c r="B2189" t="s">
        <v>364</v>
      </c>
      <c r="C2189">
        <v>1</v>
      </c>
      <c r="D2189">
        <v>0</v>
      </c>
      <c r="E2189">
        <v>0</v>
      </c>
      <c r="F2189">
        <v>92.97</v>
      </c>
      <c r="G2189">
        <v>19285.34</v>
      </c>
      <c r="H2189" s="14">
        <v>43767.833333333336</v>
      </c>
    </row>
    <row r="2190" spans="1:8" x14ac:dyDescent="0.25">
      <c r="A2190">
        <v>237</v>
      </c>
      <c r="B2190" t="s">
        <v>364</v>
      </c>
      <c r="C2190">
        <v>2</v>
      </c>
      <c r="D2190">
        <v>0</v>
      </c>
      <c r="E2190">
        <v>0</v>
      </c>
      <c r="F2190">
        <v>125.25</v>
      </c>
      <c r="G2190">
        <v>24794.74</v>
      </c>
      <c r="H2190" s="14">
        <v>43767.833333333336</v>
      </c>
    </row>
    <row r="2191" spans="1:8" x14ac:dyDescent="0.25">
      <c r="A2191">
        <v>237</v>
      </c>
      <c r="B2191" t="s">
        <v>364</v>
      </c>
      <c r="C2191">
        <v>3</v>
      </c>
      <c r="D2191">
        <v>0</v>
      </c>
      <c r="E2191">
        <v>0</v>
      </c>
      <c r="F2191">
        <v>169.86</v>
      </c>
      <c r="G2191">
        <v>18043.82</v>
      </c>
      <c r="H2191" s="14">
        <v>43767.833333333336</v>
      </c>
    </row>
    <row r="2192" spans="1:8" x14ac:dyDescent="0.25">
      <c r="A2192">
        <v>237</v>
      </c>
      <c r="B2192" t="s">
        <v>364</v>
      </c>
      <c r="C2192">
        <v>4</v>
      </c>
      <c r="D2192">
        <v>0</v>
      </c>
      <c r="E2192">
        <v>0</v>
      </c>
      <c r="F2192">
        <v>135.24</v>
      </c>
      <c r="G2192">
        <v>20685.34</v>
      </c>
      <c r="H2192" s="14">
        <v>43767.833333333336</v>
      </c>
    </row>
    <row r="2193" spans="1:8" x14ac:dyDescent="0.25">
      <c r="A2193">
        <v>238</v>
      </c>
      <c r="B2193" t="s">
        <v>365</v>
      </c>
      <c r="C2193">
        <v>1</v>
      </c>
      <c r="D2193">
        <v>0</v>
      </c>
      <c r="E2193">
        <v>0</v>
      </c>
      <c r="F2193">
        <v>0</v>
      </c>
      <c r="G2193">
        <v>3985.04</v>
      </c>
      <c r="H2193" s="14">
        <v>43767.833333333336</v>
      </c>
    </row>
    <row r="2194" spans="1:8" x14ac:dyDescent="0.25">
      <c r="A2194">
        <v>238</v>
      </c>
      <c r="B2194" t="s">
        <v>365</v>
      </c>
      <c r="C2194">
        <v>2</v>
      </c>
      <c r="D2194">
        <v>0</v>
      </c>
      <c r="E2194">
        <v>0</v>
      </c>
      <c r="F2194">
        <v>0</v>
      </c>
      <c r="G2194">
        <v>3978.04</v>
      </c>
      <c r="H2194" s="14">
        <v>43767.833333333336</v>
      </c>
    </row>
    <row r="2195" spans="1:8" x14ac:dyDescent="0.25">
      <c r="A2195">
        <v>238</v>
      </c>
      <c r="B2195" t="s">
        <v>365</v>
      </c>
      <c r="C2195">
        <v>3</v>
      </c>
      <c r="D2195">
        <v>0</v>
      </c>
      <c r="E2195">
        <v>0</v>
      </c>
      <c r="F2195">
        <v>0</v>
      </c>
      <c r="G2195">
        <v>4037.75</v>
      </c>
      <c r="H2195" s="14">
        <v>43767.833333333336</v>
      </c>
    </row>
    <row r="2196" spans="1:8" x14ac:dyDescent="0.25">
      <c r="A2196">
        <v>238</v>
      </c>
      <c r="B2196" t="s">
        <v>365</v>
      </c>
      <c r="C2196">
        <v>4</v>
      </c>
      <c r="D2196">
        <v>0</v>
      </c>
      <c r="E2196">
        <v>0</v>
      </c>
      <c r="F2196">
        <v>0</v>
      </c>
      <c r="G2196">
        <v>3818.68</v>
      </c>
      <c r="H2196" s="14">
        <v>43767.833333333336</v>
      </c>
    </row>
    <row r="2197" spans="1:8" x14ac:dyDescent="0.25">
      <c r="A2197">
        <v>238</v>
      </c>
      <c r="B2197" t="s">
        <v>365</v>
      </c>
      <c r="C2197">
        <v>5</v>
      </c>
      <c r="D2197">
        <v>0</v>
      </c>
      <c r="E2197">
        <v>0</v>
      </c>
      <c r="F2197">
        <v>0</v>
      </c>
      <c r="G2197">
        <v>4039.1</v>
      </c>
      <c r="H2197" s="14">
        <v>43767.833333333336</v>
      </c>
    </row>
    <row r="2198" spans="1:8" x14ac:dyDescent="0.25">
      <c r="A2198">
        <v>238</v>
      </c>
      <c r="B2198" t="s">
        <v>365</v>
      </c>
      <c r="C2198">
        <v>6</v>
      </c>
      <c r="D2198">
        <v>0</v>
      </c>
      <c r="E2198">
        <v>0</v>
      </c>
      <c r="F2198">
        <v>0</v>
      </c>
      <c r="G2198">
        <v>4406.9799999999996</v>
      </c>
      <c r="H2198" s="14">
        <v>43767.833333333336</v>
      </c>
    </row>
    <row r="2199" spans="1:8" x14ac:dyDescent="0.25">
      <c r="A2199">
        <v>238</v>
      </c>
      <c r="B2199" t="s">
        <v>365</v>
      </c>
      <c r="C2199">
        <v>7</v>
      </c>
      <c r="D2199">
        <v>0</v>
      </c>
      <c r="E2199">
        <v>0</v>
      </c>
      <c r="F2199">
        <v>0</v>
      </c>
      <c r="G2199">
        <v>3976.93</v>
      </c>
      <c r="H2199" s="14">
        <v>43767.833333333336</v>
      </c>
    </row>
    <row r="2200" spans="1:8" x14ac:dyDescent="0.25">
      <c r="A2200">
        <v>238</v>
      </c>
      <c r="B2200" t="s">
        <v>365</v>
      </c>
      <c r="C2200">
        <v>8</v>
      </c>
      <c r="D2200">
        <v>0</v>
      </c>
      <c r="E2200">
        <v>0</v>
      </c>
      <c r="F2200">
        <v>0</v>
      </c>
      <c r="G2200">
        <v>6326.49</v>
      </c>
      <c r="H2200" s="14">
        <v>43767.833333333336</v>
      </c>
    </row>
    <row r="2201" spans="1:8" x14ac:dyDescent="0.25">
      <c r="A2201">
        <v>238</v>
      </c>
      <c r="B2201" t="s">
        <v>365</v>
      </c>
      <c r="C2201">
        <v>9</v>
      </c>
      <c r="D2201">
        <v>0</v>
      </c>
      <c r="E2201">
        <v>0</v>
      </c>
      <c r="F2201">
        <v>0</v>
      </c>
      <c r="G2201">
        <v>4784.38</v>
      </c>
      <c r="H2201" s="14">
        <v>43767.833333333336</v>
      </c>
    </row>
    <row r="2202" spans="1:8" x14ac:dyDescent="0.25">
      <c r="A2202">
        <v>238</v>
      </c>
      <c r="B2202" t="s">
        <v>365</v>
      </c>
      <c r="C2202">
        <v>10</v>
      </c>
      <c r="D2202">
        <v>0</v>
      </c>
      <c r="E2202">
        <v>0</v>
      </c>
      <c r="F2202">
        <v>0</v>
      </c>
      <c r="G2202">
        <v>7044.47</v>
      </c>
      <c r="H2202" s="14">
        <v>43767.833333333336</v>
      </c>
    </row>
    <row r="2203" spans="1:8" x14ac:dyDescent="0.25">
      <c r="A2203">
        <v>238</v>
      </c>
      <c r="B2203" t="s">
        <v>365</v>
      </c>
      <c r="C2203">
        <v>11</v>
      </c>
      <c r="D2203">
        <v>0</v>
      </c>
      <c r="E2203">
        <v>0</v>
      </c>
      <c r="F2203">
        <v>0</v>
      </c>
      <c r="G2203">
        <v>5411.16</v>
      </c>
      <c r="H2203" s="14">
        <v>43767.833333333336</v>
      </c>
    </row>
    <row r="2204" spans="1:8" x14ac:dyDescent="0.25">
      <c r="A2204">
        <v>238</v>
      </c>
      <c r="B2204" t="s">
        <v>365</v>
      </c>
      <c r="C2204">
        <v>12</v>
      </c>
      <c r="D2204">
        <v>0</v>
      </c>
      <c r="E2204">
        <v>0</v>
      </c>
      <c r="F2204">
        <v>0</v>
      </c>
      <c r="G2204">
        <v>8067.73</v>
      </c>
      <c r="H2204" s="14">
        <v>43767.833333333336</v>
      </c>
    </row>
    <row r="2205" spans="1:8" x14ac:dyDescent="0.25">
      <c r="A2205">
        <v>238</v>
      </c>
      <c r="B2205" t="s">
        <v>365</v>
      </c>
      <c r="C2205">
        <v>13</v>
      </c>
      <c r="D2205">
        <v>0</v>
      </c>
      <c r="E2205">
        <v>0</v>
      </c>
      <c r="F2205">
        <v>103.4</v>
      </c>
      <c r="G2205">
        <v>10596.78</v>
      </c>
      <c r="H2205" s="14">
        <v>43767.833333333336</v>
      </c>
    </row>
    <row r="2206" spans="1:8" x14ac:dyDescent="0.25">
      <c r="A2206">
        <v>238</v>
      </c>
      <c r="B2206" t="s">
        <v>365</v>
      </c>
      <c r="C2206">
        <v>14</v>
      </c>
      <c r="D2206">
        <v>0</v>
      </c>
      <c r="E2206">
        <v>0</v>
      </c>
      <c r="F2206">
        <v>102.49</v>
      </c>
      <c r="G2206">
        <v>10612.41</v>
      </c>
      <c r="H2206" s="14">
        <v>43767.833333333336</v>
      </c>
    </row>
    <row r="2207" spans="1:8" x14ac:dyDescent="0.25">
      <c r="A2207">
        <v>238</v>
      </c>
      <c r="B2207" t="s">
        <v>365</v>
      </c>
      <c r="C2207">
        <v>15</v>
      </c>
      <c r="D2207">
        <v>0</v>
      </c>
      <c r="E2207">
        <v>0</v>
      </c>
      <c r="F2207">
        <v>75.64</v>
      </c>
      <c r="G2207">
        <v>8483.6299999999992</v>
      </c>
      <c r="H2207" s="14">
        <v>43767.833333333336</v>
      </c>
    </row>
    <row r="2208" spans="1:8" x14ac:dyDescent="0.25">
      <c r="A2208">
        <v>238</v>
      </c>
      <c r="B2208" t="s">
        <v>365</v>
      </c>
      <c r="C2208">
        <v>16</v>
      </c>
      <c r="D2208">
        <v>0</v>
      </c>
      <c r="E2208">
        <v>0</v>
      </c>
      <c r="F2208">
        <v>58.27</v>
      </c>
      <c r="G2208">
        <v>4914.04</v>
      </c>
      <c r="H2208" s="14">
        <v>43767.833333333336</v>
      </c>
    </row>
    <row r="2209" spans="1:8" x14ac:dyDescent="0.25">
      <c r="A2209">
        <v>239</v>
      </c>
      <c r="B2209" t="s">
        <v>366</v>
      </c>
      <c r="C2209">
        <v>1</v>
      </c>
      <c r="D2209">
        <v>0</v>
      </c>
      <c r="E2209">
        <v>0</v>
      </c>
      <c r="F2209">
        <v>100.9</v>
      </c>
      <c r="G2209">
        <v>8302.3799999999992</v>
      </c>
      <c r="H2209" s="14">
        <v>43767.833333333336</v>
      </c>
    </row>
    <row r="2210" spans="1:8" x14ac:dyDescent="0.25">
      <c r="A2210">
        <v>239</v>
      </c>
      <c r="B2210" t="s">
        <v>366</v>
      </c>
      <c r="C2210">
        <v>2</v>
      </c>
      <c r="D2210">
        <v>0</v>
      </c>
      <c r="E2210">
        <v>0</v>
      </c>
      <c r="F2210">
        <v>98.82</v>
      </c>
      <c r="G2210">
        <v>8158.23</v>
      </c>
      <c r="H2210" s="14">
        <v>43767.833333333336</v>
      </c>
    </row>
    <row r="2211" spans="1:8" x14ac:dyDescent="0.25">
      <c r="A2211">
        <v>239</v>
      </c>
      <c r="B2211" t="s">
        <v>366</v>
      </c>
      <c r="C2211">
        <v>3</v>
      </c>
      <c r="D2211">
        <v>0</v>
      </c>
      <c r="E2211">
        <v>0</v>
      </c>
      <c r="F2211">
        <v>101.17</v>
      </c>
      <c r="G2211">
        <v>8088.75</v>
      </c>
      <c r="H2211" s="14">
        <v>43767.833333333336</v>
      </c>
    </row>
    <row r="2212" spans="1:8" x14ac:dyDescent="0.25">
      <c r="A2212">
        <v>239</v>
      </c>
      <c r="B2212" t="s">
        <v>366</v>
      </c>
      <c r="C2212">
        <v>4</v>
      </c>
      <c r="D2212">
        <v>0</v>
      </c>
      <c r="E2212">
        <v>0</v>
      </c>
      <c r="F2212">
        <v>102.19</v>
      </c>
      <c r="G2212">
        <v>8260.6200000000008</v>
      </c>
      <c r="H2212" s="14">
        <v>43767.833333333336</v>
      </c>
    </row>
    <row r="2213" spans="1:8" x14ac:dyDescent="0.25">
      <c r="A2213">
        <v>239</v>
      </c>
      <c r="B2213" t="s">
        <v>366</v>
      </c>
      <c r="C2213">
        <v>5</v>
      </c>
      <c r="D2213">
        <v>0</v>
      </c>
      <c r="E2213">
        <v>0</v>
      </c>
      <c r="F2213">
        <v>103</v>
      </c>
      <c r="G2213">
        <v>8185.02</v>
      </c>
      <c r="H2213" s="14">
        <v>43767.833333333336</v>
      </c>
    </row>
    <row r="2214" spans="1:8" x14ac:dyDescent="0.25">
      <c r="A2214">
        <v>239</v>
      </c>
      <c r="B2214" t="s">
        <v>366</v>
      </c>
      <c r="C2214">
        <v>6</v>
      </c>
      <c r="D2214">
        <v>0</v>
      </c>
      <c r="E2214">
        <v>0</v>
      </c>
      <c r="F2214">
        <v>102.69</v>
      </c>
      <c r="G2214">
        <v>8392.06</v>
      </c>
      <c r="H2214" s="14">
        <v>43767.833333333336</v>
      </c>
    </row>
    <row r="2215" spans="1:8" x14ac:dyDescent="0.25">
      <c r="A2215">
        <v>239</v>
      </c>
      <c r="B2215" t="s">
        <v>366</v>
      </c>
      <c r="C2215">
        <v>7</v>
      </c>
      <c r="D2215">
        <v>0</v>
      </c>
      <c r="E2215">
        <v>0</v>
      </c>
      <c r="F2215">
        <v>102.7</v>
      </c>
      <c r="G2215">
        <v>8417.89</v>
      </c>
      <c r="H2215" s="14">
        <v>43767.833333333336</v>
      </c>
    </row>
    <row r="2216" spans="1:8" x14ac:dyDescent="0.25">
      <c r="A2216">
        <v>239</v>
      </c>
      <c r="B2216" t="s">
        <v>366</v>
      </c>
      <c r="C2216">
        <v>8</v>
      </c>
      <c r="D2216">
        <v>0</v>
      </c>
      <c r="E2216">
        <v>0</v>
      </c>
      <c r="F2216">
        <v>102.11</v>
      </c>
      <c r="G2216">
        <v>8292.93</v>
      </c>
      <c r="H2216" s="14">
        <v>43767.833333333336</v>
      </c>
    </row>
    <row r="2217" spans="1:8" x14ac:dyDescent="0.25">
      <c r="A2217">
        <v>239</v>
      </c>
      <c r="B2217" t="s">
        <v>366</v>
      </c>
      <c r="C2217">
        <v>9</v>
      </c>
      <c r="D2217">
        <v>0</v>
      </c>
      <c r="E2217">
        <v>0</v>
      </c>
      <c r="F2217">
        <v>96.97</v>
      </c>
      <c r="G2217">
        <v>8081.44</v>
      </c>
      <c r="H2217" s="14">
        <v>43767.833333333336</v>
      </c>
    </row>
    <row r="2218" spans="1:8" x14ac:dyDescent="0.25">
      <c r="A2218">
        <v>239</v>
      </c>
      <c r="B2218" t="s">
        <v>366</v>
      </c>
      <c r="C2218">
        <v>10</v>
      </c>
      <c r="D2218">
        <v>0</v>
      </c>
      <c r="E2218">
        <v>0</v>
      </c>
      <c r="F2218">
        <v>101.72</v>
      </c>
      <c r="G2218">
        <v>8566.7000000000007</v>
      </c>
      <c r="H2218" s="14">
        <v>43767.833333333336</v>
      </c>
    </row>
    <row r="2219" spans="1:8" x14ac:dyDescent="0.25">
      <c r="A2219">
        <v>239</v>
      </c>
      <c r="B2219" t="s">
        <v>366</v>
      </c>
      <c r="C2219">
        <v>11</v>
      </c>
      <c r="D2219">
        <v>0</v>
      </c>
      <c r="E2219">
        <v>0</v>
      </c>
      <c r="F2219">
        <v>101.73</v>
      </c>
      <c r="G2219">
        <v>8656.9699999999993</v>
      </c>
      <c r="H2219" s="14">
        <v>43767.833333333336</v>
      </c>
    </row>
    <row r="2220" spans="1:8" x14ac:dyDescent="0.25">
      <c r="A2220">
        <v>239</v>
      </c>
      <c r="B2220" t="s">
        <v>366</v>
      </c>
      <c r="C2220">
        <v>12</v>
      </c>
      <c r="D2220">
        <v>0</v>
      </c>
      <c r="E2220">
        <v>0</v>
      </c>
      <c r="F2220">
        <v>102.73</v>
      </c>
      <c r="G2220">
        <v>8751.75</v>
      </c>
      <c r="H2220" s="14">
        <v>43767.833333333336</v>
      </c>
    </row>
    <row r="2221" spans="1:8" x14ac:dyDescent="0.25">
      <c r="A2221">
        <v>239</v>
      </c>
      <c r="B2221" t="s">
        <v>366</v>
      </c>
      <c r="C2221">
        <v>13</v>
      </c>
      <c r="D2221">
        <v>0</v>
      </c>
      <c r="E2221">
        <v>0</v>
      </c>
      <c r="F2221">
        <v>103.01</v>
      </c>
      <c r="G2221">
        <v>8992.64</v>
      </c>
      <c r="H2221" s="14">
        <v>43767.833333333336</v>
      </c>
    </row>
    <row r="2222" spans="1:8" x14ac:dyDescent="0.25">
      <c r="A2222">
        <v>239</v>
      </c>
      <c r="B2222" t="s">
        <v>366</v>
      </c>
      <c r="C2222">
        <v>14</v>
      </c>
      <c r="D2222">
        <v>0</v>
      </c>
      <c r="E2222">
        <v>0</v>
      </c>
      <c r="F2222">
        <v>98.89</v>
      </c>
      <c r="G2222">
        <v>8872.84</v>
      </c>
      <c r="H2222" s="14">
        <v>43767.833333333336</v>
      </c>
    </row>
    <row r="2223" spans="1:8" x14ac:dyDescent="0.25">
      <c r="A2223">
        <v>239</v>
      </c>
      <c r="B2223" t="s">
        <v>366</v>
      </c>
      <c r="C2223">
        <v>15</v>
      </c>
      <c r="D2223">
        <v>0</v>
      </c>
      <c r="E2223">
        <v>0</v>
      </c>
      <c r="F2223">
        <v>85.91</v>
      </c>
      <c r="G2223">
        <v>7126.16</v>
      </c>
      <c r="H2223" s="14">
        <v>43767.833333333336</v>
      </c>
    </row>
    <row r="2224" spans="1:8" x14ac:dyDescent="0.25">
      <c r="A2224">
        <v>239</v>
      </c>
      <c r="B2224" t="s">
        <v>366</v>
      </c>
      <c r="C2224">
        <v>16</v>
      </c>
      <c r="D2224">
        <v>0</v>
      </c>
      <c r="E2224">
        <v>0</v>
      </c>
      <c r="F2224">
        <v>56.87</v>
      </c>
      <c r="G2224">
        <v>5814.31</v>
      </c>
      <c r="H2224" s="14">
        <v>43767.833333333336</v>
      </c>
    </row>
    <row r="2225" spans="1:8" x14ac:dyDescent="0.25">
      <c r="A2225">
        <v>240</v>
      </c>
      <c r="B2225" t="s">
        <v>367</v>
      </c>
      <c r="C2225">
        <v>1</v>
      </c>
      <c r="D2225">
        <v>0</v>
      </c>
      <c r="E2225">
        <v>0</v>
      </c>
      <c r="F2225">
        <v>104.3</v>
      </c>
      <c r="G2225">
        <v>4210.13</v>
      </c>
      <c r="H2225" s="14">
        <v>43767.833333333336</v>
      </c>
    </row>
    <row r="2226" spans="1:8" x14ac:dyDescent="0.25">
      <c r="A2226">
        <v>240</v>
      </c>
      <c r="B2226" t="s">
        <v>367</v>
      </c>
      <c r="C2226">
        <v>2</v>
      </c>
      <c r="D2226">
        <v>0</v>
      </c>
      <c r="E2226">
        <v>0</v>
      </c>
      <c r="F2226">
        <v>101.85</v>
      </c>
      <c r="G2226">
        <v>3899.99</v>
      </c>
      <c r="H2226" s="14">
        <v>43767.833333333336</v>
      </c>
    </row>
    <row r="2227" spans="1:8" x14ac:dyDescent="0.25">
      <c r="A2227">
        <v>240</v>
      </c>
      <c r="B2227" t="s">
        <v>367</v>
      </c>
      <c r="C2227">
        <v>3</v>
      </c>
      <c r="D2227">
        <v>0</v>
      </c>
      <c r="E2227">
        <v>0</v>
      </c>
      <c r="F2227">
        <v>101.31</v>
      </c>
      <c r="G2227">
        <v>3875.36</v>
      </c>
      <c r="H2227" s="14">
        <v>43767.833333333336</v>
      </c>
    </row>
    <row r="2228" spans="1:8" x14ac:dyDescent="0.25">
      <c r="A2228">
        <v>240</v>
      </c>
      <c r="B2228" t="s">
        <v>367</v>
      </c>
      <c r="C2228">
        <v>4</v>
      </c>
      <c r="D2228">
        <v>0</v>
      </c>
      <c r="E2228">
        <v>0</v>
      </c>
      <c r="F2228">
        <v>102.42</v>
      </c>
      <c r="G2228">
        <v>4535.3599999999997</v>
      </c>
      <c r="H2228" s="14">
        <v>43767.833333333336</v>
      </c>
    </row>
    <row r="2229" spans="1:8" x14ac:dyDescent="0.25">
      <c r="A2229">
        <v>240</v>
      </c>
      <c r="B2229" t="s">
        <v>367</v>
      </c>
      <c r="C2229">
        <v>5</v>
      </c>
      <c r="D2229">
        <v>0</v>
      </c>
      <c r="E2229">
        <v>0</v>
      </c>
      <c r="F2229">
        <v>104</v>
      </c>
      <c r="G2229">
        <v>4543.17</v>
      </c>
      <c r="H2229" s="14">
        <v>43767.833333333336</v>
      </c>
    </row>
    <row r="2230" spans="1:8" x14ac:dyDescent="0.25">
      <c r="A2230">
        <v>240</v>
      </c>
      <c r="B2230" t="s">
        <v>367</v>
      </c>
      <c r="C2230">
        <v>6</v>
      </c>
      <c r="D2230">
        <v>0</v>
      </c>
      <c r="E2230">
        <v>0</v>
      </c>
      <c r="F2230">
        <v>102.16</v>
      </c>
      <c r="G2230">
        <v>4584.99</v>
      </c>
      <c r="H2230" s="14">
        <v>43767.833333333336</v>
      </c>
    </row>
    <row r="2231" spans="1:8" x14ac:dyDescent="0.25">
      <c r="A2231">
        <v>240</v>
      </c>
      <c r="B2231" t="s">
        <v>367</v>
      </c>
      <c r="C2231">
        <v>7</v>
      </c>
      <c r="D2231">
        <v>0</v>
      </c>
      <c r="E2231">
        <v>0</v>
      </c>
      <c r="F2231">
        <v>104.2</v>
      </c>
      <c r="G2231">
        <v>4663.93</v>
      </c>
      <c r="H2231" s="14">
        <v>43767.833333333336</v>
      </c>
    </row>
    <row r="2232" spans="1:8" x14ac:dyDescent="0.25">
      <c r="A2232">
        <v>240</v>
      </c>
      <c r="B2232" t="s">
        <v>367</v>
      </c>
      <c r="C2232">
        <v>8</v>
      </c>
      <c r="D2232">
        <v>0</v>
      </c>
      <c r="E2232">
        <v>0</v>
      </c>
      <c r="F2232">
        <v>103</v>
      </c>
      <c r="G2232">
        <v>4813.7700000000004</v>
      </c>
      <c r="H2232" s="14">
        <v>43767.833333333336</v>
      </c>
    </row>
    <row r="2233" spans="1:8" x14ac:dyDescent="0.25">
      <c r="A2233">
        <v>240</v>
      </c>
      <c r="B2233" t="s">
        <v>367</v>
      </c>
      <c r="C2233">
        <v>9</v>
      </c>
      <c r="D2233">
        <v>0</v>
      </c>
      <c r="E2233">
        <v>0</v>
      </c>
      <c r="F2233">
        <v>103.43</v>
      </c>
      <c r="G2233">
        <v>4494.97</v>
      </c>
      <c r="H2233" s="14">
        <v>43767.833333333336</v>
      </c>
    </row>
    <row r="2234" spans="1:8" x14ac:dyDescent="0.25">
      <c r="A2234">
        <v>240</v>
      </c>
      <c r="B2234" t="s">
        <v>367</v>
      </c>
      <c r="C2234">
        <v>10</v>
      </c>
      <c r="D2234">
        <v>0</v>
      </c>
      <c r="E2234">
        <v>0</v>
      </c>
      <c r="F2234">
        <v>102.84</v>
      </c>
      <c r="G2234">
        <v>6474.66</v>
      </c>
      <c r="H2234" s="14">
        <v>43767.833333333336</v>
      </c>
    </row>
    <row r="2235" spans="1:8" x14ac:dyDescent="0.25">
      <c r="A2235">
        <v>240</v>
      </c>
      <c r="B2235" t="s">
        <v>367</v>
      </c>
      <c r="C2235">
        <v>11</v>
      </c>
      <c r="D2235">
        <v>0</v>
      </c>
      <c r="E2235">
        <v>0</v>
      </c>
      <c r="F2235">
        <v>103.71</v>
      </c>
      <c r="G2235">
        <v>6194.2</v>
      </c>
      <c r="H2235" s="14">
        <v>43767.833333333336</v>
      </c>
    </row>
    <row r="2236" spans="1:8" x14ac:dyDescent="0.25">
      <c r="A2236">
        <v>240</v>
      </c>
      <c r="B2236" t="s">
        <v>367</v>
      </c>
      <c r="C2236">
        <v>12</v>
      </c>
      <c r="D2236">
        <v>0</v>
      </c>
      <c r="E2236">
        <v>0</v>
      </c>
      <c r="F2236">
        <v>102.77</v>
      </c>
      <c r="G2236">
        <v>6078.74</v>
      </c>
      <c r="H2236" s="14">
        <v>43767.833333333336</v>
      </c>
    </row>
    <row r="2237" spans="1:8" x14ac:dyDescent="0.25">
      <c r="A2237">
        <v>240</v>
      </c>
      <c r="B2237" t="s">
        <v>367</v>
      </c>
      <c r="C2237">
        <v>13</v>
      </c>
      <c r="D2237">
        <v>0</v>
      </c>
      <c r="E2237">
        <v>0</v>
      </c>
      <c r="F2237">
        <v>100.97</v>
      </c>
      <c r="G2237">
        <v>6580.06</v>
      </c>
      <c r="H2237" s="14">
        <v>43767.833333333336</v>
      </c>
    </row>
    <row r="2238" spans="1:8" x14ac:dyDescent="0.25">
      <c r="A2238">
        <v>240</v>
      </c>
      <c r="B2238" t="s">
        <v>367</v>
      </c>
      <c r="C2238">
        <v>14</v>
      </c>
      <c r="D2238">
        <v>0</v>
      </c>
      <c r="E2238">
        <v>0</v>
      </c>
      <c r="F2238">
        <v>98.95</v>
      </c>
      <c r="G2238">
        <v>5834.91</v>
      </c>
      <c r="H2238" s="14">
        <v>43767.833333333336</v>
      </c>
    </row>
    <row r="2239" spans="1:8" x14ac:dyDescent="0.25">
      <c r="A2239">
        <v>240</v>
      </c>
      <c r="B2239" t="s">
        <v>367</v>
      </c>
      <c r="C2239">
        <v>15</v>
      </c>
      <c r="D2239">
        <v>0</v>
      </c>
      <c r="E2239">
        <v>0</v>
      </c>
      <c r="F2239">
        <v>85.67</v>
      </c>
      <c r="G2239">
        <v>7661.54</v>
      </c>
      <c r="H2239" s="14">
        <v>43767.833333333336</v>
      </c>
    </row>
    <row r="2240" spans="1:8" x14ac:dyDescent="0.25">
      <c r="A2240">
        <v>240</v>
      </c>
      <c r="B2240" t="s">
        <v>367</v>
      </c>
      <c r="C2240">
        <v>16</v>
      </c>
      <c r="D2240">
        <v>0</v>
      </c>
      <c r="E2240">
        <v>0</v>
      </c>
      <c r="F2240">
        <v>55.83</v>
      </c>
      <c r="G2240">
        <v>5457.38</v>
      </c>
      <c r="H2240" s="14">
        <v>43767.833333333336</v>
      </c>
    </row>
    <row r="2241" spans="1:8" x14ac:dyDescent="0.25">
      <c r="A2241">
        <v>241</v>
      </c>
      <c r="B2241" t="s">
        <v>368</v>
      </c>
      <c r="C2241">
        <v>1</v>
      </c>
      <c r="D2241">
        <v>0</v>
      </c>
      <c r="E2241">
        <v>0</v>
      </c>
      <c r="F2241">
        <v>17.89</v>
      </c>
      <c r="G2241">
        <v>6490.39</v>
      </c>
      <c r="H2241" s="14">
        <v>43767.833333333336</v>
      </c>
    </row>
    <row r="2242" spans="1:8" x14ac:dyDescent="0.25">
      <c r="A2242">
        <v>241</v>
      </c>
      <c r="B2242" t="s">
        <v>368</v>
      </c>
      <c r="C2242">
        <v>2</v>
      </c>
      <c r="D2242">
        <v>0</v>
      </c>
      <c r="E2242">
        <v>0</v>
      </c>
      <c r="F2242">
        <v>17.68</v>
      </c>
      <c r="G2242">
        <v>6418.96</v>
      </c>
      <c r="H2242" s="14">
        <v>43767.833333333336</v>
      </c>
    </row>
    <row r="2243" spans="1:8" x14ac:dyDescent="0.25">
      <c r="A2243">
        <v>241</v>
      </c>
      <c r="B2243" t="s">
        <v>368</v>
      </c>
      <c r="C2243">
        <v>3</v>
      </c>
      <c r="D2243">
        <v>0</v>
      </c>
      <c r="E2243">
        <v>0</v>
      </c>
      <c r="F2243">
        <v>17.73</v>
      </c>
      <c r="G2243">
        <v>6399.1</v>
      </c>
      <c r="H2243" s="14">
        <v>43767.833333333336</v>
      </c>
    </row>
    <row r="2244" spans="1:8" x14ac:dyDescent="0.25">
      <c r="A2244">
        <v>241</v>
      </c>
      <c r="B2244" t="s">
        <v>368</v>
      </c>
      <c r="C2244">
        <v>4</v>
      </c>
      <c r="D2244">
        <v>0</v>
      </c>
      <c r="E2244">
        <v>0</v>
      </c>
      <c r="F2244">
        <v>17.600000000000001</v>
      </c>
      <c r="G2244">
        <v>6405.05</v>
      </c>
      <c r="H2244" s="14">
        <v>43767.833333333336</v>
      </c>
    </row>
    <row r="2245" spans="1:8" x14ac:dyDescent="0.25">
      <c r="A2245">
        <v>241</v>
      </c>
      <c r="B2245" t="s">
        <v>368</v>
      </c>
      <c r="C2245">
        <v>5</v>
      </c>
      <c r="D2245">
        <v>0</v>
      </c>
      <c r="E2245">
        <v>0</v>
      </c>
      <c r="F2245">
        <v>17.260000000000002</v>
      </c>
      <c r="G2245">
        <v>6180.82</v>
      </c>
      <c r="H2245" s="14">
        <v>43767.833333333336</v>
      </c>
    </row>
    <row r="2246" spans="1:8" x14ac:dyDescent="0.25">
      <c r="A2246">
        <v>241</v>
      </c>
      <c r="B2246" t="s">
        <v>368</v>
      </c>
      <c r="C2246">
        <v>6</v>
      </c>
      <c r="D2246">
        <v>0</v>
      </c>
      <c r="E2246">
        <v>0</v>
      </c>
      <c r="F2246">
        <v>16.22</v>
      </c>
      <c r="G2246">
        <v>5948.26</v>
      </c>
      <c r="H2246" s="14">
        <v>43767.833333333336</v>
      </c>
    </row>
    <row r="2247" spans="1:8" x14ac:dyDescent="0.25">
      <c r="A2247">
        <v>241</v>
      </c>
      <c r="B2247" t="s">
        <v>368</v>
      </c>
      <c r="C2247">
        <v>7</v>
      </c>
      <c r="D2247">
        <v>0</v>
      </c>
      <c r="E2247">
        <v>0</v>
      </c>
      <c r="F2247">
        <v>17.32</v>
      </c>
      <c r="G2247">
        <v>6379.25</v>
      </c>
      <c r="H2247" s="14">
        <v>43767.833333333336</v>
      </c>
    </row>
    <row r="2248" spans="1:8" x14ac:dyDescent="0.25">
      <c r="A2248">
        <v>241</v>
      </c>
      <c r="B2248" t="s">
        <v>368</v>
      </c>
      <c r="C2248">
        <v>8</v>
      </c>
      <c r="D2248">
        <v>0</v>
      </c>
      <c r="E2248">
        <v>0</v>
      </c>
      <c r="F2248">
        <v>17.27</v>
      </c>
      <c r="G2248">
        <v>6241.37</v>
      </c>
      <c r="H2248" s="14">
        <v>43767.833333333336</v>
      </c>
    </row>
    <row r="2249" spans="1:8" x14ac:dyDescent="0.25">
      <c r="A2249">
        <v>241</v>
      </c>
      <c r="B2249" t="s">
        <v>368</v>
      </c>
      <c r="C2249">
        <v>9</v>
      </c>
      <c r="D2249">
        <v>0</v>
      </c>
      <c r="E2249">
        <v>0</v>
      </c>
      <c r="F2249">
        <v>17.29</v>
      </c>
      <c r="G2249">
        <v>6169.7</v>
      </c>
      <c r="H2249" s="14">
        <v>43767.833333333336</v>
      </c>
    </row>
    <row r="2250" spans="1:8" x14ac:dyDescent="0.25">
      <c r="A2250">
        <v>241</v>
      </c>
      <c r="B2250" t="s">
        <v>368</v>
      </c>
      <c r="C2250">
        <v>10</v>
      </c>
      <c r="D2250">
        <v>0</v>
      </c>
      <c r="E2250">
        <v>0</v>
      </c>
      <c r="F2250">
        <v>17.2</v>
      </c>
      <c r="G2250">
        <v>6257.05</v>
      </c>
      <c r="H2250" s="14">
        <v>43767.833333333336</v>
      </c>
    </row>
    <row r="2251" spans="1:8" x14ac:dyDescent="0.25">
      <c r="A2251">
        <v>241</v>
      </c>
      <c r="B2251" t="s">
        <v>368</v>
      </c>
      <c r="C2251">
        <v>11</v>
      </c>
      <c r="D2251">
        <v>0</v>
      </c>
      <c r="E2251">
        <v>0</v>
      </c>
      <c r="F2251">
        <v>16.41</v>
      </c>
      <c r="G2251">
        <v>6102.26</v>
      </c>
      <c r="H2251" s="14">
        <v>43767.833333333336</v>
      </c>
    </row>
    <row r="2252" spans="1:8" x14ac:dyDescent="0.25">
      <c r="A2252">
        <v>241</v>
      </c>
      <c r="B2252" t="s">
        <v>368</v>
      </c>
      <c r="C2252">
        <v>12</v>
      </c>
      <c r="D2252">
        <v>0</v>
      </c>
      <c r="E2252">
        <v>0</v>
      </c>
      <c r="F2252">
        <v>17.329999999999998</v>
      </c>
      <c r="G2252">
        <v>6304.32</v>
      </c>
      <c r="H2252" s="14">
        <v>43767.833333333336</v>
      </c>
    </row>
    <row r="2253" spans="1:8" x14ac:dyDescent="0.25">
      <c r="A2253">
        <v>242</v>
      </c>
      <c r="B2253" t="s">
        <v>369</v>
      </c>
      <c r="C2253">
        <v>1</v>
      </c>
      <c r="D2253">
        <v>0</v>
      </c>
      <c r="E2253">
        <v>0</v>
      </c>
      <c r="F2253">
        <v>108.18</v>
      </c>
      <c r="G2253">
        <v>37803.18</v>
      </c>
      <c r="H2253" s="14">
        <v>43767.833333333336</v>
      </c>
    </row>
    <row r="2254" spans="1:8" x14ac:dyDescent="0.25">
      <c r="A2254">
        <v>242</v>
      </c>
      <c r="B2254" t="s">
        <v>369</v>
      </c>
      <c r="C2254">
        <v>2</v>
      </c>
      <c r="D2254">
        <v>0</v>
      </c>
      <c r="E2254">
        <v>0</v>
      </c>
      <c r="F2254">
        <v>107</v>
      </c>
      <c r="G2254">
        <v>37597.550000000003</v>
      </c>
      <c r="H2254" s="14">
        <v>43767.833333333336</v>
      </c>
    </row>
    <row r="2255" spans="1:8" x14ac:dyDescent="0.25">
      <c r="A2255">
        <v>242</v>
      </c>
      <c r="B2255" t="s">
        <v>369</v>
      </c>
      <c r="C2255">
        <v>3</v>
      </c>
      <c r="D2255">
        <v>0</v>
      </c>
      <c r="E2255">
        <v>0</v>
      </c>
      <c r="F2255">
        <v>106.82</v>
      </c>
      <c r="G2255">
        <v>37682.69</v>
      </c>
      <c r="H2255" s="14">
        <v>43767.833333333336</v>
      </c>
    </row>
    <row r="2256" spans="1:8" x14ac:dyDescent="0.25">
      <c r="A2256">
        <v>242</v>
      </c>
      <c r="B2256" t="s">
        <v>369</v>
      </c>
      <c r="C2256">
        <v>4</v>
      </c>
      <c r="D2256">
        <v>0</v>
      </c>
      <c r="E2256">
        <v>0</v>
      </c>
      <c r="F2256">
        <v>61.72</v>
      </c>
      <c r="G2256">
        <v>21632.31</v>
      </c>
      <c r="H2256" s="14">
        <v>43767.833333333336</v>
      </c>
    </row>
    <row r="2257" spans="1:8" x14ac:dyDescent="0.25">
      <c r="A2257">
        <v>242</v>
      </c>
      <c r="B2257" t="s">
        <v>369</v>
      </c>
      <c r="C2257">
        <v>5</v>
      </c>
      <c r="D2257">
        <v>0</v>
      </c>
      <c r="E2257">
        <v>0</v>
      </c>
      <c r="F2257">
        <v>118.44</v>
      </c>
      <c r="G2257">
        <v>38906.639999999999</v>
      </c>
      <c r="H2257" s="14">
        <v>43767.833333333336</v>
      </c>
    </row>
    <row r="2258" spans="1:8" x14ac:dyDescent="0.25">
      <c r="A2258">
        <v>242</v>
      </c>
      <c r="B2258" t="s">
        <v>369</v>
      </c>
      <c r="C2258">
        <v>6</v>
      </c>
      <c r="D2258">
        <v>0</v>
      </c>
      <c r="E2258">
        <v>0</v>
      </c>
      <c r="F2258">
        <v>109.92</v>
      </c>
      <c r="G2258">
        <v>36952.29</v>
      </c>
      <c r="H2258" s="14">
        <v>43767.833333333336</v>
      </c>
    </row>
    <row r="2259" spans="1:8" x14ac:dyDescent="0.25">
      <c r="A2259">
        <v>242</v>
      </c>
      <c r="B2259" t="s">
        <v>369</v>
      </c>
      <c r="C2259">
        <v>7</v>
      </c>
      <c r="D2259">
        <v>0</v>
      </c>
      <c r="E2259">
        <v>0</v>
      </c>
      <c r="F2259">
        <v>118.94</v>
      </c>
      <c r="G2259">
        <v>39356.61</v>
      </c>
      <c r="H2259" s="14">
        <v>43767.833333333336</v>
      </c>
    </row>
    <row r="2260" spans="1:8" x14ac:dyDescent="0.25">
      <c r="A2260">
        <v>242</v>
      </c>
      <c r="B2260" t="s">
        <v>369</v>
      </c>
      <c r="C2260">
        <v>8</v>
      </c>
      <c r="D2260">
        <v>0</v>
      </c>
      <c r="E2260">
        <v>0</v>
      </c>
      <c r="F2260">
        <v>120.56</v>
      </c>
      <c r="G2260">
        <v>39843.03</v>
      </c>
      <c r="H2260" s="14">
        <v>43767.833333333336</v>
      </c>
    </row>
    <row r="2261" spans="1:8" x14ac:dyDescent="0.25">
      <c r="A2261">
        <v>242</v>
      </c>
      <c r="B2261" t="s">
        <v>369</v>
      </c>
      <c r="C2261">
        <v>9</v>
      </c>
      <c r="D2261">
        <v>0</v>
      </c>
      <c r="E2261">
        <v>0</v>
      </c>
      <c r="F2261">
        <v>115.56</v>
      </c>
      <c r="G2261">
        <v>38585.230000000003</v>
      </c>
      <c r="H2261" s="14">
        <v>43767.833333333336</v>
      </c>
    </row>
    <row r="2262" spans="1:8" x14ac:dyDescent="0.25">
      <c r="A2262">
        <v>242</v>
      </c>
      <c r="B2262" t="s">
        <v>369</v>
      </c>
      <c r="C2262">
        <v>10</v>
      </c>
      <c r="D2262">
        <v>0</v>
      </c>
      <c r="E2262">
        <v>0</v>
      </c>
      <c r="F2262">
        <v>115.7</v>
      </c>
      <c r="G2262">
        <v>38621.19</v>
      </c>
      <c r="H2262" s="14">
        <v>43767.833333333336</v>
      </c>
    </row>
    <row r="2263" spans="1:8" x14ac:dyDescent="0.25">
      <c r="A2263">
        <v>242</v>
      </c>
      <c r="B2263" t="s">
        <v>369</v>
      </c>
      <c r="C2263">
        <v>11</v>
      </c>
      <c r="D2263">
        <v>0</v>
      </c>
      <c r="E2263">
        <v>0</v>
      </c>
      <c r="F2263">
        <v>117.29</v>
      </c>
      <c r="G2263">
        <v>39113.26</v>
      </c>
      <c r="H2263" s="14">
        <v>43767.833333333336</v>
      </c>
    </row>
    <row r="2264" spans="1:8" x14ac:dyDescent="0.25">
      <c r="A2264">
        <v>242</v>
      </c>
      <c r="B2264" t="s">
        <v>369</v>
      </c>
      <c r="C2264">
        <v>12</v>
      </c>
      <c r="D2264">
        <v>0</v>
      </c>
      <c r="E2264">
        <v>0</v>
      </c>
      <c r="F2264">
        <v>117.05</v>
      </c>
      <c r="G2264">
        <v>38979.25</v>
      </c>
      <c r="H2264" s="14">
        <v>43767.833333333336</v>
      </c>
    </row>
    <row r="2265" spans="1:8" x14ac:dyDescent="0.25">
      <c r="A2265">
        <v>242</v>
      </c>
      <c r="B2265" t="s">
        <v>369</v>
      </c>
      <c r="C2265">
        <v>13</v>
      </c>
      <c r="D2265">
        <v>0</v>
      </c>
      <c r="E2265">
        <v>0</v>
      </c>
      <c r="F2265">
        <v>32.950000000000003</v>
      </c>
      <c r="G2265">
        <v>10967.52</v>
      </c>
      <c r="H2265" s="14">
        <v>43767.833333333336</v>
      </c>
    </row>
    <row r="2266" spans="1:8" x14ac:dyDescent="0.25">
      <c r="A2266">
        <v>243</v>
      </c>
      <c r="B2266" t="s">
        <v>370</v>
      </c>
      <c r="C2266">
        <v>1</v>
      </c>
      <c r="D2266">
        <v>0</v>
      </c>
      <c r="E2266">
        <v>0</v>
      </c>
      <c r="F2266">
        <v>113.64</v>
      </c>
      <c r="G2266">
        <v>12422.87</v>
      </c>
      <c r="H2266" s="14">
        <v>43767.833333333336</v>
      </c>
    </row>
    <row r="2267" spans="1:8" x14ac:dyDescent="0.25">
      <c r="A2267">
        <v>243</v>
      </c>
      <c r="B2267" t="s">
        <v>370</v>
      </c>
      <c r="C2267">
        <v>2</v>
      </c>
      <c r="D2267">
        <v>0</v>
      </c>
      <c r="E2267">
        <v>0</v>
      </c>
      <c r="F2267">
        <v>112.75</v>
      </c>
      <c r="G2267">
        <v>12624.47</v>
      </c>
      <c r="H2267" s="14">
        <v>43767.833333333336</v>
      </c>
    </row>
    <row r="2268" spans="1:8" x14ac:dyDescent="0.25">
      <c r="A2268">
        <v>243</v>
      </c>
      <c r="B2268" t="s">
        <v>370</v>
      </c>
      <c r="C2268">
        <v>3</v>
      </c>
      <c r="D2268">
        <v>0</v>
      </c>
      <c r="E2268">
        <v>0</v>
      </c>
      <c r="F2268">
        <v>95.34</v>
      </c>
      <c r="G2268">
        <v>10666.47</v>
      </c>
      <c r="H2268" s="14">
        <v>43767.833333333336</v>
      </c>
    </row>
    <row r="2269" spans="1:8" x14ac:dyDescent="0.25">
      <c r="A2269">
        <v>243</v>
      </c>
      <c r="B2269" t="s">
        <v>370</v>
      </c>
      <c r="C2269">
        <v>4</v>
      </c>
      <c r="D2269">
        <v>0</v>
      </c>
      <c r="E2269">
        <v>0</v>
      </c>
      <c r="F2269">
        <v>120.86</v>
      </c>
      <c r="G2269">
        <v>12840.54</v>
      </c>
      <c r="H2269" s="14">
        <v>43767.833333333336</v>
      </c>
    </row>
    <row r="2270" spans="1:8" x14ac:dyDescent="0.25">
      <c r="A2270">
        <v>243</v>
      </c>
      <c r="B2270" t="s">
        <v>370</v>
      </c>
      <c r="C2270">
        <v>5</v>
      </c>
      <c r="D2270">
        <v>0</v>
      </c>
      <c r="E2270">
        <v>0</v>
      </c>
      <c r="F2270">
        <v>116.93</v>
      </c>
      <c r="G2270">
        <v>12642.05</v>
      </c>
      <c r="H2270" s="14">
        <v>43767.833333333336</v>
      </c>
    </row>
    <row r="2271" spans="1:8" x14ac:dyDescent="0.25">
      <c r="A2271">
        <v>243</v>
      </c>
      <c r="B2271" t="s">
        <v>370</v>
      </c>
      <c r="C2271">
        <v>6</v>
      </c>
      <c r="D2271">
        <v>0</v>
      </c>
      <c r="E2271">
        <v>0</v>
      </c>
      <c r="F2271">
        <v>115.25</v>
      </c>
      <c r="G2271">
        <v>12456.7</v>
      </c>
      <c r="H2271" s="14">
        <v>43767.833333333336</v>
      </c>
    </row>
    <row r="2272" spans="1:8" x14ac:dyDescent="0.25">
      <c r="A2272">
        <v>243</v>
      </c>
      <c r="B2272" t="s">
        <v>370</v>
      </c>
      <c r="C2272">
        <v>7</v>
      </c>
      <c r="D2272">
        <v>0</v>
      </c>
      <c r="E2272">
        <v>0</v>
      </c>
      <c r="F2272">
        <v>121.04</v>
      </c>
      <c r="G2272">
        <v>11308.83</v>
      </c>
      <c r="H2272" s="14">
        <v>43767.833333333336</v>
      </c>
    </row>
    <row r="2273" spans="1:8" x14ac:dyDescent="0.25">
      <c r="A2273">
        <v>243</v>
      </c>
      <c r="B2273" t="s">
        <v>370</v>
      </c>
      <c r="C2273">
        <v>8</v>
      </c>
      <c r="D2273">
        <v>0</v>
      </c>
      <c r="E2273">
        <v>0</v>
      </c>
      <c r="F2273">
        <v>118.66</v>
      </c>
      <c r="G2273">
        <v>12759.89</v>
      </c>
      <c r="H2273" s="14">
        <v>43767.833333333336</v>
      </c>
    </row>
    <row r="2274" spans="1:8" x14ac:dyDescent="0.25">
      <c r="A2274">
        <v>243</v>
      </c>
      <c r="B2274" t="s">
        <v>370</v>
      </c>
      <c r="C2274">
        <v>9</v>
      </c>
      <c r="D2274">
        <v>0</v>
      </c>
      <c r="E2274">
        <v>0</v>
      </c>
      <c r="F2274">
        <v>100.65</v>
      </c>
      <c r="G2274">
        <v>8808.11</v>
      </c>
      <c r="H2274" s="14">
        <v>43767.833333333336</v>
      </c>
    </row>
    <row r="2275" spans="1:8" x14ac:dyDescent="0.25">
      <c r="A2275">
        <v>243</v>
      </c>
      <c r="B2275" t="s">
        <v>370</v>
      </c>
      <c r="C2275">
        <v>10</v>
      </c>
      <c r="D2275">
        <v>0</v>
      </c>
      <c r="E2275">
        <v>0</v>
      </c>
      <c r="F2275">
        <v>123.1</v>
      </c>
      <c r="G2275">
        <v>10600.22</v>
      </c>
      <c r="H2275" s="14">
        <v>43767.833333333336</v>
      </c>
    </row>
    <row r="2276" spans="1:8" x14ac:dyDescent="0.25">
      <c r="A2276">
        <v>243</v>
      </c>
      <c r="B2276" t="s">
        <v>370</v>
      </c>
      <c r="C2276">
        <v>11</v>
      </c>
      <c r="D2276">
        <v>0</v>
      </c>
      <c r="E2276">
        <v>0</v>
      </c>
      <c r="F2276">
        <v>120.69</v>
      </c>
      <c r="G2276">
        <v>10399.81</v>
      </c>
      <c r="H2276" s="14">
        <v>43767.833333333336</v>
      </c>
    </row>
    <row r="2277" spans="1:8" x14ac:dyDescent="0.25">
      <c r="A2277">
        <v>243</v>
      </c>
      <c r="B2277" t="s">
        <v>370</v>
      </c>
      <c r="C2277">
        <v>12</v>
      </c>
      <c r="D2277">
        <v>0</v>
      </c>
      <c r="E2277">
        <v>0</v>
      </c>
      <c r="F2277">
        <v>115.38</v>
      </c>
      <c r="G2277">
        <v>10025.23</v>
      </c>
      <c r="H2277" s="14">
        <v>43767.833333333336</v>
      </c>
    </row>
    <row r="2278" spans="1:8" x14ac:dyDescent="0.25">
      <c r="A2278">
        <v>244</v>
      </c>
      <c r="B2278" t="s">
        <v>371</v>
      </c>
      <c r="C2278">
        <v>1</v>
      </c>
      <c r="D2278">
        <v>0</v>
      </c>
      <c r="E2278">
        <v>0</v>
      </c>
      <c r="F2278">
        <v>108.07</v>
      </c>
      <c r="G2278">
        <v>9417.36</v>
      </c>
      <c r="H2278" s="14">
        <v>43767.833333333336</v>
      </c>
    </row>
    <row r="2279" spans="1:8" x14ac:dyDescent="0.25">
      <c r="A2279">
        <v>244</v>
      </c>
      <c r="B2279" t="s">
        <v>371</v>
      </c>
      <c r="C2279">
        <v>2</v>
      </c>
      <c r="D2279">
        <v>0</v>
      </c>
      <c r="E2279">
        <v>0</v>
      </c>
      <c r="F2279">
        <v>116.31</v>
      </c>
      <c r="G2279">
        <v>10223.01</v>
      </c>
      <c r="H2279" s="14">
        <v>43767.833333333336</v>
      </c>
    </row>
    <row r="2280" spans="1:8" x14ac:dyDescent="0.25">
      <c r="A2280">
        <v>244</v>
      </c>
      <c r="B2280" t="s">
        <v>371</v>
      </c>
      <c r="C2280">
        <v>3</v>
      </c>
      <c r="D2280">
        <v>0</v>
      </c>
      <c r="E2280">
        <v>0</v>
      </c>
      <c r="F2280">
        <v>105.21</v>
      </c>
      <c r="G2280">
        <v>9324.06</v>
      </c>
      <c r="H2280" s="14">
        <v>43767.833333333336</v>
      </c>
    </row>
    <row r="2281" spans="1:8" x14ac:dyDescent="0.25">
      <c r="A2281">
        <v>244</v>
      </c>
      <c r="B2281" t="s">
        <v>371</v>
      </c>
      <c r="C2281">
        <v>4</v>
      </c>
      <c r="D2281">
        <v>0</v>
      </c>
      <c r="E2281">
        <v>0</v>
      </c>
      <c r="F2281">
        <v>110.45</v>
      </c>
      <c r="G2281">
        <v>9763.84</v>
      </c>
      <c r="H2281" s="14">
        <v>43767.833333333336</v>
      </c>
    </row>
    <row r="2282" spans="1:8" x14ac:dyDescent="0.25">
      <c r="A2282">
        <v>244</v>
      </c>
      <c r="B2282" t="s">
        <v>371</v>
      </c>
      <c r="C2282">
        <v>5</v>
      </c>
      <c r="D2282">
        <v>0</v>
      </c>
      <c r="E2282">
        <v>0</v>
      </c>
      <c r="F2282">
        <v>105.27</v>
      </c>
      <c r="G2282">
        <v>9389.81</v>
      </c>
      <c r="H2282" s="14">
        <v>43767.833333333336</v>
      </c>
    </row>
    <row r="2283" spans="1:8" x14ac:dyDescent="0.25">
      <c r="A2283">
        <v>244</v>
      </c>
      <c r="B2283" t="s">
        <v>371</v>
      </c>
      <c r="C2283">
        <v>6</v>
      </c>
      <c r="D2283">
        <v>0</v>
      </c>
      <c r="E2283">
        <v>0</v>
      </c>
      <c r="F2283">
        <v>101.15</v>
      </c>
      <c r="G2283">
        <v>9160.19</v>
      </c>
      <c r="H2283" s="14">
        <v>43767.833333333336</v>
      </c>
    </row>
    <row r="2284" spans="1:8" x14ac:dyDescent="0.25">
      <c r="A2284">
        <v>244</v>
      </c>
      <c r="B2284" t="s">
        <v>371</v>
      </c>
      <c r="C2284">
        <v>7</v>
      </c>
      <c r="D2284">
        <v>0</v>
      </c>
      <c r="E2284">
        <v>0</v>
      </c>
      <c r="F2284">
        <v>111.34</v>
      </c>
      <c r="G2284">
        <v>9926.4699999999993</v>
      </c>
      <c r="H2284" s="14">
        <v>43767.833333333336</v>
      </c>
    </row>
    <row r="2285" spans="1:8" x14ac:dyDescent="0.25">
      <c r="A2285">
        <v>244</v>
      </c>
      <c r="B2285" t="s">
        <v>371</v>
      </c>
      <c r="C2285">
        <v>8</v>
      </c>
      <c r="D2285">
        <v>0</v>
      </c>
      <c r="E2285">
        <v>0</v>
      </c>
      <c r="F2285">
        <v>104.06</v>
      </c>
      <c r="G2285">
        <v>9239.68</v>
      </c>
      <c r="H2285" s="14">
        <v>43767.833333333336</v>
      </c>
    </row>
    <row r="2286" spans="1:8" x14ac:dyDescent="0.25">
      <c r="A2286">
        <v>244</v>
      </c>
      <c r="B2286" t="s">
        <v>371</v>
      </c>
      <c r="C2286">
        <v>9</v>
      </c>
      <c r="D2286">
        <v>0</v>
      </c>
      <c r="E2286">
        <v>0</v>
      </c>
      <c r="F2286">
        <v>107.62</v>
      </c>
      <c r="G2286">
        <v>8520.75</v>
      </c>
      <c r="H2286" s="14">
        <v>43767.833333333336</v>
      </c>
    </row>
    <row r="2287" spans="1:8" x14ac:dyDescent="0.25">
      <c r="A2287">
        <v>244</v>
      </c>
      <c r="B2287" t="s">
        <v>371</v>
      </c>
      <c r="C2287">
        <v>10</v>
      </c>
      <c r="D2287">
        <v>0</v>
      </c>
      <c r="E2287">
        <v>0</v>
      </c>
      <c r="F2287">
        <v>101.39</v>
      </c>
      <c r="G2287">
        <v>8143.5</v>
      </c>
      <c r="H2287" s="14">
        <v>43767.833333333336</v>
      </c>
    </row>
    <row r="2288" spans="1:8" x14ac:dyDescent="0.25">
      <c r="A2288">
        <v>245</v>
      </c>
      <c r="B2288" t="s">
        <v>372</v>
      </c>
      <c r="C2288">
        <v>1</v>
      </c>
      <c r="D2288">
        <v>0</v>
      </c>
      <c r="E2288">
        <v>0</v>
      </c>
      <c r="F2288">
        <v>112.36</v>
      </c>
      <c r="G2288">
        <v>12460.62</v>
      </c>
      <c r="H2288" s="14">
        <v>43767.833333333336</v>
      </c>
    </row>
    <row r="2289" spans="1:8" x14ac:dyDescent="0.25">
      <c r="A2289">
        <v>245</v>
      </c>
      <c r="B2289" t="s">
        <v>372</v>
      </c>
      <c r="C2289">
        <v>2</v>
      </c>
      <c r="D2289">
        <v>0</v>
      </c>
      <c r="E2289">
        <v>0</v>
      </c>
      <c r="F2289">
        <v>115.2</v>
      </c>
      <c r="G2289">
        <v>12542.31</v>
      </c>
      <c r="H2289" s="14">
        <v>43767.833333333336</v>
      </c>
    </row>
    <row r="2290" spans="1:8" x14ac:dyDescent="0.25">
      <c r="A2290">
        <v>245</v>
      </c>
      <c r="B2290" t="s">
        <v>372</v>
      </c>
      <c r="C2290">
        <v>3</v>
      </c>
      <c r="D2290">
        <v>0</v>
      </c>
      <c r="E2290">
        <v>0</v>
      </c>
      <c r="F2290">
        <v>95.94</v>
      </c>
      <c r="G2290">
        <v>10089</v>
      </c>
      <c r="H2290" s="14">
        <v>43767.833333333336</v>
      </c>
    </row>
    <row r="2291" spans="1:8" x14ac:dyDescent="0.25">
      <c r="A2291">
        <v>245</v>
      </c>
      <c r="B2291" t="s">
        <v>372</v>
      </c>
      <c r="C2291">
        <v>4</v>
      </c>
      <c r="D2291">
        <v>0</v>
      </c>
      <c r="E2291">
        <v>0</v>
      </c>
      <c r="F2291">
        <v>118.67</v>
      </c>
      <c r="G2291">
        <v>12713.35</v>
      </c>
      <c r="H2291" s="14">
        <v>43767.833333333336</v>
      </c>
    </row>
    <row r="2292" spans="1:8" x14ac:dyDescent="0.25">
      <c r="A2292">
        <v>245</v>
      </c>
      <c r="B2292" t="s">
        <v>372</v>
      </c>
      <c r="C2292">
        <v>5</v>
      </c>
      <c r="D2292">
        <v>0</v>
      </c>
      <c r="E2292">
        <v>0</v>
      </c>
      <c r="F2292">
        <v>118.25</v>
      </c>
      <c r="G2292">
        <v>12708</v>
      </c>
      <c r="H2292" s="14">
        <v>43767.833333333336</v>
      </c>
    </row>
    <row r="2293" spans="1:8" x14ac:dyDescent="0.25">
      <c r="A2293">
        <v>245</v>
      </c>
      <c r="B2293" t="s">
        <v>372</v>
      </c>
      <c r="C2293">
        <v>6</v>
      </c>
      <c r="D2293">
        <v>0</v>
      </c>
      <c r="E2293">
        <v>0</v>
      </c>
      <c r="F2293">
        <v>120.09</v>
      </c>
      <c r="G2293">
        <v>12707.72</v>
      </c>
      <c r="H2293" s="14">
        <v>43767.833333333336</v>
      </c>
    </row>
    <row r="2294" spans="1:8" x14ac:dyDescent="0.25">
      <c r="A2294">
        <v>245</v>
      </c>
      <c r="B2294" t="s">
        <v>372</v>
      </c>
      <c r="C2294">
        <v>7</v>
      </c>
      <c r="D2294">
        <v>0</v>
      </c>
      <c r="E2294">
        <v>0</v>
      </c>
      <c r="F2294">
        <v>118.83</v>
      </c>
      <c r="G2294">
        <v>12677.81</v>
      </c>
      <c r="H2294" s="14">
        <v>43767.833333333336</v>
      </c>
    </row>
    <row r="2295" spans="1:8" x14ac:dyDescent="0.25">
      <c r="A2295">
        <v>245</v>
      </c>
      <c r="B2295" t="s">
        <v>372</v>
      </c>
      <c r="C2295">
        <v>8</v>
      </c>
      <c r="D2295">
        <v>0</v>
      </c>
      <c r="E2295">
        <v>0</v>
      </c>
      <c r="F2295">
        <v>118.13</v>
      </c>
      <c r="G2295">
        <v>12619.73</v>
      </c>
      <c r="H2295" s="14">
        <v>43767.833333333336</v>
      </c>
    </row>
    <row r="2296" spans="1:8" x14ac:dyDescent="0.25">
      <c r="A2296">
        <v>245</v>
      </c>
      <c r="B2296" t="s">
        <v>372</v>
      </c>
      <c r="C2296">
        <v>9</v>
      </c>
      <c r="D2296">
        <v>0</v>
      </c>
      <c r="E2296">
        <v>0</v>
      </c>
      <c r="F2296">
        <v>121.06</v>
      </c>
      <c r="G2296">
        <v>10968.73</v>
      </c>
      <c r="H2296" s="14">
        <v>43767.833333333336</v>
      </c>
    </row>
    <row r="2297" spans="1:8" x14ac:dyDescent="0.25">
      <c r="A2297">
        <v>245</v>
      </c>
      <c r="B2297" t="s">
        <v>372</v>
      </c>
      <c r="C2297">
        <v>10</v>
      </c>
      <c r="D2297">
        <v>0</v>
      </c>
      <c r="E2297">
        <v>0</v>
      </c>
      <c r="F2297">
        <v>114.57</v>
      </c>
      <c r="G2297">
        <v>10450.290000000001</v>
      </c>
      <c r="H2297" s="14">
        <v>43767.833333333336</v>
      </c>
    </row>
    <row r="2298" spans="1:8" x14ac:dyDescent="0.25">
      <c r="A2298">
        <v>245</v>
      </c>
      <c r="B2298" t="s">
        <v>372</v>
      </c>
      <c r="C2298">
        <v>11</v>
      </c>
      <c r="D2298">
        <v>0</v>
      </c>
      <c r="E2298">
        <v>0</v>
      </c>
      <c r="F2298">
        <v>119.91</v>
      </c>
      <c r="G2298">
        <v>9401.32</v>
      </c>
      <c r="H2298" s="14">
        <v>43767.833333333336</v>
      </c>
    </row>
    <row r="2299" spans="1:8" x14ac:dyDescent="0.25">
      <c r="A2299">
        <v>245</v>
      </c>
      <c r="B2299" t="s">
        <v>372</v>
      </c>
      <c r="C2299">
        <v>12</v>
      </c>
      <c r="D2299">
        <v>0</v>
      </c>
      <c r="E2299">
        <v>0</v>
      </c>
      <c r="F2299">
        <v>112.85</v>
      </c>
      <c r="G2299">
        <v>9118.94</v>
      </c>
      <c r="H2299" s="14">
        <v>43767.833333333336</v>
      </c>
    </row>
    <row r="2300" spans="1:8" x14ac:dyDescent="0.25">
      <c r="A2300">
        <v>246</v>
      </c>
      <c r="B2300" t="s">
        <v>373</v>
      </c>
      <c r="C2300">
        <v>1</v>
      </c>
      <c r="D2300">
        <v>0</v>
      </c>
      <c r="E2300">
        <v>0</v>
      </c>
      <c r="F2300">
        <v>102.33</v>
      </c>
      <c r="G2300">
        <v>8062.17</v>
      </c>
      <c r="H2300" s="14">
        <v>43767.833333333336</v>
      </c>
    </row>
    <row r="2301" spans="1:8" x14ac:dyDescent="0.25">
      <c r="A2301">
        <v>246</v>
      </c>
      <c r="B2301" t="s">
        <v>373</v>
      </c>
      <c r="C2301">
        <v>2</v>
      </c>
      <c r="D2301">
        <v>0</v>
      </c>
      <c r="E2301">
        <v>0</v>
      </c>
      <c r="F2301">
        <v>102.18</v>
      </c>
      <c r="G2301">
        <v>8092.58</v>
      </c>
      <c r="H2301" s="14">
        <v>43767.833333333336</v>
      </c>
    </row>
    <row r="2302" spans="1:8" x14ac:dyDescent="0.25">
      <c r="A2302">
        <v>246</v>
      </c>
      <c r="B2302" t="s">
        <v>373</v>
      </c>
      <c r="C2302">
        <v>3</v>
      </c>
      <c r="D2302">
        <v>0</v>
      </c>
      <c r="E2302">
        <v>0</v>
      </c>
      <c r="F2302">
        <v>71.3</v>
      </c>
      <c r="G2302">
        <v>5673.37</v>
      </c>
      <c r="H2302" s="14">
        <v>43767.833333333336</v>
      </c>
    </row>
    <row r="2303" spans="1:8" x14ac:dyDescent="0.25">
      <c r="A2303">
        <v>247</v>
      </c>
      <c r="B2303" t="s">
        <v>374</v>
      </c>
      <c r="C2303">
        <v>1</v>
      </c>
      <c r="D2303">
        <v>0</v>
      </c>
      <c r="E2303">
        <v>0</v>
      </c>
      <c r="F2303">
        <v>85.79</v>
      </c>
      <c r="G2303">
        <v>2954.24</v>
      </c>
      <c r="H2303" s="14">
        <v>43767.833333333336</v>
      </c>
    </row>
    <row r="2304" spans="1:8" x14ac:dyDescent="0.25">
      <c r="A2304">
        <v>247</v>
      </c>
      <c r="B2304" t="s">
        <v>374</v>
      </c>
      <c r="C2304">
        <v>2</v>
      </c>
      <c r="D2304">
        <v>0</v>
      </c>
      <c r="E2304">
        <v>0</v>
      </c>
      <c r="F2304">
        <v>107.62</v>
      </c>
      <c r="G2304">
        <v>3712.16</v>
      </c>
      <c r="H2304" s="14">
        <v>43767.833333333336</v>
      </c>
    </row>
    <row r="2305" spans="1:8" x14ac:dyDescent="0.25">
      <c r="A2305">
        <v>247</v>
      </c>
      <c r="B2305" t="s">
        <v>374</v>
      </c>
      <c r="C2305">
        <v>3</v>
      </c>
      <c r="D2305">
        <v>0</v>
      </c>
      <c r="E2305">
        <v>0</v>
      </c>
      <c r="F2305">
        <v>83.58</v>
      </c>
      <c r="G2305">
        <v>2884.43</v>
      </c>
      <c r="H2305" s="14">
        <v>43767.833333333336</v>
      </c>
    </row>
    <row r="2306" spans="1:8" x14ac:dyDescent="0.25">
      <c r="A2306">
        <v>1</v>
      </c>
      <c r="B2306" t="s">
        <v>13</v>
      </c>
      <c r="C2306">
        <v>1</v>
      </c>
      <c r="D2306">
        <v>0</v>
      </c>
      <c r="E2306">
        <v>0</v>
      </c>
      <c r="F2306">
        <v>116.59</v>
      </c>
      <c r="G2306">
        <v>139598.23000000001</v>
      </c>
      <c r="H2306" s="14">
        <v>43768.833333333336</v>
      </c>
    </row>
    <row r="2307" spans="1:8" x14ac:dyDescent="0.25">
      <c r="A2307">
        <v>1</v>
      </c>
      <c r="B2307" t="s">
        <v>13</v>
      </c>
      <c r="C2307">
        <v>2</v>
      </c>
      <c r="D2307">
        <v>0</v>
      </c>
      <c r="E2307">
        <v>0</v>
      </c>
      <c r="F2307">
        <v>118.34</v>
      </c>
      <c r="G2307">
        <v>142156.56</v>
      </c>
      <c r="H2307" s="14">
        <v>43768.833333333336</v>
      </c>
    </row>
    <row r="2308" spans="1:8" x14ac:dyDescent="0.25">
      <c r="A2308">
        <v>1</v>
      </c>
      <c r="B2308" t="s">
        <v>13</v>
      </c>
      <c r="C2308">
        <v>3</v>
      </c>
      <c r="D2308">
        <v>0</v>
      </c>
      <c r="E2308">
        <v>0</v>
      </c>
      <c r="F2308">
        <v>94.07</v>
      </c>
      <c r="G2308">
        <v>99353.23</v>
      </c>
      <c r="H2308" s="14">
        <v>43768.833333333336</v>
      </c>
    </row>
    <row r="2309" spans="1:8" x14ac:dyDescent="0.25">
      <c r="A2309">
        <v>2</v>
      </c>
      <c r="B2309" t="s">
        <v>21</v>
      </c>
      <c r="C2309">
        <v>1</v>
      </c>
      <c r="D2309">
        <v>0</v>
      </c>
      <c r="E2309">
        <v>0</v>
      </c>
      <c r="F2309">
        <v>0</v>
      </c>
      <c r="G2309">
        <v>0</v>
      </c>
      <c r="H2309" s="14">
        <v>43645.743055555555</v>
      </c>
    </row>
    <row r="2310" spans="1:8" x14ac:dyDescent="0.25">
      <c r="A2310">
        <v>2</v>
      </c>
      <c r="B2310" t="s">
        <v>21</v>
      </c>
      <c r="C2310">
        <v>2</v>
      </c>
      <c r="D2310">
        <v>0</v>
      </c>
      <c r="E2310">
        <v>0</v>
      </c>
      <c r="F2310">
        <v>0</v>
      </c>
      <c r="G2310">
        <v>0</v>
      </c>
      <c r="H2310" s="14">
        <v>43645.743055555555</v>
      </c>
    </row>
    <row r="2311" spans="1:8" x14ac:dyDescent="0.25">
      <c r="A2311">
        <v>2</v>
      </c>
      <c r="B2311" t="s">
        <v>21</v>
      </c>
      <c r="C2311">
        <v>3</v>
      </c>
      <c r="D2311">
        <v>0</v>
      </c>
      <c r="E2311">
        <v>0</v>
      </c>
      <c r="F2311">
        <v>0</v>
      </c>
      <c r="G2311">
        <v>0</v>
      </c>
      <c r="H2311" s="14">
        <v>43645.743055555555</v>
      </c>
    </row>
    <row r="2312" spans="1:8" x14ac:dyDescent="0.25">
      <c r="A2312">
        <v>2</v>
      </c>
      <c r="B2312" t="s">
        <v>21</v>
      </c>
      <c r="C2312">
        <v>4</v>
      </c>
      <c r="D2312">
        <v>0</v>
      </c>
      <c r="E2312">
        <v>0</v>
      </c>
      <c r="F2312">
        <v>0</v>
      </c>
      <c r="G2312">
        <v>0</v>
      </c>
      <c r="H2312" s="14">
        <v>43645.743055555555</v>
      </c>
    </row>
    <row r="2313" spans="1:8" x14ac:dyDescent="0.25">
      <c r="A2313">
        <v>2</v>
      </c>
      <c r="B2313" t="s">
        <v>21</v>
      </c>
      <c r="C2313">
        <v>5</v>
      </c>
      <c r="D2313">
        <v>0</v>
      </c>
      <c r="E2313">
        <v>0</v>
      </c>
      <c r="F2313">
        <v>0</v>
      </c>
      <c r="G2313">
        <v>0</v>
      </c>
      <c r="H2313" s="14">
        <v>43645.743055555555</v>
      </c>
    </row>
    <row r="2314" spans="1:8" x14ac:dyDescent="0.25">
      <c r="A2314">
        <v>2</v>
      </c>
      <c r="B2314" t="s">
        <v>21</v>
      </c>
      <c r="C2314">
        <v>6</v>
      </c>
      <c r="D2314">
        <v>0</v>
      </c>
      <c r="E2314">
        <v>0</v>
      </c>
      <c r="F2314">
        <v>0</v>
      </c>
      <c r="G2314">
        <v>0</v>
      </c>
      <c r="H2314" s="14">
        <v>43645.743055555555</v>
      </c>
    </row>
    <row r="2315" spans="1:8" x14ac:dyDescent="0.25">
      <c r="A2315">
        <v>2</v>
      </c>
      <c r="B2315" t="s">
        <v>21</v>
      </c>
      <c r="C2315">
        <v>7</v>
      </c>
      <c r="D2315">
        <v>0</v>
      </c>
      <c r="E2315">
        <v>0</v>
      </c>
      <c r="F2315">
        <v>0</v>
      </c>
      <c r="G2315">
        <v>0</v>
      </c>
      <c r="H2315" s="14">
        <v>43645.743055555555</v>
      </c>
    </row>
    <row r="2316" spans="1:8" x14ac:dyDescent="0.25">
      <c r="A2316">
        <v>2</v>
      </c>
      <c r="B2316" t="s">
        <v>21</v>
      </c>
      <c r="C2316">
        <v>8</v>
      </c>
      <c r="D2316">
        <v>0</v>
      </c>
      <c r="E2316">
        <v>0</v>
      </c>
      <c r="F2316">
        <v>0</v>
      </c>
      <c r="G2316">
        <v>0</v>
      </c>
      <c r="H2316" s="14">
        <v>43645.743055555555</v>
      </c>
    </row>
    <row r="2317" spans="1:8" x14ac:dyDescent="0.25">
      <c r="A2317">
        <v>2</v>
      </c>
      <c r="B2317" t="s">
        <v>21</v>
      </c>
      <c r="C2317">
        <v>9</v>
      </c>
      <c r="D2317">
        <v>0</v>
      </c>
      <c r="E2317">
        <v>0</v>
      </c>
      <c r="F2317">
        <v>0</v>
      </c>
      <c r="G2317">
        <v>0</v>
      </c>
      <c r="H2317" s="14">
        <v>43645.743055555555</v>
      </c>
    </row>
    <row r="2318" spans="1:8" x14ac:dyDescent="0.25">
      <c r="A2318">
        <v>2</v>
      </c>
      <c r="B2318" t="s">
        <v>21</v>
      </c>
      <c r="C2318">
        <v>10</v>
      </c>
      <c r="D2318">
        <v>0</v>
      </c>
      <c r="E2318">
        <v>0</v>
      </c>
      <c r="F2318">
        <v>0</v>
      </c>
      <c r="G2318">
        <v>0</v>
      </c>
      <c r="H2318" s="14">
        <v>43645.743055555555</v>
      </c>
    </row>
    <row r="2319" spans="1:8" x14ac:dyDescent="0.25">
      <c r="A2319">
        <v>2</v>
      </c>
      <c r="B2319" t="s">
        <v>21</v>
      </c>
      <c r="C2319">
        <v>11</v>
      </c>
      <c r="D2319">
        <v>0</v>
      </c>
      <c r="E2319">
        <v>0</v>
      </c>
      <c r="F2319">
        <v>0</v>
      </c>
      <c r="G2319">
        <v>0</v>
      </c>
      <c r="H2319" s="14">
        <v>43645.743055555555</v>
      </c>
    </row>
    <row r="2320" spans="1:8" x14ac:dyDescent="0.25">
      <c r="A2320">
        <v>2</v>
      </c>
      <c r="B2320" t="s">
        <v>21</v>
      </c>
      <c r="C2320">
        <v>12</v>
      </c>
      <c r="D2320">
        <v>0</v>
      </c>
      <c r="E2320">
        <v>0</v>
      </c>
      <c r="F2320">
        <v>0</v>
      </c>
      <c r="G2320">
        <v>0</v>
      </c>
      <c r="H2320" s="14">
        <v>43645.743055555555</v>
      </c>
    </row>
    <row r="2321" spans="1:8" x14ac:dyDescent="0.25">
      <c r="A2321">
        <v>2</v>
      </c>
      <c r="B2321" t="s">
        <v>21</v>
      </c>
      <c r="C2321">
        <v>13</v>
      </c>
      <c r="D2321">
        <v>0</v>
      </c>
      <c r="E2321">
        <v>0</v>
      </c>
      <c r="F2321">
        <v>0</v>
      </c>
      <c r="G2321">
        <v>0</v>
      </c>
      <c r="H2321" s="14">
        <v>43645.743055555555</v>
      </c>
    </row>
    <row r="2322" spans="1:8" x14ac:dyDescent="0.25">
      <c r="A2322">
        <v>2</v>
      </c>
      <c r="B2322" t="s">
        <v>21</v>
      </c>
      <c r="C2322">
        <v>14</v>
      </c>
      <c r="D2322">
        <v>0</v>
      </c>
      <c r="E2322">
        <v>0</v>
      </c>
      <c r="F2322">
        <v>0</v>
      </c>
      <c r="G2322">
        <v>0</v>
      </c>
      <c r="H2322" s="14">
        <v>43645.743055555555</v>
      </c>
    </row>
    <row r="2323" spans="1:8" x14ac:dyDescent="0.25">
      <c r="A2323">
        <v>2</v>
      </c>
      <c r="B2323" t="s">
        <v>21</v>
      </c>
      <c r="C2323">
        <v>15</v>
      </c>
      <c r="D2323">
        <v>0</v>
      </c>
      <c r="E2323">
        <v>0</v>
      </c>
      <c r="F2323">
        <v>0</v>
      </c>
      <c r="G2323">
        <v>0</v>
      </c>
      <c r="H2323" s="14">
        <v>36526</v>
      </c>
    </row>
    <row r="2324" spans="1:8" x14ac:dyDescent="0.25">
      <c r="A2324">
        <v>5</v>
      </c>
      <c r="B2324" t="s">
        <v>37</v>
      </c>
      <c r="C2324">
        <v>1</v>
      </c>
      <c r="D2324">
        <v>0</v>
      </c>
      <c r="E2324">
        <v>0</v>
      </c>
      <c r="F2324">
        <v>92.37</v>
      </c>
      <c r="G2324">
        <v>119415.26</v>
      </c>
      <c r="H2324" s="14">
        <v>43768.833333333336</v>
      </c>
    </row>
    <row r="2325" spans="1:8" x14ac:dyDescent="0.25">
      <c r="A2325">
        <v>5</v>
      </c>
      <c r="B2325" t="s">
        <v>37</v>
      </c>
      <c r="C2325">
        <v>2</v>
      </c>
      <c r="D2325">
        <v>0</v>
      </c>
      <c r="E2325">
        <v>0</v>
      </c>
      <c r="F2325">
        <v>89.33</v>
      </c>
      <c r="G2325">
        <v>119519.12</v>
      </c>
      <c r="H2325" s="14">
        <v>43768.833333333336</v>
      </c>
    </row>
    <row r="2326" spans="1:8" x14ac:dyDescent="0.25">
      <c r="A2326">
        <v>5</v>
      </c>
      <c r="B2326" t="s">
        <v>37</v>
      </c>
      <c r="C2326">
        <v>3</v>
      </c>
      <c r="D2326">
        <v>0</v>
      </c>
      <c r="E2326">
        <v>0</v>
      </c>
      <c r="F2326">
        <v>92.38</v>
      </c>
      <c r="G2326">
        <v>94026.04</v>
      </c>
      <c r="H2326" s="14">
        <v>43768.833333333336</v>
      </c>
    </row>
    <row r="2327" spans="1:8" x14ac:dyDescent="0.25">
      <c r="A2327">
        <v>5</v>
      </c>
      <c r="B2327" t="s">
        <v>37</v>
      </c>
      <c r="C2327">
        <v>4</v>
      </c>
      <c r="D2327">
        <v>0</v>
      </c>
      <c r="E2327">
        <v>0</v>
      </c>
      <c r="F2327">
        <v>86.83</v>
      </c>
      <c r="G2327">
        <v>92720.2</v>
      </c>
      <c r="H2327" s="14">
        <v>43768.833333333336</v>
      </c>
    </row>
    <row r="2328" spans="1:8" x14ac:dyDescent="0.25">
      <c r="A2328">
        <v>6</v>
      </c>
      <c r="B2328" t="s">
        <v>43</v>
      </c>
      <c r="C2328">
        <v>1</v>
      </c>
      <c r="D2328">
        <v>0</v>
      </c>
      <c r="E2328">
        <v>0</v>
      </c>
      <c r="F2328">
        <v>86.48</v>
      </c>
      <c r="G2328">
        <v>117848.2</v>
      </c>
      <c r="H2328" s="14">
        <v>43768.833333333336</v>
      </c>
    </row>
    <row r="2329" spans="1:8" x14ac:dyDescent="0.25">
      <c r="A2329">
        <v>6</v>
      </c>
      <c r="B2329" t="s">
        <v>43</v>
      </c>
      <c r="C2329">
        <v>2</v>
      </c>
      <c r="D2329">
        <v>0</v>
      </c>
      <c r="E2329">
        <v>0</v>
      </c>
      <c r="F2329">
        <v>84.09</v>
      </c>
      <c r="G2329">
        <v>116962.77</v>
      </c>
      <c r="H2329" s="14">
        <v>43768.833333333336</v>
      </c>
    </row>
    <row r="2330" spans="1:8" x14ac:dyDescent="0.25">
      <c r="A2330">
        <v>6</v>
      </c>
      <c r="B2330" t="s">
        <v>43</v>
      </c>
      <c r="C2330">
        <v>3</v>
      </c>
      <c r="D2330">
        <v>0</v>
      </c>
      <c r="E2330">
        <v>0</v>
      </c>
      <c r="F2330">
        <v>128.44</v>
      </c>
      <c r="G2330">
        <v>124509.46</v>
      </c>
      <c r="H2330" s="14">
        <v>43768.833333333336</v>
      </c>
    </row>
    <row r="2331" spans="1:8" x14ac:dyDescent="0.25">
      <c r="A2331">
        <v>6</v>
      </c>
      <c r="B2331" t="s">
        <v>43</v>
      </c>
      <c r="C2331">
        <v>4</v>
      </c>
      <c r="D2331">
        <v>0</v>
      </c>
      <c r="E2331">
        <v>0</v>
      </c>
      <c r="F2331">
        <v>131.96</v>
      </c>
      <c r="G2331">
        <v>125315.61</v>
      </c>
      <c r="H2331" s="14">
        <v>43768.833333333336</v>
      </c>
    </row>
    <row r="2332" spans="1:8" x14ac:dyDescent="0.25">
      <c r="A2332">
        <v>6</v>
      </c>
      <c r="B2332" t="s">
        <v>43</v>
      </c>
      <c r="C2332">
        <v>5</v>
      </c>
      <c r="D2332">
        <v>0</v>
      </c>
      <c r="E2332">
        <v>0</v>
      </c>
      <c r="F2332">
        <v>128.44999999999999</v>
      </c>
      <c r="G2332">
        <v>125848.63</v>
      </c>
      <c r="H2332" s="14">
        <v>43768.833333333336</v>
      </c>
    </row>
    <row r="2333" spans="1:8" x14ac:dyDescent="0.25">
      <c r="A2333">
        <v>6</v>
      </c>
      <c r="B2333" t="s">
        <v>43</v>
      </c>
      <c r="C2333">
        <v>6</v>
      </c>
      <c r="D2333">
        <v>0</v>
      </c>
      <c r="E2333">
        <v>0</v>
      </c>
      <c r="F2333">
        <v>132.59</v>
      </c>
      <c r="G2333">
        <v>124197.35</v>
      </c>
      <c r="H2333" s="14">
        <v>43768.833333333336</v>
      </c>
    </row>
    <row r="2334" spans="1:8" x14ac:dyDescent="0.25">
      <c r="A2334">
        <v>6</v>
      </c>
      <c r="B2334" t="s">
        <v>43</v>
      </c>
      <c r="C2334">
        <v>7</v>
      </c>
      <c r="D2334">
        <v>0</v>
      </c>
      <c r="E2334">
        <v>0</v>
      </c>
      <c r="F2334">
        <v>128.1</v>
      </c>
      <c r="G2334">
        <v>124553.38</v>
      </c>
      <c r="H2334" s="14">
        <v>43768.833333333336</v>
      </c>
    </row>
    <row r="2335" spans="1:8" x14ac:dyDescent="0.25">
      <c r="A2335">
        <v>6</v>
      </c>
      <c r="B2335" t="s">
        <v>43</v>
      </c>
      <c r="C2335">
        <v>8</v>
      </c>
      <c r="D2335">
        <v>0</v>
      </c>
      <c r="E2335">
        <v>0</v>
      </c>
      <c r="F2335">
        <v>128.49</v>
      </c>
      <c r="G2335">
        <v>124831.57</v>
      </c>
      <c r="H2335" s="14">
        <v>43768.833333333336</v>
      </c>
    </row>
    <row r="2336" spans="1:8" x14ac:dyDescent="0.25">
      <c r="A2336">
        <v>6</v>
      </c>
      <c r="B2336" t="s">
        <v>43</v>
      </c>
      <c r="C2336">
        <v>9</v>
      </c>
      <c r="D2336">
        <v>0</v>
      </c>
      <c r="E2336">
        <v>0</v>
      </c>
      <c r="F2336">
        <v>42.28</v>
      </c>
      <c r="G2336">
        <v>43056.480000000003</v>
      </c>
      <c r="H2336" s="14">
        <v>43768.833333333336</v>
      </c>
    </row>
    <row r="2337" spans="1:8" x14ac:dyDescent="0.25">
      <c r="A2337">
        <v>8</v>
      </c>
      <c r="B2337" t="s">
        <v>54</v>
      </c>
      <c r="C2337">
        <v>1</v>
      </c>
      <c r="D2337">
        <v>0</v>
      </c>
      <c r="E2337">
        <v>0</v>
      </c>
      <c r="F2337">
        <v>113.02</v>
      </c>
      <c r="G2337">
        <v>124568.43</v>
      </c>
      <c r="H2337" s="14">
        <v>43768.833333333336</v>
      </c>
    </row>
    <row r="2338" spans="1:8" x14ac:dyDescent="0.25">
      <c r="A2338">
        <v>8</v>
      </c>
      <c r="B2338" t="s">
        <v>54</v>
      </c>
      <c r="C2338">
        <v>2</v>
      </c>
      <c r="D2338">
        <v>0</v>
      </c>
      <c r="E2338">
        <v>0</v>
      </c>
      <c r="F2338">
        <v>157.34</v>
      </c>
      <c r="G2338">
        <v>136999.06</v>
      </c>
      <c r="H2338" s="14">
        <v>43768.833333333336</v>
      </c>
    </row>
    <row r="2339" spans="1:8" x14ac:dyDescent="0.25">
      <c r="A2339">
        <v>8</v>
      </c>
      <c r="B2339" t="s">
        <v>54</v>
      </c>
      <c r="C2339">
        <v>3</v>
      </c>
      <c r="D2339">
        <v>0</v>
      </c>
      <c r="E2339">
        <v>0</v>
      </c>
      <c r="F2339">
        <v>109.07</v>
      </c>
      <c r="G2339">
        <v>123940.14</v>
      </c>
      <c r="H2339" s="14">
        <v>43768.833333333336</v>
      </c>
    </row>
    <row r="2340" spans="1:8" x14ac:dyDescent="0.25">
      <c r="A2340">
        <v>8</v>
      </c>
      <c r="B2340" t="s">
        <v>54</v>
      </c>
      <c r="C2340">
        <v>4</v>
      </c>
      <c r="D2340">
        <v>0</v>
      </c>
      <c r="E2340">
        <v>0</v>
      </c>
      <c r="F2340">
        <v>154.46</v>
      </c>
      <c r="G2340">
        <v>136225.62</v>
      </c>
      <c r="H2340" s="14">
        <v>43768.833333333336</v>
      </c>
    </row>
    <row r="2341" spans="1:8" x14ac:dyDescent="0.25">
      <c r="A2341">
        <v>8</v>
      </c>
      <c r="B2341" t="s">
        <v>54</v>
      </c>
      <c r="C2341">
        <v>5</v>
      </c>
      <c r="D2341">
        <v>0</v>
      </c>
      <c r="E2341">
        <v>0</v>
      </c>
      <c r="F2341">
        <v>112.19</v>
      </c>
      <c r="G2341">
        <v>118166.14</v>
      </c>
      <c r="H2341" s="14">
        <v>43768.833333333336</v>
      </c>
    </row>
    <row r="2342" spans="1:8" x14ac:dyDescent="0.25">
      <c r="A2342">
        <v>8</v>
      </c>
      <c r="B2342" t="s">
        <v>54</v>
      </c>
      <c r="C2342">
        <v>6</v>
      </c>
      <c r="D2342">
        <v>0</v>
      </c>
      <c r="E2342">
        <v>0</v>
      </c>
      <c r="F2342">
        <v>148.52000000000001</v>
      </c>
      <c r="G2342">
        <v>128751.89</v>
      </c>
      <c r="H2342" s="14">
        <v>43768.833333333336</v>
      </c>
    </row>
    <row r="2343" spans="1:8" x14ac:dyDescent="0.25">
      <c r="A2343">
        <v>8</v>
      </c>
      <c r="B2343" t="s">
        <v>54</v>
      </c>
      <c r="C2343">
        <v>7</v>
      </c>
      <c r="D2343">
        <v>0</v>
      </c>
      <c r="E2343">
        <v>0</v>
      </c>
      <c r="F2343">
        <v>108.94</v>
      </c>
      <c r="G2343">
        <v>117420.64</v>
      </c>
      <c r="H2343" s="14">
        <v>43768.833333333336</v>
      </c>
    </row>
    <row r="2344" spans="1:8" x14ac:dyDescent="0.25">
      <c r="A2344">
        <v>8</v>
      </c>
      <c r="B2344" t="s">
        <v>54</v>
      </c>
      <c r="C2344">
        <v>8</v>
      </c>
      <c r="D2344">
        <v>0</v>
      </c>
      <c r="E2344">
        <v>0</v>
      </c>
      <c r="F2344">
        <v>100.95</v>
      </c>
      <c r="G2344">
        <v>87696</v>
      </c>
      <c r="H2344" s="14">
        <v>43768.833333333336</v>
      </c>
    </row>
    <row r="2345" spans="1:8" x14ac:dyDescent="0.25">
      <c r="A2345">
        <v>8</v>
      </c>
      <c r="B2345" t="s">
        <v>54</v>
      </c>
      <c r="C2345">
        <v>9</v>
      </c>
      <c r="D2345">
        <v>0</v>
      </c>
      <c r="E2345">
        <v>0</v>
      </c>
      <c r="F2345">
        <v>100.6</v>
      </c>
      <c r="G2345">
        <v>91694.26</v>
      </c>
      <c r="H2345" s="14">
        <v>43768.833333333336</v>
      </c>
    </row>
    <row r="2346" spans="1:8" x14ac:dyDescent="0.25">
      <c r="A2346">
        <v>8</v>
      </c>
      <c r="B2346" t="s">
        <v>54</v>
      </c>
      <c r="C2346">
        <v>10</v>
      </c>
      <c r="D2346">
        <v>0</v>
      </c>
      <c r="E2346">
        <v>0</v>
      </c>
      <c r="F2346">
        <v>71.489999999999995</v>
      </c>
      <c r="G2346">
        <v>85248.09</v>
      </c>
      <c r="H2346" s="14">
        <v>43768.833333333336</v>
      </c>
    </row>
    <row r="2347" spans="1:8" x14ac:dyDescent="0.25">
      <c r="A2347">
        <v>8</v>
      </c>
      <c r="B2347" t="s">
        <v>54</v>
      </c>
      <c r="C2347">
        <v>11</v>
      </c>
      <c r="D2347">
        <v>0</v>
      </c>
      <c r="E2347">
        <v>0</v>
      </c>
      <c r="F2347">
        <v>102.22</v>
      </c>
      <c r="G2347">
        <v>94178.38</v>
      </c>
      <c r="H2347" s="14">
        <v>43768.833333333336</v>
      </c>
    </row>
    <row r="2348" spans="1:8" x14ac:dyDescent="0.25">
      <c r="A2348">
        <v>9</v>
      </c>
      <c r="B2348" t="s">
        <v>60</v>
      </c>
      <c r="C2348">
        <v>1</v>
      </c>
      <c r="D2348">
        <v>0</v>
      </c>
      <c r="E2348">
        <v>0</v>
      </c>
      <c r="F2348">
        <v>21.52</v>
      </c>
      <c r="G2348">
        <v>20667.11</v>
      </c>
      <c r="H2348" s="14">
        <v>43768.833333333336</v>
      </c>
    </row>
    <row r="2349" spans="1:8" x14ac:dyDescent="0.25">
      <c r="A2349">
        <v>9</v>
      </c>
      <c r="B2349" t="s">
        <v>60</v>
      </c>
      <c r="C2349">
        <v>2</v>
      </c>
      <c r="D2349">
        <v>0</v>
      </c>
      <c r="E2349">
        <v>0</v>
      </c>
      <c r="F2349">
        <v>21.17</v>
      </c>
      <c r="G2349">
        <v>20455.12</v>
      </c>
      <c r="H2349" s="14">
        <v>43768.833333333336</v>
      </c>
    </row>
    <row r="2350" spans="1:8" x14ac:dyDescent="0.25">
      <c r="A2350">
        <v>9</v>
      </c>
      <c r="B2350" t="s">
        <v>60</v>
      </c>
      <c r="C2350">
        <v>3</v>
      </c>
      <c r="D2350">
        <v>0</v>
      </c>
      <c r="E2350">
        <v>0</v>
      </c>
      <c r="F2350">
        <v>21.28</v>
      </c>
      <c r="G2350">
        <v>21172.61</v>
      </c>
      <c r="H2350" s="14">
        <v>43768.833333333336</v>
      </c>
    </row>
    <row r="2351" spans="1:8" x14ac:dyDescent="0.25">
      <c r="A2351">
        <v>9</v>
      </c>
      <c r="B2351" t="s">
        <v>60</v>
      </c>
      <c r="C2351">
        <v>4</v>
      </c>
      <c r="D2351">
        <v>0</v>
      </c>
      <c r="E2351">
        <v>0</v>
      </c>
      <c r="F2351">
        <v>21.39</v>
      </c>
      <c r="G2351">
        <v>21195.06</v>
      </c>
      <c r="H2351" s="14">
        <v>43768.833333333336</v>
      </c>
    </row>
    <row r="2352" spans="1:8" x14ac:dyDescent="0.25">
      <c r="A2352">
        <v>9</v>
      </c>
      <c r="B2352" t="s">
        <v>60</v>
      </c>
      <c r="C2352">
        <v>5</v>
      </c>
      <c r="D2352">
        <v>0</v>
      </c>
      <c r="E2352">
        <v>0</v>
      </c>
      <c r="F2352">
        <v>21.15</v>
      </c>
      <c r="G2352">
        <v>18685.849999999999</v>
      </c>
      <c r="H2352" s="14">
        <v>43768.833333333336</v>
      </c>
    </row>
    <row r="2353" spans="1:8" x14ac:dyDescent="0.25">
      <c r="A2353">
        <v>9</v>
      </c>
      <c r="B2353" t="s">
        <v>60</v>
      </c>
      <c r="C2353">
        <v>6</v>
      </c>
      <c r="D2353">
        <v>0</v>
      </c>
      <c r="E2353">
        <v>0</v>
      </c>
      <c r="F2353">
        <v>20.75</v>
      </c>
      <c r="G2353">
        <v>18109.22</v>
      </c>
      <c r="H2353" s="14">
        <v>43768.833333333336</v>
      </c>
    </row>
    <row r="2354" spans="1:8" x14ac:dyDescent="0.25">
      <c r="A2354">
        <v>9</v>
      </c>
      <c r="B2354" t="s">
        <v>60</v>
      </c>
      <c r="C2354">
        <v>7</v>
      </c>
      <c r="D2354">
        <v>0</v>
      </c>
      <c r="E2354">
        <v>0</v>
      </c>
      <c r="F2354">
        <v>19.91</v>
      </c>
      <c r="G2354">
        <v>20464.169999999998</v>
      </c>
      <c r="H2354" s="14">
        <v>43768.833333333336</v>
      </c>
    </row>
    <row r="2355" spans="1:8" x14ac:dyDescent="0.25">
      <c r="A2355">
        <v>9</v>
      </c>
      <c r="B2355" t="s">
        <v>60</v>
      </c>
      <c r="C2355">
        <v>8</v>
      </c>
      <c r="D2355">
        <v>0</v>
      </c>
      <c r="E2355">
        <v>0</v>
      </c>
      <c r="F2355">
        <v>18.149999999999999</v>
      </c>
      <c r="G2355">
        <v>18970.13</v>
      </c>
      <c r="H2355" s="14">
        <v>43768.833333333336</v>
      </c>
    </row>
    <row r="2356" spans="1:8" x14ac:dyDescent="0.25">
      <c r="A2356">
        <v>9</v>
      </c>
      <c r="B2356" t="s">
        <v>60</v>
      </c>
      <c r="C2356">
        <v>9</v>
      </c>
      <c r="D2356">
        <v>0</v>
      </c>
      <c r="E2356">
        <v>0</v>
      </c>
      <c r="F2356">
        <v>22.49</v>
      </c>
      <c r="G2356">
        <v>21013.77</v>
      </c>
      <c r="H2356" s="14">
        <v>43768.833333333336</v>
      </c>
    </row>
    <row r="2357" spans="1:8" x14ac:dyDescent="0.25">
      <c r="A2357">
        <v>9</v>
      </c>
      <c r="B2357" t="s">
        <v>60</v>
      </c>
      <c r="C2357">
        <v>10</v>
      </c>
      <c r="D2357">
        <v>0</v>
      </c>
      <c r="E2357">
        <v>0</v>
      </c>
      <c r="F2357">
        <v>22.65</v>
      </c>
      <c r="G2357">
        <v>22189.03</v>
      </c>
      <c r="H2357" s="14">
        <v>43768.833333333336</v>
      </c>
    </row>
    <row r="2358" spans="1:8" x14ac:dyDescent="0.25">
      <c r="A2358">
        <v>9</v>
      </c>
      <c r="B2358" t="s">
        <v>60</v>
      </c>
      <c r="C2358">
        <v>11</v>
      </c>
      <c r="D2358">
        <v>0</v>
      </c>
      <c r="E2358">
        <v>0</v>
      </c>
      <c r="F2358">
        <v>22.42</v>
      </c>
      <c r="G2358">
        <v>21540.12</v>
      </c>
      <c r="H2358" s="14">
        <v>43768.833333333336</v>
      </c>
    </row>
    <row r="2359" spans="1:8" x14ac:dyDescent="0.25">
      <c r="A2359">
        <v>9</v>
      </c>
      <c r="B2359" t="s">
        <v>60</v>
      </c>
      <c r="C2359">
        <v>12</v>
      </c>
      <c r="D2359">
        <v>0</v>
      </c>
      <c r="E2359">
        <v>0</v>
      </c>
      <c r="F2359">
        <v>22.21</v>
      </c>
      <c r="G2359">
        <v>21192.41</v>
      </c>
      <c r="H2359" s="14">
        <v>43768.833333333336</v>
      </c>
    </row>
    <row r="2360" spans="1:8" x14ac:dyDescent="0.25">
      <c r="A2360">
        <v>9</v>
      </c>
      <c r="B2360" t="s">
        <v>60</v>
      </c>
      <c r="C2360">
        <v>13</v>
      </c>
      <c r="D2360">
        <v>0</v>
      </c>
      <c r="E2360">
        <v>0</v>
      </c>
      <c r="F2360">
        <v>22.65</v>
      </c>
      <c r="G2360">
        <v>21264.47</v>
      </c>
      <c r="H2360" s="14">
        <v>43768.833333333336</v>
      </c>
    </row>
    <row r="2361" spans="1:8" x14ac:dyDescent="0.25">
      <c r="A2361">
        <v>9</v>
      </c>
      <c r="B2361" t="s">
        <v>60</v>
      </c>
      <c r="C2361">
        <v>14</v>
      </c>
      <c r="D2361">
        <v>0</v>
      </c>
      <c r="E2361">
        <v>0</v>
      </c>
      <c r="F2361">
        <v>22.36</v>
      </c>
      <c r="G2361">
        <v>21800.21</v>
      </c>
      <c r="H2361" s="14">
        <v>43768.833333333336</v>
      </c>
    </row>
    <row r="2362" spans="1:8" x14ac:dyDescent="0.25">
      <c r="A2362">
        <v>9</v>
      </c>
      <c r="B2362" t="s">
        <v>60</v>
      </c>
      <c r="C2362">
        <v>15</v>
      </c>
      <c r="D2362">
        <v>0</v>
      </c>
      <c r="E2362">
        <v>0</v>
      </c>
      <c r="F2362">
        <v>22.65</v>
      </c>
      <c r="G2362">
        <v>21636.23</v>
      </c>
      <c r="H2362" s="14">
        <v>43768.833333333336</v>
      </c>
    </row>
    <row r="2363" spans="1:8" x14ac:dyDescent="0.25">
      <c r="A2363">
        <v>9</v>
      </c>
      <c r="B2363" t="s">
        <v>60</v>
      </c>
      <c r="C2363">
        <v>16</v>
      </c>
      <c r="D2363">
        <v>0</v>
      </c>
      <c r="E2363">
        <v>0</v>
      </c>
      <c r="F2363">
        <v>22.79</v>
      </c>
      <c r="G2363">
        <v>21654.28</v>
      </c>
      <c r="H2363" s="14">
        <v>43768.833333333336</v>
      </c>
    </row>
    <row r="2364" spans="1:8" x14ac:dyDescent="0.25">
      <c r="A2364">
        <v>9</v>
      </c>
      <c r="B2364" t="s">
        <v>60</v>
      </c>
      <c r="C2364">
        <v>17</v>
      </c>
      <c r="D2364">
        <v>0</v>
      </c>
      <c r="E2364">
        <v>0</v>
      </c>
      <c r="F2364">
        <v>21.08</v>
      </c>
      <c r="G2364">
        <v>20938.78</v>
      </c>
      <c r="H2364" s="14">
        <v>43768.833333333336</v>
      </c>
    </row>
    <row r="2365" spans="1:8" x14ac:dyDescent="0.25">
      <c r="A2365">
        <v>10</v>
      </c>
      <c r="B2365" t="s">
        <v>63</v>
      </c>
      <c r="C2365">
        <v>1</v>
      </c>
      <c r="D2365">
        <v>0</v>
      </c>
      <c r="E2365">
        <v>0</v>
      </c>
      <c r="F2365">
        <v>97.16</v>
      </c>
      <c r="G2365">
        <v>113838.98</v>
      </c>
      <c r="H2365" s="14">
        <v>43768.833333333336</v>
      </c>
    </row>
    <row r="2366" spans="1:8" x14ac:dyDescent="0.25">
      <c r="A2366">
        <v>10</v>
      </c>
      <c r="B2366" t="s">
        <v>63</v>
      </c>
      <c r="C2366">
        <v>2</v>
      </c>
      <c r="D2366">
        <v>0</v>
      </c>
      <c r="E2366">
        <v>0</v>
      </c>
      <c r="F2366">
        <v>152.6</v>
      </c>
      <c r="G2366">
        <v>136697.91</v>
      </c>
      <c r="H2366" s="14">
        <v>43768.833333333336</v>
      </c>
    </row>
    <row r="2367" spans="1:8" x14ac:dyDescent="0.25">
      <c r="A2367">
        <v>10</v>
      </c>
      <c r="B2367" t="s">
        <v>63</v>
      </c>
      <c r="C2367">
        <v>3</v>
      </c>
      <c r="D2367">
        <v>0</v>
      </c>
      <c r="E2367">
        <v>0</v>
      </c>
      <c r="F2367">
        <v>0</v>
      </c>
      <c r="G2367">
        <v>84460.68</v>
      </c>
      <c r="H2367" s="14">
        <v>43768.833333333336</v>
      </c>
    </row>
    <row r="2368" spans="1:8" x14ac:dyDescent="0.25">
      <c r="A2368">
        <v>10</v>
      </c>
      <c r="B2368" t="s">
        <v>63</v>
      </c>
      <c r="C2368">
        <v>4</v>
      </c>
      <c r="D2368">
        <v>0</v>
      </c>
      <c r="E2368">
        <v>0</v>
      </c>
      <c r="F2368">
        <v>97.11</v>
      </c>
      <c r="G2368">
        <v>115550.84</v>
      </c>
      <c r="H2368" s="14">
        <v>43768.833333333336</v>
      </c>
    </row>
    <row r="2369" spans="1:8" x14ac:dyDescent="0.25">
      <c r="A2369">
        <v>10</v>
      </c>
      <c r="B2369" t="s">
        <v>63</v>
      </c>
      <c r="C2369">
        <v>5</v>
      </c>
      <c r="D2369">
        <v>0</v>
      </c>
      <c r="E2369">
        <v>0</v>
      </c>
      <c r="F2369">
        <v>152.44999999999999</v>
      </c>
      <c r="G2369">
        <v>134642.28</v>
      </c>
      <c r="H2369" s="14">
        <v>43768.833333333336</v>
      </c>
    </row>
    <row r="2370" spans="1:8" x14ac:dyDescent="0.25">
      <c r="A2370">
        <v>10</v>
      </c>
      <c r="B2370" t="s">
        <v>63</v>
      </c>
      <c r="C2370">
        <v>6</v>
      </c>
      <c r="D2370">
        <v>0</v>
      </c>
      <c r="E2370">
        <v>0</v>
      </c>
      <c r="F2370">
        <v>83.17</v>
      </c>
      <c r="G2370">
        <v>88016.320000000007</v>
      </c>
      <c r="H2370" s="14">
        <v>43768.833333333336</v>
      </c>
    </row>
    <row r="2371" spans="1:8" x14ac:dyDescent="0.25">
      <c r="A2371">
        <v>10</v>
      </c>
      <c r="B2371" t="s">
        <v>63</v>
      </c>
      <c r="C2371">
        <v>7</v>
      </c>
      <c r="D2371">
        <v>0</v>
      </c>
      <c r="E2371">
        <v>0</v>
      </c>
      <c r="F2371">
        <v>81.94</v>
      </c>
      <c r="G2371">
        <v>114272.41</v>
      </c>
      <c r="H2371" s="14">
        <v>43768.833333333336</v>
      </c>
    </row>
    <row r="2372" spans="1:8" x14ac:dyDescent="0.25">
      <c r="A2372">
        <v>10</v>
      </c>
      <c r="B2372" t="s">
        <v>63</v>
      </c>
      <c r="C2372">
        <v>8</v>
      </c>
      <c r="D2372">
        <v>0</v>
      </c>
      <c r="E2372">
        <v>0</v>
      </c>
      <c r="F2372">
        <v>128.94</v>
      </c>
      <c r="G2372">
        <v>128626.44</v>
      </c>
      <c r="H2372" s="14">
        <v>43768.833333333336</v>
      </c>
    </row>
    <row r="2373" spans="1:8" x14ac:dyDescent="0.25">
      <c r="A2373">
        <v>10</v>
      </c>
      <c r="B2373" t="s">
        <v>63</v>
      </c>
      <c r="C2373">
        <v>9</v>
      </c>
      <c r="D2373">
        <v>0</v>
      </c>
      <c r="E2373">
        <v>0</v>
      </c>
      <c r="F2373">
        <v>85.5</v>
      </c>
      <c r="G2373">
        <v>49011.28</v>
      </c>
      <c r="H2373" s="14">
        <v>43768.833333333336</v>
      </c>
    </row>
    <row r="2374" spans="1:8" x14ac:dyDescent="0.25">
      <c r="A2374">
        <v>11</v>
      </c>
      <c r="B2374" t="s">
        <v>66</v>
      </c>
      <c r="C2374">
        <v>1</v>
      </c>
      <c r="D2374">
        <v>0</v>
      </c>
      <c r="E2374">
        <v>0</v>
      </c>
      <c r="F2374">
        <v>74.2</v>
      </c>
      <c r="G2374">
        <v>81414.77</v>
      </c>
      <c r="H2374" s="14">
        <v>43768.833333333336</v>
      </c>
    </row>
    <row r="2375" spans="1:8" x14ac:dyDescent="0.25">
      <c r="A2375">
        <v>11</v>
      </c>
      <c r="B2375" t="s">
        <v>66</v>
      </c>
      <c r="C2375">
        <v>2</v>
      </c>
      <c r="D2375">
        <v>0</v>
      </c>
      <c r="E2375">
        <v>0</v>
      </c>
      <c r="F2375">
        <v>111.07</v>
      </c>
      <c r="G2375">
        <v>121466.17</v>
      </c>
      <c r="H2375" s="14">
        <v>43768.833333333336</v>
      </c>
    </row>
    <row r="2376" spans="1:8" x14ac:dyDescent="0.25">
      <c r="A2376">
        <v>11</v>
      </c>
      <c r="B2376" t="s">
        <v>66</v>
      </c>
      <c r="C2376">
        <v>3</v>
      </c>
      <c r="D2376">
        <v>0</v>
      </c>
      <c r="E2376">
        <v>0</v>
      </c>
      <c r="F2376">
        <v>111.62</v>
      </c>
      <c r="G2376">
        <v>120552.55</v>
      </c>
      <c r="H2376" s="14">
        <v>43768.833333333336</v>
      </c>
    </row>
    <row r="2377" spans="1:8" x14ac:dyDescent="0.25">
      <c r="A2377">
        <v>11</v>
      </c>
      <c r="B2377" t="s">
        <v>66</v>
      </c>
      <c r="C2377">
        <v>4</v>
      </c>
      <c r="D2377">
        <v>0</v>
      </c>
      <c r="E2377">
        <v>0</v>
      </c>
      <c r="F2377">
        <v>116.96</v>
      </c>
      <c r="G2377">
        <v>123297.71</v>
      </c>
      <c r="H2377" s="14">
        <v>43768.833333333336</v>
      </c>
    </row>
    <row r="2378" spans="1:8" x14ac:dyDescent="0.25">
      <c r="A2378">
        <v>11</v>
      </c>
      <c r="B2378" t="s">
        <v>66</v>
      </c>
      <c r="C2378">
        <v>5</v>
      </c>
      <c r="D2378">
        <v>0</v>
      </c>
      <c r="E2378">
        <v>0</v>
      </c>
      <c r="F2378">
        <v>126.98</v>
      </c>
      <c r="G2378">
        <v>124374.79</v>
      </c>
      <c r="H2378" s="14">
        <v>43768.833333333336</v>
      </c>
    </row>
    <row r="2379" spans="1:8" x14ac:dyDescent="0.25">
      <c r="A2379">
        <v>11</v>
      </c>
      <c r="B2379" t="s">
        <v>66</v>
      </c>
      <c r="C2379">
        <v>6</v>
      </c>
      <c r="D2379">
        <v>0</v>
      </c>
      <c r="E2379">
        <v>0</v>
      </c>
      <c r="F2379">
        <v>103.2</v>
      </c>
      <c r="G2379">
        <v>101145.57</v>
      </c>
      <c r="H2379" s="14">
        <v>43768.833333333336</v>
      </c>
    </row>
    <row r="2380" spans="1:8" x14ac:dyDescent="0.25">
      <c r="A2380">
        <v>11</v>
      </c>
      <c r="B2380" t="s">
        <v>66</v>
      </c>
      <c r="C2380">
        <v>7</v>
      </c>
      <c r="D2380">
        <v>0</v>
      </c>
      <c r="E2380">
        <v>0</v>
      </c>
      <c r="F2380">
        <v>96.43</v>
      </c>
      <c r="G2380">
        <v>101721.87</v>
      </c>
      <c r="H2380" s="14">
        <v>43768.833333333336</v>
      </c>
    </row>
    <row r="2381" spans="1:8" x14ac:dyDescent="0.25">
      <c r="A2381">
        <v>11</v>
      </c>
      <c r="B2381" t="s">
        <v>66</v>
      </c>
      <c r="C2381">
        <v>8</v>
      </c>
      <c r="D2381">
        <v>0</v>
      </c>
      <c r="E2381">
        <v>0</v>
      </c>
      <c r="F2381">
        <v>111.34</v>
      </c>
      <c r="G2381">
        <v>111980.21</v>
      </c>
      <c r="H2381" s="14">
        <v>43768.833333333336</v>
      </c>
    </row>
    <row r="2382" spans="1:8" x14ac:dyDescent="0.25">
      <c r="A2382">
        <v>11</v>
      </c>
      <c r="B2382" t="s">
        <v>66</v>
      </c>
      <c r="C2382">
        <v>9</v>
      </c>
      <c r="D2382">
        <v>0</v>
      </c>
      <c r="E2382">
        <v>0</v>
      </c>
      <c r="F2382">
        <v>88.81</v>
      </c>
      <c r="G2382">
        <v>112615.32</v>
      </c>
      <c r="H2382" s="14">
        <v>43768.833333333336</v>
      </c>
    </row>
    <row r="2383" spans="1:8" x14ac:dyDescent="0.25">
      <c r="A2383">
        <v>11</v>
      </c>
      <c r="B2383" t="s">
        <v>66</v>
      </c>
      <c r="C2383">
        <v>10</v>
      </c>
      <c r="D2383">
        <v>0</v>
      </c>
      <c r="E2383">
        <v>0</v>
      </c>
      <c r="F2383">
        <v>115.33</v>
      </c>
      <c r="G2383">
        <v>120121.06</v>
      </c>
      <c r="H2383" s="14">
        <v>43768.833333333336</v>
      </c>
    </row>
    <row r="2384" spans="1:8" x14ac:dyDescent="0.25">
      <c r="A2384">
        <v>11</v>
      </c>
      <c r="B2384" t="s">
        <v>66</v>
      </c>
      <c r="C2384">
        <v>11</v>
      </c>
      <c r="D2384">
        <v>0</v>
      </c>
      <c r="E2384">
        <v>0</v>
      </c>
      <c r="F2384">
        <v>124.05</v>
      </c>
      <c r="G2384">
        <v>125637.72</v>
      </c>
      <c r="H2384" s="14">
        <v>43768.833333333336</v>
      </c>
    </row>
    <row r="2385" spans="1:8" x14ac:dyDescent="0.25">
      <c r="A2385">
        <v>12</v>
      </c>
      <c r="B2385" t="s">
        <v>69</v>
      </c>
      <c r="C2385">
        <v>1</v>
      </c>
      <c r="D2385">
        <v>0</v>
      </c>
      <c r="E2385">
        <v>0</v>
      </c>
      <c r="F2385">
        <v>120.43</v>
      </c>
      <c r="G2385">
        <v>123620.34</v>
      </c>
      <c r="H2385" s="14">
        <v>43768.833333333336</v>
      </c>
    </row>
    <row r="2386" spans="1:8" x14ac:dyDescent="0.25">
      <c r="A2386">
        <v>12</v>
      </c>
      <c r="B2386" t="s">
        <v>69</v>
      </c>
      <c r="C2386">
        <v>2</v>
      </c>
      <c r="D2386">
        <v>0</v>
      </c>
      <c r="E2386">
        <v>0</v>
      </c>
      <c r="F2386">
        <v>130.28</v>
      </c>
      <c r="G2386">
        <v>132223.10999999999</v>
      </c>
      <c r="H2386" s="14">
        <v>43768.833333333336</v>
      </c>
    </row>
    <row r="2387" spans="1:8" x14ac:dyDescent="0.25">
      <c r="A2387">
        <v>12</v>
      </c>
      <c r="B2387" t="s">
        <v>69</v>
      </c>
      <c r="C2387">
        <v>3</v>
      </c>
      <c r="D2387">
        <v>0</v>
      </c>
      <c r="E2387">
        <v>0</v>
      </c>
      <c r="F2387">
        <v>68.7</v>
      </c>
      <c r="G2387">
        <v>88517.15</v>
      </c>
      <c r="H2387" s="14">
        <v>43768.833333333336</v>
      </c>
    </row>
    <row r="2388" spans="1:8" x14ac:dyDescent="0.25">
      <c r="A2388">
        <v>12</v>
      </c>
      <c r="B2388" t="s">
        <v>69</v>
      </c>
      <c r="C2388">
        <v>4</v>
      </c>
      <c r="D2388">
        <v>0</v>
      </c>
      <c r="E2388">
        <v>0</v>
      </c>
      <c r="F2388">
        <v>74.05</v>
      </c>
      <c r="G2388">
        <v>88943.98</v>
      </c>
      <c r="H2388" s="14">
        <v>43768.833333333336</v>
      </c>
    </row>
    <row r="2389" spans="1:8" x14ac:dyDescent="0.25">
      <c r="A2389">
        <v>12</v>
      </c>
      <c r="B2389" t="s">
        <v>69</v>
      </c>
      <c r="C2389">
        <v>5</v>
      </c>
      <c r="D2389">
        <v>0</v>
      </c>
      <c r="E2389">
        <v>0</v>
      </c>
      <c r="F2389">
        <v>65.040000000000006</v>
      </c>
      <c r="G2389">
        <v>84642.52</v>
      </c>
      <c r="H2389" s="14">
        <v>43768.833333333336</v>
      </c>
    </row>
    <row r="2390" spans="1:8" x14ac:dyDescent="0.25">
      <c r="A2390">
        <v>12</v>
      </c>
      <c r="B2390" t="s">
        <v>69</v>
      </c>
      <c r="C2390">
        <v>6</v>
      </c>
      <c r="D2390">
        <v>0</v>
      </c>
      <c r="E2390">
        <v>0</v>
      </c>
      <c r="F2390">
        <v>130.97</v>
      </c>
      <c r="G2390">
        <v>136864.31</v>
      </c>
      <c r="H2390" s="14">
        <v>43768.833333333336</v>
      </c>
    </row>
    <row r="2391" spans="1:8" x14ac:dyDescent="0.25">
      <c r="A2391">
        <v>13</v>
      </c>
      <c r="B2391" t="s">
        <v>72</v>
      </c>
      <c r="C2391">
        <v>1</v>
      </c>
      <c r="D2391">
        <v>0</v>
      </c>
      <c r="E2391">
        <v>0</v>
      </c>
      <c r="F2391">
        <v>108.96</v>
      </c>
      <c r="G2391">
        <v>82313.789999999994</v>
      </c>
      <c r="H2391" s="14">
        <v>43768.833333333336</v>
      </c>
    </row>
    <row r="2392" spans="1:8" x14ac:dyDescent="0.25">
      <c r="A2392">
        <v>13</v>
      </c>
      <c r="B2392" t="s">
        <v>72</v>
      </c>
      <c r="C2392">
        <v>2</v>
      </c>
      <c r="D2392">
        <v>0</v>
      </c>
      <c r="E2392">
        <v>0</v>
      </c>
      <c r="F2392">
        <v>109.38</v>
      </c>
      <c r="G2392">
        <v>133311.35999999999</v>
      </c>
      <c r="H2392" s="14">
        <v>43768.833333333336</v>
      </c>
    </row>
    <row r="2393" spans="1:8" x14ac:dyDescent="0.25">
      <c r="A2393">
        <v>13</v>
      </c>
      <c r="B2393" t="s">
        <v>72</v>
      </c>
      <c r="C2393">
        <v>3</v>
      </c>
      <c r="D2393">
        <v>0</v>
      </c>
      <c r="E2393">
        <v>0</v>
      </c>
      <c r="F2393">
        <v>110.67</v>
      </c>
      <c r="G2393">
        <v>133002.16</v>
      </c>
      <c r="H2393" s="14">
        <v>43768.833333333336</v>
      </c>
    </row>
    <row r="2394" spans="1:8" x14ac:dyDescent="0.25">
      <c r="A2394">
        <v>13</v>
      </c>
      <c r="B2394" t="s">
        <v>72</v>
      </c>
      <c r="C2394">
        <v>4</v>
      </c>
      <c r="D2394">
        <v>0</v>
      </c>
      <c r="E2394">
        <v>0</v>
      </c>
      <c r="F2394">
        <v>108.01</v>
      </c>
      <c r="G2394">
        <v>118367.65</v>
      </c>
      <c r="H2394" s="14">
        <v>43768.833333333336</v>
      </c>
    </row>
    <row r="2395" spans="1:8" x14ac:dyDescent="0.25">
      <c r="A2395">
        <v>13</v>
      </c>
      <c r="B2395" t="s">
        <v>72</v>
      </c>
      <c r="C2395">
        <v>5</v>
      </c>
      <c r="D2395">
        <v>0</v>
      </c>
      <c r="E2395">
        <v>0</v>
      </c>
      <c r="F2395">
        <v>108.94</v>
      </c>
      <c r="G2395">
        <v>131680.44</v>
      </c>
      <c r="H2395" s="14">
        <v>43768.833333333336</v>
      </c>
    </row>
    <row r="2396" spans="1:8" x14ac:dyDescent="0.25">
      <c r="A2396">
        <v>13</v>
      </c>
      <c r="B2396" t="s">
        <v>72</v>
      </c>
      <c r="C2396">
        <v>6</v>
      </c>
      <c r="D2396">
        <v>0</v>
      </c>
      <c r="E2396">
        <v>0</v>
      </c>
      <c r="F2396">
        <v>129.88</v>
      </c>
      <c r="G2396">
        <v>139933.19</v>
      </c>
      <c r="H2396" s="14">
        <v>43768.833333333336</v>
      </c>
    </row>
    <row r="2397" spans="1:8" x14ac:dyDescent="0.25">
      <c r="A2397">
        <v>13</v>
      </c>
      <c r="B2397" t="s">
        <v>72</v>
      </c>
      <c r="C2397">
        <v>7</v>
      </c>
      <c r="D2397">
        <v>0</v>
      </c>
      <c r="E2397">
        <v>0</v>
      </c>
      <c r="F2397">
        <v>108.74</v>
      </c>
      <c r="G2397">
        <v>128853.75</v>
      </c>
      <c r="H2397" s="14">
        <v>43768.833333333336</v>
      </c>
    </row>
    <row r="2398" spans="1:8" x14ac:dyDescent="0.25">
      <c r="A2398">
        <v>13</v>
      </c>
      <c r="B2398" t="s">
        <v>72</v>
      </c>
      <c r="C2398">
        <v>8</v>
      </c>
      <c r="D2398">
        <v>0</v>
      </c>
      <c r="E2398">
        <v>0</v>
      </c>
      <c r="F2398">
        <v>108.78</v>
      </c>
      <c r="G2398">
        <v>131534.88</v>
      </c>
      <c r="H2398" s="14">
        <v>43768.833333333336</v>
      </c>
    </row>
    <row r="2399" spans="1:8" x14ac:dyDescent="0.25">
      <c r="A2399">
        <v>13</v>
      </c>
      <c r="B2399" t="s">
        <v>72</v>
      </c>
      <c r="C2399">
        <v>9</v>
      </c>
      <c r="D2399">
        <v>0</v>
      </c>
      <c r="E2399">
        <v>0</v>
      </c>
      <c r="F2399">
        <v>107.75</v>
      </c>
      <c r="G2399">
        <v>130599.16</v>
      </c>
      <c r="H2399" s="14">
        <v>43768.833333333336</v>
      </c>
    </row>
    <row r="2400" spans="1:8" x14ac:dyDescent="0.25">
      <c r="A2400">
        <v>13</v>
      </c>
      <c r="B2400" t="s">
        <v>72</v>
      </c>
      <c r="C2400">
        <v>10</v>
      </c>
      <c r="D2400">
        <v>0</v>
      </c>
      <c r="E2400">
        <v>0</v>
      </c>
      <c r="F2400">
        <v>109.44</v>
      </c>
      <c r="G2400">
        <v>133646.95000000001</v>
      </c>
      <c r="H2400" s="14">
        <v>43768.833333333336</v>
      </c>
    </row>
    <row r="2401" spans="1:8" x14ac:dyDescent="0.25">
      <c r="A2401">
        <v>13</v>
      </c>
      <c r="B2401" t="s">
        <v>72</v>
      </c>
      <c r="C2401">
        <v>11</v>
      </c>
      <c r="D2401">
        <v>0</v>
      </c>
      <c r="E2401">
        <v>0</v>
      </c>
      <c r="F2401">
        <v>108.63</v>
      </c>
      <c r="G2401">
        <v>74577.820000000007</v>
      </c>
      <c r="H2401" s="14">
        <v>43768.833333333336</v>
      </c>
    </row>
    <row r="2402" spans="1:8" x14ac:dyDescent="0.25">
      <c r="A2402">
        <v>13</v>
      </c>
      <c r="B2402" t="s">
        <v>72</v>
      </c>
      <c r="C2402">
        <v>12</v>
      </c>
      <c r="D2402">
        <v>0</v>
      </c>
      <c r="E2402">
        <v>0</v>
      </c>
      <c r="F2402">
        <v>108.97</v>
      </c>
      <c r="G2402">
        <v>131766.42000000001</v>
      </c>
      <c r="H2402" s="14">
        <v>43768.833333333336</v>
      </c>
    </row>
    <row r="2403" spans="1:8" x14ac:dyDescent="0.25">
      <c r="A2403">
        <v>13</v>
      </c>
      <c r="B2403" t="s">
        <v>72</v>
      </c>
      <c r="C2403">
        <v>13</v>
      </c>
      <c r="D2403">
        <v>0</v>
      </c>
      <c r="E2403">
        <v>0</v>
      </c>
      <c r="F2403">
        <v>108.99</v>
      </c>
      <c r="G2403">
        <v>132352.72</v>
      </c>
      <c r="H2403" s="14">
        <v>43768.833333333336</v>
      </c>
    </row>
    <row r="2404" spans="1:8" x14ac:dyDescent="0.25">
      <c r="A2404">
        <v>13</v>
      </c>
      <c r="B2404" t="s">
        <v>72</v>
      </c>
      <c r="C2404">
        <v>14</v>
      </c>
      <c r="D2404">
        <v>0</v>
      </c>
      <c r="E2404">
        <v>0</v>
      </c>
      <c r="F2404">
        <v>85.68</v>
      </c>
      <c r="G2404">
        <v>92571</v>
      </c>
      <c r="H2404" s="14">
        <v>43768.833333333336</v>
      </c>
    </row>
    <row r="2405" spans="1:8" x14ac:dyDescent="0.25">
      <c r="A2405">
        <v>14</v>
      </c>
      <c r="B2405" t="s">
        <v>75</v>
      </c>
      <c r="C2405">
        <v>1</v>
      </c>
      <c r="D2405">
        <v>0</v>
      </c>
      <c r="E2405">
        <v>0</v>
      </c>
      <c r="F2405">
        <v>147.06</v>
      </c>
      <c r="G2405">
        <v>145360.72</v>
      </c>
      <c r="H2405" s="14">
        <v>43768.833333333336</v>
      </c>
    </row>
    <row r="2406" spans="1:8" x14ac:dyDescent="0.25">
      <c r="A2406">
        <v>14</v>
      </c>
      <c r="B2406" t="s">
        <v>75</v>
      </c>
      <c r="C2406">
        <v>2</v>
      </c>
      <c r="D2406">
        <v>0</v>
      </c>
      <c r="E2406">
        <v>0</v>
      </c>
      <c r="F2406">
        <v>148.83000000000001</v>
      </c>
      <c r="G2406">
        <v>146292.51999999999</v>
      </c>
      <c r="H2406" s="14">
        <v>43768.833333333336</v>
      </c>
    </row>
    <row r="2407" spans="1:8" x14ac:dyDescent="0.25">
      <c r="A2407">
        <v>14</v>
      </c>
      <c r="B2407" t="s">
        <v>75</v>
      </c>
      <c r="C2407">
        <v>3</v>
      </c>
      <c r="D2407">
        <v>0</v>
      </c>
      <c r="E2407">
        <v>0</v>
      </c>
      <c r="F2407">
        <v>151.9</v>
      </c>
      <c r="G2407">
        <v>148652.78</v>
      </c>
      <c r="H2407" s="14">
        <v>43768.833333333336</v>
      </c>
    </row>
    <row r="2408" spans="1:8" x14ac:dyDescent="0.25">
      <c r="A2408">
        <v>14</v>
      </c>
      <c r="B2408" t="s">
        <v>75</v>
      </c>
      <c r="C2408">
        <v>4</v>
      </c>
      <c r="D2408">
        <v>0</v>
      </c>
      <c r="E2408">
        <v>0</v>
      </c>
      <c r="F2408">
        <v>151.84</v>
      </c>
      <c r="G2408">
        <v>147373.97</v>
      </c>
      <c r="H2408" s="14">
        <v>43768.833333333336</v>
      </c>
    </row>
    <row r="2409" spans="1:8" x14ac:dyDescent="0.25">
      <c r="A2409">
        <v>14</v>
      </c>
      <c r="B2409" t="s">
        <v>75</v>
      </c>
      <c r="C2409">
        <v>5</v>
      </c>
      <c r="D2409">
        <v>0</v>
      </c>
      <c r="E2409">
        <v>0</v>
      </c>
      <c r="F2409">
        <v>150.74</v>
      </c>
      <c r="G2409">
        <v>137611.07999999999</v>
      </c>
      <c r="H2409" s="14">
        <v>43768.833333333336</v>
      </c>
    </row>
    <row r="2410" spans="1:8" x14ac:dyDescent="0.25">
      <c r="A2410">
        <v>14</v>
      </c>
      <c r="B2410" t="s">
        <v>75</v>
      </c>
      <c r="C2410">
        <v>6</v>
      </c>
      <c r="D2410">
        <v>0</v>
      </c>
      <c r="E2410">
        <v>0</v>
      </c>
      <c r="F2410">
        <v>149.76</v>
      </c>
      <c r="G2410">
        <v>147900.60999999999</v>
      </c>
      <c r="H2410" s="14">
        <v>43768.833333333336</v>
      </c>
    </row>
    <row r="2411" spans="1:8" x14ac:dyDescent="0.25">
      <c r="A2411">
        <v>14</v>
      </c>
      <c r="B2411" t="s">
        <v>75</v>
      </c>
      <c r="C2411">
        <v>7</v>
      </c>
      <c r="D2411">
        <v>0</v>
      </c>
      <c r="E2411">
        <v>0</v>
      </c>
      <c r="F2411">
        <v>152.36000000000001</v>
      </c>
      <c r="G2411">
        <v>149753.35999999999</v>
      </c>
      <c r="H2411" s="14">
        <v>43768.833333333336</v>
      </c>
    </row>
    <row r="2412" spans="1:8" x14ac:dyDescent="0.25">
      <c r="A2412">
        <v>14</v>
      </c>
      <c r="B2412" t="s">
        <v>75</v>
      </c>
      <c r="C2412">
        <v>8</v>
      </c>
      <c r="D2412">
        <v>0</v>
      </c>
      <c r="E2412">
        <v>0</v>
      </c>
      <c r="F2412">
        <v>150.21</v>
      </c>
      <c r="G2412">
        <v>7033.74</v>
      </c>
      <c r="H2412" s="14">
        <v>43768.833333333336</v>
      </c>
    </row>
    <row r="2413" spans="1:8" x14ac:dyDescent="0.25">
      <c r="A2413">
        <v>14</v>
      </c>
      <c r="B2413" t="s">
        <v>75</v>
      </c>
      <c r="C2413">
        <v>9</v>
      </c>
      <c r="D2413">
        <v>0</v>
      </c>
      <c r="E2413">
        <v>0</v>
      </c>
      <c r="F2413">
        <v>145.81</v>
      </c>
      <c r="G2413">
        <v>7054.31</v>
      </c>
      <c r="H2413" s="14">
        <v>43768.833333333336</v>
      </c>
    </row>
    <row r="2414" spans="1:8" x14ac:dyDescent="0.25">
      <c r="A2414">
        <v>14</v>
      </c>
      <c r="B2414" t="s">
        <v>75</v>
      </c>
      <c r="C2414">
        <v>10</v>
      </c>
      <c r="D2414">
        <v>0</v>
      </c>
      <c r="E2414">
        <v>0</v>
      </c>
      <c r="F2414">
        <v>150.15</v>
      </c>
      <c r="G2414">
        <v>147139.5</v>
      </c>
      <c r="H2414" s="14">
        <v>43768.833333333336</v>
      </c>
    </row>
    <row r="2415" spans="1:8" x14ac:dyDescent="0.25">
      <c r="A2415">
        <v>14</v>
      </c>
      <c r="B2415" t="s">
        <v>75</v>
      </c>
      <c r="C2415">
        <v>11</v>
      </c>
      <c r="D2415">
        <v>0</v>
      </c>
      <c r="E2415">
        <v>0</v>
      </c>
      <c r="F2415">
        <v>150.31</v>
      </c>
      <c r="G2415">
        <v>9427.43</v>
      </c>
      <c r="H2415" s="14">
        <v>43768.833333333336</v>
      </c>
    </row>
    <row r="2416" spans="1:8" x14ac:dyDescent="0.25">
      <c r="A2416">
        <v>14</v>
      </c>
      <c r="B2416" t="s">
        <v>75</v>
      </c>
      <c r="C2416">
        <v>12</v>
      </c>
      <c r="D2416">
        <v>0</v>
      </c>
      <c r="E2416">
        <v>0</v>
      </c>
      <c r="F2416">
        <v>151.26</v>
      </c>
      <c r="G2416">
        <v>150530.5</v>
      </c>
      <c r="H2416" s="14">
        <v>43768.833333333336</v>
      </c>
    </row>
    <row r="2417" spans="1:8" x14ac:dyDescent="0.25">
      <c r="A2417">
        <v>14</v>
      </c>
      <c r="B2417" t="s">
        <v>75</v>
      </c>
      <c r="C2417">
        <v>13</v>
      </c>
      <c r="D2417">
        <v>0</v>
      </c>
      <c r="E2417">
        <v>0</v>
      </c>
      <c r="F2417">
        <v>149.75</v>
      </c>
      <c r="G2417">
        <v>146918.6</v>
      </c>
      <c r="H2417" s="14">
        <v>43768.833333333336</v>
      </c>
    </row>
    <row r="2418" spans="1:8" x14ac:dyDescent="0.25">
      <c r="A2418">
        <v>14</v>
      </c>
      <c r="B2418" t="s">
        <v>75</v>
      </c>
      <c r="C2418">
        <v>14</v>
      </c>
      <c r="D2418">
        <v>0</v>
      </c>
      <c r="E2418">
        <v>0</v>
      </c>
      <c r="F2418">
        <v>97.35</v>
      </c>
      <c r="G2418">
        <v>101391.98</v>
      </c>
      <c r="H2418" s="14">
        <v>43768.833333333336</v>
      </c>
    </row>
    <row r="2419" spans="1:8" x14ac:dyDescent="0.25">
      <c r="A2419">
        <v>15</v>
      </c>
      <c r="B2419" t="s">
        <v>78</v>
      </c>
      <c r="C2419">
        <v>1</v>
      </c>
      <c r="D2419">
        <v>0</v>
      </c>
      <c r="E2419">
        <v>0</v>
      </c>
      <c r="F2419">
        <v>110.94</v>
      </c>
      <c r="G2419">
        <v>134655.44</v>
      </c>
      <c r="H2419" s="14">
        <v>43768.833333333336</v>
      </c>
    </row>
    <row r="2420" spans="1:8" x14ac:dyDescent="0.25">
      <c r="A2420">
        <v>15</v>
      </c>
      <c r="B2420" t="s">
        <v>78</v>
      </c>
      <c r="C2420">
        <v>2</v>
      </c>
      <c r="D2420">
        <v>0</v>
      </c>
      <c r="E2420">
        <v>0</v>
      </c>
      <c r="F2420">
        <v>110.98</v>
      </c>
      <c r="G2420">
        <v>135821.64000000001</v>
      </c>
      <c r="H2420" s="14">
        <v>43768.833333333336</v>
      </c>
    </row>
    <row r="2421" spans="1:8" x14ac:dyDescent="0.25">
      <c r="A2421">
        <v>15</v>
      </c>
      <c r="B2421" t="s">
        <v>78</v>
      </c>
      <c r="C2421">
        <v>3</v>
      </c>
      <c r="D2421">
        <v>0</v>
      </c>
      <c r="E2421">
        <v>0</v>
      </c>
      <c r="F2421">
        <v>144.85</v>
      </c>
      <c r="G2421">
        <v>144341.65</v>
      </c>
      <c r="H2421" s="14">
        <v>43768.833333333336</v>
      </c>
    </row>
    <row r="2422" spans="1:8" x14ac:dyDescent="0.25">
      <c r="A2422">
        <v>15</v>
      </c>
      <c r="B2422" t="s">
        <v>78</v>
      </c>
      <c r="C2422">
        <v>4</v>
      </c>
      <c r="D2422">
        <v>0</v>
      </c>
      <c r="E2422">
        <v>0</v>
      </c>
      <c r="F2422">
        <v>148.33000000000001</v>
      </c>
      <c r="G2422">
        <v>148576.74</v>
      </c>
      <c r="H2422" s="14">
        <v>43768.833333333336</v>
      </c>
    </row>
    <row r="2423" spans="1:8" x14ac:dyDescent="0.25">
      <c r="A2423">
        <v>15</v>
      </c>
      <c r="B2423" t="s">
        <v>78</v>
      </c>
      <c r="C2423">
        <v>5</v>
      </c>
      <c r="D2423">
        <v>0</v>
      </c>
      <c r="E2423">
        <v>0</v>
      </c>
      <c r="F2423">
        <v>148.79</v>
      </c>
      <c r="G2423">
        <v>148012.16</v>
      </c>
      <c r="H2423" s="14">
        <v>43768.833333333336</v>
      </c>
    </row>
    <row r="2424" spans="1:8" x14ac:dyDescent="0.25">
      <c r="A2424">
        <v>15</v>
      </c>
      <c r="B2424" t="s">
        <v>78</v>
      </c>
      <c r="C2424">
        <v>6</v>
      </c>
      <c r="D2424">
        <v>0</v>
      </c>
      <c r="E2424">
        <v>0</v>
      </c>
      <c r="F2424">
        <v>147.44</v>
      </c>
      <c r="G2424">
        <v>146714.91</v>
      </c>
      <c r="H2424" s="14">
        <v>43768.833333333336</v>
      </c>
    </row>
    <row r="2425" spans="1:8" x14ac:dyDescent="0.25">
      <c r="A2425">
        <v>15</v>
      </c>
      <c r="B2425" t="s">
        <v>78</v>
      </c>
      <c r="C2425">
        <v>7</v>
      </c>
      <c r="D2425">
        <v>0</v>
      </c>
      <c r="E2425">
        <v>0</v>
      </c>
      <c r="F2425">
        <v>109.38</v>
      </c>
      <c r="G2425">
        <v>132618.37</v>
      </c>
      <c r="H2425" s="14">
        <v>43768.833333333336</v>
      </c>
    </row>
    <row r="2426" spans="1:8" x14ac:dyDescent="0.25">
      <c r="A2426">
        <v>15</v>
      </c>
      <c r="B2426" t="s">
        <v>78</v>
      </c>
      <c r="C2426">
        <v>8</v>
      </c>
      <c r="D2426">
        <v>0</v>
      </c>
      <c r="E2426">
        <v>0</v>
      </c>
      <c r="F2426">
        <v>111.59</v>
      </c>
      <c r="G2426">
        <v>125344.11</v>
      </c>
      <c r="H2426" s="14">
        <v>43768.833333333336</v>
      </c>
    </row>
    <row r="2427" spans="1:8" x14ac:dyDescent="0.25">
      <c r="A2427">
        <v>15</v>
      </c>
      <c r="B2427" t="s">
        <v>78</v>
      </c>
      <c r="C2427">
        <v>9</v>
      </c>
      <c r="D2427">
        <v>0</v>
      </c>
      <c r="E2427">
        <v>0</v>
      </c>
      <c r="F2427">
        <v>111.92</v>
      </c>
      <c r="G2427">
        <v>135372.12</v>
      </c>
      <c r="H2427" s="14">
        <v>43768.833333333336</v>
      </c>
    </row>
    <row r="2428" spans="1:8" x14ac:dyDescent="0.25">
      <c r="A2428">
        <v>15</v>
      </c>
      <c r="B2428" t="s">
        <v>78</v>
      </c>
      <c r="C2428">
        <v>10</v>
      </c>
      <c r="D2428">
        <v>0</v>
      </c>
      <c r="E2428">
        <v>0</v>
      </c>
      <c r="F2428">
        <v>109.98</v>
      </c>
      <c r="G2428">
        <v>133411.12</v>
      </c>
      <c r="H2428" s="14">
        <v>43768.833333333336</v>
      </c>
    </row>
    <row r="2429" spans="1:8" x14ac:dyDescent="0.25">
      <c r="A2429">
        <v>15</v>
      </c>
      <c r="B2429" t="s">
        <v>78</v>
      </c>
      <c r="C2429">
        <v>11</v>
      </c>
      <c r="D2429">
        <v>0</v>
      </c>
      <c r="E2429">
        <v>0</v>
      </c>
      <c r="F2429">
        <v>150.11000000000001</v>
      </c>
      <c r="G2429">
        <v>148144.42000000001</v>
      </c>
      <c r="H2429" s="14">
        <v>43768.833333333336</v>
      </c>
    </row>
    <row r="2430" spans="1:8" x14ac:dyDescent="0.25">
      <c r="A2430">
        <v>15</v>
      </c>
      <c r="B2430" t="s">
        <v>78</v>
      </c>
      <c r="C2430">
        <v>12</v>
      </c>
      <c r="D2430">
        <v>0</v>
      </c>
      <c r="E2430">
        <v>0</v>
      </c>
      <c r="F2430">
        <v>148.09</v>
      </c>
      <c r="G2430">
        <v>147006.28</v>
      </c>
      <c r="H2430" s="14">
        <v>43768.833333333336</v>
      </c>
    </row>
    <row r="2431" spans="1:8" x14ac:dyDescent="0.25">
      <c r="A2431">
        <v>15</v>
      </c>
      <c r="B2431" t="s">
        <v>78</v>
      </c>
      <c r="C2431">
        <v>13</v>
      </c>
      <c r="D2431">
        <v>0</v>
      </c>
      <c r="E2431">
        <v>0</v>
      </c>
      <c r="F2431">
        <v>149.01</v>
      </c>
      <c r="G2431">
        <v>145538.67000000001</v>
      </c>
      <c r="H2431" s="14">
        <v>43768.833333333336</v>
      </c>
    </row>
    <row r="2432" spans="1:8" x14ac:dyDescent="0.25">
      <c r="A2432">
        <v>15</v>
      </c>
      <c r="B2432" t="s">
        <v>78</v>
      </c>
      <c r="C2432">
        <v>14</v>
      </c>
      <c r="D2432">
        <v>0</v>
      </c>
      <c r="E2432">
        <v>0</v>
      </c>
      <c r="F2432">
        <v>70.459999999999994</v>
      </c>
      <c r="G2432">
        <v>89357.74</v>
      </c>
      <c r="H2432" s="14">
        <v>43768.833333333336</v>
      </c>
    </row>
    <row r="2433" spans="1:8" x14ac:dyDescent="0.25">
      <c r="A2433">
        <v>16</v>
      </c>
      <c r="B2433" t="s">
        <v>469</v>
      </c>
      <c r="C2433">
        <v>1</v>
      </c>
      <c r="D2433">
        <v>0</v>
      </c>
      <c r="E2433">
        <v>0</v>
      </c>
      <c r="F2433">
        <v>92.45</v>
      </c>
      <c r="G2433">
        <v>110194.57</v>
      </c>
      <c r="H2433" s="14">
        <v>43768.833333333336</v>
      </c>
    </row>
    <row r="2434" spans="1:8" x14ac:dyDescent="0.25">
      <c r="A2434">
        <v>16</v>
      </c>
      <c r="B2434" t="s">
        <v>469</v>
      </c>
      <c r="C2434">
        <v>2</v>
      </c>
      <c r="D2434">
        <v>0</v>
      </c>
      <c r="E2434">
        <v>0</v>
      </c>
      <c r="F2434">
        <v>118.15</v>
      </c>
      <c r="G2434">
        <v>119063.55</v>
      </c>
      <c r="H2434" s="14">
        <v>43768.833333333336</v>
      </c>
    </row>
    <row r="2435" spans="1:8" x14ac:dyDescent="0.25">
      <c r="A2435">
        <v>16</v>
      </c>
      <c r="B2435" t="s">
        <v>469</v>
      </c>
      <c r="C2435">
        <v>3</v>
      </c>
      <c r="D2435">
        <v>0</v>
      </c>
      <c r="E2435">
        <v>0</v>
      </c>
      <c r="F2435">
        <v>99.88</v>
      </c>
      <c r="G2435">
        <v>111361.22</v>
      </c>
      <c r="H2435" s="14">
        <v>43768.833333333336</v>
      </c>
    </row>
    <row r="2436" spans="1:8" x14ac:dyDescent="0.25">
      <c r="A2436">
        <v>16</v>
      </c>
      <c r="B2436" t="s">
        <v>469</v>
      </c>
      <c r="C2436">
        <v>4</v>
      </c>
      <c r="D2436">
        <v>0</v>
      </c>
      <c r="E2436">
        <v>0</v>
      </c>
      <c r="F2436">
        <v>129.05000000000001</v>
      </c>
      <c r="G2436">
        <v>123121.07</v>
      </c>
      <c r="H2436" s="14">
        <v>43768.833333333336</v>
      </c>
    </row>
    <row r="2437" spans="1:8" x14ac:dyDescent="0.25">
      <c r="A2437">
        <v>16</v>
      </c>
      <c r="B2437" t="s">
        <v>469</v>
      </c>
      <c r="C2437">
        <v>5</v>
      </c>
      <c r="D2437">
        <v>0</v>
      </c>
      <c r="E2437">
        <v>0</v>
      </c>
      <c r="F2437">
        <v>107.97</v>
      </c>
      <c r="G2437">
        <v>116290.02</v>
      </c>
      <c r="H2437" s="14">
        <v>43768.833333333336</v>
      </c>
    </row>
    <row r="2438" spans="1:8" x14ac:dyDescent="0.25">
      <c r="A2438">
        <v>16</v>
      </c>
      <c r="B2438" t="s">
        <v>469</v>
      </c>
      <c r="C2438">
        <v>6</v>
      </c>
      <c r="D2438">
        <v>0</v>
      </c>
      <c r="E2438">
        <v>0</v>
      </c>
      <c r="F2438">
        <v>117.69</v>
      </c>
      <c r="G2438">
        <v>110406.01</v>
      </c>
      <c r="H2438" s="14">
        <v>43768.833333333336</v>
      </c>
    </row>
    <row r="2439" spans="1:8" x14ac:dyDescent="0.25">
      <c r="A2439">
        <v>17</v>
      </c>
      <c r="B2439" t="s">
        <v>84</v>
      </c>
      <c r="C2439">
        <v>1</v>
      </c>
      <c r="D2439">
        <v>0</v>
      </c>
      <c r="E2439">
        <v>0</v>
      </c>
      <c r="F2439">
        <v>135.9</v>
      </c>
      <c r="G2439">
        <v>124074.45</v>
      </c>
      <c r="H2439" s="14">
        <v>43768.833333333336</v>
      </c>
    </row>
    <row r="2440" spans="1:8" x14ac:dyDescent="0.25">
      <c r="A2440">
        <v>17</v>
      </c>
      <c r="B2440" t="s">
        <v>84</v>
      </c>
      <c r="C2440">
        <v>2</v>
      </c>
      <c r="D2440">
        <v>0</v>
      </c>
      <c r="E2440">
        <v>0</v>
      </c>
      <c r="F2440">
        <v>131.68</v>
      </c>
      <c r="G2440">
        <v>122140.47</v>
      </c>
      <c r="H2440" s="14">
        <v>43768.833333333336</v>
      </c>
    </row>
    <row r="2441" spans="1:8" x14ac:dyDescent="0.25">
      <c r="A2441">
        <v>17</v>
      </c>
      <c r="B2441" t="s">
        <v>84</v>
      </c>
      <c r="C2441">
        <v>3</v>
      </c>
      <c r="D2441">
        <v>0</v>
      </c>
      <c r="E2441">
        <v>0</v>
      </c>
      <c r="F2441">
        <v>128.43</v>
      </c>
      <c r="G2441">
        <v>120341.73</v>
      </c>
      <c r="H2441" s="14">
        <v>43768.833333333336</v>
      </c>
    </row>
    <row r="2442" spans="1:8" x14ac:dyDescent="0.25">
      <c r="A2442">
        <v>17</v>
      </c>
      <c r="B2442" t="s">
        <v>84</v>
      </c>
      <c r="C2442">
        <v>4</v>
      </c>
      <c r="D2442">
        <v>0</v>
      </c>
      <c r="E2442">
        <v>0</v>
      </c>
      <c r="F2442">
        <v>131.74</v>
      </c>
      <c r="G2442">
        <v>115209.27</v>
      </c>
      <c r="H2442" s="14">
        <v>43768.833333333336</v>
      </c>
    </row>
    <row r="2443" spans="1:8" x14ac:dyDescent="0.25">
      <c r="A2443">
        <v>17</v>
      </c>
      <c r="B2443" t="s">
        <v>84</v>
      </c>
      <c r="C2443">
        <v>5</v>
      </c>
      <c r="D2443">
        <v>0</v>
      </c>
      <c r="E2443">
        <v>0</v>
      </c>
      <c r="F2443">
        <v>132.37</v>
      </c>
      <c r="G2443">
        <v>121237.05</v>
      </c>
      <c r="H2443" s="14">
        <v>43768.833333333336</v>
      </c>
    </row>
    <row r="2444" spans="1:8" x14ac:dyDescent="0.25">
      <c r="A2444">
        <v>17</v>
      </c>
      <c r="B2444" t="s">
        <v>84</v>
      </c>
      <c r="C2444">
        <v>6</v>
      </c>
      <c r="D2444">
        <v>0</v>
      </c>
      <c r="E2444">
        <v>0</v>
      </c>
      <c r="F2444">
        <v>131.88999999999999</v>
      </c>
      <c r="G2444">
        <v>121940.08</v>
      </c>
      <c r="H2444" s="14">
        <v>43768.833333333336</v>
      </c>
    </row>
    <row r="2445" spans="1:8" x14ac:dyDescent="0.25">
      <c r="A2445">
        <v>17</v>
      </c>
      <c r="B2445" t="s">
        <v>84</v>
      </c>
      <c r="C2445">
        <v>7</v>
      </c>
      <c r="D2445">
        <v>0</v>
      </c>
      <c r="E2445">
        <v>0</v>
      </c>
      <c r="F2445">
        <v>132.12</v>
      </c>
      <c r="G2445">
        <v>19118.47</v>
      </c>
      <c r="H2445" s="14">
        <v>43768.833333333336</v>
      </c>
    </row>
    <row r="2446" spans="1:8" x14ac:dyDescent="0.25">
      <c r="A2446">
        <v>17</v>
      </c>
      <c r="B2446" t="s">
        <v>84</v>
      </c>
      <c r="C2446">
        <v>8</v>
      </c>
      <c r="D2446">
        <v>0</v>
      </c>
      <c r="E2446">
        <v>0</v>
      </c>
      <c r="F2446">
        <v>132.41</v>
      </c>
      <c r="G2446">
        <v>112282.8</v>
      </c>
      <c r="H2446" s="14">
        <v>43768.833333333336</v>
      </c>
    </row>
    <row r="2447" spans="1:8" x14ac:dyDescent="0.25">
      <c r="A2447">
        <v>17</v>
      </c>
      <c r="B2447" t="s">
        <v>84</v>
      </c>
      <c r="C2447">
        <v>9</v>
      </c>
      <c r="D2447">
        <v>0</v>
      </c>
      <c r="E2447">
        <v>0</v>
      </c>
      <c r="F2447">
        <v>143.4</v>
      </c>
      <c r="G2447">
        <v>126979.87</v>
      </c>
      <c r="H2447" s="14">
        <v>43768.833333333336</v>
      </c>
    </row>
    <row r="2448" spans="1:8" x14ac:dyDescent="0.25">
      <c r="A2448">
        <v>17</v>
      </c>
      <c r="B2448" t="s">
        <v>84</v>
      </c>
      <c r="C2448">
        <v>10</v>
      </c>
      <c r="D2448">
        <v>0</v>
      </c>
      <c r="E2448">
        <v>0</v>
      </c>
      <c r="F2448">
        <v>130.22</v>
      </c>
      <c r="G2448">
        <v>119764.27</v>
      </c>
      <c r="H2448" s="14">
        <v>43768.833333333336</v>
      </c>
    </row>
    <row r="2449" spans="1:8" x14ac:dyDescent="0.25">
      <c r="A2449">
        <v>17</v>
      </c>
      <c r="B2449" t="s">
        <v>84</v>
      </c>
      <c r="C2449">
        <v>11</v>
      </c>
      <c r="D2449">
        <v>0</v>
      </c>
      <c r="E2449">
        <v>0</v>
      </c>
      <c r="F2449">
        <v>131.62</v>
      </c>
      <c r="G2449">
        <v>121994.46</v>
      </c>
      <c r="H2449" s="14">
        <v>43768.833333333336</v>
      </c>
    </row>
    <row r="2450" spans="1:8" x14ac:dyDescent="0.25">
      <c r="A2450">
        <v>17</v>
      </c>
      <c r="B2450" t="s">
        <v>84</v>
      </c>
      <c r="C2450">
        <v>12</v>
      </c>
      <c r="D2450">
        <v>0</v>
      </c>
      <c r="E2450">
        <v>0</v>
      </c>
      <c r="F2450">
        <v>131.71</v>
      </c>
      <c r="G2450">
        <v>122260.23</v>
      </c>
      <c r="H2450" s="14">
        <v>43768.833333333336</v>
      </c>
    </row>
    <row r="2451" spans="1:8" x14ac:dyDescent="0.25">
      <c r="A2451">
        <v>17</v>
      </c>
      <c r="B2451" t="s">
        <v>84</v>
      </c>
      <c r="C2451">
        <v>13</v>
      </c>
      <c r="D2451">
        <v>0</v>
      </c>
      <c r="E2451">
        <v>0</v>
      </c>
      <c r="F2451">
        <v>131.13</v>
      </c>
      <c r="G2451">
        <v>121204.79</v>
      </c>
      <c r="H2451" s="14">
        <v>43768.833333333336</v>
      </c>
    </row>
    <row r="2452" spans="1:8" x14ac:dyDescent="0.25">
      <c r="A2452">
        <v>17</v>
      </c>
      <c r="B2452" t="s">
        <v>84</v>
      </c>
      <c r="C2452">
        <v>14</v>
      </c>
      <c r="D2452">
        <v>0</v>
      </c>
      <c r="E2452">
        <v>0</v>
      </c>
      <c r="F2452">
        <v>114.19</v>
      </c>
      <c r="G2452">
        <v>85994.17</v>
      </c>
      <c r="H2452" s="14">
        <v>43768.833333333336</v>
      </c>
    </row>
    <row r="2453" spans="1:8" x14ac:dyDescent="0.25">
      <c r="A2453">
        <v>17</v>
      </c>
      <c r="B2453" t="s">
        <v>84</v>
      </c>
      <c r="C2453">
        <v>15</v>
      </c>
      <c r="D2453">
        <v>0</v>
      </c>
      <c r="E2453">
        <v>0</v>
      </c>
      <c r="F2453">
        <v>117.98</v>
      </c>
      <c r="G2453">
        <v>14472</v>
      </c>
      <c r="H2453" s="14">
        <v>43768.833333333336</v>
      </c>
    </row>
    <row r="2454" spans="1:8" x14ac:dyDescent="0.25">
      <c r="A2454">
        <v>18</v>
      </c>
      <c r="B2454" t="s">
        <v>87</v>
      </c>
      <c r="C2454">
        <v>1</v>
      </c>
      <c r="D2454">
        <v>0</v>
      </c>
      <c r="E2454">
        <v>0</v>
      </c>
      <c r="F2454">
        <v>133.4</v>
      </c>
      <c r="G2454">
        <v>119082.12</v>
      </c>
      <c r="H2454" s="14">
        <v>43768.833333333336</v>
      </c>
    </row>
    <row r="2455" spans="1:8" x14ac:dyDescent="0.25">
      <c r="A2455">
        <v>18</v>
      </c>
      <c r="B2455" t="s">
        <v>87</v>
      </c>
      <c r="C2455">
        <v>2</v>
      </c>
      <c r="D2455">
        <v>0</v>
      </c>
      <c r="E2455">
        <v>0</v>
      </c>
      <c r="F2455">
        <v>134.15</v>
      </c>
      <c r="G2455">
        <v>120441.16</v>
      </c>
      <c r="H2455" s="14">
        <v>43768.833333333336</v>
      </c>
    </row>
    <row r="2456" spans="1:8" x14ac:dyDescent="0.25">
      <c r="A2456">
        <v>18</v>
      </c>
      <c r="B2456" t="s">
        <v>87</v>
      </c>
      <c r="C2456">
        <v>3</v>
      </c>
      <c r="D2456">
        <v>0</v>
      </c>
      <c r="E2456">
        <v>0</v>
      </c>
      <c r="F2456">
        <v>132.25</v>
      </c>
      <c r="G2456">
        <v>120516.45</v>
      </c>
      <c r="H2456" s="14">
        <v>43768.833333333336</v>
      </c>
    </row>
    <row r="2457" spans="1:8" x14ac:dyDescent="0.25">
      <c r="A2457">
        <v>18</v>
      </c>
      <c r="B2457" t="s">
        <v>87</v>
      </c>
      <c r="C2457">
        <v>4</v>
      </c>
      <c r="D2457">
        <v>0</v>
      </c>
      <c r="E2457">
        <v>0</v>
      </c>
      <c r="F2457">
        <v>147.25</v>
      </c>
      <c r="G2457">
        <v>128163.73</v>
      </c>
      <c r="H2457" s="14">
        <v>43768.833333333336</v>
      </c>
    </row>
    <row r="2458" spans="1:8" x14ac:dyDescent="0.25">
      <c r="A2458">
        <v>18</v>
      </c>
      <c r="B2458" t="s">
        <v>87</v>
      </c>
      <c r="C2458">
        <v>5</v>
      </c>
      <c r="D2458">
        <v>0</v>
      </c>
      <c r="E2458">
        <v>0</v>
      </c>
      <c r="F2458">
        <v>133.38</v>
      </c>
      <c r="G2458">
        <v>122867.04</v>
      </c>
      <c r="H2458" s="14">
        <v>43768.833333333336</v>
      </c>
    </row>
    <row r="2459" spans="1:8" x14ac:dyDescent="0.25">
      <c r="A2459">
        <v>18</v>
      </c>
      <c r="B2459" t="s">
        <v>87</v>
      </c>
      <c r="C2459">
        <v>6</v>
      </c>
      <c r="D2459">
        <v>0</v>
      </c>
      <c r="E2459">
        <v>0</v>
      </c>
      <c r="F2459">
        <v>134.22999999999999</v>
      </c>
      <c r="G2459">
        <v>123678.09</v>
      </c>
      <c r="H2459" s="14">
        <v>43768.833333333336</v>
      </c>
    </row>
    <row r="2460" spans="1:8" x14ac:dyDescent="0.25">
      <c r="A2460">
        <v>18</v>
      </c>
      <c r="B2460" t="s">
        <v>87</v>
      </c>
      <c r="C2460">
        <v>7</v>
      </c>
      <c r="D2460">
        <v>0</v>
      </c>
      <c r="E2460">
        <v>0</v>
      </c>
      <c r="F2460">
        <v>82.74</v>
      </c>
      <c r="G2460">
        <v>79573.77</v>
      </c>
      <c r="H2460" s="14">
        <v>43768.833333333336</v>
      </c>
    </row>
    <row r="2461" spans="1:8" x14ac:dyDescent="0.25">
      <c r="A2461">
        <v>19</v>
      </c>
      <c r="B2461" t="s">
        <v>90</v>
      </c>
      <c r="C2461">
        <v>1</v>
      </c>
      <c r="D2461">
        <v>0</v>
      </c>
      <c r="E2461">
        <v>0</v>
      </c>
      <c r="F2461">
        <v>130.41999999999999</v>
      </c>
      <c r="G2461">
        <v>120435.79</v>
      </c>
      <c r="H2461" s="14">
        <v>43768.833333333336</v>
      </c>
    </row>
    <row r="2462" spans="1:8" x14ac:dyDescent="0.25">
      <c r="A2462">
        <v>19</v>
      </c>
      <c r="B2462" t="s">
        <v>90</v>
      </c>
      <c r="C2462">
        <v>2</v>
      </c>
      <c r="D2462">
        <v>0</v>
      </c>
      <c r="E2462">
        <v>0</v>
      </c>
      <c r="F2462">
        <v>104.91</v>
      </c>
      <c r="G2462">
        <v>97404.43</v>
      </c>
      <c r="H2462" s="14">
        <v>43768.833333333336</v>
      </c>
    </row>
    <row r="2463" spans="1:8" x14ac:dyDescent="0.25">
      <c r="A2463">
        <v>19</v>
      </c>
      <c r="B2463" t="s">
        <v>90</v>
      </c>
      <c r="C2463">
        <v>3</v>
      </c>
      <c r="D2463">
        <v>0</v>
      </c>
      <c r="E2463">
        <v>0</v>
      </c>
      <c r="F2463">
        <v>59.8</v>
      </c>
      <c r="G2463">
        <v>69969.39</v>
      </c>
      <c r="H2463" s="14">
        <v>43768.833333333336</v>
      </c>
    </row>
    <row r="2464" spans="1:8" x14ac:dyDescent="0.25">
      <c r="A2464">
        <v>19</v>
      </c>
      <c r="B2464" t="s">
        <v>90</v>
      </c>
      <c r="C2464">
        <v>4</v>
      </c>
      <c r="D2464">
        <v>0</v>
      </c>
      <c r="E2464">
        <v>0</v>
      </c>
      <c r="F2464">
        <v>64.34</v>
      </c>
      <c r="G2464">
        <v>73887.12</v>
      </c>
      <c r="H2464" s="14">
        <v>43768.833333333336</v>
      </c>
    </row>
    <row r="2465" spans="1:8" x14ac:dyDescent="0.25">
      <c r="A2465">
        <v>19</v>
      </c>
      <c r="B2465" t="s">
        <v>90</v>
      </c>
      <c r="C2465">
        <v>5</v>
      </c>
      <c r="D2465">
        <v>0</v>
      </c>
      <c r="E2465">
        <v>0</v>
      </c>
      <c r="F2465">
        <v>91.88</v>
      </c>
      <c r="G2465">
        <v>82871.960000000006</v>
      </c>
      <c r="H2465" s="14">
        <v>43768.833333333336</v>
      </c>
    </row>
    <row r="2466" spans="1:8" x14ac:dyDescent="0.25">
      <c r="A2466">
        <v>19</v>
      </c>
      <c r="B2466" t="s">
        <v>90</v>
      </c>
      <c r="C2466">
        <v>6</v>
      </c>
      <c r="D2466">
        <v>0</v>
      </c>
      <c r="E2466">
        <v>0</v>
      </c>
      <c r="F2466">
        <v>62.43</v>
      </c>
      <c r="G2466">
        <v>65731.679999999993</v>
      </c>
      <c r="H2466" s="14">
        <v>43768.833333333336</v>
      </c>
    </row>
    <row r="2467" spans="1:8" x14ac:dyDescent="0.25">
      <c r="A2467">
        <v>19</v>
      </c>
      <c r="B2467" t="s">
        <v>90</v>
      </c>
      <c r="C2467">
        <v>7</v>
      </c>
      <c r="D2467">
        <v>0</v>
      </c>
      <c r="E2467">
        <v>0</v>
      </c>
      <c r="F2467">
        <v>94.36</v>
      </c>
      <c r="G2467">
        <v>87167.25</v>
      </c>
      <c r="H2467" s="14">
        <v>43768.833333333336</v>
      </c>
    </row>
    <row r="2468" spans="1:8" x14ac:dyDescent="0.25">
      <c r="A2468">
        <v>19</v>
      </c>
      <c r="B2468" t="s">
        <v>90</v>
      </c>
      <c r="C2468">
        <v>8</v>
      </c>
      <c r="D2468">
        <v>0</v>
      </c>
      <c r="E2468">
        <v>0</v>
      </c>
      <c r="F2468">
        <v>91.66</v>
      </c>
      <c r="G2468">
        <v>80841.37</v>
      </c>
      <c r="H2468" s="14">
        <v>43768.833333333336</v>
      </c>
    </row>
    <row r="2469" spans="1:8" x14ac:dyDescent="0.25">
      <c r="A2469">
        <v>19</v>
      </c>
      <c r="B2469" t="s">
        <v>90</v>
      </c>
      <c r="C2469">
        <v>9</v>
      </c>
      <c r="D2469">
        <v>0</v>
      </c>
      <c r="E2469">
        <v>0</v>
      </c>
      <c r="F2469">
        <v>90.69</v>
      </c>
      <c r="G2469">
        <v>82613.7</v>
      </c>
      <c r="H2469" s="14">
        <v>43768.833333333336</v>
      </c>
    </row>
    <row r="2470" spans="1:8" x14ac:dyDescent="0.25">
      <c r="A2470">
        <v>19</v>
      </c>
      <c r="B2470" t="s">
        <v>90</v>
      </c>
      <c r="C2470">
        <v>10</v>
      </c>
      <c r="D2470">
        <v>0</v>
      </c>
      <c r="E2470">
        <v>0</v>
      </c>
      <c r="F2470">
        <v>61.96</v>
      </c>
      <c r="G2470">
        <v>72445.009999999995</v>
      </c>
      <c r="H2470" s="14">
        <v>43768.833333333336</v>
      </c>
    </row>
    <row r="2471" spans="1:8" x14ac:dyDescent="0.25">
      <c r="A2471">
        <v>20</v>
      </c>
      <c r="B2471" t="s">
        <v>94</v>
      </c>
      <c r="C2471">
        <v>1</v>
      </c>
      <c r="D2471">
        <v>0</v>
      </c>
      <c r="E2471">
        <v>0</v>
      </c>
      <c r="F2471">
        <v>0</v>
      </c>
      <c r="G2471">
        <v>6205.23</v>
      </c>
      <c r="H2471" s="14">
        <v>43768.833333333336</v>
      </c>
    </row>
    <row r="2472" spans="1:8" x14ac:dyDescent="0.25">
      <c r="A2472">
        <v>20</v>
      </c>
      <c r="B2472" t="s">
        <v>94</v>
      </c>
      <c r="C2472">
        <v>2</v>
      </c>
      <c r="D2472">
        <v>0</v>
      </c>
      <c r="E2472">
        <v>0</v>
      </c>
      <c r="F2472">
        <v>121.4</v>
      </c>
      <c r="G2472">
        <v>108803.97</v>
      </c>
      <c r="H2472" s="14">
        <v>43768.833333333336</v>
      </c>
    </row>
    <row r="2473" spans="1:8" x14ac:dyDescent="0.25">
      <c r="A2473">
        <v>20</v>
      </c>
      <c r="B2473" t="s">
        <v>94</v>
      </c>
      <c r="C2473">
        <v>3</v>
      </c>
      <c r="D2473">
        <v>0</v>
      </c>
      <c r="E2473">
        <v>0</v>
      </c>
      <c r="F2473">
        <v>93.93</v>
      </c>
      <c r="G2473">
        <v>107394.73</v>
      </c>
      <c r="H2473" s="14">
        <v>43768.833333333336</v>
      </c>
    </row>
    <row r="2474" spans="1:8" x14ac:dyDescent="0.25">
      <c r="A2474">
        <v>20</v>
      </c>
      <c r="B2474" t="s">
        <v>94</v>
      </c>
      <c r="C2474">
        <v>4</v>
      </c>
      <c r="D2474">
        <v>0</v>
      </c>
      <c r="E2474">
        <v>0</v>
      </c>
      <c r="F2474">
        <v>119.52</v>
      </c>
      <c r="G2474">
        <v>109735.5</v>
      </c>
      <c r="H2474" s="14">
        <v>43768.833333333336</v>
      </c>
    </row>
    <row r="2475" spans="1:8" x14ac:dyDescent="0.25">
      <c r="A2475">
        <v>20</v>
      </c>
      <c r="B2475" t="s">
        <v>94</v>
      </c>
      <c r="C2475">
        <v>5</v>
      </c>
      <c r="D2475">
        <v>0</v>
      </c>
      <c r="E2475">
        <v>0</v>
      </c>
      <c r="F2475">
        <v>121.8</v>
      </c>
      <c r="G2475">
        <v>107882.64</v>
      </c>
      <c r="H2475" s="14">
        <v>43768.833333333336</v>
      </c>
    </row>
    <row r="2476" spans="1:8" x14ac:dyDescent="0.25">
      <c r="A2476">
        <v>20</v>
      </c>
      <c r="B2476" t="s">
        <v>94</v>
      </c>
      <c r="C2476">
        <v>6</v>
      </c>
      <c r="D2476">
        <v>0</v>
      </c>
      <c r="E2476">
        <v>0</v>
      </c>
      <c r="F2476">
        <v>120.76</v>
      </c>
      <c r="G2476">
        <v>105870.91</v>
      </c>
      <c r="H2476" s="14">
        <v>43768.833333333336</v>
      </c>
    </row>
    <row r="2477" spans="1:8" x14ac:dyDescent="0.25">
      <c r="A2477">
        <v>20</v>
      </c>
      <c r="B2477" t="s">
        <v>94</v>
      </c>
      <c r="C2477">
        <v>7</v>
      </c>
      <c r="D2477">
        <v>0</v>
      </c>
      <c r="E2477">
        <v>0</v>
      </c>
      <c r="F2477">
        <v>108.95</v>
      </c>
      <c r="G2477">
        <v>102224.28</v>
      </c>
      <c r="H2477" s="14">
        <v>43768.833333333336</v>
      </c>
    </row>
    <row r="2478" spans="1:8" x14ac:dyDescent="0.25">
      <c r="A2478">
        <v>21</v>
      </c>
      <c r="B2478" t="s">
        <v>97</v>
      </c>
      <c r="C2478">
        <v>1</v>
      </c>
      <c r="D2478">
        <v>0</v>
      </c>
      <c r="E2478">
        <v>0</v>
      </c>
      <c r="F2478">
        <v>80.92</v>
      </c>
      <c r="G2478">
        <v>110649.08</v>
      </c>
      <c r="H2478" s="14">
        <v>43768.833333333336</v>
      </c>
    </row>
    <row r="2479" spans="1:8" x14ac:dyDescent="0.25">
      <c r="A2479">
        <v>21</v>
      </c>
      <c r="B2479" t="s">
        <v>97</v>
      </c>
      <c r="C2479">
        <v>2</v>
      </c>
      <c r="D2479">
        <v>0</v>
      </c>
      <c r="E2479">
        <v>0</v>
      </c>
      <c r="F2479">
        <v>79.209999999999994</v>
      </c>
      <c r="G2479">
        <v>107099.13</v>
      </c>
      <c r="H2479" s="14">
        <v>43768.833333333336</v>
      </c>
    </row>
    <row r="2480" spans="1:8" x14ac:dyDescent="0.25">
      <c r="A2480">
        <v>21</v>
      </c>
      <c r="B2480" t="s">
        <v>97</v>
      </c>
      <c r="C2480">
        <v>3</v>
      </c>
      <c r="D2480">
        <v>0</v>
      </c>
      <c r="E2480">
        <v>0</v>
      </c>
      <c r="F2480">
        <v>78.75</v>
      </c>
      <c r="G2480">
        <v>104155.84</v>
      </c>
      <c r="H2480" s="14">
        <v>43768.833333333336</v>
      </c>
    </row>
    <row r="2481" spans="1:8" x14ac:dyDescent="0.25">
      <c r="A2481">
        <v>21</v>
      </c>
      <c r="B2481" t="s">
        <v>97</v>
      </c>
      <c r="C2481">
        <v>4</v>
      </c>
      <c r="D2481">
        <v>0</v>
      </c>
      <c r="E2481">
        <v>0</v>
      </c>
      <c r="F2481">
        <v>78.010000000000005</v>
      </c>
      <c r="G2481">
        <v>114466.66</v>
      </c>
      <c r="H2481" s="14">
        <v>43768.833333333336</v>
      </c>
    </row>
    <row r="2482" spans="1:8" x14ac:dyDescent="0.25">
      <c r="A2482">
        <v>21</v>
      </c>
      <c r="B2482" t="s">
        <v>97</v>
      </c>
      <c r="C2482">
        <v>5</v>
      </c>
      <c r="D2482">
        <v>0</v>
      </c>
      <c r="E2482">
        <v>0</v>
      </c>
      <c r="F2482">
        <v>44.53</v>
      </c>
      <c r="G2482">
        <v>70617.789999999994</v>
      </c>
      <c r="H2482" s="14">
        <v>43768.833333333336</v>
      </c>
    </row>
    <row r="2483" spans="1:8" x14ac:dyDescent="0.25">
      <c r="A2483">
        <v>21</v>
      </c>
      <c r="B2483" t="s">
        <v>97</v>
      </c>
      <c r="C2483">
        <v>6</v>
      </c>
      <c r="D2483">
        <v>0</v>
      </c>
      <c r="E2483">
        <v>0</v>
      </c>
      <c r="F2483">
        <v>73.12</v>
      </c>
      <c r="G2483">
        <v>107484.2</v>
      </c>
      <c r="H2483" s="14">
        <v>43768.833333333336</v>
      </c>
    </row>
    <row r="2484" spans="1:8" x14ac:dyDescent="0.25">
      <c r="A2484">
        <v>21</v>
      </c>
      <c r="B2484" t="s">
        <v>97</v>
      </c>
      <c r="C2484">
        <v>7</v>
      </c>
      <c r="D2484">
        <v>0</v>
      </c>
      <c r="E2484">
        <v>0</v>
      </c>
      <c r="F2484">
        <v>77.099999999999994</v>
      </c>
      <c r="G2484">
        <v>102145.22</v>
      </c>
      <c r="H2484" s="14">
        <v>43768.833333333336</v>
      </c>
    </row>
    <row r="2485" spans="1:8" x14ac:dyDescent="0.25">
      <c r="A2485">
        <v>21</v>
      </c>
      <c r="B2485" t="s">
        <v>97</v>
      </c>
      <c r="C2485">
        <v>8</v>
      </c>
      <c r="D2485">
        <v>0</v>
      </c>
      <c r="E2485">
        <v>0</v>
      </c>
      <c r="F2485">
        <v>76.62</v>
      </c>
      <c r="G2485">
        <v>102857.15</v>
      </c>
      <c r="H2485" s="14">
        <v>43768.833333333336</v>
      </c>
    </row>
    <row r="2486" spans="1:8" x14ac:dyDescent="0.25">
      <c r="A2486">
        <v>21</v>
      </c>
      <c r="B2486" t="s">
        <v>97</v>
      </c>
      <c r="C2486">
        <v>9</v>
      </c>
      <c r="D2486">
        <v>0</v>
      </c>
      <c r="E2486">
        <v>0</v>
      </c>
      <c r="F2486">
        <v>71.150000000000006</v>
      </c>
      <c r="G2486">
        <v>107755.96</v>
      </c>
      <c r="H2486" s="14">
        <v>43768.833333333336</v>
      </c>
    </row>
    <row r="2487" spans="1:8" x14ac:dyDescent="0.25">
      <c r="A2487">
        <v>22</v>
      </c>
      <c r="B2487" t="s">
        <v>100</v>
      </c>
      <c r="C2487">
        <v>1</v>
      </c>
      <c r="D2487">
        <v>0</v>
      </c>
      <c r="E2487">
        <v>0</v>
      </c>
      <c r="F2487">
        <v>84.36</v>
      </c>
      <c r="G2487">
        <v>124226.48</v>
      </c>
      <c r="H2487" s="14">
        <v>43768.833333333336</v>
      </c>
    </row>
    <row r="2488" spans="1:8" x14ac:dyDescent="0.25">
      <c r="A2488">
        <v>22</v>
      </c>
      <c r="B2488" t="s">
        <v>100</v>
      </c>
      <c r="C2488">
        <v>2</v>
      </c>
      <c r="D2488">
        <v>0</v>
      </c>
      <c r="E2488">
        <v>0</v>
      </c>
      <c r="F2488">
        <v>158.87</v>
      </c>
      <c r="G2488">
        <v>151476.31</v>
      </c>
      <c r="H2488" s="14">
        <v>43768.833333333336</v>
      </c>
    </row>
    <row r="2489" spans="1:8" x14ac:dyDescent="0.25">
      <c r="A2489">
        <v>22</v>
      </c>
      <c r="B2489" t="s">
        <v>100</v>
      </c>
      <c r="C2489">
        <v>3</v>
      </c>
      <c r="D2489">
        <v>0</v>
      </c>
      <c r="E2489">
        <v>0</v>
      </c>
      <c r="F2489">
        <v>112.94</v>
      </c>
      <c r="G2489">
        <v>133690.47</v>
      </c>
      <c r="H2489" s="14">
        <v>43768.833333333336</v>
      </c>
    </row>
    <row r="2490" spans="1:8" x14ac:dyDescent="0.25">
      <c r="A2490">
        <v>22</v>
      </c>
      <c r="B2490" t="s">
        <v>100</v>
      </c>
      <c r="C2490">
        <v>4</v>
      </c>
      <c r="D2490">
        <v>0</v>
      </c>
      <c r="E2490">
        <v>0</v>
      </c>
      <c r="F2490">
        <v>119.8</v>
      </c>
      <c r="G2490">
        <v>127298.64</v>
      </c>
      <c r="H2490" s="14">
        <v>43768.833333333336</v>
      </c>
    </row>
    <row r="2491" spans="1:8" x14ac:dyDescent="0.25">
      <c r="A2491">
        <v>22</v>
      </c>
      <c r="B2491" t="s">
        <v>100</v>
      </c>
      <c r="C2491">
        <v>5</v>
      </c>
      <c r="D2491">
        <v>0</v>
      </c>
      <c r="E2491">
        <v>0</v>
      </c>
      <c r="F2491">
        <v>120.75</v>
      </c>
      <c r="G2491">
        <v>119706.41</v>
      </c>
      <c r="H2491" s="14">
        <v>43768.833333333336</v>
      </c>
    </row>
    <row r="2492" spans="1:8" x14ac:dyDescent="0.25">
      <c r="A2492">
        <v>22</v>
      </c>
      <c r="B2492" t="s">
        <v>100</v>
      </c>
      <c r="C2492">
        <v>6</v>
      </c>
      <c r="D2492">
        <v>0</v>
      </c>
      <c r="E2492">
        <v>0</v>
      </c>
      <c r="F2492">
        <v>94.72</v>
      </c>
      <c r="G2492">
        <v>130545.45</v>
      </c>
      <c r="H2492" s="14">
        <v>43768.833333333336</v>
      </c>
    </row>
    <row r="2493" spans="1:8" x14ac:dyDescent="0.25">
      <c r="A2493">
        <v>22</v>
      </c>
      <c r="B2493" t="s">
        <v>100</v>
      </c>
      <c r="C2493">
        <v>7</v>
      </c>
      <c r="D2493">
        <v>0</v>
      </c>
      <c r="E2493">
        <v>0</v>
      </c>
      <c r="F2493">
        <v>155.82</v>
      </c>
      <c r="G2493">
        <v>149146.94</v>
      </c>
      <c r="H2493" s="14">
        <v>43768.833333333336</v>
      </c>
    </row>
    <row r="2494" spans="1:8" x14ac:dyDescent="0.25">
      <c r="A2494">
        <v>22</v>
      </c>
      <c r="B2494" t="s">
        <v>100</v>
      </c>
      <c r="C2494">
        <v>8</v>
      </c>
      <c r="D2494">
        <v>0</v>
      </c>
      <c r="E2494">
        <v>0</v>
      </c>
      <c r="F2494">
        <v>127.66</v>
      </c>
      <c r="G2494">
        <v>131775.60999999999</v>
      </c>
      <c r="H2494" s="14">
        <v>43768.833333333336</v>
      </c>
    </row>
    <row r="2495" spans="1:8" x14ac:dyDescent="0.25">
      <c r="A2495">
        <v>22</v>
      </c>
      <c r="B2495" t="s">
        <v>100</v>
      </c>
      <c r="C2495">
        <v>9</v>
      </c>
      <c r="D2495">
        <v>0</v>
      </c>
      <c r="E2495">
        <v>0</v>
      </c>
      <c r="F2495">
        <v>122.57</v>
      </c>
      <c r="G2495">
        <v>129472.39</v>
      </c>
      <c r="H2495" s="14">
        <v>43768.833333333336</v>
      </c>
    </row>
    <row r="2496" spans="1:8" x14ac:dyDescent="0.25">
      <c r="A2496">
        <v>22</v>
      </c>
      <c r="B2496" t="s">
        <v>100</v>
      </c>
      <c r="C2496">
        <v>10</v>
      </c>
      <c r="D2496">
        <v>0</v>
      </c>
      <c r="E2496">
        <v>0</v>
      </c>
      <c r="F2496">
        <v>94.97</v>
      </c>
      <c r="G2496">
        <v>124634.55</v>
      </c>
      <c r="H2496" s="14">
        <v>43768.833333333336</v>
      </c>
    </row>
    <row r="2497" spans="1:8" x14ac:dyDescent="0.25">
      <c r="A2497">
        <v>22</v>
      </c>
      <c r="B2497" t="s">
        <v>100</v>
      </c>
      <c r="C2497">
        <v>11</v>
      </c>
      <c r="D2497">
        <v>0</v>
      </c>
      <c r="E2497">
        <v>0</v>
      </c>
      <c r="F2497">
        <v>157.58000000000001</v>
      </c>
      <c r="G2497">
        <v>153894.31</v>
      </c>
      <c r="H2497" s="14">
        <v>43768.833333333336</v>
      </c>
    </row>
    <row r="2498" spans="1:8" x14ac:dyDescent="0.25">
      <c r="A2498">
        <v>22</v>
      </c>
      <c r="B2498" t="s">
        <v>100</v>
      </c>
      <c r="C2498">
        <v>12</v>
      </c>
      <c r="D2498">
        <v>0</v>
      </c>
      <c r="E2498">
        <v>0</v>
      </c>
      <c r="F2498">
        <v>93.92</v>
      </c>
      <c r="G2498">
        <v>97416.52</v>
      </c>
      <c r="H2498" s="14">
        <v>43768.833333333336</v>
      </c>
    </row>
    <row r="2499" spans="1:8" x14ac:dyDescent="0.25">
      <c r="A2499">
        <v>23</v>
      </c>
      <c r="B2499" t="s">
        <v>103</v>
      </c>
      <c r="C2499">
        <v>1</v>
      </c>
      <c r="D2499">
        <v>0</v>
      </c>
      <c r="E2499">
        <v>0</v>
      </c>
      <c r="F2499">
        <v>136.94</v>
      </c>
      <c r="G2499">
        <v>118283.27</v>
      </c>
      <c r="H2499" s="14">
        <v>43768.833333333336</v>
      </c>
    </row>
    <row r="2500" spans="1:8" x14ac:dyDescent="0.25">
      <c r="A2500">
        <v>23</v>
      </c>
      <c r="B2500" t="s">
        <v>103</v>
      </c>
      <c r="C2500">
        <v>2</v>
      </c>
      <c r="D2500">
        <v>0</v>
      </c>
      <c r="E2500">
        <v>0</v>
      </c>
      <c r="F2500">
        <v>134.19999999999999</v>
      </c>
      <c r="G2500">
        <v>121155</v>
      </c>
      <c r="H2500" s="14">
        <v>43768.833333333336</v>
      </c>
    </row>
    <row r="2501" spans="1:8" x14ac:dyDescent="0.25">
      <c r="A2501">
        <v>23</v>
      </c>
      <c r="B2501" t="s">
        <v>103</v>
      </c>
      <c r="C2501">
        <v>3</v>
      </c>
      <c r="D2501">
        <v>0</v>
      </c>
      <c r="E2501">
        <v>0</v>
      </c>
      <c r="F2501">
        <v>137.41</v>
      </c>
      <c r="G2501">
        <v>121659.23</v>
      </c>
      <c r="H2501" s="14">
        <v>43768.833333333336</v>
      </c>
    </row>
    <row r="2502" spans="1:8" x14ac:dyDescent="0.25">
      <c r="A2502">
        <v>23</v>
      </c>
      <c r="B2502" t="s">
        <v>103</v>
      </c>
      <c r="C2502">
        <v>4</v>
      </c>
      <c r="D2502">
        <v>0</v>
      </c>
      <c r="E2502">
        <v>0</v>
      </c>
      <c r="F2502">
        <v>132.21</v>
      </c>
      <c r="G2502">
        <v>113030.53</v>
      </c>
      <c r="H2502" s="14">
        <v>43768.833333333336</v>
      </c>
    </row>
    <row r="2503" spans="1:8" x14ac:dyDescent="0.25">
      <c r="A2503">
        <v>23</v>
      </c>
      <c r="B2503" t="s">
        <v>103</v>
      </c>
      <c r="C2503">
        <v>5</v>
      </c>
      <c r="D2503">
        <v>0</v>
      </c>
      <c r="E2503">
        <v>0</v>
      </c>
      <c r="F2503">
        <v>113.16</v>
      </c>
      <c r="G2503">
        <v>100352.3</v>
      </c>
      <c r="H2503" s="14">
        <v>43768.833333333336</v>
      </c>
    </row>
    <row r="2504" spans="1:8" x14ac:dyDescent="0.25">
      <c r="A2504">
        <v>24</v>
      </c>
      <c r="B2504" t="s">
        <v>106</v>
      </c>
      <c r="C2504">
        <v>1</v>
      </c>
      <c r="D2504">
        <v>0</v>
      </c>
      <c r="E2504">
        <v>0</v>
      </c>
      <c r="F2504">
        <v>123.36</v>
      </c>
      <c r="G2504">
        <v>138453.85999999999</v>
      </c>
      <c r="H2504" s="14">
        <v>43768.833333333336</v>
      </c>
    </row>
    <row r="2505" spans="1:8" x14ac:dyDescent="0.25">
      <c r="A2505">
        <v>24</v>
      </c>
      <c r="B2505" t="s">
        <v>106</v>
      </c>
      <c r="C2505">
        <v>2</v>
      </c>
      <c r="D2505">
        <v>0</v>
      </c>
      <c r="E2505">
        <v>0</v>
      </c>
      <c r="F2505">
        <v>129.19999999999999</v>
      </c>
      <c r="G2505">
        <v>138758.12</v>
      </c>
      <c r="H2505" s="14">
        <v>43768.833333333336</v>
      </c>
    </row>
    <row r="2506" spans="1:8" x14ac:dyDescent="0.25">
      <c r="A2506">
        <v>24</v>
      </c>
      <c r="B2506" t="s">
        <v>106</v>
      </c>
      <c r="C2506">
        <v>3</v>
      </c>
      <c r="D2506">
        <v>0</v>
      </c>
      <c r="E2506">
        <v>0</v>
      </c>
      <c r="F2506">
        <v>131.28</v>
      </c>
      <c r="G2506">
        <v>142357.07999999999</v>
      </c>
      <c r="H2506" s="14">
        <v>43768.833333333336</v>
      </c>
    </row>
    <row r="2507" spans="1:8" x14ac:dyDescent="0.25">
      <c r="A2507">
        <v>24</v>
      </c>
      <c r="B2507" t="s">
        <v>106</v>
      </c>
      <c r="C2507">
        <v>4</v>
      </c>
      <c r="D2507">
        <v>0</v>
      </c>
      <c r="E2507">
        <v>0</v>
      </c>
      <c r="F2507">
        <v>115.43</v>
      </c>
      <c r="G2507">
        <v>131460.09</v>
      </c>
      <c r="H2507" s="14">
        <v>43768.833333333336</v>
      </c>
    </row>
    <row r="2508" spans="1:8" x14ac:dyDescent="0.25">
      <c r="A2508">
        <v>24</v>
      </c>
      <c r="B2508" t="s">
        <v>106</v>
      </c>
      <c r="C2508">
        <v>5</v>
      </c>
      <c r="D2508">
        <v>0</v>
      </c>
      <c r="E2508">
        <v>0</v>
      </c>
      <c r="F2508">
        <v>134.16</v>
      </c>
      <c r="G2508">
        <v>135730.85999999999</v>
      </c>
      <c r="H2508" s="14">
        <v>43768.833333333336</v>
      </c>
    </row>
    <row r="2509" spans="1:8" x14ac:dyDescent="0.25">
      <c r="A2509">
        <v>24</v>
      </c>
      <c r="B2509" t="s">
        <v>106</v>
      </c>
      <c r="C2509">
        <v>6</v>
      </c>
      <c r="D2509">
        <v>0</v>
      </c>
      <c r="E2509">
        <v>0</v>
      </c>
      <c r="F2509">
        <v>112.07</v>
      </c>
      <c r="G2509">
        <v>129460.48</v>
      </c>
      <c r="H2509" s="14">
        <v>43768.833333333336</v>
      </c>
    </row>
    <row r="2510" spans="1:8" x14ac:dyDescent="0.25">
      <c r="A2510">
        <v>24</v>
      </c>
      <c r="B2510" t="s">
        <v>106</v>
      </c>
      <c r="C2510">
        <v>7</v>
      </c>
      <c r="D2510">
        <v>0</v>
      </c>
      <c r="E2510">
        <v>0</v>
      </c>
      <c r="F2510">
        <v>133.81</v>
      </c>
      <c r="G2510">
        <v>131517.12</v>
      </c>
      <c r="H2510" s="14">
        <v>43768.833333333336</v>
      </c>
    </row>
    <row r="2511" spans="1:8" x14ac:dyDescent="0.25">
      <c r="A2511">
        <v>24</v>
      </c>
      <c r="B2511" t="s">
        <v>106</v>
      </c>
      <c r="C2511">
        <v>8</v>
      </c>
      <c r="D2511">
        <v>0</v>
      </c>
      <c r="E2511">
        <v>0</v>
      </c>
      <c r="F2511">
        <v>115.78</v>
      </c>
      <c r="G2511">
        <v>125362.98</v>
      </c>
      <c r="H2511" s="14">
        <v>43768.833333333336</v>
      </c>
    </row>
    <row r="2512" spans="1:8" x14ac:dyDescent="0.25">
      <c r="A2512">
        <v>24</v>
      </c>
      <c r="B2512" t="s">
        <v>106</v>
      </c>
      <c r="C2512">
        <v>9</v>
      </c>
      <c r="D2512">
        <v>0</v>
      </c>
      <c r="E2512">
        <v>0</v>
      </c>
      <c r="F2512">
        <v>133.79</v>
      </c>
      <c r="G2512">
        <v>128831.08</v>
      </c>
      <c r="H2512" s="14">
        <v>43768.833333333336</v>
      </c>
    </row>
    <row r="2513" spans="1:8" x14ac:dyDescent="0.25">
      <c r="A2513">
        <v>24</v>
      </c>
      <c r="B2513" t="s">
        <v>106</v>
      </c>
      <c r="C2513">
        <v>10</v>
      </c>
      <c r="D2513">
        <v>0</v>
      </c>
      <c r="E2513">
        <v>0</v>
      </c>
      <c r="F2513">
        <v>85.34</v>
      </c>
      <c r="G2513">
        <v>91791.27</v>
      </c>
      <c r="H2513" s="14">
        <v>43768.833333333336</v>
      </c>
    </row>
    <row r="2514" spans="1:8" x14ac:dyDescent="0.25">
      <c r="A2514">
        <v>25</v>
      </c>
      <c r="B2514" t="s">
        <v>109</v>
      </c>
      <c r="C2514">
        <v>1</v>
      </c>
      <c r="D2514">
        <v>0</v>
      </c>
      <c r="E2514">
        <v>0</v>
      </c>
      <c r="F2514">
        <v>106.2</v>
      </c>
      <c r="G2514">
        <v>124007.47</v>
      </c>
      <c r="H2514" s="14">
        <v>43768.833333333336</v>
      </c>
    </row>
    <row r="2515" spans="1:8" x14ac:dyDescent="0.25">
      <c r="A2515">
        <v>25</v>
      </c>
      <c r="B2515" t="s">
        <v>109</v>
      </c>
      <c r="C2515">
        <v>2</v>
      </c>
      <c r="D2515">
        <v>0</v>
      </c>
      <c r="E2515">
        <v>0</v>
      </c>
      <c r="F2515">
        <v>104.15</v>
      </c>
      <c r="G2515">
        <v>120822.11</v>
      </c>
      <c r="H2515" s="14">
        <v>43768.833333333336</v>
      </c>
    </row>
    <row r="2516" spans="1:8" x14ac:dyDescent="0.25">
      <c r="A2516">
        <v>25</v>
      </c>
      <c r="B2516" t="s">
        <v>109</v>
      </c>
      <c r="C2516">
        <v>3</v>
      </c>
      <c r="D2516">
        <v>0</v>
      </c>
      <c r="E2516">
        <v>0</v>
      </c>
      <c r="F2516">
        <v>105.38</v>
      </c>
      <c r="G2516">
        <v>123914.9</v>
      </c>
      <c r="H2516" s="14">
        <v>43768.833333333336</v>
      </c>
    </row>
    <row r="2517" spans="1:8" x14ac:dyDescent="0.25">
      <c r="A2517">
        <v>25</v>
      </c>
      <c r="B2517" t="s">
        <v>109</v>
      </c>
      <c r="C2517">
        <v>4</v>
      </c>
      <c r="D2517">
        <v>0</v>
      </c>
      <c r="E2517">
        <v>0</v>
      </c>
      <c r="F2517">
        <v>105.45</v>
      </c>
      <c r="G2517">
        <v>121451.89</v>
      </c>
      <c r="H2517" s="14">
        <v>43768.833333333336</v>
      </c>
    </row>
    <row r="2518" spans="1:8" x14ac:dyDescent="0.25">
      <c r="A2518">
        <v>25</v>
      </c>
      <c r="B2518" t="s">
        <v>109</v>
      </c>
      <c r="C2518">
        <v>5</v>
      </c>
      <c r="D2518">
        <v>0</v>
      </c>
      <c r="E2518">
        <v>0</v>
      </c>
      <c r="F2518">
        <v>104.27</v>
      </c>
      <c r="G2518">
        <v>122454.89</v>
      </c>
      <c r="H2518" s="14">
        <v>43768.833333333336</v>
      </c>
    </row>
    <row r="2519" spans="1:8" x14ac:dyDescent="0.25">
      <c r="A2519">
        <v>25</v>
      </c>
      <c r="B2519" t="s">
        <v>109</v>
      </c>
      <c r="C2519">
        <v>6</v>
      </c>
      <c r="D2519">
        <v>0</v>
      </c>
      <c r="E2519">
        <v>0</v>
      </c>
      <c r="F2519">
        <v>134.69</v>
      </c>
      <c r="G2519">
        <v>21395.38</v>
      </c>
      <c r="H2519" s="14">
        <v>43768.833333333336</v>
      </c>
    </row>
    <row r="2520" spans="1:8" x14ac:dyDescent="0.25">
      <c r="A2520">
        <v>25</v>
      </c>
      <c r="B2520" t="s">
        <v>109</v>
      </c>
      <c r="C2520">
        <v>7</v>
      </c>
      <c r="D2520">
        <v>0</v>
      </c>
      <c r="E2520">
        <v>0</v>
      </c>
      <c r="F2520">
        <v>136.72999999999999</v>
      </c>
      <c r="G2520">
        <v>50506.3</v>
      </c>
      <c r="H2520" s="14">
        <v>43768.833333333336</v>
      </c>
    </row>
    <row r="2521" spans="1:8" x14ac:dyDescent="0.25">
      <c r="A2521">
        <v>25</v>
      </c>
      <c r="B2521" t="s">
        <v>109</v>
      </c>
      <c r="C2521">
        <v>8</v>
      </c>
      <c r="D2521">
        <v>0</v>
      </c>
      <c r="E2521">
        <v>0</v>
      </c>
      <c r="F2521">
        <v>134.63999999999999</v>
      </c>
      <c r="G2521">
        <v>119967.89</v>
      </c>
      <c r="H2521" s="14">
        <v>43768.833333333336</v>
      </c>
    </row>
    <row r="2522" spans="1:8" x14ac:dyDescent="0.25">
      <c r="A2522">
        <v>25</v>
      </c>
      <c r="B2522" t="s">
        <v>109</v>
      </c>
      <c r="C2522">
        <v>9</v>
      </c>
      <c r="D2522">
        <v>0</v>
      </c>
      <c r="E2522">
        <v>0</v>
      </c>
      <c r="F2522">
        <v>133.32</v>
      </c>
      <c r="G2522">
        <v>119529.69</v>
      </c>
      <c r="H2522" s="14">
        <v>43768.833333333336</v>
      </c>
    </row>
    <row r="2523" spans="1:8" x14ac:dyDescent="0.25">
      <c r="A2523">
        <v>25</v>
      </c>
      <c r="B2523" t="s">
        <v>109</v>
      </c>
      <c r="C2523">
        <v>10</v>
      </c>
      <c r="D2523">
        <v>0</v>
      </c>
      <c r="E2523">
        <v>0</v>
      </c>
      <c r="F2523">
        <v>133.32</v>
      </c>
      <c r="G2523">
        <v>123509.73</v>
      </c>
      <c r="H2523" s="14">
        <v>43768.833333333336</v>
      </c>
    </row>
    <row r="2524" spans="1:8" x14ac:dyDescent="0.25">
      <c r="A2524">
        <v>25</v>
      </c>
      <c r="B2524" t="s">
        <v>109</v>
      </c>
      <c r="C2524">
        <v>11</v>
      </c>
      <c r="D2524">
        <v>0</v>
      </c>
      <c r="E2524">
        <v>0</v>
      </c>
      <c r="F2524">
        <v>133.02000000000001</v>
      </c>
      <c r="G2524">
        <v>125974.16</v>
      </c>
      <c r="H2524" s="14">
        <v>43768.833333333336</v>
      </c>
    </row>
    <row r="2525" spans="1:8" x14ac:dyDescent="0.25">
      <c r="A2525">
        <v>25</v>
      </c>
      <c r="B2525" t="s">
        <v>109</v>
      </c>
      <c r="C2525">
        <v>12</v>
      </c>
      <c r="D2525">
        <v>0</v>
      </c>
      <c r="E2525">
        <v>0</v>
      </c>
      <c r="F2525">
        <v>132.68</v>
      </c>
      <c r="G2525">
        <v>123252.76</v>
      </c>
      <c r="H2525" s="14">
        <v>43768.833333333336</v>
      </c>
    </row>
    <row r="2526" spans="1:8" x14ac:dyDescent="0.25">
      <c r="A2526">
        <v>25</v>
      </c>
      <c r="B2526" t="s">
        <v>109</v>
      </c>
      <c r="C2526">
        <v>13</v>
      </c>
      <c r="D2526">
        <v>0</v>
      </c>
      <c r="E2526">
        <v>0</v>
      </c>
      <c r="F2526">
        <v>131.22</v>
      </c>
      <c r="G2526">
        <v>127025.34</v>
      </c>
      <c r="H2526" s="14">
        <v>43768.833333333336</v>
      </c>
    </row>
    <row r="2527" spans="1:8" x14ac:dyDescent="0.25">
      <c r="A2527">
        <v>25</v>
      </c>
      <c r="B2527" t="s">
        <v>109</v>
      </c>
      <c r="C2527">
        <v>14</v>
      </c>
      <c r="D2527">
        <v>0</v>
      </c>
      <c r="E2527">
        <v>0</v>
      </c>
      <c r="F2527">
        <v>128.37</v>
      </c>
      <c r="G2527">
        <v>124082.32</v>
      </c>
      <c r="H2527" s="14">
        <v>43768.833333333336</v>
      </c>
    </row>
    <row r="2528" spans="1:8" x14ac:dyDescent="0.25">
      <c r="A2528">
        <v>26</v>
      </c>
      <c r="B2528" t="s">
        <v>112</v>
      </c>
      <c r="C2528">
        <v>1</v>
      </c>
      <c r="D2528">
        <v>0</v>
      </c>
      <c r="E2528">
        <v>0</v>
      </c>
      <c r="F2528">
        <v>104.16</v>
      </c>
      <c r="G2528">
        <v>116288.44</v>
      </c>
      <c r="H2528" s="14">
        <v>43768.833333333336</v>
      </c>
    </row>
    <row r="2529" spans="1:8" x14ac:dyDescent="0.25">
      <c r="A2529">
        <v>26</v>
      </c>
      <c r="B2529" t="s">
        <v>112</v>
      </c>
      <c r="C2529">
        <v>2</v>
      </c>
      <c r="D2529">
        <v>0</v>
      </c>
      <c r="E2529">
        <v>0</v>
      </c>
      <c r="F2529">
        <v>104.82</v>
      </c>
      <c r="G2529">
        <v>122859.05</v>
      </c>
      <c r="H2529" s="14">
        <v>43768.833333333336</v>
      </c>
    </row>
    <row r="2530" spans="1:8" x14ac:dyDescent="0.25">
      <c r="A2530">
        <v>26</v>
      </c>
      <c r="B2530" t="s">
        <v>112</v>
      </c>
      <c r="C2530">
        <v>3</v>
      </c>
      <c r="D2530">
        <v>0</v>
      </c>
      <c r="E2530">
        <v>0</v>
      </c>
      <c r="F2530">
        <v>105.18</v>
      </c>
      <c r="G2530">
        <v>108657.36</v>
      </c>
      <c r="H2530" s="14">
        <v>43768.833333333336</v>
      </c>
    </row>
    <row r="2531" spans="1:8" x14ac:dyDescent="0.25">
      <c r="A2531">
        <v>26</v>
      </c>
      <c r="B2531" t="s">
        <v>112</v>
      </c>
      <c r="C2531">
        <v>4</v>
      </c>
      <c r="D2531">
        <v>0</v>
      </c>
      <c r="E2531">
        <v>0</v>
      </c>
      <c r="F2531">
        <v>104.49</v>
      </c>
      <c r="G2531">
        <v>104550.89</v>
      </c>
      <c r="H2531" s="14">
        <v>43768.833333333336</v>
      </c>
    </row>
    <row r="2532" spans="1:8" x14ac:dyDescent="0.25">
      <c r="A2532">
        <v>26</v>
      </c>
      <c r="B2532" t="s">
        <v>112</v>
      </c>
      <c r="C2532">
        <v>5</v>
      </c>
      <c r="D2532">
        <v>0</v>
      </c>
      <c r="E2532">
        <v>0</v>
      </c>
      <c r="F2532">
        <v>104.83</v>
      </c>
      <c r="G2532">
        <v>115374.22</v>
      </c>
      <c r="H2532" s="14">
        <v>43768.833333333336</v>
      </c>
    </row>
    <row r="2533" spans="1:8" x14ac:dyDescent="0.25">
      <c r="A2533">
        <v>26</v>
      </c>
      <c r="B2533" t="s">
        <v>112</v>
      </c>
      <c r="C2533">
        <v>6</v>
      </c>
      <c r="D2533">
        <v>0</v>
      </c>
      <c r="E2533">
        <v>0</v>
      </c>
      <c r="F2533">
        <v>120.27</v>
      </c>
      <c r="G2533">
        <v>122579.23</v>
      </c>
      <c r="H2533" s="14">
        <v>43768.833333333336</v>
      </c>
    </row>
    <row r="2534" spans="1:8" x14ac:dyDescent="0.25">
      <c r="A2534">
        <v>26</v>
      </c>
      <c r="B2534" t="s">
        <v>112</v>
      </c>
      <c r="C2534">
        <v>7</v>
      </c>
      <c r="D2534">
        <v>0</v>
      </c>
      <c r="E2534">
        <v>0</v>
      </c>
      <c r="F2534">
        <v>137.26</v>
      </c>
      <c r="G2534">
        <v>118989.75999999999</v>
      </c>
      <c r="H2534" s="14">
        <v>43768.833333333336</v>
      </c>
    </row>
    <row r="2535" spans="1:8" x14ac:dyDescent="0.25">
      <c r="A2535">
        <v>26</v>
      </c>
      <c r="B2535" t="s">
        <v>112</v>
      </c>
      <c r="C2535">
        <v>8</v>
      </c>
      <c r="D2535">
        <v>0</v>
      </c>
      <c r="E2535">
        <v>0</v>
      </c>
      <c r="F2535">
        <v>135.63</v>
      </c>
      <c r="G2535">
        <v>117228.9</v>
      </c>
      <c r="H2535" s="14">
        <v>43768.833333333336</v>
      </c>
    </row>
    <row r="2536" spans="1:8" x14ac:dyDescent="0.25">
      <c r="A2536">
        <v>26</v>
      </c>
      <c r="B2536" t="s">
        <v>112</v>
      </c>
      <c r="C2536">
        <v>9</v>
      </c>
      <c r="D2536">
        <v>0</v>
      </c>
      <c r="E2536">
        <v>0</v>
      </c>
      <c r="F2536">
        <v>135.72999999999999</v>
      </c>
      <c r="G2536">
        <v>113581.87</v>
      </c>
      <c r="H2536" s="14">
        <v>43768.833333333336</v>
      </c>
    </row>
    <row r="2537" spans="1:8" x14ac:dyDescent="0.25">
      <c r="A2537">
        <v>26</v>
      </c>
      <c r="B2537" t="s">
        <v>112</v>
      </c>
      <c r="C2537">
        <v>10</v>
      </c>
      <c r="D2537">
        <v>0</v>
      </c>
      <c r="E2537">
        <v>0</v>
      </c>
      <c r="F2537">
        <v>135.24</v>
      </c>
      <c r="G2537">
        <v>116275.36</v>
      </c>
      <c r="H2537" s="14">
        <v>43768.833333333336</v>
      </c>
    </row>
    <row r="2538" spans="1:8" x14ac:dyDescent="0.25">
      <c r="A2538">
        <v>26</v>
      </c>
      <c r="B2538" t="s">
        <v>112</v>
      </c>
      <c r="C2538">
        <v>11</v>
      </c>
      <c r="D2538">
        <v>0</v>
      </c>
      <c r="E2538">
        <v>0</v>
      </c>
      <c r="F2538">
        <v>129.25</v>
      </c>
      <c r="G2538">
        <v>126451.77</v>
      </c>
      <c r="H2538" s="14">
        <v>43768.833333333336</v>
      </c>
    </row>
    <row r="2539" spans="1:8" x14ac:dyDescent="0.25">
      <c r="A2539">
        <v>26</v>
      </c>
      <c r="B2539" t="s">
        <v>112</v>
      </c>
      <c r="C2539">
        <v>12</v>
      </c>
      <c r="D2539">
        <v>0</v>
      </c>
      <c r="E2539">
        <v>0</v>
      </c>
      <c r="F2539">
        <v>133.72</v>
      </c>
      <c r="G2539">
        <v>123543.45</v>
      </c>
      <c r="H2539" s="14">
        <v>43768.833333333336</v>
      </c>
    </row>
    <row r="2540" spans="1:8" x14ac:dyDescent="0.25">
      <c r="A2540">
        <v>26</v>
      </c>
      <c r="B2540" t="s">
        <v>112</v>
      </c>
      <c r="C2540">
        <v>13</v>
      </c>
      <c r="D2540">
        <v>0</v>
      </c>
      <c r="E2540">
        <v>0</v>
      </c>
      <c r="F2540">
        <v>134.83000000000001</v>
      </c>
      <c r="G2540">
        <v>124030.21</v>
      </c>
      <c r="H2540" s="14">
        <v>43768.833333333336</v>
      </c>
    </row>
    <row r="2541" spans="1:8" x14ac:dyDescent="0.25">
      <c r="A2541">
        <v>26</v>
      </c>
      <c r="B2541" t="s">
        <v>112</v>
      </c>
      <c r="C2541">
        <v>14</v>
      </c>
      <c r="D2541">
        <v>0</v>
      </c>
      <c r="E2541">
        <v>0</v>
      </c>
      <c r="F2541">
        <v>136.54</v>
      </c>
      <c r="G2541">
        <v>122544.62</v>
      </c>
      <c r="H2541" s="14">
        <v>43768.833333333336</v>
      </c>
    </row>
    <row r="2542" spans="1:8" x14ac:dyDescent="0.25">
      <c r="A2542">
        <v>27</v>
      </c>
      <c r="B2542" t="s">
        <v>115</v>
      </c>
      <c r="C2542">
        <v>1</v>
      </c>
      <c r="D2542">
        <v>0</v>
      </c>
      <c r="E2542">
        <v>0</v>
      </c>
      <c r="F2542">
        <v>122.32</v>
      </c>
      <c r="G2542">
        <v>125202.71</v>
      </c>
      <c r="H2542" s="14">
        <v>43768.833333333336</v>
      </c>
    </row>
    <row r="2543" spans="1:8" x14ac:dyDescent="0.25">
      <c r="A2543">
        <v>27</v>
      </c>
      <c r="B2543" t="s">
        <v>115</v>
      </c>
      <c r="C2543">
        <v>2</v>
      </c>
      <c r="D2543">
        <v>0</v>
      </c>
      <c r="E2543">
        <v>0</v>
      </c>
      <c r="F2543">
        <v>120.84</v>
      </c>
      <c r="G2543">
        <v>111977.14</v>
      </c>
      <c r="H2543" s="14">
        <v>43768.833333333336</v>
      </c>
    </row>
    <row r="2544" spans="1:8" x14ac:dyDescent="0.25">
      <c r="A2544">
        <v>27</v>
      </c>
      <c r="B2544" t="s">
        <v>115</v>
      </c>
      <c r="C2544">
        <v>3</v>
      </c>
      <c r="D2544">
        <v>0</v>
      </c>
      <c r="E2544">
        <v>0</v>
      </c>
      <c r="F2544">
        <v>119.2</v>
      </c>
      <c r="G2544">
        <v>123333.97</v>
      </c>
      <c r="H2544" s="14">
        <v>43768.833333333336</v>
      </c>
    </row>
    <row r="2545" spans="1:8" x14ac:dyDescent="0.25">
      <c r="A2545">
        <v>27</v>
      </c>
      <c r="B2545" t="s">
        <v>115</v>
      </c>
      <c r="C2545">
        <v>4</v>
      </c>
      <c r="D2545">
        <v>0</v>
      </c>
      <c r="E2545">
        <v>0</v>
      </c>
      <c r="F2545">
        <v>127.6</v>
      </c>
      <c r="G2545">
        <v>128122.55</v>
      </c>
      <c r="H2545" s="14">
        <v>43768.833333333336</v>
      </c>
    </row>
    <row r="2546" spans="1:8" x14ac:dyDescent="0.25">
      <c r="A2546">
        <v>27</v>
      </c>
      <c r="B2546" t="s">
        <v>115</v>
      </c>
      <c r="C2546">
        <v>5</v>
      </c>
      <c r="D2546">
        <v>0</v>
      </c>
      <c r="E2546">
        <v>0</v>
      </c>
      <c r="F2546">
        <v>121.84</v>
      </c>
      <c r="G2546">
        <v>124394.86</v>
      </c>
      <c r="H2546" s="14">
        <v>43768.833333333336</v>
      </c>
    </row>
    <row r="2547" spans="1:8" x14ac:dyDescent="0.25">
      <c r="A2547">
        <v>27</v>
      </c>
      <c r="B2547" t="s">
        <v>115</v>
      </c>
      <c r="C2547">
        <v>6</v>
      </c>
      <c r="D2547">
        <v>0</v>
      </c>
      <c r="E2547">
        <v>0</v>
      </c>
      <c r="F2547">
        <v>85.83</v>
      </c>
      <c r="G2547">
        <v>86379.839999999997</v>
      </c>
      <c r="H2547" s="14">
        <v>43768.833333333336</v>
      </c>
    </row>
    <row r="2548" spans="1:8" x14ac:dyDescent="0.25">
      <c r="A2548">
        <v>28</v>
      </c>
      <c r="B2548" t="s">
        <v>118</v>
      </c>
      <c r="C2548">
        <v>1</v>
      </c>
      <c r="D2548">
        <v>0</v>
      </c>
      <c r="E2548">
        <v>0</v>
      </c>
      <c r="F2548">
        <v>137.38999999999999</v>
      </c>
      <c r="G2548">
        <v>128377.3</v>
      </c>
      <c r="H2548" s="14">
        <v>43768.833333333336</v>
      </c>
    </row>
    <row r="2549" spans="1:8" x14ac:dyDescent="0.25">
      <c r="A2549">
        <v>28</v>
      </c>
      <c r="B2549" t="s">
        <v>118</v>
      </c>
      <c r="C2549">
        <v>2</v>
      </c>
      <c r="D2549">
        <v>0</v>
      </c>
      <c r="E2549">
        <v>0</v>
      </c>
      <c r="F2549">
        <v>137.68</v>
      </c>
      <c r="G2549">
        <v>127856.65</v>
      </c>
      <c r="H2549" s="14">
        <v>43768.833333333336</v>
      </c>
    </row>
    <row r="2550" spans="1:8" x14ac:dyDescent="0.25">
      <c r="A2550">
        <v>28</v>
      </c>
      <c r="B2550" t="s">
        <v>118</v>
      </c>
      <c r="C2550">
        <v>3</v>
      </c>
      <c r="D2550">
        <v>0</v>
      </c>
      <c r="E2550">
        <v>0</v>
      </c>
      <c r="F2550">
        <v>136.52000000000001</v>
      </c>
      <c r="G2550">
        <v>127673.82</v>
      </c>
      <c r="H2550" s="14">
        <v>43768.833333333336</v>
      </c>
    </row>
    <row r="2551" spans="1:8" x14ac:dyDescent="0.25">
      <c r="A2551">
        <v>28</v>
      </c>
      <c r="B2551" t="s">
        <v>118</v>
      </c>
      <c r="C2551">
        <v>4</v>
      </c>
      <c r="D2551">
        <v>0</v>
      </c>
      <c r="E2551">
        <v>0</v>
      </c>
      <c r="F2551">
        <v>142.66999999999999</v>
      </c>
      <c r="G2551">
        <v>137491.95000000001</v>
      </c>
      <c r="H2551" s="14">
        <v>43768.833333333336</v>
      </c>
    </row>
    <row r="2552" spans="1:8" x14ac:dyDescent="0.25">
      <c r="A2552">
        <v>28</v>
      </c>
      <c r="B2552" t="s">
        <v>118</v>
      </c>
      <c r="C2552">
        <v>5</v>
      </c>
      <c r="D2552">
        <v>0</v>
      </c>
      <c r="E2552">
        <v>0</v>
      </c>
      <c r="F2552">
        <v>142.88</v>
      </c>
      <c r="G2552">
        <v>125094.71</v>
      </c>
      <c r="H2552" s="14">
        <v>43768.833333333336</v>
      </c>
    </row>
    <row r="2553" spans="1:8" x14ac:dyDescent="0.25">
      <c r="A2553">
        <v>28</v>
      </c>
      <c r="B2553" t="s">
        <v>118</v>
      </c>
      <c r="C2553">
        <v>6</v>
      </c>
      <c r="D2553">
        <v>0</v>
      </c>
      <c r="E2553">
        <v>0</v>
      </c>
      <c r="F2553">
        <v>143.79</v>
      </c>
      <c r="G2553">
        <v>127344.59</v>
      </c>
      <c r="H2553" s="14">
        <v>43768.833333333336</v>
      </c>
    </row>
    <row r="2554" spans="1:8" x14ac:dyDescent="0.25">
      <c r="A2554">
        <v>28</v>
      </c>
      <c r="B2554" t="s">
        <v>118</v>
      </c>
      <c r="C2554">
        <v>7</v>
      </c>
      <c r="D2554">
        <v>0</v>
      </c>
      <c r="E2554">
        <v>0</v>
      </c>
      <c r="F2554">
        <v>48.74</v>
      </c>
      <c r="G2554">
        <v>43763.29</v>
      </c>
      <c r="H2554" s="14">
        <v>43768.833333333336</v>
      </c>
    </row>
    <row r="2555" spans="1:8" x14ac:dyDescent="0.25">
      <c r="A2555">
        <v>28</v>
      </c>
      <c r="B2555" t="s">
        <v>118</v>
      </c>
      <c r="C2555">
        <v>8</v>
      </c>
      <c r="D2555">
        <v>0</v>
      </c>
      <c r="E2555">
        <v>0</v>
      </c>
      <c r="F2555">
        <v>107.25</v>
      </c>
      <c r="G2555">
        <v>118041.8</v>
      </c>
      <c r="H2555" s="14">
        <v>43768.833333333336</v>
      </c>
    </row>
    <row r="2556" spans="1:8" x14ac:dyDescent="0.25">
      <c r="A2556">
        <v>28</v>
      </c>
      <c r="B2556" t="s">
        <v>118</v>
      </c>
      <c r="C2556">
        <v>9</v>
      </c>
      <c r="D2556">
        <v>0</v>
      </c>
      <c r="E2556">
        <v>0</v>
      </c>
      <c r="F2556">
        <v>107.28</v>
      </c>
      <c r="G2556">
        <v>112333.04</v>
      </c>
      <c r="H2556" s="14">
        <v>43768.833333333336</v>
      </c>
    </row>
    <row r="2557" spans="1:8" x14ac:dyDescent="0.25">
      <c r="A2557">
        <v>28</v>
      </c>
      <c r="B2557" t="s">
        <v>118</v>
      </c>
      <c r="C2557">
        <v>10</v>
      </c>
      <c r="D2557">
        <v>0</v>
      </c>
      <c r="E2557">
        <v>0</v>
      </c>
      <c r="F2557">
        <v>107.92</v>
      </c>
      <c r="G2557">
        <v>118352.36</v>
      </c>
      <c r="H2557" s="14">
        <v>43768.833333333336</v>
      </c>
    </row>
    <row r="2558" spans="1:8" x14ac:dyDescent="0.25">
      <c r="A2558">
        <v>29</v>
      </c>
      <c r="B2558" t="s">
        <v>121</v>
      </c>
      <c r="C2558">
        <v>1</v>
      </c>
      <c r="D2558">
        <v>0</v>
      </c>
      <c r="E2558">
        <v>0</v>
      </c>
      <c r="F2558">
        <v>95.8</v>
      </c>
      <c r="G2558">
        <v>115699.45</v>
      </c>
      <c r="H2558" s="14">
        <v>43768.833333333336</v>
      </c>
    </row>
    <row r="2559" spans="1:8" x14ac:dyDescent="0.25">
      <c r="A2559">
        <v>29</v>
      </c>
      <c r="B2559" t="s">
        <v>121</v>
      </c>
      <c r="C2559">
        <v>2</v>
      </c>
      <c r="D2559">
        <v>0</v>
      </c>
      <c r="E2559">
        <v>0</v>
      </c>
      <c r="F2559">
        <v>122.38</v>
      </c>
      <c r="G2559">
        <v>126616.87</v>
      </c>
      <c r="H2559" s="14">
        <v>43768.833333333336</v>
      </c>
    </row>
    <row r="2560" spans="1:8" x14ac:dyDescent="0.25">
      <c r="A2560">
        <v>29</v>
      </c>
      <c r="B2560" t="s">
        <v>121</v>
      </c>
      <c r="C2560">
        <v>3</v>
      </c>
      <c r="D2560">
        <v>0</v>
      </c>
      <c r="E2560">
        <v>0</v>
      </c>
      <c r="F2560">
        <v>123.63</v>
      </c>
      <c r="G2560">
        <v>129595.54</v>
      </c>
      <c r="H2560" s="14">
        <v>43768.833333333336</v>
      </c>
    </row>
    <row r="2561" spans="1:8" x14ac:dyDescent="0.25">
      <c r="A2561">
        <v>29</v>
      </c>
      <c r="B2561" t="s">
        <v>121</v>
      </c>
      <c r="C2561">
        <v>4</v>
      </c>
      <c r="D2561">
        <v>0</v>
      </c>
      <c r="E2561">
        <v>0</v>
      </c>
      <c r="F2561">
        <v>118.51</v>
      </c>
      <c r="G2561">
        <v>129491.82</v>
      </c>
      <c r="H2561" s="14">
        <v>43768.833333333336</v>
      </c>
    </row>
    <row r="2562" spans="1:8" x14ac:dyDescent="0.25">
      <c r="A2562">
        <v>29</v>
      </c>
      <c r="B2562" t="s">
        <v>121</v>
      </c>
      <c r="C2562">
        <v>5</v>
      </c>
      <c r="D2562">
        <v>0</v>
      </c>
      <c r="E2562">
        <v>0</v>
      </c>
      <c r="F2562">
        <v>120.83</v>
      </c>
      <c r="G2562">
        <v>126340.43</v>
      </c>
      <c r="H2562" s="14">
        <v>43768.833333333336</v>
      </c>
    </row>
    <row r="2563" spans="1:8" x14ac:dyDescent="0.25">
      <c r="A2563">
        <v>29</v>
      </c>
      <c r="B2563" t="s">
        <v>121</v>
      </c>
      <c r="C2563">
        <v>6</v>
      </c>
      <c r="D2563">
        <v>0</v>
      </c>
      <c r="E2563">
        <v>0</v>
      </c>
      <c r="F2563">
        <v>122.11</v>
      </c>
      <c r="G2563">
        <v>127170.26</v>
      </c>
      <c r="H2563" s="14">
        <v>43768.833333333336</v>
      </c>
    </row>
    <row r="2564" spans="1:8" x14ac:dyDescent="0.25">
      <c r="A2564">
        <v>29</v>
      </c>
      <c r="B2564" t="s">
        <v>121</v>
      </c>
      <c r="C2564">
        <v>7</v>
      </c>
      <c r="D2564">
        <v>0</v>
      </c>
      <c r="E2564">
        <v>0</v>
      </c>
      <c r="F2564">
        <v>122.85</v>
      </c>
      <c r="G2564">
        <v>127644.65</v>
      </c>
      <c r="H2564" s="14">
        <v>43768.833333333336</v>
      </c>
    </row>
    <row r="2565" spans="1:8" x14ac:dyDescent="0.25">
      <c r="A2565">
        <v>29</v>
      </c>
      <c r="B2565" t="s">
        <v>121</v>
      </c>
      <c r="C2565">
        <v>8</v>
      </c>
      <c r="D2565">
        <v>0</v>
      </c>
      <c r="E2565">
        <v>0</v>
      </c>
      <c r="F2565">
        <v>123.28</v>
      </c>
      <c r="G2565">
        <v>128251.88</v>
      </c>
      <c r="H2565" s="14">
        <v>43768.833333333336</v>
      </c>
    </row>
    <row r="2566" spans="1:8" x14ac:dyDescent="0.25">
      <c r="A2566">
        <v>29</v>
      </c>
      <c r="B2566" t="s">
        <v>121</v>
      </c>
      <c r="C2566">
        <v>9</v>
      </c>
      <c r="D2566">
        <v>0</v>
      </c>
      <c r="E2566">
        <v>0</v>
      </c>
      <c r="F2566">
        <v>118.14</v>
      </c>
      <c r="G2566">
        <v>66436.33</v>
      </c>
      <c r="H2566" s="14">
        <v>43768.833333333336</v>
      </c>
    </row>
    <row r="2567" spans="1:8" x14ac:dyDescent="0.25">
      <c r="A2567">
        <v>29</v>
      </c>
      <c r="B2567" t="s">
        <v>121</v>
      </c>
      <c r="C2567">
        <v>10</v>
      </c>
      <c r="D2567">
        <v>0</v>
      </c>
      <c r="E2567">
        <v>0</v>
      </c>
      <c r="F2567">
        <v>122.18</v>
      </c>
      <c r="G2567">
        <v>127711.47</v>
      </c>
      <c r="H2567" s="14">
        <v>43768.833333333336</v>
      </c>
    </row>
    <row r="2568" spans="1:8" x14ac:dyDescent="0.25">
      <c r="A2568">
        <v>29</v>
      </c>
      <c r="B2568" t="s">
        <v>121</v>
      </c>
      <c r="C2568">
        <v>11</v>
      </c>
      <c r="D2568">
        <v>0</v>
      </c>
      <c r="E2568">
        <v>0</v>
      </c>
      <c r="F2568">
        <v>123.53</v>
      </c>
      <c r="G2568">
        <v>126810.22</v>
      </c>
      <c r="H2568" s="14">
        <v>43768.833333333336</v>
      </c>
    </row>
    <row r="2569" spans="1:8" x14ac:dyDescent="0.25">
      <c r="A2569">
        <v>29</v>
      </c>
      <c r="B2569" t="s">
        <v>121</v>
      </c>
      <c r="C2569">
        <v>12</v>
      </c>
      <c r="D2569">
        <v>0</v>
      </c>
      <c r="E2569">
        <v>0</v>
      </c>
      <c r="F2569">
        <v>113.19</v>
      </c>
      <c r="G2569">
        <v>125161.64</v>
      </c>
      <c r="H2569" s="14">
        <v>43768.833333333336</v>
      </c>
    </row>
    <row r="2570" spans="1:8" x14ac:dyDescent="0.25">
      <c r="A2570">
        <v>29</v>
      </c>
      <c r="B2570" t="s">
        <v>121</v>
      </c>
      <c r="C2570">
        <v>13</v>
      </c>
      <c r="D2570">
        <v>0</v>
      </c>
      <c r="E2570">
        <v>0</v>
      </c>
      <c r="F2570">
        <v>120.27</v>
      </c>
      <c r="G2570">
        <v>124370.69</v>
      </c>
      <c r="H2570" s="14">
        <v>43768.833333333336</v>
      </c>
    </row>
    <row r="2571" spans="1:8" x14ac:dyDescent="0.25">
      <c r="A2571">
        <v>29</v>
      </c>
      <c r="B2571" t="s">
        <v>121</v>
      </c>
      <c r="C2571">
        <v>14</v>
      </c>
      <c r="D2571">
        <v>0</v>
      </c>
      <c r="E2571">
        <v>0</v>
      </c>
      <c r="F2571">
        <v>124.5</v>
      </c>
      <c r="G2571">
        <v>127282.32</v>
      </c>
      <c r="H2571" s="14">
        <v>43768.833333333336</v>
      </c>
    </row>
    <row r="2572" spans="1:8" x14ac:dyDescent="0.25">
      <c r="A2572">
        <v>29</v>
      </c>
      <c r="B2572" t="s">
        <v>121</v>
      </c>
      <c r="C2572">
        <v>15</v>
      </c>
      <c r="D2572">
        <v>0</v>
      </c>
      <c r="E2572">
        <v>0</v>
      </c>
      <c r="F2572">
        <v>27.24</v>
      </c>
      <c r="G2572">
        <v>23583.77</v>
      </c>
      <c r="H2572" s="14">
        <v>43768.833333333336</v>
      </c>
    </row>
    <row r="2573" spans="1:8" x14ac:dyDescent="0.25">
      <c r="A2573">
        <v>30</v>
      </c>
      <c r="B2573" t="s">
        <v>124</v>
      </c>
      <c r="C2573">
        <v>1</v>
      </c>
      <c r="D2573">
        <v>0</v>
      </c>
      <c r="E2573">
        <v>0</v>
      </c>
      <c r="F2573">
        <v>119.23</v>
      </c>
      <c r="G2573">
        <v>121987.17</v>
      </c>
      <c r="H2573" s="14">
        <v>43768.833333333336</v>
      </c>
    </row>
    <row r="2574" spans="1:8" x14ac:dyDescent="0.25">
      <c r="A2574">
        <v>30</v>
      </c>
      <c r="B2574" t="s">
        <v>124</v>
      </c>
      <c r="C2574">
        <v>2</v>
      </c>
      <c r="D2574">
        <v>0</v>
      </c>
      <c r="E2574">
        <v>0</v>
      </c>
      <c r="F2574">
        <v>89</v>
      </c>
      <c r="G2574">
        <v>110861.11</v>
      </c>
      <c r="H2574" s="14">
        <v>43768.833333333336</v>
      </c>
    </row>
    <row r="2575" spans="1:8" x14ac:dyDescent="0.25">
      <c r="A2575">
        <v>30</v>
      </c>
      <c r="B2575" t="s">
        <v>124</v>
      </c>
      <c r="C2575">
        <v>3</v>
      </c>
      <c r="D2575">
        <v>0</v>
      </c>
      <c r="E2575">
        <v>0</v>
      </c>
      <c r="F2575">
        <v>141.93</v>
      </c>
      <c r="G2575">
        <v>122824.39</v>
      </c>
      <c r="H2575" s="14">
        <v>43768.833333333336</v>
      </c>
    </row>
    <row r="2576" spans="1:8" x14ac:dyDescent="0.25">
      <c r="A2576">
        <v>31</v>
      </c>
      <c r="B2576" t="s">
        <v>127</v>
      </c>
      <c r="C2576">
        <v>1</v>
      </c>
      <c r="D2576">
        <v>0</v>
      </c>
      <c r="E2576">
        <v>0</v>
      </c>
      <c r="F2576">
        <v>17.32</v>
      </c>
      <c r="G2576">
        <v>13956.94</v>
      </c>
      <c r="H2576" s="14">
        <v>43768.833333333336</v>
      </c>
    </row>
    <row r="2577" spans="1:8" x14ac:dyDescent="0.25">
      <c r="A2577">
        <v>31</v>
      </c>
      <c r="B2577" t="s">
        <v>127</v>
      </c>
      <c r="C2577">
        <v>2</v>
      </c>
      <c r="D2577">
        <v>0</v>
      </c>
      <c r="E2577">
        <v>0</v>
      </c>
      <c r="F2577">
        <v>23.54</v>
      </c>
      <c r="G2577">
        <v>15355.22</v>
      </c>
      <c r="H2577" s="14">
        <v>43768.833333333336</v>
      </c>
    </row>
    <row r="2578" spans="1:8" x14ac:dyDescent="0.25">
      <c r="A2578">
        <v>31</v>
      </c>
      <c r="B2578" t="s">
        <v>127</v>
      </c>
      <c r="C2578">
        <v>3</v>
      </c>
      <c r="D2578">
        <v>0</v>
      </c>
      <c r="E2578">
        <v>0</v>
      </c>
      <c r="F2578">
        <v>17.2</v>
      </c>
      <c r="G2578">
        <v>14325.4</v>
      </c>
      <c r="H2578" s="14">
        <v>43768.833333333336</v>
      </c>
    </row>
    <row r="2579" spans="1:8" x14ac:dyDescent="0.25">
      <c r="A2579">
        <v>31</v>
      </c>
      <c r="B2579" t="s">
        <v>127</v>
      </c>
      <c r="C2579">
        <v>4</v>
      </c>
      <c r="D2579">
        <v>0</v>
      </c>
      <c r="E2579">
        <v>0</v>
      </c>
      <c r="F2579">
        <v>23.51</v>
      </c>
      <c r="G2579">
        <v>15017.78</v>
      </c>
      <c r="H2579" s="14">
        <v>43768.833333333336</v>
      </c>
    </row>
    <row r="2580" spans="1:8" x14ac:dyDescent="0.25">
      <c r="A2580">
        <v>31</v>
      </c>
      <c r="B2580" t="s">
        <v>127</v>
      </c>
      <c r="C2580">
        <v>5</v>
      </c>
      <c r="D2580">
        <v>0</v>
      </c>
      <c r="E2580">
        <v>0</v>
      </c>
      <c r="F2580">
        <v>17.12</v>
      </c>
      <c r="G2580">
        <v>14546.03</v>
      </c>
      <c r="H2580" s="14">
        <v>43768.833333333336</v>
      </c>
    </row>
    <row r="2581" spans="1:8" x14ac:dyDescent="0.25">
      <c r="A2581">
        <v>31</v>
      </c>
      <c r="B2581" t="s">
        <v>127</v>
      </c>
      <c r="C2581">
        <v>6</v>
      </c>
      <c r="D2581">
        <v>0</v>
      </c>
      <c r="E2581">
        <v>0</v>
      </c>
      <c r="F2581">
        <v>16.53</v>
      </c>
      <c r="G2581">
        <v>14391.45</v>
      </c>
      <c r="H2581" s="14">
        <v>43768.833333333336</v>
      </c>
    </row>
    <row r="2582" spans="1:8" x14ac:dyDescent="0.25">
      <c r="A2582">
        <v>31</v>
      </c>
      <c r="B2582" t="s">
        <v>127</v>
      </c>
      <c r="C2582">
        <v>7</v>
      </c>
      <c r="D2582">
        <v>0</v>
      </c>
      <c r="E2582">
        <v>0</v>
      </c>
      <c r="F2582">
        <v>23.91</v>
      </c>
      <c r="G2582">
        <v>15847.9</v>
      </c>
      <c r="H2582" s="14">
        <v>43768.833333333336</v>
      </c>
    </row>
    <row r="2583" spans="1:8" x14ac:dyDescent="0.25">
      <c r="A2583">
        <v>31</v>
      </c>
      <c r="B2583" t="s">
        <v>127</v>
      </c>
      <c r="C2583">
        <v>8</v>
      </c>
      <c r="D2583">
        <v>0</v>
      </c>
      <c r="E2583">
        <v>0</v>
      </c>
      <c r="F2583">
        <v>16.79</v>
      </c>
      <c r="G2583">
        <v>13929.38</v>
      </c>
      <c r="H2583" s="14">
        <v>43768.833333333336</v>
      </c>
    </row>
    <row r="2584" spans="1:8" x14ac:dyDescent="0.25">
      <c r="A2584">
        <v>31</v>
      </c>
      <c r="B2584" t="s">
        <v>127</v>
      </c>
      <c r="C2584">
        <v>9</v>
      </c>
      <c r="D2584">
        <v>0</v>
      </c>
      <c r="E2584">
        <v>0</v>
      </c>
      <c r="F2584">
        <v>24.07</v>
      </c>
      <c r="G2584">
        <v>15792.79</v>
      </c>
      <c r="H2584" s="14">
        <v>43768.833333333336</v>
      </c>
    </row>
    <row r="2585" spans="1:8" x14ac:dyDescent="0.25">
      <c r="A2585">
        <v>31</v>
      </c>
      <c r="B2585" t="s">
        <v>127</v>
      </c>
      <c r="C2585">
        <v>10</v>
      </c>
      <c r="D2585">
        <v>0</v>
      </c>
      <c r="E2585">
        <v>0</v>
      </c>
      <c r="F2585">
        <v>16.670000000000002</v>
      </c>
      <c r="G2585">
        <v>13985.83</v>
      </c>
      <c r="H2585" s="14">
        <v>43768.833333333336</v>
      </c>
    </row>
    <row r="2586" spans="1:8" x14ac:dyDescent="0.25">
      <c r="A2586">
        <v>31</v>
      </c>
      <c r="B2586" t="s">
        <v>127</v>
      </c>
      <c r="C2586">
        <v>11</v>
      </c>
      <c r="D2586">
        <v>0</v>
      </c>
      <c r="E2586">
        <v>0</v>
      </c>
      <c r="F2586">
        <v>24.07</v>
      </c>
      <c r="G2586">
        <v>15820.7</v>
      </c>
      <c r="H2586" s="14">
        <v>43768.833333333336</v>
      </c>
    </row>
    <row r="2587" spans="1:8" x14ac:dyDescent="0.25">
      <c r="A2587">
        <v>31</v>
      </c>
      <c r="B2587" t="s">
        <v>127</v>
      </c>
      <c r="C2587">
        <v>12</v>
      </c>
      <c r="D2587">
        <v>0</v>
      </c>
      <c r="E2587">
        <v>0</v>
      </c>
      <c r="F2587">
        <v>16.97</v>
      </c>
      <c r="G2587">
        <v>12556.32</v>
      </c>
      <c r="H2587" s="14">
        <v>43768.833333333336</v>
      </c>
    </row>
    <row r="2588" spans="1:8" x14ac:dyDescent="0.25">
      <c r="A2588">
        <v>31</v>
      </c>
      <c r="B2588" t="s">
        <v>127</v>
      </c>
      <c r="C2588">
        <v>13</v>
      </c>
      <c r="D2588">
        <v>0</v>
      </c>
      <c r="E2588">
        <v>0</v>
      </c>
      <c r="F2588">
        <v>15.45</v>
      </c>
      <c r="G2588">
        <v>11983.5</v>
      </c>
      <c r="H2588" s="14">
        <v>43768.833333333336</v>
      </c>
    </row>
    <row r="2589" spans="1:8" x14ac:dyDescent="0.25">
      <c r="A2589">
        <v>31</v>
      </c>
      <c r="B2589" t="s">
        <v>127</v>
      </c>
      <c r="C2589">
        <v>14</v>
      </c>
      <c r="D2589">
        <v>0</v>
      </c>
      <c r="E2589">
        <v>0</v>
      </c>
      <c r="F2589">
        <v>17.34</v>
      </c>
      <c r="G2589">
        <v>10871.54</v>
      </c>
      <c r="H2589" s="14">
        <v>43768.833333333336</v>
      </c>
    </row>
    <row r="2590" spans="1:8" x14ac:dyDescent="0.25">
      <c r="A2590">
        <v>31</v>
      </c>
      <c r="B2590" t="s">
        <v>127</v>
      </c>
      <c r="C2590">
        <v>15</v>
      </c>
      <c r="D2590">
        <v>0</v>
      </c>
      <c r="E2590">
        <v>0</v>
      </c>
      <c r="F2590">
        <v>19.03</v>
      </c>
      <c r="G2590">
        <v>14786.48</v>
      </c>
      <c r="H2590" s="14">
        <v>43768.833333333336</v>
      </c>
    </row>
    <row r="2591" spans="1:8" x14ac:dyDescent="0.25">
      <c r="A2591">
        <v>31</v>
      </c>
      <c r="B2591" t="s">
        <v>127</v>
      </c>
      <c r="C2591">
        <v>16</v>
      </c>
      <c r="D2591">
        <v>0</v>
      </c>
      <c r="E2591">
        <v>0</v>
      </c>
      <c r="F2591">
        <v>21.57</v>
      </c>
      <c r="G2591">
        <v>14645.58</v>
      </c>
      <c r="H2591" s="14">
        <v>43768.833333333336</v>
      </c>
    </row>
    <row r="2592" spans="1:8" x14ac:dyDescent="0.25">
      <c r="A2592">
        <v>31</v>
      </c>
      <c r="B2592" t="s">
        <v>127</v>
      </c>
      <c r="C2592">
        <v>17</v>
      </c>
      <c r="D2592">
        <v>0</v>
      </c>
      <c r="E2592">
        <v>0</v>
      </c>
      <c r="F2592">
        <v>20.53</v>
      </c>
      <c r="G2592">
        <v>13532.8</v>
      </c>
      <c r="H2592" s="14">
        <v>43768.833333333336</v>
      </c>
    </row>
    <row r="2593" spans="1:8" x14ac:dyDescent="0.25">
      <c r="A2593">
        <v>31</v>
      </c>
      <c r="B2593" t="s">
        <v>127</v>
      </c>
      <c r="C2593">
        <v>18</v>
      </c>
      <c r="D2593">
        <v>0</v>
      </c>
      <c r="E2593">
        <v>0</v>
      </c>
      <c r="F2593">
        <v>18.02</v>
      </c>
      <c r="G2593">
        <v>13798.4</v>
      </c>
      <c r="H2593" s="14">
        <v>43768.833333333336</v>
      </c>
    </row>
    <row r="2594" spans="1:8" x14ac:dyDescent="0.25">
      <c r="A2594">
        <v>31</v>
      </c>
      <c r="B2594" t="s">
        <v>127</v>
      </c>
      <c r="C2594">
        <v>19</v>
      </c>
      <c r="D2594">
        <v>0</v>
      </c>
      <c r="E2594">
        <v>0</v>
      </c>
      <c r="F2594">
        <v>14.49</v>
      </c>
      <c r="G2594">
        <v>9462.7800000000007</v>
      </c>
      <c r="H2594" s="14">
        <v>43768.833333333336</v>
      </c>
    </row>
    <row r="2595" spans="1:8" x14ac:dyDescent="0.25">
      <c r="A2595">
        <v>31</v>
      </c>
      <c r="B2595" t="s">
        <v>127</v>
      </c>
      <c r="C2595">
        <v>20</v>
      </c>
      <c r="D2595">
        <v>0</v>
      </c>
      <c r="E2595">
        <v>0</v>
      </c>
      <c r="F2595">
        <v>11.42</v>
      </c>
      <c r="G2595">
        <v>8240.89</v>
      </c>
      <c r="H2595" s="14">
        <v>43768.833333333336</v>
      </c>
    </row>
    <row r="2596" spans="1:8" x14ac:dyDescent="0.25">
      <c r="A2596">
        <v>31</v>
      </c>
      <c r="B2596" t="s">
        <v>127</v>
      </c>
      <c r="C2596">
        <v>21</v>
      </c>
      <c r="D2596">
        <v>0</v>
      </c>
      <c r="E2596">
        <v>0</v>
      </c>
      <c r="F2596">
        <v>8.67</v>
      </c>
      <c r="G2596">
        <v>7727.88</v>
      </c>
      <c r="H2596" s="14">
        <v>43768.833333333336</v>
      </c>
    </row>
    <row r="2597" spans="1:8" x14ac:dyDescent="0.25">
      <c r="A2597">
        <v>32</v>
      </c>
      <c r="B2597" t="s">
        <v>130</v>
      </c>
      <c r="C2597">
        <v>1</v>
      </c>
      <c r="D2597">
        <v>0</v>
      </c>
      <c r="E2597">
        <v>0</v>
      </c>
      <c r="F2597">
        <v>10.8</v>
      </c>
      <c r="G2597">
        <v>11292.94</v>
      </c>
      <c r="H2597" s="14">
        <v>43768.833333333336</v>
      </c>
    </row>
    <row r="2598" spans="1:8" x14ac:dyDescent="0.25">
      <c r="A2598">
        <v>32</v>
      </c>
      <c r="B2598" t="s">
        <v>130</v>
      </c>
      <c r="C2598">
        <v>2</v>
      </c>
      <c r="D2598">
        <v>0</v>
      </c>
      <c r="E2598">
        <v>0</v>
      </c>
      <c r="F2598">
        <v>13.78</v>
      </c>
      <c r="G2598">
        <v>13115.52</v>
      </c>
      <c r="H2598" s="14">
        <v>43768.833333333336</v>
      </c>
    </row>
    <row r="2599" spans="1:8" x14ac:dyDescent="0.25">
      <c r="A2599">
        <v>32</v>
      </c>
      <c r="B2599" t="s">
        <v>130</v>
      </c>
      <c r="C2599">
        <v>3</v>
      </c>
      <c r="D2599">
        <v>0</v>
      </c>
      <c r="E2599">
        <v>0</v>
      </c>
      <c r="F2599">
        <v>18.21</v>
      </c>
      <c r="G2599">
        <v>14260.33</v>
      </c>
      <c r="H2599" s="14">
        <v>43768.833333333336</v>
      </c>
    </row>
    <row r="2600" spans="1:8" x14ac:dyDescent="0.25">
      <c r="A2600">
        <v>32</v>
      </c>
      <c r="B2600" t="s">
        <v>130</v>
      </c>
      <c r="C2600">
        <v>4</v>
      </c>
      <c r="D2600">
        <v>0</v>
      </c>
      <c r="E2600">
        <v>0</v>
      </c>
      <c r="F2600">
        <v>19.75</v>
      </c>
      <c r="G2600">
        <v>14624.49</v>
      </c>
      <c r="H2600" s="14">
        <v>43768.833333333336</v>
      </c>
    </row>
    <row r="2601" spans="1:8" x14ac:dyDescent="0.25">
      <c r="A2601">
        <v>32</v>
      </c>
      <c r="B2601" t="s">
        <v>130</v>
      </c>
      <c r="C2601">
        <v>5</v>
      </c>
      <c r="D2601">
        <v>0</v>
      </c>
      <c r="E2601">
        <v>0</v>
      </c>
      <c r="F2601">
        <v>17.36</v>
      </c>
      <c r="G2601">
        <v>13819.09</v>
      </c>
      <c r="H2601" s="14">
        <v>43768.833333333336</v>
      </c>
    </row>
    <row r="2602" spans="1:8" x14ac:dyDescent="0.25">
      <c r="A2602">
        <v>32</v>
      </c>
      <c r="B2602" t="s">
        <v>130</v>
      </c>
      <c r="C2602">
        <v>6</v>
      </c>
      <c r="D2602">
        <v>0</v>
      </c>
      <c r="E2602">
        <v>0</v>
      </c>
      <c r="F2602">
        <v>10.82</v>
      </c>
      <c r="G2602">
        <v>7553.01</v>
      </c>
      <c r="H2602" s="14">
        <v>43768.833333333336</v>
      </c>
    </row>
    <row r="2603" spans="1:8" x14ac:dyDescent="0.25">
      <c r="A2603">
        <v>32</v>
      </c>
      <c r="B2603" t="s">
        <v>130</v>
      </c>
      <c r="C2603">
        <v>7</v>
      </c>
      <c r="D2603">
        <v>0</v>
      </c>
      <c r="E2603">
        <v>0</v>
      </c>
      <c r="F2603">
        <v>18.850000000000001</v>
      </c>
      <c r="G2603">
        <v>13313.03</v>
      </c>
      <c r="H2603" s="14">
        <v>43768.833333333336</v>
      </c>
    </row>
    <row r="2604" spans="1:8" x14ac:dyDescent="0.25">
      <c r="A2604">
        <v>32</v>
      </c>
      <c r="B2604" t="s">
        <v>130</v>
      </c>
      <c r="C2604">
        <v>8</v>
      </c>
      <c r="D2604">
        <v>0</v>
      </c>
      <c r="E2604">
        <v>0</v>
      </c>
      <c r="F2604">
        <v>18.98</v>
      </c>
      <c r="G2604">
        <v>14598.57</v>
      </c>
      <c r="H2604" s="14">
        <v>43768.833333333336</v>
      </c>
    </row>
    <row r="2605" spans="1:8" x14ac:dyDescent="0.25">
      <c r="A2605">
        <v>32</v>
      </c>
      <c r="B2605" t="s">
        <v>130</v>
      </c>
      <c r="C2605">
        <v>9</v>
      </c>
      <c r="D2605">
        <v>0</v>
      </c>
      <c r="E2605">
        <v>0</v>
      </c>
      <c r="F2605">
        <v>19.899999999999999</v>
      </c>
      <c r="G2605">
        <v>14728.2</v>
      </c>
      <c r="H2605" s="14">
        <v>43768.833333333336</v>
      </c>
    </row>
    <row r="2606" spans="1:8" x14ac:dyDescent="0.25">
      <c r="A2606">
        <v>32</v>
      </c>
      <c r="B2606" t="s">
        <v>130</v>
      </c>
      <c r="C2606">
        <v>10</v>
      </c>
      <c r="D2606">
        <v>0</v>
      </c>
      <c r="E2606">
        <v>0</v>
      </c>
      <c r="F2606">
        <v>21.14</v>
      </c>
      <c r="G2606">
        <v>16845.25</v>
      </c>
      <c r="H2606" s="14">
        <v>43768.833333333336</v>
      </c>
    </row>
    <row r="2607" spans="1:8" x14ac:dyDescent="0.25">
      <c r="A2607">
        <v>32</v>
      </c>
      <c r="B2607" t="s">
        <v>130</v>
      </c>
      <c r="C2607">
        <v>11</v>
      </c>
      <c r="D2607">
        <v>0</v>
      </c>
      <c r="E2607">
        <v>0</v>
      </c>
      <c r="F2607">
        <v>10.48</v>
      </c>
      <c r="G2607">
        <v>7841.81</v>
      </c>
      <c r="H2607" s="14">
        <v>43768.833333333336</v>
      </c>
    </row>
    <row r="2608" spans="1:8" x14ac:dyDescent="0.25">
      <c r="A2608">
        <v>33</v>
      </c>
      <c r="B2608" t="s">
        <v>133</v>
      </c>
      <c r="C2608">
        <v>1</v>
      </c>
      <c r="D2608">
        <v>0</v>
      </c>
      <c r="E2608">
        <v>0</v>
      </c>
      <c r="F2608">
        <v>102.25</v>
      </c>
      <c r="G2608">
        <v>98923.8</v>
      </c>
      <c r="H2608" s="14">
        <v>43768.833333333336</v>
      </c>
    </row>
    <row r="2609" spans="1:8" x14ac:dyDescent="0.25">
      <c r="A2609">
        <v>33</v>
      </c>
      <c r="B2609" t="s">
        <v>133</v>
      </c>
      <c r="C2609">
        <v>2</v>
      </c>
      <c r="D2609">
        <v>0</v>
      </c>
      <c r="E2609">
        <v>0</v>
      </c>
      <c r="F2609">
        <v>159.32</v>
      </c>
      <c r="G2609">
        <v>112822.56</v>
      </c>
      <c r="H2609" s="14">
        <v>43768.833333333336</v>
      </c>
    </row>
    <row r="2610" spans="1:8" x14ac:dyDescent="0.25">
      <c r="A2610">
        <v>34</v>
      </c>
      <c r="B2610" t="s">
        <v>136</v>
      </c>
      <c r="C2610">
        <v>1</v>
      </c>
      <c r="D2610">
        <v>0</v>
      </c>
      <c r="E2610">
        <v>0</v>
      </c>
      <c r="F2610">
        <v>19.66</v>
      </c>
      <c r="G2610">
        <v>16527.849999999999</v>
      </c>
      <c r="H2610" s="14">
        <v>43768.833333333336</v>
      </c>
    </row>
    <row r="2611" spans="1:8" x14ac:dyDescent="0.25">
      <c r="A2611">
        <v>34</v>
      </c>
      <c r="B2611" t="s">
        <v>136</v>
      </c>
      <c r="C2611">
        <v>2</v>
      </c>
      <c r="D2611">
        <v>0</v>
      </c>
      <c r="E2611">
        <v>0</v>
      </c>
      <c r="F2611">
        <v>19.600000000000001</v>
      </c>
      <c r="G2611">
        <v>16433.080000000002</v>
      </c>
      <c r="H2611" s="14">
        <v>43768.833333333336</v>
      </c>
    </row>
    <row r="2612" spans="1:8" x14ac:dyDescent="0.25">
      <c r="A2612">
        <v>34</v>
      </c>
      <c r="B2612" t="s">
        <v>136</v>
      </c>
      <c r="C2612">
        <v>3</v>
      </c>
      <c r="D2612">
        <v>0</v>
      </c>
      <c r="E2612">
        <v>0</v>
      </c>
      <c r="F2612">
        <v>19.59</v>
      </c>
      <c r="G2612">
        <v>16576.189999999999</v>
      </c>
      <c r="H2612" s="14">
        <v>43768.833333333336</v>
      </c>
    </row>
    <row r="2613" spans="1:8" x14ac:dyDescent="0.25">
      <c r="A2613">
        <v>34</v>
      </c>
      <c r="B2613" t="s">
        <v>136</v>
      </c>
      <c r="C2613">
        <v>4</v>
      </c>
      <c r="D2613">
        <v>0</v>
      </c>
      <c r="E2613">
        <v>0</v>
      </c>
      <c r="F2613">
        <v>19.2</v>
      </c>
      <c r="G2613">
        <v>16169.85</v>
      </c>
      <c r="H2613" s="14">
        <v>43768.833333333336</v>
      </c>
    </row>
    <row r="2614" spans="1:8" x14ac:dyDescent="0.25">
      <c r="A2614">
        <v>34</v>
      </c>
      <c r="B2614" t="s">
        <v>136</v>
      </c>
      <c r="C2614">
        <v>5</v>
      </c>
      <c r="D2614">
        <v>0</v>
      </c>
      <c r="E2614">
        <v>0</v>
      </c>
      <c r="F2614">
        <v>19.010000000000002</v>
      </c>
      <c r="G2614">
        <v>18184.82</v>
      </c>
      <c r="H2614" s="14">
        <v>43768.833333333336</v>
      </c>
    </row>
    <row r="2615" spans="1:8" x14ac:dyDescent="0.25">
      <c r="A2615">
        <v>34</v>
      </c>
      <c r="B2615" t="s">
        <v>136</v>
      </c>
      <c r="C2615">
        <v>6</v>
      </c>
      <c r="D2615">
        <v>0</v>
      </c>
      <c r="E2615">
        <v>0</v>
      </c>
      <c r="F2615">
        <v>18.82</v>
      </c>
      <c r="G2615">
        <v>17214.04</v>
      </c>
      <c r="H2615" s="14">
        <v>43768.833333333336</v>
      </c>
    </row>
    <row r="2616" spans="1:8" x14ac:dyDescent="0.25">
      <c r="A2616">
        <v>34</v>
      </c>
      <c r="B2616" t="s">
        <v>136</v>
      </c>
      <c r="C2616">
        <v>7</v>
      </c>
      <c r="D2616">
        <v>0</v>
      </c>
      <c r="E2616">
        <v>0</v>
      </c>
      <c r="F2616">
        <v>18.579999999999998</v>
      </c>
      <c r="G2616">
        <v>16067.27</v>
      </c>
      <c r="H2616" s="14">
        <v>43768.833333333336</v>
      </c>
    </row>
    <row r="2617" spans="1:8" x14ac:dyDescent="0.25">
      <c r="A2617">
        <v>34</v>
      </c>
      <c r="B2617" t="s">
        <v>136</v>
      </c>
      <c r="C2617">
        <v>8</v>
      </c>
      <c r="D2617">
        <v>0</v>
      </c>
      <c r="E2617">
        <v>0</v>
      </c>
      <c r="F2617">
        <v>18.12</v>
      </c>
      <c r="G2617">
        <v>17669.48</v>
      </c>
      <c r="H2617" s="14">
        <v>43768.833333333336</v>
      </c>
    </row>
    <row r="2618" spans="1:8" x14ac:dyDescent="0.25">
      <c r="A2618">
        <v>34</v>
      </c>
      <c r="B2618" t="s">
        <v>136</v>
      </c>
      <c r="C2618">
        <v>9</v>
      </c>
      <c r="D2618">
        <v>0</v>
      </c>
      <c r="E2618">
        <v>0</v>
      </c>
      <c r="F2618">
        <v>21.99</v>
      </c>
      <c r="G2618">
        <v>19698.03</v>
      </c>
      <c r="H2618" s="14">
        <v>43768.833333333336</v>
      </c>
    </row>
    <row r="2619" spans="1:8" x14ac:dyDescent="0.25">
      <c r="A2619">
        <v>34</v>
      </c>
      <c r="B2619" t="s">
        <v>136</v>
      </c>
      <c r="C2619">
        <v>10</v>
      </c>
      <c r="D2619">
        <v>0</v>
      </c>
      <c r="E2619">
        <v>0</v>
      </c>
      <c r="F2619">
        <v>22.25</v>
      </c>
      <c r="G2619">
        <v>20000.099999999999</v>
      </c>
      <c r="H2619" s="14">
        <v>43768.833333333336</v>
      </c>
    </row>
    <row r="2620" spans="1:8" x14ac:dyDescent="0.25">
      <c r="A2620">
        <v>34</v>
      </c>
      <c r="B2620" t="s">
        <v>136</v>
      </c>
      <c r="C2620">
        <v>11</v>
      </c>
      <c r="D2620">
        <v>0</v>
      </c>
      <c r="E2620">
        <v>0</v>
      </c>
      <c r="F2620">
        <v>22.33</v>
      </c>
      <c r="G2620">
        <v>19995.669999999998</v>
      </c>
      <c r="H2620" s="14">
        <v>43768.833333333336</v>
      </c>
    </row>
    <row r="2621" spans="1:8" x14ac:dyDescent="0.25">
      <c r="A2621">
        <v>34</v>
      </c>
      <c r="B2621" t="s">
        <v>136</v>
      </c>
      <c r="C2621">
        <v>12</v>
      </c>
      <c r="D2621">
        <v>0</v>
      </c>
      <c r="E2621">
        <v>0</v>
      </c>
      <c r="F2621">
        <v>22.29</v>
      </c>
      <c r="G2621">
        <v>19974.439999999999</v>
      </c>
      <c r="H2621" s="14">
        <v>43768.833333333336</v>
      </c>
    </row>
    <row r="2622" spans="1:8" x14ac:dyDescent="0.25">
      <c r="A2622">
        <v>34</v>
      </c>
      <c r="B2622" t="s">
        <v>136</v>
      </c>
      <c r="C2622">
        <v>13</v>
      </c>
      <c r="D2622">
        <v>0</v>
      </c>
      <c r="E2622">
        <v>0</v>
      </c>
      <c r="F2622">
        <v>22.42</v>
      </c>
      <c r="G2622">
        <v>20006.2</v>
      </c>
      <c r="H2622" s="14">
        <v>43768.833333333336</v>
      </c>
    </row>
    <row r="2623" spans="1:8" x14ac:dyDescent="0.25">
      <c r="A2623">
        <v>34</v>
      </c>
      <c r="B2623" t="s">
        <v>136</v>
      </c>
      <c r="C2623">
        <v>14</v>
      </c>
      <c r="D2623">
        <v>0</v>
      </c>
      <c r="E2623">
        <v>0</v>
      </c>
      <c r="F2623">
        <v>22.4</v>
      </c>
      <c r="G2623">
        <v>17205.32</v>
      </c>
      <c r="H2623" s="14">
        <v>43768.833333333336</v>
      </c>
    </row>
    <row r="2624" spans="1:8" x14ac:dyDescent="0.25">
      <c r="A2624">
        <v>34</v>
      </c>
      <c r="B2624" t="s">
        <v>136</v>
      </c>
      <c r="C2624">
        <v>15</v>
      </c>
      <c r="D2624">
        <v>0</v>
      </c>
      <c r="E2624">
        <v>0</v>
      </c>
      <c r="F2624">
        <v>23.98</v>
      </c>
      <c r="G2624">
        <v>20850.169999999998</v>
      </c>
      <c r="H2624" s="14">
        <v>43768.833333333336</v>
      </c>
    </row>
    <row r="2625" spans="1:8" x14ac:dyDescent="0.25">
      <c r="A2625">
        <v>34</v>
      </c>
      <c r="B2625" t="s">
        <v>136</v>
      </c>
      <c r="C2625">
        <v>16</v>
      </c>
      <c r="D2625">
        <v>0</v>
      </c>
      <c r="E2625">
        <v>0</v>
      </c>
      <c r="F2625">
        <v>23.99</v>
      </c>
      <c r="G2625">
        <v>20395.75</v>
      </c>
      <c r="H2625" s="14">
        <v>43768.833333333336</v>
      </c>
    </row>
    <row r="2626" spans="1:8" x14ac:dyDescent="0.25">
      <c r="A2626">
        <v>34</v>
      </c>
      <c r="B2626" t="s">
        <v>136</v>
      </c>
      <c r="C2626">
        <v>17</v>
      </c>
      <c r="D2626">
        <v>0</v>
      </c>
      <c r="E2626">
        <v>0</v>
      </c>
      <c r="F2626">
        <v>24.5</v>
      </c>
      <c r="G2626">
        <v>20817.97</v>
      </c>
      <c r="H2626" s="14">
        <v>43768.833333333336</v>
      </c>
    </row>
    <row r="2627" spans="1:8" x14ac:dyDescent="0.25">
      <c r="A2627">
        <v>34</v>
      </c>
      <c r="B2627" t="s">
        <v>136</v>
      </c>
      <c r="C2627">
        <v>18</v>
      </c>
      <c r="D2627">
        <v>0</v>
      </c>
      <c r="E2627">
        <v>0</v>
      </c>
      <c r="F2627">
        <v>0</v>
      </c>
      <c r="G2627">
        <v>0</v>
      </c>
      <c r="H2627" s="14">
        <v>36526</v>
      </c>
    </row>
    <row r="2628" spans="1:8" x14ac:dyDescent="0.25">
      <c r="A2628">
        <v>36</v>
      </c>
      <c r="B2628" t="s">
        <v>144</v>
      </c>
      <c r="C2628">
        <v>1</v>
      </c>
      <c r="D2628">
        <v>0</v>
      </c>
      <c r="E2628">
        <v>0</v>
      </c>
      <c r="F2628">
        <v>11.1</v>
      </c>
      <c r="G2628">
        <v>7572.7</v>
      </c>
      <c r="H2628" s="14">
        <v>43768.833333333336</v>
      </c>
    </row>
    <row r="2629" spans="1:8" x14ac:dyDescent="0.25">
      <c r="A2629">
        <v>36</v>
      </c>
      <c r="B2629" t="s">
        <v>144</v>
      </c>
      <c r="C2629">
        <v>2</v>
      </c>
      <c r="D2629">
        <v>0</v>
      </c>
      <c r="E2629">
        <v>0</v>
      </c>
      <c r="F2629">
        <v>6.5</v>
      </c>
      <c r="G2629">
        <v>7351.9</v>
      </c>
      <c r="H2629" s="14">
        <v>43768.833333333336</v>
      </c>
    </row>
    <row r="2630" spans="1:8" x14ac:dyDescent="0.25">
      <c r="A2630">
        <v>36</v>
      </c>
      <c r="B2630" t="s">
        <v>144</v>
      </c>
      <c r="C2630">
        <v>3</v>
      </c>
      <c r="D2630">
        <v>0</v>
      </c>
      <c r="E2630">
        <v>0</v>
      </c>
      <c r="F2630">
        <v>4.5999999999999996</v>
      </c>
      <c r="G2630">
        <v>7558.5</v>
      </c>
      <c r="H2630" s="14">
        <v>43768.833333333336</v>
      </c>
    </row>
    <row r="2631" spans="1:8" x14ac:dyDescent="0.25">
      <c r="A2631">
        <v>36</v>
      </c>
      <c r="B2631" t="s">
        <v>144</v>
      </c>
      <c r="C2631">
        <v>4</v>
      </c>
      <c r="D2631">
        <v>0</v>
      </c>
      <c r="E2631">
        <v>0</v>
      </c>
      <c r="F2631">
        <v>7.6</v>
      </c>
      <c r="G2631">
        <v>5125</v>
      </c>
      <c r="H2631" s="14">
        <v>43768.833333333336</v>
      </c>
    </row>
    <row r="2632" spans="1:8" x14ac:dyDescent="0.25">
      <c r="A2632">
        <v>36</v>
      </c>
      <c r="B2632" t="s">
        <v>144</v>
      </c>
      <c r="C2632">
        <v>5</v>
      </c>
      <c r="D2632">
        <v>0</v>
      </c>
      <c r="E2632">
        <v>0</v>
      </c>
      <c r="F2632">
        <v>9.1</v>
      </c>
      <c r="G2632">
        <v>8698.1</v>
      </c>
      <c r="H2632" s="14">
        <v>43768.833333333336</v>
      </c>
    </row>
    <row r="2633" spans="1:8" x14ac:dyDescent="0.25">
      <c r="A2633">
        <v>36</v>
      </c>
      <c r="B2633" t="s">
        <v>144</v>
      </c>
      <c r="C2633">
        <v>6</v>
      </c>
      <c r="D2633">
        <v>0</v>
      </c>
      <c r="E2633">
        <v>0</v>
      </c>
      <c r="F2633">
        <v>11.2</v>
      </c>
      <c r="G2633">
        <v>6760.7</v>
      </c>
      <c r="H2633" s="14">
        <v>43768.833333333336</v>
      </c>
    </row>
    <row r="2634" spans="1:8" x14ac:dyDescent="0.25">
      <c r="A2634">
        <v>37</v>
      </c>
      <c r="B2634" t="s">
        <v>147</v>
      </c>
      <c r="C2634">
        <v>1</v>
      </c>
      <c r="D2634">
        <v>0</v>
      </c>
      <c r="E2634">
        <v>0</v>
      </c>
      <c r="F2634">
        <v>12</v>
      </c>
      <c r="G2634">
        <v>11577</v>
      </c>
      <c r="H2634" s="14">
        <v>43768.833333333336</v>
      </c>
    </row>
    <row r="2635" spans="1:8" x14ac:dyDescent="0.25">
      <c r="A2635">
        <v>37</v>
      </c>
      <c r="B2635" t="s">
        <v>147</v>
      </c>
      <c r="C2635">
        <v>2</v>
      </c>
      <c r="D2635">
        <v>0</v>
      </c>
      <c r="E2635">
        <v>0</v>
      </c>
      <c r="F2635">
        <v>8.9</v>
      </c>
      <c r="G2635">
        <v>10041.4</v>
      </c>
      <c r="H2635" s="14">
        <v>43768.833333333336</v>
      </c>
    </row>
    <row r="2636" spans="1:8" x14ac:dyDescent="0.25">
      <c r="A2636">
        <v>37</v>
      </c>
      <c r="B2636" t="s">
        <v>147</v>
      </c>
      <c r="C2636">
        <v>3</v>
      </c>
      <c r="D2636">
        <v>0</v>
      </c>
      <c r="E2636">
        <v>0</v>
      </c>
      <c r="F2636">
        <v>6.9</v>
      </c>
      <c r="G2636">
        <v>10580.1</v>
      </c>
      <c r="H2636" s="14">
        <v>43768.833333333336</v>
      </c>
    </row>
    <row r="2637" spans="1:8" x14ac:dyDescent="0.25">
      <c r="A2637">
        <v>38</v>
      </c>
      <c r="B2637" t="s">
        <v>150</v>
      </c>
      <c r="C2637">
        <v>1</v>
      </c>
      <c r="D2637">
        <v>0</v>
      </c>
      <c r="E2637">
        <v>0</v>
      </c>
      <c r="F2637">
        <v>17.7</v>
      </c>
      <c r="G2637">
        <v>20191.7</v>
      </c>
      <c r="H2637" s="14">
        <v>43768.833333333336</v>
      </c>
    </row>
    <row r="2638" spans="1:8" x14ac:dyDescent="0.25">
      <c r="A2638">
        <v>39</v>
      </c>
      <c r="B2638" t="s">
        <v>153</v>
      </c>
      <c r="C2638">
        <v>1</v>
      </c>
      <c r="D2638">
        <v>0</v>
      </c>
      <c r="E2638">
        <v>0</v>
      </c>
      <c r="F2638">
        <v>24.8</v>
      </c>
      <c r="G2638">
        <v>1106.4000000000001</v>
      </c>
      <c r="H2638" s="14">
        <v>43768.833333333336</v>
      </c>
    </row>
    <row r="2639" spans="1:8" x14ac:dyDescent="0.25">
      <c r="A2639">
        <v>39</v>
      </c>
      <c r="B2639" t="s">
        <v>153</v>
      </c>
      <c r="C2639">
        <v>2</v>
      </c>
      <c r="D2639">
        <v>0</v>
      </c>
      <c r="E2639">
        <v>0</v>
      </c>
      <c r="F2639">
        <v>24.6</v>
      </c>
      <c r="G2639">
        <v>22475.200000000001</v>
      </c>
      <c r="H2639" s="14">
        <v>43768.833333333336</v>
      </c>
    </row>
    <row r="2640" spans="1:8" x14ac:dyDescent="0.25">
      <c r="A2640">
        <v>39</v>
      </c>
      <c r="B2640" t="s">
        <v>153</v>
      </c>
      <c r="C2640">
        <v>3</v>
      </c>
      <c r="D2640">
        <v>0</v>
      </c>
      <c r="E2640">
        <v>0</v>
      </c>
      <c r="F2640">
        <v>11.5</v>
      </c>
      <c r="G2640">
        <v>7001.6</v>
      </c>
      <c r="H2640" s="14">
        <v>43768.833333333336</v>
      </c>
    </row>
    <row r="2641" spans="1:8" x14ac:dyDescent="0.25">
      <c r="A2641">
        <v>39</v>
      </c>
      <c r="B2641" t="s">
        <v>153</v>
      </c>
      <c r="C2641">
        <v>4</v>
      </c>
      <c r="D2641">
        <v>0</v>
      </c>
      <c r="E2641">
        <v>0</v>
      </c>
      <c r="F2641">
        <v>10.199999999999999</v>
      </c>
      <c r="G2641">
        <v>7350.4</v>
      </c>
      <c r="H2641" s="14">
        <v>43768.833333333336</v>
      </c>
    </row>
    <row r="2642" spans="1:8" x14ac:dyDescent="0.25">
      <c r="A2642">
        <v>40</v>
      </c>
      <c r="B2642" t="s">
        <v>156</v>
      </c>
      <c r="C2642">
        <v>1</v>
      </c>
      <c r="D2642">
        <v>0</v>
      </c>
      <c r="E2642">
        <v>0</v>
      </c>
      <c r="F2642">
        <v>24.6</v>
      </c>
      <c r="G2642">
        <v>7970</v>
      </c>
      <c r="H2642" s="14">
        <v>43768.833333333336</v>
      </c>
    </row>
    <row r="2643" spans="1:8" x14ac:dyDescent="0.25">
      <c r="A2643">
        <v>40</v>
      </c>
      <c r="B2643" t="s">
        <v>156</v>
      </c>
      <c r="C2643">
        <v>2</v>
      </c>
      <c r="D2643">
        <v>0</v>
      </c>
      <c r="E2643">
        <v>0</v>
      </c>
      <c r="F2643">
        <v>24.2</v>
      </c>
      <c r="G2643">
        <v>960.5</v>
      </c>
      <c r="H2643" s="14">
        <v>43768.833333333336</v>
      </c>
    </row>
    <row r="2644" spans="1:8" x14ac:dyDescent="0.25">
      <c r="A2644">
        <v>40</v>
      </c>
      <c r="B2644" t="s">
        <v>156</v>
      </c>
      <c r="C2644">
        <v>3</v>
      </c>
      <c r="D2644">
        <v>0</v>
      </c>
      <c r="E2644">
        <v>0</v>
      </c>
      <c r="F2644">
        <v>12.2</v>
      </c>
      <c r="G2644">
        <v>11481.9</v>
      </c>
      <c r="H2644" s="14">
        <v>43768.833333333336</v>
      </c>
    </row>
    <row r="2645" spans="1:8" x14ac:dyDescent="0.25">
      <c r="A2645">
        <v>42</v>
      </c>
      <c r="B2645" t="s">
        <v>164</v>
      </c>
      <c r="C2645">
        <v>1</v>
      </c>
      <c r="D2645">
        <v>0</v>
      </c>
      <c r="E2645">
        <v>0</v>
      </c>
      <c r="F2645">
        <v>23.01</v>
      </c>
      <c r="G2645">
        <v>17587.41</v>
      </c>
      <c r="H2645" s="14">
        <v>43768.833333333336</v>
      </c>
    </row>
    <row r="2646" spans="1:8" x14ac:dyDescent="0.25">
      <c r="A2646">
        <v>42</v>
      </c>
      <c r="B2646" t="s">
        <v>164</v>
      </c>
      <c r="C2646">
        <v>2</v>
      </c>
      <c r="D2646">
        <v>0</v>
      </c>
      <c r="E2646">
        <v>0</v>
      </c>
      <c r="F2646">
        <v>23.29</v>
      </c>
      <c r="G2646">
        <v>17816.169999999998</v>
      </c>
      <c r="H2646" s="14">
        <v>43768.833333333336</v>
      </c>
    </row>
    <row r="2647" spans="1:8" x14ac:dyDescent="0.25">
      <c r="A2647">
        <v>42</v>
      </c>
      <c r="B2647" t="s">
        <v>164</v>
      </c>
      <c r="C2647">
        <v>3</v>
      </c>
      <c r="D2647">
        <v>0</v>
      </c>
      <c r="E2647">
        <v>0</v>
      </c>
      <c r="F2647">
        <v>22.79</v>
      </c>
      <c r="G2647">
        <v>17484.330000000002</v>
      </c>
      <c r="H2647" s="14">
        <v>43768.833333333336</v>
      </c>
    </row>
    <row r="2648" spans="1:8" x14ac:dyDescent="0.25">
      <c r="A2648">
        <v>42</v>
      </c>
      <c r="B2648" t="s">
        <v>164</v>
      </c>
      <c r="C2648">
        <v>4</v>
      </c>
      <c r="D2648">
        <v>0</v>
      </c>
      <c r="E2648">
        <v>0</v>
      </c>
      <c r="F2648">
        <v>23.55</v>
      </c>
      <c r="G2648">
        <v>17990.16</v>
      </c>
      <c r="H2648" s="14">
        <v>43768.833333333336</v>
      </c>
    </row>
    <row r="2649" spans="1:8" x14ac:dyDescent="0.25">
      <c r="A2649">
        <v>42</v>
      </c>
      <c r="B2649" t="s">
        <v>164</v>
      </c>
      <c r="C2649">
        <v>5</v>
      </c>
      <c r="D2649">
        <v>0</v>
      </c>
      <c r="E2649">
        <v>0</v>
      </c>
      <c r="F2649">
        <v>23.03</v>
      </c>
      <c r="G2649">
        <v>17540.009999999998</v>
      </c>
      <c r="H2649" s="14">
        <v>43768.833333333336</v>
      </c>
    </row>
    <row r="2650" spans="1:8" x14ac:dyDescent="0.25">
      <c r="A2650">
        <v>43</v>
      </c>
      <c r="B2650" t="s">
        <v>167</v>
      </c>
      <c r="C2650">
        <v>1</v>
      </c>
      <c r="D2650">
        <v>0</v>
      </c>
      <c r="E2650">
        <v>0</v>
      </c>
      <c r="F2650">
        <v>3.8</v>
      </c>
      <c r="G2650">
        <v>1580.5</v>
      </c>
      <c r="H2650" s="14">
        <v>43768.833333333336</v>
      </c>
    </row>
    <row r="2651" spans="1:8" x14ac:dyDescent="0.25">
      <c r="A2651">
        <v>43</v>
      </c>
      <c r="B2651" t="s">
        <v>167</v>
      </c>
      <c r="C2651">
        <v>2</v>
      </c>
      <c r="D2651">
        <v>0</v>
      </c>
      <c r="E2651">
        <v>0</v>
      </c>
      <c r="F2651">
        <v>5.7</v>
      </c>
      <c r="G2651">
        <v>3200</v>
      </c>
      <c r="H2651" s="14">
        <v>43768.833333333336</v>
      </c>
    </row>
    <row r="2652" spans="1:8" x14ac:dyDescent="0.25">
      <c r="A2652">
        <v>43</v>
      </c>
      <c r="B2652" t="s">
        <v>167</v>
      </c>
      <c r="C2652">
        <v>3</v>
      </c>
      <c r="D2652">
        <v>0</v>
      </c>
      <c r="E2652">
        <v>0</v>
      </c>
      <c r="F2652">
        <v>5.6</v>
      </c>
      <c r="G2652">
        <v>3842.1</v>
      </c>
      <c r="H2652" s="14">
        <v>43768.833333333336</v>
      </c>
    </row>
    <row r="2653" spans="1:8" x14ac:dyDescent="0.25">
      <c r="A2653">
        <v>43</v>
      </c>
      <c r="B2653" t="s">
        <v>167</v>
      </c>
      <c r="C2653">
        <v>4</v>
      </c>
      <c r="D2653">
        <v>0</v>
      </c>
      <c r="E2653">
        <v>0</v>
      </c>
      <c r="F2653">
        <v>5.5</v>
      </c>
      <c r="G2653">
        <v>4570.8</v>
      </c>
      <c r="H2653" s="14">
        <v>43768.833333333336</v>
      </c>
    </row>
    <row r="2654" spans="1:8" x14ac:dyDescent="0.25">
      <c r="A2654">
        <v>43</v>
      </c>
      <c r="B2654" t="s">
        <v>167</v>
      </c>
      <c r="C2654">
        <v>5</v>
      </c>
      <c r="D2654">
        <v>0</v>
      </c>
      <c r="E2654">
        <v>0</v>
      </c>
      <c r="F2654">
        <v>5.0999999999999996</v>
      </c>
      <c r="G2654">
        <v>5317.3</v>
      </c>
      <c r="H2654" s="14">
        <v>43768.833333333336</v>
      </c>
    </row>
    <row r="2655" spans="1:8" x14ac:dyDescent="0.25">
      <c r="A2655">
        <v>43</v>
      </c>
      <c r="B2655" t="s">
        <v>167</v>
      </c>
      <c r="C2655">
        <v>6</v>
      </c>
      <c r="D2655">
        <v>0</v>
      </c>
      <c r="E2655">
        <v>0</v>
      </c>
      <c r="F2655">
        <v>6.6</v>
      </c>
      <c r="G2655">
        <v>3339.5</v>
      </c>
      <c r="H2655" s="14">
        <v>43768.833333333336</v>
      </c>
    </row>
    <row r="2656" spans="1:8" x14ac:dyDescent="0.25">
      <c r="A2656">
        <v>44</v>
      </c>
      <c r="B2656" t="s">
        <v>171</v>
      </c>
      <c r="C2656">
        <v>1</v>
      </c>
      <c r="D2656">
        <v>0</v>
      </c>
      <c r="E2656">
        <v>0</v>
      </c>
      <c r="F2656">
        <v>18.600000000000001</v>
      </c>
      <c r="G2656">
        <v>9493.1</v>
      </c>
      <c r="H2656" s="14">
        <v>43768.833333333336</v>
      </c>
    </row>
    <row r="2657" spans="1:8" x14ac:dyDescent="0.25">
      <c r="A2657">
        <v>44</v>
      </c>
      <c r="B2657" t="s">
        <v>171</v>
      </c>
      <c r="C2657">
        <v>2</v>
      </c>
      <c r="D2657">
        <v>0</v>
      </c>
      <c r="E2657">
        <v>0</v>
      </c>
      <c r="F2657">
        <v>17.100000000000001</v>
      </c>
      <c r="G2657">
        <v>2351.9</v>
      </c>
      <c r="H2657" s="14">
        <v>43768.833333333336</v>
      </c>
    </row>
    <row r="2658" spans="1:8" x14ac:dyDescent="0.25">
      <c r="A2658">
        <v>44</v>
      </c>
      <c r="B2658" t="s">
        <v>171</v>
      </c>
      <c r="C2658">
        <v>3</v>
      </c>
      <c r="D2658">
        <v>0</v>
      </c>
      <c r="E2658">
        <v>0</v>
      </c>
      <c r="F2658">
        <v>16.8</v>
      </c>
      <c r="G2658">
        <v>5835.2</v>
      </c>
      <c r="H2658" s="14">
        <v>43768.833333333336</v>
      </c>
    </row>
    <row r="2659" spans="1:8" x14ac:dyDescent="0.25">
      <c r="A2659">
        <v>44</v>
      </c>
      <c r="B2659" t="s">
        <v>171</v>
      </c>
      <c r="C2659">
        <v>4</v>
      </c>
      <c r="D2659">
        <v>0</v>
      </c>
      <c r="E2659">
        <v>0</v>
      </c>
      <c r="F2659">
        <v>17.100000000000001</v>
      </c>
      <c r="G2659">
        <v>6127.7</v>
      </c>
      <c r="H2659" s="14">
        <v>43768.833333333336</v>
      </c>
    </row>
    <row r="2660" spans="1:8" x14ac:dyDescent="0.25">
      <c r="A2660">
        <v>44</v>
      </c>
      <c r="B2660" t="s">
        <v>171</v>
      </c>
      <c r="C2660">
        <v>5</v>
      </c>
      <c r="D2660">
        <v>0</v>
      </c>
      <c r="E2660">
        <v>0</v>
      </c>
      <c r="F2660">
        <v>17.100000000000001</v>
      </c>
      <c r="G2660">
        <v>5453.2</v>
      </c>
      <c r="H2660" s="14">
        <v>43768.833333333336</v>
      </c>
    </row>
    <row r="2661" spans="1:8" x14ac:dyDescent="0.25">
      <c r="A2661">
        <v>44</v>
      </c>
      <c r="B2661" t="s">
        <v>171</v>
      </c>
      <c r="C2661">
        <v>6</v>
      </c>
      <c r="D2661">
        <v>0</v>
      </c>
      <c r="E2661">
        <v>0</v>
      </c>
      <c r="F2661">
        <v>19</v>
      </c>
      <c r="G2661">
        <v>6087.2</v>
      </c>
      <c r="H2661" s="14">
        <v>43768.833333333336</v>
      </c>
    </row>
    <row r="2662" spans="1:8" x14ac:dyDescent="0.25">
      <c r="A2662">
        <v>45</v>
      </c>
      <c r="B2662" t="s">
        <v>172</v>
      </c>
      <c r="C2662">
        <v>1</v>
      </c>
      <c r="D2662">
        <v>0</v>
      </c>
      <c r="E2662">
        <v>0</v>
      </c>
      <c r="F2662">
        <v>113.43</v>
      </c>
      <c r="G2662">
        <v>90462.09</v>
      </c>
      <c r="H2662" s="14">
        <v>43768.833333333336</v>
      </c>
    </row>
    <row r="2663" spans="1:8" x14ac:dyDescent="0.25">
      <c r="A2663">
        <v>45</v>
      </c>
      <c r="B2663" t="s">
        <v>172</v>
      </c>
      <c r="C2663">
        <v>2</v>
      </c>
      <c r="D2663">
        <v>0</v>
      </c>
      <c r="E2663">
        <v>0</v>
      </c>
      <c r="F2663">
        <v>116.25</v>
      </c>
      <c r="G2663">
        <v>97184.91</v>
      </c>
      <c r="H2663" s="14">
        <v>43768.833333333336</v>
      </c>
    </row>
    <row r="2664" spans="1:8" x14ac:dyDescent="0.25">
      <c r="A2664">
        <v>45</v>
      </c>
      <c r="B2664" t="s">
        <v>172</v>
      </c>
      <c r="C2664">
        <v>3</v>
      </c>
      <c r="D2664">
        <v>0</v>
      </c>
      <c r="E2664">
        <v>0</v>
      </c>
      <c r="F2664">
        <v>110.9</v>
      </c>
      <c r="G2664">
        <v>100230.75</v>
      </c>
      <c r="H2664" s="14">
        <v>43768.833333333336</v>
      </c>
    </row>
    <row r="2665" spans="1:8" x14ac:dyDescent="0.25">
      <c r="A2665">
        <v>45</v>
      </c>
      <c r="B2665" t="s">
        <v>172</v>
      </c>
      <c r="C2665">
        <v>4</v>
      </c>
      <c r="D2665">
        <v>0</v>
      </c>
      <c r="E2665">
        <v>0</v>
      </c>
      <c r="F2665">
        <v>113.91</v>
      </c>
      <c r="G2665">
        <v>100508.75</v>
      </c>
      <c r="H2665" s="14">
        <v>43768.833333333336</v>
      </c>
    </row>
    <row r="2666" spans="1:8" x14ac:dyDescent="0.25">
      <c r="A2666">
        <v>45</v>
      </c>
      <c r="B2666" t="s">
        <v>172</v>
      </c>
      <c r="C2666">
        <v>5</v>
      </c>
      <c r="D2666">
        <v>0</v>
      </c>
      <c r="E2666">
        <v>0</v>
      </c>
      <c r="F2666">
        <v>116.98</v>
      </c>
      <c r="G2666">
        <v>101204.17</v>
      </c>
      <c r="H2666" s="14">
        <v>43768.833333333336</v>
      </c>
    </row>
    <row r="2667" spans="1:8" x14ac:dyDescent="0.25">
      <c r="A2667">
        <v>45</v>
      </c>
      <c r="B2667" t="s">
        <v>172</v>
      </c>
      <c r="C2667">
        <v>6</v>
      </c>
      <c r="D2667">
        <v>0</v>
      </c>
      <c r="E2667">
        <v>0</v>
      </c>
      <c r="F2667">
        <v>114.3</v>
      </c>
      <c r="G2667">
        <v>101264.59</v>
      </c>
      <c r="H2667" s="14">
        <v>43768.833333333336</v>
      </c>
    </row>
    <row r="2668" spans="1:8" x14ac:dyDescent="0.25">
      <c r="A2668">
        <v>45</v>
      </c>
      <c r="B2668" t="s">
        <v>172</v>
      </c>
      <c r="C2668">
        <v>7</v>
      </c>
      <c r="D2668">
        <v>0</v>
      </c>
      <c r="E2668">
        <v>0</v>
      </c>
      <c r="F2668">
        <v>117.31</v>
      </c>
      <c r="G2668">
        <v>103283.49</v>
      </c>
      <c r="H2668" s="14">
        <v>43768.833333333336</v>
      </c>
    </row>
    <row r="2669" spans="1:8" x14ac:dyDescent="0.25">
      <c r="A2669">
        <v>45</v>
      </c>
      <c r="B2669" t="s">
        <v>172</v>
      </c>
      <c r="C2669">
        <v>8</v>
      </c>
      <c r="D2669">
        <v>0</v>
      </c>
      <c r="E2669">
        <v>0</v>
      </c>
      <c r="F2669">
        <v>77.23</v>
      </c>
      <c r="G2669">
        <v>67113.67</v>
      </c>
      <c r="H2669" s="14">
        <v>43768.833333333336</v>
      </c>
    </row>
    <row r="2670" spans="1:8" x14ac:dyDescent="0.25">
      <c r="A2670">
        <v>45</v>
      </c>
      <c r="B2670" t="s">
        <v>172</v>
      </c>
      <c r="C2670">
        <v>9</v>
      </c>
      <c r="D2670">
        <v>0</v>
      </c>
      <c r="E2670">
        <v>0</v>
      </c>
      <c r="F2670">
        <v>80.56</v>
      </c>
      <c r="G2670">
        <v>66890.179999999993</v>
      </c>
      <c r="H2670" s="14">
        <v>43768.833333333336</v>
      </c>
    </row>
    <row r="2671" spans="1:8" x14ac:dyDescent="0.25">
      <c r="A2671">
        <v>46</v>
      </c>
      <c r="B2671" t="s">
        <v>173</v>
      </c>
      <c r="C2671">
        <v>1</v>
      </c>
      <c r="D2671">
        <v>0</v>
      </c>
      <c r="E2671">
        <v>0</v>
      </c>
      <c r="F2671">
        <v>125.66</v>
      </c>
      <c r="G2671">
        <v>113452.94</v>
      </c>
      <c r="H2671" s="14">
        <v>43768.833333333336</v>
      </c>
    </row>
    <row r="2672" spans="1:8" x14ac:dyDescent="0.25">
      <c r="A2672">
        <v>46</v>
      </c>
      <c r="B2672" t="s">
        <v>173</v>
      </c>
      <c r="C2672">
        <v>2</v>
      </c>
      <c r="D2672">
        <v>0</v>
      </c>
      <c r="E2672">
        <v>0</v>
      </c>
      <c r="F2672">
        <v>128.38999999999999</v>
      </c>
      <c r="G2672">
        <v>114729.08</v>
      </c>
      <c r="H2672" s="14">
        <v>43768.833333333336</v>
      </c>
    </row>
    <row r="2673" spans="1:8" x14ac:dyDescent="0.25">
      <c r="A2673">
        <v>46</v>
      </c>
      <c r="B2673" t="s">
        <v>173</v>
      </c>
      <c r="C2673">
        <v>3</v>
      </c>
      <c r="D2673">
        <v>0</v>
      </c>
      <c r="E2673">
        <v>0</v>
      </c>
      <c r="F2673">
        <v>147.08000000000001</v>
      </c>
      <c r="G2673">
        <v>119971.05</v>
      </c>
      <c r="H2673" s="14">
        <v>43768.833333333336</v>
      </c>
    </row>
    <row r="2674" spans="1:8" x14ac:dyDescent="0.25">
      <c r="A2674">
        <v>46</v>
      </c>
      <c r="B2674" t="s">
        <v>173</v>
      </c>
      <c r="C2674">
        <v>4</v>
      </c>
      <c r="D2674">
        <v>0</v>
      </c>
      <c r="E2674">
        <v>0</v>
      </c>
      <c r="F2674">
        <v>106.78</v>
      </c>
      <c r="G2674">
        <v>107511.48</v>
      </c>
      <c r="H2674" s="14">
        <v>43768.833333333336</v>
      </c>
    </row>
    <row r="2675" spans="1:8" x14ac:dyDescent="0.25">
      <c r="A2675">
        <v>46</v>
      </c>
      <c r="B2675" t="s">
        <v>173</v>
      </c>
      <c r="C2675">
        <v>5</v>
      </c>
      <c r="D2675">
        <v>0</v>
      </c>
      <c r="E2675">
        <v>0</v>
      </c>
      <c r="F2675">
        <v>85.82</v>
      </c>
      <c r="G2675">
        <v>74601.850000000006</v>
      </c>
      <c r="H2675" s="14">
        <v>43768.833333333336</v>
      </c>
    </row>
    <row r="2676" spans="1:8" x14ac:dyDescent="0.25">
      <c r="A2676">
        <v>46</v>
      </c>
      <c r="B2676" t="s">
        <v>173</v>
      </c>
      <c r="C2676">
        <v>6</v>
      </c>
      <c r="D2676">
        <v>0</v>
      </c>
      <c r="E2676">
        <v>0</v>
      </c>
      <c r="F2676">
        <v>85.61</v>
      </c>
      <c r="G2676">
        <v>75291.009999999995</v>
      </c>
      <c r="H2676" s="14">
        <v>43768.833333333336</v>
      </c>
    </row>
    <row r="2677" spans="1:8" x14ac:dyDescent="0.25">
      <c r="A2677">
        <v>47</v>
      </c>
      <c r="B2677" t="s">
        <v>174</v>
      </c>
      <c r="C2677">
        <v>1</v>
      </c>
      <c r="D2677">
        <v>0</v>
      </c>
      <c r="E2677">
        <v>0</v>
      </c>
      <c r="F2677">
        <v>136.94999999999999</v>
      </c>
      <c r="G2677">
        <v>121406.25</v>
      </c>
      <c r="H2677" s="14">
        <v>43768.833333333336</v>
      </c>
    </row>
    <row r="2678" spans="1:8" x14ac:dyDescent="0.25">
      <c r="A2678">
        <v>47</v>
      </c>
      <c r="B2678" t="s">
        <v>174</v>
      </c>
      <c r="C2678">
        <v>2</v>
      </c>
      <c r="D2678">
        <v>0</v>
      </c>
      <c r="E2678">
        <v>0</v>
      </c>
      <c r="F2678">
        <v>122.41</v>
      </c>
      <c r="G2678">
        <v>115062.12</v>
      </c>
      <c r="H2678" s="14">
        <v>43768.833333333336</v>
      </c>
    </row>
    <row r="2679" spans="1:8" x14ac:dyDescent="0.25">
      <c r="A2679">
        <v>47</v>
      </c>
      <c r="B2679" t="s">
        <v>174</v>
      </c>
      <c r="C2679">
        <v>3</v>
      </c>
      <c r="D2679">
        <v>0</v>
      </c>
      <c r="E2679">
        <v>0</v>
      </c>
      <c r="F2679">
        <v>103.3</v>
      </c>
      <c r="G2679">
        <v>109773.87</v>
      </c>
      <c r="H2679" s="14">
        <v>43768.833333333336</v>
      </c>
    </row>
    <row r="2680" spans="1:8" x14ac:dyDescent="0.25">
      <c r="A2680">
        <v>47</v>
      </c>
      <c r="B2680" t="s">
        <v>174</v>
      </c>
      <c r="C2680">
        <v>4</v>
      </c>
      <c r="D2680">
        <v>0</v>
      </c>
      <c r="E2680">
        <v>0</v>
      </c>
      <c r="F2680">
        <v>139.19</v>
      </c>
      <c r="G2680">
        <v>121335.84</v>
      </c>
      <c r="H2680" s="14">
        <v>43768.833333333336</v>
      </c>
    </row>
    <row r="2681" spans="1:8" x14ac:dyDescent="0.25">
      <c r="A2681">
        <v>47</v>
      </c>
      <c r="B2681" t="s">
        <v>174</v>
      </c>
      <c r="C2681">
        <v>5</v>
      </c>
      <c r="D2681">
        <v>0</v>
      </c>
      <c r="E2681">
        <v>0</v>
      </c>
      <c r="F2681">
        <v>113.87</v>
      </c>
      <c r="G2681">
        <v>112357.25</v>
      </c>
      <c r="H2681" s="14">
        <v>43768.833333333336</v>
      </c>
    </row>
    <row r="2682" spans="1:8" x14ac:dyDescent="0.25">
      <c r="A2682">
        <v>47</v>
      </c>
      <c r="B2682" t="s">
        <v>174</v>
      </c>
      <c r="C2682">
        <v>6</v>
      </c>
      <c r="D2682">
        <v>0</v>
      </c>
      <c r="E2682">
        <v>0</v>
      </c>
      <c r="F2682">
        <v>112.14</v>
      </c>
      <c r="G2682">
        <v>111256.36</v>
      </c>
      <c r="H2682" s="14">
        <v>43768.833333333336</v>
      </c>
    </row>
    <row r="2683" spans="1:8" x14ac:dyDescent="0.25">
      <c r="A2683">
        <v>47</v>
      </c>
      <c r="B2683" t="s">
        <v>174</v>
      </c>
      <c r="C2683">
        <v>7</v>
      </c>
      <c r="D2683">
        <v>0</v>
      </c>
      <c r="E2683">
        <v>0</v>
      </c>
      <c r="F2683">
        <v>143.66999999999999</v>
      </c>
      <c r="G2683">
        <v>121921.12</v>
      </c>
      <c r="H2683" s="14">
        <v>43768.833333333336</v>
      </c>
    </row>
    <row r="2684" spans="1:8" x14ac:dyDescent="0.25">
      <c r="A2684">
        <v>48</v>
      </c>
      <c r="B2684" t="s">
        <v>175</v>
      </c>
      <c r="C2684">
        <v>1</v>
      </c>
      <c r="D2684">
        <v>0</v>
      </c>
      <c r="E2684">
        <v>0</v>
      </c>
      <c r="F2684">
        <v>116.21</v>
      </c>
      <c r="G2684">
        <v>113580.8</v>
      </c>
      <c r="H2684" s="14">
        <v>43768.833333333336</v>
      </c>
    </row>
    <row r="2685" spans="1:8" x14ac:dyDescent="0.25">
      <c r="A2685">
        <v>48</v>
      </c>
      <c r="B2685" t="s">
        <v>175</v>
      </c>
      <c r="C2685">
        <v>2</v>
      </c>
      <c r="D2685">
        <v>0</v>
      </c>
      <c r="E2685">
        <v>0</v>
      </c>
      <c r="F2685">
        <v>115.54</v>
      </c>
      <c r="G2685">
        <v>113566.98</v>
      </c>
      <c r="H2685" s="14">
        <v>43768.833333333336</v>
      </c>
    </row>
    <row r="2686" spans="1:8" x14ac:dyDescent="0.25">
      <c r="A2686">
        <v>48</v>
      </c>
      <c r="B2686" t="s">
        <v>175</v>
      </c>
      <c r="C2686">
        <v>3</v>
      </c>
      <c r="D2686">
        <v>0</v>
      </c>
      <c r="E2686">
        <v>0</v>
      </c>
      <c r="F2686">
        <v>116.17</v>
      </c>
      <c r="G2686">
        <v>114322.4</v>
      </c>
      <c r="H2686" s="14">
        <v>43768.833333333336</v>
      </c>
    </row>
    <row r="2687" spans="1:8" x14ac:dyDescent="0.25">
      <c r="A2687">
        <v>48</v>
      </c>
      <c r="B2687" t="s">
        <v>175</v>
      </c>
      <c r="C2687">
        <v>4</v>
      </c>
      <c r="D2687">
        <v>0</v>
      </c>
      <c r="E2687">
        <v>0</v>
      </c>
      <c r="F2687">
        <v>118.25</v>
      </c>
      <c r="G2687">
        <v>113845.02</v>
      </c>
      <c r="H2687" s="14">
        <v>43768.833333333336</v>
      </c>
    </row>
    <row r="2688" spans="1:8" x14ac:dyDescent="0.25">
      <c r="A2688">
        <v>48</v>
      </c>
      <c r="B2688" t="s">
        <v>175</v>
      </c>
      <c r="C2688">
        <v>5</v>
      </c>
      <c r="D2688">
        <v>0</v>
      </c>
      <c r="E2688">
        <v>0</v>
      </c>
      <c r="F2688">
        <v>117.32</v>
      </c>
      <c r="G2688">
        <v>112580.89</v>
      </c>
      <c r="H2688" s="14">
        <v>43768.833333333336</v>
      </c>
    </row>
    <row r="2689" spans="1:8" x14ac:dyDescent="0.25">
      <c r="A2689">
        <v>48</v>
      </c>
      <c r="B2689" t="s">
        <v>175</v>
      </c>
      <c r="C2689">
        <v>6</v>
      </c>
      <c r="D2689">
        <v>0</v>
      </c>
      <c r="E2689">
        <v>0</v>
      </c>
      <c r="F2689">
        <v>110.39</v>
      </c>
      <c r="G2689">
        <v>112637.23</v>
      </c>
      <c r="H2689" s="14">
        <v>43768.833333333336</v>
      </c>
    </row>
    <row r="2690" spans="1:8" x14ac:dyDescent="0.25">
      <c r="A2690">
        <v>48</v>
      </c>
      <c r="B2690" t="s">
        <v>175</v>
      </c>
      <c r="C2690">
        <v>7</v>
      </c>
      <c r="D2690">
        <v>0</v>
      </c>
      <c r="E2690">
        <v>0</v>
      </c>
      <c r="F2690">
        <v>120.95</v>
      </c>
      <c r="G2690">
        <v>116068.33</v>
      </c>
      <c r="H2690" s="14">
        <v>43768.833333333336</v>
      </c>
    </row>
    <row r="2691" spans="1:8" x14ac:dyDescent="0.25">
      <c r="A2691">
        <v>48</v>
      </c>
      <c r="B2691" t="s">
        <v>175</v>
      </c>
      <c r="C2691">
        <v>8</v>
      </c>
      <c r="D2691">
        <v>0</v>
      </c>
      <c r="E2691">
        <v>0</v>
      </c>
      <c r="F2691">
        <v>115.96</v>
      </c>
      <c r="G2691">
        <v>115404.51</v>
      </c>
      <c r="H2691" s="14">
        <v>43768.833333333336</v>
      </c>
    </row>
    <row r="2692" spans="1:8" x14ac:dyDescent="0.25">
      <c r="A2692">
        <v>48</v>
      </c>
      <c r="B2692" t="s">
        <v>175</v>
      </c>
      <c r="C2692">
        <v>9</v>
      </c>
      <c r="D2692">
        <v>0</v>
      </c>
      <c r="E2692">
        <v>0</v>
      </c>
      <c r="F2692">
        <v>112.53</v>
      </c>
      <c r="G2692">
        <v>113076.96</v>
      </c>
      <c r="H2692" s="14">
        <v>43768.833333333336</v>
      </c>
    </row>
    <row r="2693" spans="1:8" x14ac:dyDescent="0.25">
      <c r="A2693">
        <v>48</v>
      </c>
      <c r="B2693" t="s">
        <v>175</v>
      </c>
      <c r="C2693">
        <v>10</v>
      </c>
      <c r="D2693">
        <v>0</v>
      </c>
      <c r="E2693">
        <v>0</v>
      </c>
      <c r="F2693">
        <v>122.36</v>
      </c>
      <c r="G2693">
        <v>116397.16</v>
      </c>
      <c r="H2693" s="14">
        <v>43768.833333333336</v>
      </c>
    </row>
    <row r="2694" spans="1:8" x14ac:dyDescent="0.25">
      <c r="A2694">
        <v>49</v>
      </c>
      <c r="B2694" t="s">
        <v>176</v>
      </c>
      <c r="C2694">
        <v>1</v>
      </c>
      <c r="D2694">
        <v>0</v>
      </c>
      <c r="E2694">
        <v>0</v>
      </c>
      <c r="F2694">
        <v>126.43</v>
      </c>
      <c r="G2694">
        <v>117220.64</v>
      </c>
      <c r="H2694" s="14">
        <v>43768.833333333336</v>
      </c>
    </row>
    <row r="2695" spans="1:8" x14ac:dyDescent="0.25">
      <c r="A2695">
        <v>49</v>
      </c>
      <c r="B2695" t="s">
        <v>176</v>
      </c>
      <c r="C2695">
        <v>2</v>
      </c>
      <c r="D2695">
        <v>0</v>
      </c>
      <c r="E2695">
        <v>0</v>
      </c>
      <c r="F2695">
        <v>116.03</v>
      </c>
      <c r="G2695">
        <v>114031.23</v>
      </c>
      <c r="H2695" s="14">
        <v>43768.833333333336</v>
      </c>
    </row>
    <row r="2696" spans="1:8" x14ac:dyDescent="0.25">
      <c r="A2696">
        <v>49</v>
      </c>
      <c r="B2696" t="s">
        <v>176</v>
      </c>
      <c r="C2696">
        <v>3</v>
      </c>
      <c r="D2696">
        <v>0</v>
      </c>
      <c r="E2696">
        <v>0</v>
      </c>
      <c r="F2696">
        <v>115.52</v>
      </c>
      <c r="G2696">
        <v>111657.05</v>
      </c>
      <c r="H2696" s="14">
        <v>43768.833333333336</v>
      </c>
    </row>
    <row r="2697" spans="1:8" x14ac:dyDescent="0.25">
      <c r="A2697">
        <v>49</v>
      </c>
      <c r="B2697" t="s">
        <v>176</v>
      </c>
      <c r="C2697">
        <v>4</v>
      </c>
      <c r="D2697">
        <v>0</v>
      </c>
      <c r="E2697">
        <v>0</v>
      </c>
      <c r="F2697">
        <v>130.66</v>
      </c>
      <c r="G2697">
        <v>116605.61</v>
      </c>
      <c r="H2697" s="14">
        <v>43768.833333333336</v>
      </c>
    </row>
    <row r="2698" spans="1:8" x14ac:dyDescent="0.25">
      <c r="A2698">
        <v>49</v>
      </c>
      <c r="B2698" t="s">
        <v>176</v>
      </c>
      <c r="C2698">
        <v>5</v>
      </c>
      <c r="D2698">
        <v>0</v>
      </c>
      <c r="E2698">
        <v>0</v>
      </c>
      <c r="F2698">
        <v>119.24</v>
      </c>
      <c r="G2698">
        <v>111692.04</v>
      </c>
      <c r="H2698" s="14">
        <v>43768.833333333336</v>
      </c>
    </row>
    <row r="2699" spans="1:8" x14ac:dyDescent="0.25">
      <c r="A2699">
        <v>49</v>
      </c>
      <c r="B2699" t="s">
        <v>176</v>
      </c>
      <c r="C2699">
        <v>6</v>
      </c>
      <c r="D2699">
        <v>0</v>
      </c>
      <c r="E2699">
        <v>0</v>
      </c>
      <c r="F2699">
        <v>110.33</v>
      </c>
      <c r="G2699">
        <v>111677.34</v>
      </c>
      <c r="H2699" s="14">
        <v>43768.833333333336</v>
      </c>
    </row>
    <row r="2700" spans="1:8" x14ac:dyDescent="0.25">
      <c r="A2700">
        <v>49</v>
      </c>
      <c r="B2700" t="s">
        <v>176</v>
      </c>
      <c r="C2700">
        <v>7</v>
      </c>
      <c r="D2700">
        <v>0</v>
      </c>
      <c r="E2700">
        <v>0</v>
      </c>
      <c r="F2700">
        <v>121.48</v>
      </c>
      <c r="G2700">
        <v>114822.41</v>
      </c>
      <c r="H2700" s="14">
        <v>43768.833333333336</v>
      </c>
    </row>
    <row r="2701" spans="1:8" x14ac:dyDescent="0.25">
      <c r="A2701">
        <v>49</v>
      </c>
      <c r="B2701" t="s">
        <v>176</v>
      </c>
      <c r="C2701">
        <v>8</v>
      </c>
      <c r="D2701">
        <v>0</v>
      </c>
      <c r="E2701">
        <v>0</v>
      </c>
      <c r="F2701">
        <v>129.6</v>
      </c>
      <c r="G2701">
        <v>117211.04</v>
      </c>
      <c r="H2701" s="14">
        <v>43768.833333333336</v>
      </c>
    </row>
    <row r="2702" spans="1:8" x14ac:dyDescent="0.25">
      <c r="A2702">
        <v>49</v>
      </c>
      <c r="B2702" t="s">
        <v>176</v>
      </c>
      <c r="C2702">
        <v>9</v>
      </c>
      <c r="D2702">
        <v>0</v>
      </c>
      <c r="E2702">
        <v>0</v>
      </c>
      <c r="F2702">
        <v>117.9</v>
      </c>
      <c r="G2702">
        <v>114827.2</v>
      </c>
      <c r="H2702" s="14">
        <v>43768.833333333336</v>
      </c>
    </row>
    <row r="2703" spans="1:8" x14ac:dyDescent="0.25">
      <c r="A2703">
        <v>49</v>
      </c>
      <c r="B2703" t="s">
        <v>176</v>
      </c>
      <c r="C2703">
        <v>10</v>
      </c>
      <c r="D2703">
        <v>0</v>
      </c>
      <c r="E2703">
        <v>0</v>
      </c>
      <c r="F2703">
        <v>113.22</v>
      </c>
      <c r="G2703">
        <v>113423.48</v>
      </c>
      <c r="H2703" s="14">
        <v>43768.833333333336</v>
      </c>
    </row>
    <row r="2704" spans="1:8" x14ac:dyDescent="0.25">
      <c r="A2704">
        <v>49</v>
      </c>
      <c r="B2704" t="s">
        <v>176</v>
      </c>
      <c r="C2704">
        <v>11</v>
      </c>
      <c r="D2704">
        <v>0</v>
      </c>
      <c r="E2704">
        <v>0</v>
      </c>
      <c r="F2704">
        <v>134.66999999999999</v>
      </c>
      <c r="G2704">
        <v>121233.46</v>
      </c>
      <c r="H2704" s="14">
        <v>43768.833333333336</v>
      </c>
    </row>
    <row r="2705" spans="1:8" x14ac:dyDescent="0.25">
      <c r="A2705">
        <v>49</v>
      </c>
      <c r="B2705" t="s">
        <v>176</v>
      </c>
      <c r="C2705">
        <v>12</v>
      </c>
      <c r="D2705">
        <v>0</v>
      </c>
      <c r="E2705">
        <v>0</v>
      </c>
      <c r="F2705">
        <v>116.45</v>
      </c>
      <c r="G2705">
        <v>114108.86</v>
      </c>
      <c r="H2705" s="14">
        <v>43768.833333333336</v>
      </c>
    </row>
    <row r="2706" spans="1:8" x14ac:dyDescent="0.25">
      <c r="A2706">
        <v>49</v>
      </c>
      <c r="B2706" t="s">
        <v>176</v>
      </c>
      <c r="C2706">
        <v>13</v>
      </c>
      <c r="D2706">
        <v>0</v>
      </c>
      <c r="E2706">
        <v>0</v>
      </c>
      <c r="F2706">
        <v>105.64</v>
      </c>
      <c r="G2706">
        <v>113389.23</v>
      </c>
      <c r="H2706" s="14">
        <v>43768.833333333336</v>
      </c>
    </row>
    <row r="2707" spans="1:8" x14ac:dyDescent="0.25">
      <c r="A2707">
        <v>49</v>
      </c>
      <c r="B2707" t="s">
        <v>176</v>
      </c>
      <c r="C2707">
        <v>14</v>
      </c>
      <c r="D2707">
        <v>0</v>
      </c>
      <c r="E2707">
        <v>0</v>
      </c>
      <c r="F2707">
        <v>83.88</v>
      </c>
      <c r="G2707">
        <v>77776.73</v>
      </c>
      <c r="H2707" s="14">
        <v>43768.833333333336</v>
      </c>
    </row>
    <row r="2708" spans="1:8" x14ac:dyDescent="0.25">
      <c r="A2708">
        <v>50</v>
      </c>
      <c r="B2708" t="s">
        <v>177</v>
      </c>
      <c r="C2708">
        <v>1</v>
      </c>
      <c r="D2708">
        <v>0</v>
      </c>
      <c r="E2708">
        <v>0</v>
      </c>
      <c r="F2708">
        <v>81.56</v>
      </c>
      <c r="G2708">
        <v>65975.009999999995</v>
      </c>
      <c r="H2708" s="14">
        <v>43768.833333333336</v>
      </c>
    </row>
    <row r="2709" spans="1:8" x14ac:dyDescent="0.25">
      <c r="A2709">
        <v>50</v>
      </c>
      <c r="B2709" t="s">
        <v>177</v>
      </c>
      <c r="C2709">
        <v>2</v>
      </c>
      <c r="D2709">
        <v>0</v>
      </c>
      <c r="E2709">
        <v>0</v>
      </c>
      <c r="F2709">
        <v>141.94999999999999</v>
      </c>
      <c r="G2709">
        <v>108788.83</v>
      </c>
      <c r="H2709" s="14">
        <v>43768.833333333336</v>
      </c>
    </row>
    <row r="2710" spans="1:8" x14ac:dyDescent="0.25">
      <c r="A2710">
        <v>50</v>
      </c>
      <c r="B2710" t="s">
        <v>177</v>
      </c>
      <c r="C2710">
        <v>3</v>
      </c>
      <c r="D2710">
        <v>0</v>
      </c>
      <c r="E2710">
        <v>0</v>
      </c>
      <c r="F2710">
        <v>118.93</v>
      </c>
      <c r="G2710">
        <v>102512.89</v>
      </c>
      <c r="H2710" s="14">
        <v>43768.833333333336</v>
      </c>
    </row>
    <row r="2711" spans="1:8" x14ac:dyDescent="0.25">
      <c r="A2711">
        <v>50</v>
      </c>
      <c r="B2711" t="s">
        <v>177</v>
      </c>
      <c r="C2711">
        <v>4</v>
      </c>
      <c r="D2711">
        <v>0</v>
      </c>
      <c r="E2711">
        <v>0</v>
      </c>
      <c r="F2711">
        <v>130.1</v>
      </c>
      <c r="G2711">
        <v>106676.96</v>
      </c>
      <c r="H2711" s="14">
        <v>43768.833333333336</v>
      </c>
    </row>
    <row r="2712" spans="1:8" x14ac:dyDescent="0.25">
      <c r="A2712">
        <v>50</v>
      </c>
      <c r="B2712" t="s">
        <v>177</v>
      </c>
      <c r="C2712">
        <v>5</v>
      </c>
      <c r="D2712">
        <v>0</v>
      </c>
      <c r="E2712">
        <v>0</v>
      </c>
      <c r="F2712">
        <v>141.91999999999999</v>
      </c>
      <c r="G2712">
        <v>106001.35</v>
      </c>
      <c r="H2712" s="14">
        <v>43768.833333333336</v>
      </c>
    </row>
    <row r="2713" spans="1:8" x14ac:dyDescent="0.25">
      <c r="A2713">
        <v>50</v>
      </c>
      <c r="B2713" t="s">
        <v>177</v>
      </c>
      <c r="C2713">
        <v>6</v>
      </c>
      <c r="D2713">
        <v>0</v>
      </c>
      <c r="E2713">
        <v>0</v>
      </c>
      <c r="F2713">
        <v>124.94</v>
      </c>
      <c r="G2713">
        <v>103916.45</v>
      </c>
      <c r="H2713" s="14">
        <v>43768.833333333336</v>
      </c>
    </row>
    <row r="2714" spans="1:8" x14ac:dyDescent="0.25">
      <c r="A2714">
        <v>50</v>
      </c>
      <c r="B2714" t="s">
        <v>177</v>
      </c>
      <c r="C2714">
        <v>7</v>
      </c>
      <c r="D2714">
        <v>0</v>
      </c>
      <c r="E2714">
        <v>0</v>
      </c>
      <c r="F2714">
        <v>141.47999999999999</v>
      </c>
      <c r="G2714">
        <v>105874.76</v>
      </c>
      <c r="H2714" s="14">
        <v>43768.833333333336</v>
      </c>
    </row>
    <row r="2715" spans="1:8" x14ac:dyDescent="0.25">
      <c r="A2715">
        <v>50</v>
      </c>
      <c r="B2715" t="s">
        <v>177</v>
      </c>
      <c r="C2715">
        <v>8</v>
      </c>
      <c r="D2715">
        <v>0</v>
      </c>
      <c r="E2715">
        <v>0</v>
      </c>
      <c r="F2715">
        <v>118.34</v>
      </c>
      <c r="G2715">
        <v>99822.12</v>
      </c>
      <c r="H2715" s="14">
        <v>43768.833333333336</v>
      </c>
    </row>
    <row r="2716" spans="1:8" x14ac:dyDescent="0.25">
      <c r="A2716">
        <v>50</v>
      </c>
      <c r="B2716" t="s">
        <v>177</v>
      </c>
      <c r="C2716">
        <v>9</v>
      </c>
      <c r="D2716">
        <v>0</v>
      </c>
      <c r="E2716">
        <v>0</v>
      </c>
      <c r="F2716">
        <v>131.44999999999999</v>
      </c>
      <c r="G2716">
        <v>103972.54</v>
      </c>
      <c r="H2716" s="14">
        <v>43768.833333333336</v>
      </c>
    </row>
    <row r="2717" spans="1:8" x14ac:dyDescent="0.25">
      <c r="A2717">
        <v>50</v>
      </c>
      <c r="B2717" t="s">
        <v>177</v>
      </c>
      <c r="C2717">
        <v>10</v>
      </c>
      <c r="D2717">
        <v>0</v>
      </c>
      <c r="E2717">
        <v>0</v>
      </c>
      <c r="F2717">
        <v>139.77000000000001</v>
      </c>
      <c r="G2717">
        <v>104799.67999999999</v>
      </c>
      <c r="H2717" s="14">
        <v>43768.833333333336</v>
      </c>
    </row>
    <row r="2718" spans="1:8" x14ac:dyDescent="0.25">
      <c r="A2718">
        <v>50</v>
      </c>
      <c r="B2718" t="s">
        <v>177</v>
      </c>
      <c r="C2718">
        <v>11</v>
      </c>
      <c r="D2718">
        <v>0</v>
      </c>
      <c r="E2718">
        <v>0</v>
      </c>
      <c r="F2718">
        <v>126.4</v>
      </c>
      <c r="G2718">
        <v>100661.84</v>
      </c>
      <c r="H2718" s="14">
        <v>43768.833333333336</v>
      </c>
    </row>
    <row r="2719" spans="1:8" x14ac:dyDescent="0.25">
      <c r="A2719">
        <v>50</v>
      </c>
      <c r="B2719" t="s">
        <v>177</v>
      </c>
      <c r="C2719">
        <v>12</v>
      </c>
      <c r="D2719">
        <v>0</v>
      </c>
      <c r="E2719">
        <v>0</v>
      </c>
      <c r="F2719">
        <v>142.41</v>
      </c>
      <c r="G2719">
        <v>108161.83</v>
      </c>
      <c r="H2719" s="14">
        <v>43768.833333333336</v>
      </c>
    </row>
    <row r="2720" spans="1:8" x14ac:dyDescent="0.25">
      <c r="A2720">
        <v>50</v>
      </c>
      <c r="B2720" t="s">
        <v>177</v>
      </c>
      <c r="C2720">
        <v>13</v>
      </c>
      <c r="D2720">
        <v>0</v>
      </c>
      <c r="E2720">
        <v>0</v>
      </c>
      <c r="F2720">
        <v>132.18</v>
      </c>
      <c r="G2720">
        <v>111786.56</v>
      </c>
      <c r="H2720" s="14">
        <v>43768.833333333336</v>
      </c>
    </row>
    <row r="2721" spans="1:8" x14ac:dyDescent="0.25">
      <c r="A2721">
        <v>50</v>
      </c>
      <c r="B2721" t="s">
        <v>177</v>
      </c>
      <c r="C2721">
        <v>14</v>
      </c>
      <c r="D2721">
        <v>0</v>
      </c>
      <c r="E2721">
        <v>0</v>
      </c>
      <c r="F2721">
        <v>134.44</v>
      </c>
      <c r="G2721">
        <v>50132.41</v>
      </c>
      <c r="H2721" s="14">
        <v>43768.833333333336</v>
      </c>
    </row>
    <row r="2722" spans="1:8" x14ac:dyDescent="0.25">
      <c r="A2722">
        <v>51</v>
      </c>
      <c r="B2722" t="s">
        <v>178</v>
      </c>
      <c r="C2722">
        <v>1</v>
      </c>
      <c r="D2722">
        <v>0</v>
      </c>
      <c r="E2722">
        <v>0</v>
      </c>
      <c r="F2722">
        <v>120.03</v>
      </c>
      <c r="G2722">
        <v>100004.09</v>
      </c>
      <c r="H2722" s="14">
        <v>43768.833333333336</v>
      </c>
    </row>
    <row r="2723" spans="1:8" x14ac:dyDescent="0.25">
      <c r="A2723">
        <v>51</v>
      </c>
      <c r="B2723" t="s">
        <v>178</v>
      </c>
      <c r="C2723">
        <v>2</v>
      </c>
      <c r="D2723">
        <v>0</v>
      </c>
      <c r="E2723">
        <v>0</v>
      </c>
      <c r="F2723">
        <v>124.55</v>
      </c>
      <c r="G2723">
        <v>9069.77</v>
      </c>
      <c r="H2723" s="14">
        <v>43768.833333333336</v>
      </c>
    </row>
    <row r="2724" spans="1:8" x14ac:dyDescent="0.25">
      <c r="A2724">
        <v>51</v>
      </c>
      <c r="B2724" t="s">
        <v>178</v>
      </c>
      <c r="C2724">
        <v>3</v>
      </c>
      <c r="D2724">
        <v>0</v>
      </c>
      <c r="E2724">
        <v>0</v>
      </c>
      <c r="F2724">
        <v>139.9</v>
      </c>
      <c r="G2724">
        <v>110832.13</v>
      </c>
      <c r="H2724" s="14">
        <v>43768.833333333336</v>
      </c>
    </row>
    <row r="2725" spans="1:8" x14ac:dyDescent="0.25">
      <c r="A2725">
        <v>51</v>
      </c>
      <c r="B2725" t="s">
        <v>178</v>
      </c>
      <c r="C2725">
        <v>4</v>
      </c>
      <c r="D2725">
        <v>0</v>
      </c>
      <c r="E2725">
        <v>0</v>
      </c>
      <c r="F2725">
        <v>131.61000000000001</v>
      </c>
      <c r="G2725">
        <v>103671.93</v>
      </c>
      <c r="H2725" s="14">
        <v>43768.833333333336</v>
      </c>
    </row>
    <row r="2726" spans="1:8" x14ac:dyDescent="0.25">
      <c r="A2726">
        <v>51</v>
      </c>
      <c r="B2726" t="s">
        <v>178</v>
      </c>
      <c r="C2726">
        <v>5</v>
      </c>
      <c r="D2726">
        <v>0</v>
      </c>
      <c r="E2726">
        <v>0</v>
      </c>
      <c r="F2726">
        <v>133.72</v>
      </c>
      <c r="G2726">
        <v>104856.36</v>
      </c>
      <c r="H2726" s="14">
        <v>43768.833333333336</v>
      </c>
    </row>
    <row r="2727" spans="1:8" x14ac:dyDescent="0.25">
      <c r="A2727">
        <v>51</v>
      </c>
      <c r="B2727" t="s">
        <v>178</v>
      </c>
      <c r="C2727">
        <v>6</v>
      </c>
      <c r="D2727">
        <v>0</v>
      </c>
      <c r="E2727">
        <v>0</v>
      </c>
      <c r="F2727">
        <v>138.41</v>
      </c>
      <c r="G2727">
        <v>31786.46</v>
      </c>
      <c r="H2727" s="14">
        <v>43768.833333333336</v>
      </c>
    </row>
    <row r="2728" spans="1:8" x14ac:dyDescent="0.25">
      <c r="A2728">
        <v>52</v>
      </c>
      <c r="B2728" t="s">
        <v>179</v>
      </c>
      <c r="C2728">
        <v>1</v>
      </c>
      <c r="D2728">
        <v>0</v>
      </c>
      <c r="E2728">
        <v>0</v>
      </c>
      <c r="F2728">
        <v>85.87</v>
      </c>
      <c r="G2728">
        <v>70041.05</v>
      </c>
      <c r="H2728" s="14">
        <v>43768.833333333336</v>
      </c>
    </row>
    <row r="2729" spans="1:8" x14ac:dyDescent="0.25">
      <c r="A2729">
        <v>52</v>
      </c>
      <c r="B2729" t="s">
        <v>179</v>
      </c>
      <c r="C2729">
        <v>2</v>
      </c>
      <c r="D2729">
        <v>0</v>
      </c>
      <c r="E2729">
        <v>0</v>
      </c>
      <c r="F2729">
        <v>130.69</v>
      </c>
      <c r="G2729">
        <v>107715.89</v>
      </c>
      <c r="H2729" s="14">
        <v>43768.833333333336</v>
      </c>
    </row>
    <row r="2730" spans="1:8" x14ac:dyDescent="0.25">
      <c r="A2730">
        <v>52</v>
      </c>
      <c r="B2730" t="s">
        <v>179</v>
      </c>
      <c r="C2730">
        <v>3</v>
      </c>
      <c r="D2730">
        <v>0</v>
      </c>
      <c r="E2730">
        <v>0</v>
      </c>
      <c r="F2730">
        <v>128.15</v>
      </c>
      <c r="G2730">
        <v>106414.58</v>
      </c>
      <c r="H2730" s="14">
        <v>43768.833333333336</v>
      </c>
    </row>
    <row r="2731" spans="1:8" x14ac:dyDescent="0.25">
      <c r="A2731">
        <v>52</v>
      </c>
      <c r="B2731" t="s">
        <v>179</v>
      </c>
      <c r="C2731">
        <v>4</v>
      </c>
      <c r="D2731">
        <v>0</v>
      </c>
      <c r="E2731">
        <v>0</v>
      </c>
      <c r="F2731">
        <v>128.88999999999999</v>
      </c>
      <c r="G2731">
        <v>106893.22</v>
      </c>
      <c r="H2731" s="14">
        <v>43768.833333333336</v>
      </c>
    </row>
    <row r="2732" spans="1:8" x14ac:dyDescent="0.25">
      <c r="A2732">
        <v>52</v>
      </c>
      <c r="B2732" t="s">
        <v>179</v>
      </c>
      <c r="C2732">
        <v>5</v>
      </c>
      <c r="D2732">
        <v>0</v>
      </c>
      <c r="E2732">
        <v>0</v>
      </c>
      <c r="F2732">
        <v>130.02000000000001</v>
      </c>
      <c r="G2732">
        <v>106398.52</v>
      </c>
      <c r="H2732" s="14">
        <v>43768.833333333336</v>
      </c>
    </row>
    <row r="2733" spans="1:8" x14ac:dyDescent="0.25">
      <c r="A2733">
        <v>52</v>
      </c>
      <c r="B2733" t="s">
        <v>179</v>
      </c>
      <c r="C2733">
        <v>6</v>
      </c>
      <c r="D2733">
        <v>0</v>
      </c>
      <c r="E2733">
        <v>0</v>
      </c>
      <c r="F2733">
        <v>129.9</v>
      </c>
      <c r="G2733">
        <v>107028.88</v>
      </c>
      <c r="H2733" s="14">
        <v>43768.833333333336</v>
      </c>
    </row>
    <row r="2734" spans="1:8" x14ac:dyDescent="0.25">
      <c r="A2734">
        <v>52</v>
      </c>
      <c r="B2734" t="s">
        <v>179</v>
      </c>
      <c r="C2734">
        <v>7</v>
      </c>
      <c r="D2734">
        <v>0</v>
      </c>
      <c r="E2734">
        <v>0</v>
      </c>
      <c r="F2734">
        <v>129.94999999999999</v>
      </c>
      <c r="G2734">
        <v>107367.29</v>
      </c>
      <c r="H2734" s="14">
        <v>43768.833333333336</v>
      </c>
    </row>
    <row r="2735" spans="1:8" x14ac:dyDescent="0.25">
      <c r="A2735">
        <v>52</v>
      </c>
      <c r="B2735" t="s">
        <v>179</v>
      </c>
      <c r="C2735">
        <v>8</v>
      </c>
      <c r="D2735">
        <v>0</v>
      </c>
      <c r="E2735">
        <v>0</v>
      </c>
      <c r="F2735">
        <v>127.94</v>
      </c>
      <c r="G2735">
        <v>8443.02</v>
      </c>
      <c r="H2735" s="14">
        <v>43768.833333333336</v>
      </c>
    </row>
    <row r="2736" spans="1:8" x14ac:dyDescent="0.25">
      <c r="A2736">
        <v>52</v>
      </c>
      <c r="B2736" t="s">
        <v>179</v>
      </c>
      <c r="C2736">
        <v>9</v>
      </c>
      <c r="D2736">
        <v>0</v>
      </c>
      <c r="E2736">
        <v>0</v>
      </c>
      <c r="F2736">
        <v>129.34</v>
      </c>
      <c r="G2736">
        <v>106744.91</v>
      </c>
      <c r="H2736" s="14">
        <v>43768.833333333336</v>
      </c>
    </row>
    <row r="2737" spans="1:8" x14ac:dyDescent="0.25">
      <c r="A2737">
        <v>52</v>
      </c>
      <c r="B2737" t="s">
        <v>179</v>
      </c>
      <c r="C2737">
        <v>10</v>
      </c>
      <c r="D2737">
        <v>0</v>
      </c>
      <c r="E2737">
        <v>0</v>
      </c>
      <c r="F2737">
        <v>129.12</v>
      </c>
      <c r="G2737">
        <v>96527.39</v>
      </c>
      <c r="H2737" s="14">
        <v>43768.833333333336</v>
      </c>
    </row>
    <row r="2738" spans="1:8" x14ac:dyDescent="0.25">
      <c r="A2738">
        <v>52</v>
      </c>
      <c r="B2738" t="s">
        <v>179</v>
      </c>
      <c r="C2738">
        <v>11</v>
      </c>
      <c r="D2738">
        <v>0</v>
      </c>
      <c r="E2738">
        <v>0</v>
      </c>
      <c r="F2738">
        <v>128.66999999999999</v>
      </c>
      <c r="G2738">
        <v>92487.38</v>
      </c>
      <c r="H2738" s="14">
        <v>43768.833333333336</v>
      </c>
    </row>
    <row r="2739" spans="1:8" x14ac:dyDescent="0.25">
      <c r="A2739">
        <v>52</v>
      </c>
      <c r="B2739" t="s">
        <v>179</v>
      </c>
      <c r="C2739">
        <v>12</v>
      </c>
      <c r="D2739">
        <v>0</v>
      </c>
      <c r="E2739">
        <v>0</v>
      </c>
      <c r="F2739">
        <v>128.96</v>
      </c>
      <c r="G2739">
        <v>106290.59</v>
      </c>
      <c r="H2739" s="14">
        <v>43768.833333333336</v>
      </c>
    </row>
    <row r="2740" spans="1:8" x14ac:dyDescent="0.25">
      <c r="A2740">
        <v>52</v>
      </c>
      <c r="B2740" t="s">
        <v>179</v>
      </c>
      <c r="C2740">
        <v>13</v>
      </c>
      <c r="D2740">
        <v>0</v>
      </c>
      <c r="E2740">
        <v>0</v>
      </c>
      <c r="F2740">
        <v>126.16</v>
      </c>
      <c r="G2740">
        <v>15681.18</v>
      </c>
      <c r="H2740" s="14">
        <v>43768.833333333336</v>
      </c>
    </row>
    <row r="2741" spans="1:8" x14ac:dyDescent="0.25">
      <c r="A2741">
        <v>52</v>
      </c>
      <c r="B2741" t="s">
        <v>179</v>
      </c>
      <c r="C2741">
        <v>14</v>
      </c>
      <c r="D2741">
        <v>0</v>
      </c>
      <c r="E2741">
        <v>0</v>
      </c>
      <c r="F2741">
        <v>126.04</v>
      </c>
      <c r="G2741">
        <v>106656.74</v>
      </c>
      <c r="H2741" s="14">
        <v>43768.833333333336</v>
      </c>
    </row>
    <row r="2742" spans="1:8" x14ac:dyDescent="0.25">
      <c r="A2742">
        <v>53</v>
      </c>
      <c r="B2742" t="s">
        <v>180</v>
      </c>
      <c r="C2742">
        <v>1</v>
      </c>
      <c r="D2742">
        <v>0</v>
      </c>
      <c r="E2742">
        <v>0</v>
      </c>
      <c r="F2742">
        <v>125.91</v>
      </c>
      <c r="G2742">
        <v>111005.64</v>
      </c>
      <c r="H2742" s="14">
        <v>43768.833333333336</v>
      </c>
    </row>
    <row r="2743" spans="1:8" x14ac:dyDescent="0.25">
      <c r="A2743">
        <v>53</v>
      </c>
      <c r="B2743" t="s">
        <v>180</v>
      </c>
      <c r="C2743">
        <v>2</v>
      </c>
      <c r="D2743">
        <v>0</v>
      </c>
      <c r="E2743">
        <v>0</v>
      </c>
      <c r="F2743">
        <v>118.96</v>
      </c>
      <c r="G2743">
        <v>109973.78</v>
      </c>
      <c r="H2743" s="14">
        <v>43768.833333333336</v>
      </c>
    </row>
    <row r="2744" spans="1:8" x14ac:dyDescent="0.25">
      <c r="A2744">
        <v>53</v>
      </c>
      <c r="B2744" t="s">
        <v>180</v>
      </c>
      <c r="C2744">
        <v>3</v>
      </c>
      <c r="D2744">
        <v>0</v>
      </c>
      <c r="E2744">
        <v>0</v>
      </c>
      <c r="F2744">
        <v>119.64</v>
      </c>
      <c r="G2744">
        <v>98815.28</v>
      </c>
      <c r="H2744" s="14">
        <v>43768.833333333336</v>
      </c>
    </row>
    <row r="2745" spans="1:8" x14ac:dyDescent="0.25">
      <c r="A2745">
        <v>53</v>
      </c>
      <c r="B2745" t="s">
        <v>180</v>
      </c>
      <c r="C2745">
        <v>4</v>
      </c>
      <c r="D2745">
        <v>0</v>
      </c>
      <c r="E2745">
        <v>0</v>
      </c>
      <c r="F2745">
        <v>119.76</v>
      </c>
      <c r="G2745">
        <v>102229.22</v>
      </c>
      <c r="H2745" s="14">
        <v>43768.833333333336</v>
      </c>
    </row>
    <row r="2746" spans="1:8" x14ac:dyDescent="0.25">
      <c r="A2746">
        <v>53</v>
      </c>
      <c r="B2746" t="s">
        <v>180</v>
      </c>
      <c r="C2746">
        <v>5</v>
      </c>
      <c r="D2746">
        <v>0</v>
      </c>
      <c r="E2746">
        <v>0</v>
      </c>
      <c r="F2746">
        <v>129.51</v>
      </c>
      <c r="G2746">
        <v>112958.39999999999</v>
      </c>
      <c r="H2746" s="14">
        <v>43768.833333333336</v>
      </c>
    </row>
    <row r="2747" spans="1:8" x14ac:dyDescent="0.25">
      <c r="A2747">
        <v>53</v>
      </c>
      <c r="B2747" t="s">
        <v>180</v>
      </c>
      <c r="C2747">
        <v>6</v>
      </c>
      <c r="D2747">
        <v>0</v>
      </c>
      <c r="E2747">
        <v>0</v>
      </c>
      <c r="F2747">
        <v>38.119999999999997</v>
      </c>
      <c r="G2747">
        <v>33710.46</v>
      </c>
      <c r="H2747" s="14">
        <v>43768.833333333336</v>
      </c>
    </row>
    <row r="2748" spans="1:8" x14ac:dyDescent="0.25">
      <c r="A2748">
        <v>54</v>
      </c>
      <c r="B2748" t="s">
        <v>181</v>
      </c>
      <c r="C2748">
        <v>1</v>
      </c>
      <c r="D2748">
        <v>0</v>
      </c>
      <c r="E2748">
        <v>0</v>
      </c>
      <c r="F2748">
        <v>78.69</v>
      </c>
      <c r="G2748">
        <v>96889.05</v>
      </c>
      <c r="H2748" s="14">
        <v>43768.833333333336</v>
      </c>
    </row>
    <row r="2749" spans="1:8" x14ac:dyDescent="0.25">
      <c r="A2749">
        <v>54</v>
      </c>
      <c r="B2749" t="s">
        <v>181</v>
      </c>
      <c r="C2749">
        <v>2</v>
      </c>
      <c r="D2749">
        <v>0</v>
      </c>
      <c r="E2749">
        <v>0</v>
      </c>
      <c r="F2749">
        <v>72.510000000000005</v>
      </c>
      <c r="G2749">
        <v>96248.25</v>
      </c>
      <c r="H2749" s="14">
        <v>43768.833333333336</v>
      </c>
    </row>
    <row r="2750" spans="1:8" x14ac:dyDescent="0.25">
      <c r="A2750">
        <v>54</v>
      </c>
      <c r="B2750" t="s">
        <v>181</v>
      </c>
      <c r="C2750">
        <v>3</v>
      </c>
      <c r="D2750">
        <v>0</v>
      </c>
      <c r="E2750">
        <v>0</v>
      </c>
      <c r="F2750">
        <v>76.25</v>
      </c>
      <c r="G2750">
        <v>100057.32</v>
      </c>
      <c r="H2750" s="14">
        <v>43768.833333333336</v>
      </c>
    </row>
    <row r="2751" spans="1:8" x14ac:dyDescent="0.25">
      <c r="A2751">
        <v>54</v>
      </c>
      <c r="B2751" t="s">
        <v>181</v>
      </c>
      <c r="C2751">
        <v>4</v>
      </c>
      <c r="D2751">
        <v>0</v>
      </c>
      <c r="E2751">
        <v>0</v>
      </c>
      <c r="F2751">
        <v>82.42</v>
      </c>
      <c r="G2751">
        <v>106052.46</v>
      </c>
      <c r="H2751" s="14">
        <v>43768.833333333336</v>
      </c>
    </row>
    <row r="2752" spans="1:8" x14ac:dyDescent="0.25">
      <c r="A2752">
        <v>54</v>
      </c>
      <c r="B2752" t="s">
        <v>181</v>
      </c>
      <c r="C2752">
        <v>5</v>
      </c>
      <c r="D2752">
        <v>0</v>
      </c>
      <c r="E2752">
        <v>0</v>
      </c>
      <c r="F2752">
        <v>83.56</v>
      </c>
      <c r="G2752">
        <v>106621.03</v>
      </c>
      <c r="H2752" s="14">
        <v>43768.833333333336</v>
      </c>
    </row>
    <row r="2753" spans="1:8" x14ac:dyDescent="0.25">
      <c r="A2753">
        <v>54</v>
      </c>
      <c r="B2753" t="s">
        <v>181</v>
      </c>
      <c r="C2753">
        <v>6</v>
      </c>
      <c r="D2753">
        <v>0</v>
      </c>
      <c r="E2753">
        <v>0</v>
      </c>
      <c r="F2753">
        <v>89.02</v>
      </c>
      <c r="G2753">
        <v>103397.58</v>
      </c>
      <c r="H2753" s="14">
        <v>43768.833333333336</v>
      </c>
    </row>
    <row r="2754" spans="1:8" x14ac:dyDescent="0.25">
      <c r="A2754">
        <v>54</v>
      </c>
      <c r="B2754" t="s">
        <v>181</v>
      </c>
      <c r="C2754">
        <v>7</v>
      </c>
      <c r="D2754">
        <v>0</v>
      </c>
      <c r="E2754">
        <v>0</v>
      </c>
      <c r="F2754">
        <v>92.42</v>
      </c>
      <c r="G2754">
        <v>104083</v>
      </c>
      <c r="H2754" s="14">
        <v>43768.833333333336</v>
      </c>
    </row>
    <row r="2755" spans="1:8" x14ac:dyDescent="0.25">
      <c r="A2755">
        <v>54</v>
      </c>
      <c r="B2755" t="s">
        <v>181</v>
      </c>
      <c r="C2755">
        <v>8</v>
      </c>
      <c r="D2755">
        <v>0</v>
      </c>
      <c r="E2755">
        <v>0</v>
      </c>
      <c r="F2755">
        <v>57.38</v>
      </c>
      <c r="G2755">
        <v>64609.42</v>
      </c>
      <c r="H2755" s="14">
        <v>43768.833333333336</v>
      </c>
    </row>
    <row r="2756" spans="1:8" x14ac:dyDescent="0.25">
      <c r="A2756">
        <v>54</v>
      </c>
      <c r="B2756" t="s">
        <v>181</v>
      </c>
      <c r="C2756">
        <v>9</v>
      </c>
      <c r="D2756">
        <v>0</v>
      </c>
      <c r="E2756">
        <v>0</v>
      </c>
      <c r="F2756">
        <v>44.64</v>
      </c>
      <c r="G2756">
        <v>54796.57</v>
      </c>
      <c r="H2756" s="14">
        <v>43768.833333333336</v>
      </c>
    </row>
    <row r="2757" spans="1:8" x14ac:dyDescent="0.25">
      <c r="A2757">
        <v>55</v>
      </c>
      <c r="B2757" t="s">
        <v>182</v>
      </c>
      <c r="C2757">
        <v>1</v>
      </c>
      <c r="D2757">
        <v>0</v>
      </c>
      <c r="E2757">
        <v>0</v>
      </c>
      <c r="F2757">
        <v>20.309999999999999</v>
      </c>
      <c r="G2757">
        <v>18116.21</v>
      </c>
      <c r="H2757" s="14">
        <v>43768.833333333336</v>
      </c>
    </row>
    <row r="2758" spans="1:8" x14ac:dyDescent="0.25">
      <c r="A2758">
        <v>55</v>
      </c>
      <c r="B2758" t="s">
        <v>182</v>
      </c>
      <c r="C2758">
        <v>2</v>
      </c>
      <c r="D2758">
        <v>0</v>
      </c>
      <c r="E2758">
        <v>0</v>
      </c>
      <c r="F2758">
        <v>21.15</v>
      </c>
      <c r="G2758">
        <v>18300.150000000001</v>
      </c>
      <c r="H2758" s="14">
        <v>43768.833333333336</v>
      </c>
    </row>
    <row r="2759" spans="1:8" x14ac:dyDescent="0.25">
      <c r="A2759">
        <v>55</v>
      </c>
      <c r="B2759" t="s">
        <v>182</v>
      </c>
      <c r="C2759">
        <v>3</v>
      </c>
      <c r="D2759">
        <v>0</v>
      </c>
      <c r="E2759">
        <v>0</v>
      </c>
      <c r="F2759">
        <v>21.65</v>
      </c>
      <c r="G2759">
        <v>18386.72</v>
      </c>
      <c r="H2759" s="14">
        <v>43768.833333333336</v>
      </c>
    </row>
    <row r="2760" spans="1:8" x14ac:dyDescent="0.25">
      <c r="A2760">
        <v>55</v>
      </c>
      <c r="B2760" t="s">
        <v>182</v>
      </c>
      <c r="C2760">
        <v>4</v>
      </c>
      <c r="D2760">
        <v>0</v>
      </c>
      <c r="E2760">
        <v>0</v>
      </c>
      <c r="F2760">
        <v>23.45</v>
      </c>
      <c r="G2760">
        <v>3309.43</v>
      </c>
      <c r="H2760" s="14">
        <v>43768.833333333336</v>
      </c>
    </row>
    <row r="2761" spans="1:8" x14ac:dyDescent="0.25">
      <c r="A2761">
        <v>55</v>
      </c>
      <c r="B2761" t="s">
        <v>182</v>
      </c>
      <c r="C2761">
        <v>5</v>
      </c>
      <c r="D2761">
        <v>0</v>
      </c>
      <c r="E2761">
        <v>0</v>
      </c>
      <c r="F2761">
        <v>19.88</v>
      </c>
      <c r="G2761">
        <v>18531.84</v>
      </c>
      <c r="H2761" s="14">
        <v>43768.833333333336</v>
      </c>
    </row>
    <row r="2762" spans="1:8" x14ac:dyDescent="0.25">
      <c r="A2762">
        <v>55</v>
      </c>
      <c r="B2762" t="s">
        <v>182</v>
      </c>
      <c r="C2762">
        <v>6</v>
      </c>
      <c r="D2762">
        <v>0</v>
      </c>
      <c r="E2762">
        <v>0</v>
      </c>
      <c r="F2762">
        <v>21.2</v>
      </c>
      <c r="G2762">
        <v>18228.48</v>
      </c>
      <c r="H2762" s="14">
        <v>43768.833333333336</v>
      </c>
    </row>
    <row r="2763" spans="1:8" x14ac:dyDescent="0.25">
      <c r="A2763">
        <v>55</v>
      </c>
      <c r="B2763" t="s">
        <v>182</v>
      </c>
      <c r="C2763">
        <v>7</v>
      </c>
      <c r="D2763">
        <v>0</v>
      </c>
      <c r="E2763">
        <v>0</v>
      </c>
      <c r="F2763">
        <v>21.51</v>
      </c>
      <c r="G2763">
        <v>18822.8</v>
      </c>
      <c r="H2763" s="14">
        <v>43768.833333333336</v>
      </c>
    </row>
    <row r="2764" spans="1:8" x14ac:dyDescent="0.25">
      <c r="A2764">
        <v>55</v>
      </c>
      <c r="B2764" t="s">
        <v>182</v>
      </c>
      <c r="C2764">
        <v>8</v>
      </c>
      <c r="D2764">
        <v>0</v>
      </c>
      <c r="E2764">
        <v>0</v>
      </c>
      <c r="F2764">
        <v>23.66</v>
      </c>
      <c r="G2764">
        <v>19788.71</v>
      </c>
      <c r="H2764" s="14">
        <v>43768.833333333336</v>
      </c>
    </row>
    <row r="2765" spans="1:8" x14ac:dyDescent="0.25">
      <c r="A2765">
        <v>55</v>
      </c>
      <c r="B2765" t="s">
        <v>182</v>
      </c>
      <c r="C2765">
        <v>9</v>
      </c>
      <c r="D2765">
        <v>0</v>
      </c>
      <c r="E2765">
        <v>0</v>
      </c>
      <c r="F2765">
        <v>21.73</v>
      </c>
      <c r="G2765">
        <v>18903.560000000001</v>
      </c>
      <c r="H2765" s="14">
        <v>43768.833333333336</v>
      </c>
    </row>
    <row r="2766" spans="1:8" x14ac:dyDescent="0.25">
      <c r="A2766">
        <v>55</v>
      </c>
      <c r="B2766" t="s">
        <v>182</v>
      </c>
      <c r="C2766">
        <v>10</v>
      </c>
      <c r="D2766">
        <v>0</v>
      </c>
      <c r="E2766">
        <v>0</v>
      </c>
      <c r="F2766">
        <v>21</v>
      </c>
      <c r="G2766">
        <v>18604.830000000002</v>
      </c>
      <c r="H2766" s="14">
        <v>43768.833333333336</v>
      </c>
    </row>
    <row r="2767" spans="1:8" x14ac:dyDescent="0.25">
      <c r="A2767">
        <v>55</v>
      </c>
      <c r="B2767" t="s">
        <v>182</v>
      </c>
      <c r="C2767">
        <v>11</v>
      </c>
      <c r="D2767">
        <v>0</v>
      </c>
      <c r="E2767">
        <v>0</v>
      </c>
      <c r="F2767">
        <v>21.37</v>
      </c>
      <c r="G2767">
        <v>18924.36</v>
      </c>
      <c r="H2767" s="14">
        <v>43768.833333333336</v>
      </c>
    </row>
    <row r="2768" spans="1:8" x14ac:dyDescent="0.25">
      <c r="A2768">
        <v>55</v>
      </c>
      <c r="B2768" t="s">
        <v>182</v>
      </c>
      <c r="C2768">
        <v>12</v>
      </c>
      <c r="D2768">
        <v>0</v>
      </c>
      <c r="E2768">
        <v>0</v>
      </c>
      <c r="F2768">
        <v>23.54</v>
      </c>
      <c r="G2768">
        <v>19877.89</v>
      </c>
      <c r="H2768" s="14">
        <v>43768.833333333336</v>
      </c>
    </row>
    <row r="2769" spans="1:8" x14ac:dyDescent="0.25">
      <c r="A2769">
        <v>55</v>
      </c>
      <c r="B2769" t="s">
        <v>182</v>
      </c>
      <c r="C2769">
        <v>13</v>
      </c>
      <c r="D2769">
        <v>0</v>
      </c>
      <c r="E2769">
        <v>0</v>
      </c>
      <c r="F2769">
        <v>21.08</v>
      </c>
      <c r="G2769">
        <v>18849.330000000002</v>
      </c>
      <c r="H2769" s="14">
        <v>43768.833333333336</v>
      </c>
    </row>
    <row r="2770" spans="1:8" x14ac:dyDescent="0.25">
      <c r="A2770">
        <v>55</v>
      </c>
      <c r="B2770" t="s">
        <v>182</v>
      </c>
      <c r="C2770">
        <v>14</v>
      </c>
      <c r="D2770">
        <v>0</v>
      </c>
      <c r="E2770">
        <v>0</v>
      </c>
      <c r="F2770">
        <v>23.28</v>
      </c>
      <c r="G2770">
        <v>19922.509999999998</v>
      </c>
      <c r="H2770" s="14">
        <v>43768.833333333336</v>
      </c>
    </row>
    <row r="2771" spans="1:8" x14ac:dyDescent="0.25">
      <c r="A2771">
        <v>55</v>
      </c>
      <c r="B2771" t="s">
        <v>182</v>
      </c>
      <c r="C2771">
        <v>15</v>
      </c>
      <c r="D2771">
        <v>0</v>
      </c>
      <c r="E2771">
        <v>0</v>
      </c>
      <c r="F2771">
        <v>20.91</v>
      </c>
      <c r="G2771">
        <v>19293.939999999999</v>
      </c>
      <c r="H2771" s="14">
        <v>43768.833333333336</v>
      </c>
    </row>
    <row r="2772" spans="1:8" x14ac:dyDescent="0.25">
      <c r="A2772">
        <v>56</v>
      </c>
      <c r="B2772" t="s">
        <v>183</v>
      </c>
      <c r="C2772">
        <v>1</v>
      </c>
      <c r="D2772">
        <v>0</v>
      </c>
      <c r="E2772">
        <v>0</v>
      </c>
      <c r="F2772">
        <v>132.65</v>
      </c>
      <c r="G2772">
        <v>98239.87</v>
      </c>
      <c r="H2772" s="14">
        <v>43768.833333333336</v>
      </c>
    </row>
    <row r="2773" spans="1:8" x14ac:dyDescent="0.25">
      <c r="A2773">
        <v>56</v>
      </c>
      <c r="B2773" t="s">
        <v>183</v>
      </c>
      <c r="C2773">
        <v>2</v>
      </c>
      <c r="D2773">
        <v>0</v>
      </c>
      <c r="E2773">
        <v>0</v>
      </c>
      <c r="F2773">
        <v>110.01</v>
      </c>
      <c r="G2773">
        <v>88008.639999999999</v>
      </c>
      <c r="H2773" s="14">
        <v>43768.833333333336</v>
      </c>
    </row>
    <row r="2774" spans="1:8" x14ac:dyDescent="0.25">
      <c r="A2774">
        <v>56</v>
      </c>
      <c r="B2774" t="s">
        <v>183</v>
      </c>
      <c r="C2774">
        <v>3</v>
      </c>
      <c r="D2774">
        <v>0</v>
      </c>
      <c r="E2774">
        <v>0</v>
      </c>
      <c r="F2774">
        <v>131.49</v>
      </c>
      <c r="G2774">
        <v>97962.93</v>
      </c>
      <c r="H2774" s="14">
        <v>43768.833333333336</v>
      </c>
    </row>
    <row r="2775" spans="1:8" x14ac:dyDescent="0.25">
      <c r="A2775">
        <v>56</v>
      </c>
      <c r="B2775" t="s">
        <v>183</v>
      </c>
      <c r="C2775">
        <v>4</v>
      </c>
      <c r="D2775">
        <v>0</v>
      </c>
      <c r="E2775">
        <v>0</v>
      </c>
      <c r="F2775">
        <v>132.53</v>
      </c>
      <c r="G2775">
        <v>89526.12</v>
      </c>
      <c r="H2775" s="14">
        <v>43768.833333333336</v>
      </c>
    </row>
    <row r="2776" spans="1:8" x14ac:dyDescent="0.25">
      <c r="A2776">
        <v>56</v>
      </c>
      <c r="B2776" t="s">
        <v>183</v>
      </c>
      <c r="C2776">
        <v>5</v>
      </c>
      <c r="D2776">
        <v>0</v>
      </c>
      <c r="E2776">
        <v>0</v>
      </c>
      <c r="F2776">
        <v>130.94999999999999</v>
      </c>
      <c r="G2776">
        <v>22990.79</v>
      </c>
      <c r="H2776" s="14">
        <v>43768.833333333336</v>
      </c>
    </row>
    <row r="2777" spans="1:8" x14ac:dyDescent="0.25">
      <c r="A2777">
        <v>56</v>
      </c>
      <c r="B2777" t="s">
        <v>183</v>
      </c>
      <c r="C2777">
        <v>6</v>
      </c>
      <c r="D2777">
        <v>0</v>
      </c>
      <c r="E2777">
        <v>0</v>
      </c>
      <c r="F2777">
        <v>83.92</v>
      </c>
      <c r="G2777">
        <v>20675.669999999998</v>
      </c>
      <c r="H2777" s="14">
        <v>43768.833333333336</v>
      </c>
    </row>
    <row r="2778" spans="1:8" x14ac:dyDescent="0.25">
      <c r="A2778">
        <v>56</v>
      </c>
      <c r="B2778" t="s">
        <v>183</v>
      </c>
      <c r="C2778">
        <v>7</v>
      </c>
      <c r="D2778">
        <v>0</v>
      </c>
      <c r="E2778">
        <v>0</v>
      </c>
      <c r="F2778">
        <v>74.64</v>
      </c>
      <c r="G2778">
        <v>87237.07</v>
      </c>
      <c r="H2778" s="14">
        <v>43768.833333333336</v>
      </c>
    </row>
    <row r="2779" spans="1:8" x14ac:dyDescent="0.25">
      <c r="A2779">
        <v>56</v>
      </c>
      <c r="B2779" t="s">
        <v>183</v>
      </c>
      <c r="C2779">
        <v>8</v>
      </c>
      <c r="D2779">
        <v>0</v>
      </c>
      <c r="E2779">
        <v>0</v>
      </c>
      <c r="F2779">
        <v>74.16</v>
      </c>
      <c r="G2779">
        <v>88726.55</v>
      </c>
      <c r="H2779" s="14">
        <v>43768.833333333336</v>
      </c>
    </row>
    <row r="2780" spans="1:8" x14ac:dyDescent="0.25">
      <c r="A2780">
        <v>56</v>
      </c>
      <c r="B2780" t="s">
        <v>183</v>
      </c>
      <c r="C2780">
        <v>9</v>
      </c>
      <c r="D2780">
        <v>0</v>
      </c>
      <c r="E2780">
        <v>0</v>
      </c>
      <c r="F2780">
        <v>76.819999999999993</v>
      </c>
      <c r="G2780">
        <v>15188.67</v>
      </c>
      <c r="H2780" s="14">
        <v>43768.833333333336</v>
      </c>
    </row>
    <row r="2781" spans="1:8" x14ac:dyDescent="0.25">
      <c r="A2781">
        <v>56</v>
      </c>
      <c r="B2781" t="s">
        <v>183</v>
      </c>
      <c r="C2781">
        <v>10</v>
      </c>
      <c r="D2781">
        <v>0</v>
      </c>
      <c r="E2781">
        <v>0</v>
      </c>
      <c r="F2781">
        <v>112.31</v>
      </c>
      <c r="G2781">
        <v>93823.13</v>
      </c>
      <c r="H2781" s="14">
        <v>43768.833333333336</v>
      </c>
    </row>
    <row r="2782" spans="1:8" x14ac:dyDescent="0.25">
      <c r="A2782">
        <v>56</v>
      </c>
      <c r="B2782" t="s">
        <v>183</v>
      </c>
      <c r="C2782">
        <v>11</v>
      </c>
      <c r="D2782">
        <v>0</v>
      </c>
      <c r="E2782">
        <v>0</v>
      </c>
      <c r="F2782">
        <v>112.26</v>
      </c>
      <c r="G2782">
        <v>91506.94</v>
      </c>
      <c r="H2782" s="14">
        <v>43768.833333333336</v>
      </c>
    </row>
    <row r="2783" spans="1:8" x14ac:dyDescent="0.25">
      <c r="A2783">
        <v>56</v>
      </c>
      <c r="B2783" t="s">
        <v>183</v>
      </c>
      <c r="C2783">
        <v>12</v>
      </c>
      <c r="D2783">
        <v>0</v>
      </c>
      <c r="E2783">
        <v>0</v>
      </c>
      <c r="F2783">
        <v>112.91</v>
      </c>
      <c r="G2783">
        <v>94305.919999999998</v>
      </c>
      <c r="H2783" s="14">
        <v>43768.833333333336</v>
      </c>
    </row>
    <row r="2784" spans="1:8" x14ac:dyDescent="0.25">
      <c r="A2784">
        <v>56</v>
      </c>
      <c r="B2784" t="s">
        <v>183</v>
      </c>
      <c r="C2784">
        <v>13</v>
      </c>
      <c r="D2784">
        <v>0</v>
      </c>
      <c r="E2784">
        <v>0</v>
      </c>
      <c r="F2784">
        <v>112.26</v>
      </c>
      <c r="G2784">
        <v>94060.79</v>
      </c>
      <c r="H2784" s="14">
        <v>43768.833333333336</v>
      </c>
    </row>
    <row r="2785" spans="1:8" x14ac:dyDescent="0.25">
      <c r="A2785">
        <v>56</v>
      </c>
      <c r="B2785" t="s">
        <v>183</v>
      </c>
      <c r="C2785">
        <v>14</v>
      </c>
      <c r="D2785">
        <v>0</v>
      </c>
      <c r="E2785">
        <v>0</v>
      </c>
      <c r="F2785">
        <v>113.81</v>
      </c>
      <c r="G2785">
        <v>94905.43</v>
      </c>
      <c r="H2785" s="14">
        <v>43768.833333333336</v>
      </c>
    </row>
    <row r="2786" spans="1:8" x14ac:dyDescent="0.25">
      <c r="A2786">
        <v>56</v>
      </c>
      <c r="B2786" t="s">
        <v>183</v>
      </c>
      <c r="C2786">
        <v>15</v>
      </c>
      <c r="D2786">
        <v>0</v>
      </c>
      <c r="E2786">
        <v>0</v>
      </c>
      <c r="F2786">
        <v>67.069999999999993</v>
      </c>
      <c r="G2786">
        <v>60154.1</v>
      </c>
      <c r="H2786" s="14">
        <v>43768.833333333336</v>
      </c>
    </row>
    <row r="2787" spans="1:8" x14ac:dyDescent="0.25">
      <c r="A2787">
        <v>57</v>
      </c>
      <c r="B2787" t="s">
        <v>184</v>
      </c>
      <c r="C2787">
        <v>1</v>
      </c>
      <c r="D2787">
        <v>0</v>
      </c>
      <c r="E2787">
        <v>0</v>
      </c>
      <c r="F2787">
        <v>131.26</v>
      </c>
      <c r="G2787">
        <v>98221.89</v>
      </c>
      <c r="H2787" s="14">
        <v>43768.833333333336</v>
      </c>
    </row>
    <row r="2788" spans="1:8" x14ac:dyDescent="0.25">
      <c r="A2788">
        <v>57</v>
      </c>
      <c r="B2788" t="s">
        <v>184</v>
      </c>
      <c r="C2788">
        <v>2</v>
      </c>
      <c r="D2788">
        <v>0</v>
      </c>
      <c r="E2788">
        <v>0</v>
      </c>
      <c r="F2788">
        <v>131.16</v>
      </c>
      <c r="G2788">
        <v>98124.22</v>
      </c>
      <c r="H2788" s="14">
        <v>43768.833333333336</v>
      </c>
    </row>
    <row r="2789" spans="1:8" x14ac:dyDescent="0.25">
      <c r="A2789">
        <v>57</v>
      </c>
      <c r="B2789" t="s">
        <v>184</v>
      </c>
      <c r="C2789">
        <v>3</v>
      </c>
      <c r="D2789">
        <v>0</v>
      </c>
      <c r="E2789">
        <v>0</v>
      </c>
      <c r="F2789">
        <v>130.86000000000001</v>
      </c>
      <c r="G2789">
        <v>97450.3</v>
      </c>
      <c r="H2789" s="14">
        <v>43768.833333333336</v>
      </c>
    </row>
    <row r="2790" spans="1:8" x14ac:dyDescent="0.25">
      <c r="A2790">
        <v>57</v>
      </c>
      <c r="B2790" t="s">
        <v>184</v>
      </c>
      <c r="C2790">
        <v>4</v>
      </c>
      <c r="D2790">
        <v>0</v>
      </c>
      <c r="E2790">
        <v>0</v>
      </c>
      <c r="F2790">
        <v>130.87</v>
      </c>
      <c r="G2790">
        <v>98504.58</v>
      </c>
      <c r="H2790" s="14">
        <v>43768.833333333336</v>
      </c>
    </row>
    <row r="2791" spans="1:8" x14ac:dyDescent="0.25">
      <c r="A2791">
        <v>57</v>
      </c>
      <c r="B2791" t="s">
        <v>184</v>
      </c>
      <c r="C2791">
        <v>5</v>
      </c>
      <c r="D2791">
        <v>0</v>
      </c>
      <c r="E2791">
        <v>0</v>
      </c>
      <c r="F2791">
        <v>131.36000000000001</v>
      </c>
      <c r="G2791">
        <v>98896.12</v>
      </c>
      <c r="H2791" s="14">
        <v>43768.833333333336</v>
      </c>
    </row>
    <row r="2792" spans="1:8" x14ac:dyDescent="0.25">
      <c r="A2792">
        <v>57</v>
      </c>
      <c r="B2792" t="s">
        <v>184</v>
      </c>
      <c r="C2792">
        <v>6</v>
      </c>
      <c r="D2792">
        <v>0</v>
      </c>
      <c r="E2792">
        <v>0</v>
      </c>
      <c r="F2792">
        <v>130.72</v>
      </c>
      <c r="G2792">
        <v>96393.4</v>
      </c>
      <c r="H2792" s="14">
        <v>43768.833333333336</v>
      </c>
    </row>
    <row r="2793" spans="1:8" x14ac:dyDescent="0.25">
      <c r="A2793">
        <v>57</v>
      </c>
      <c r="B2793" t="s">
        <v>184</v>
      </c>
      <c r="C2793">
        <v>7</v>
      </c>
      <c r="D2793">
        <v>0</v>
      </c>
      <c r="E2793">
        <v>0</v>
      </c>
      <c r="F2793">
        <v>130.82</v>
      </c>
      <c r="G2793">
        <v>77467.320000000007</v>
      </c>
      <c r="H2793" s="14">
        <v>43768.833333333336</v>
      </c>
    </row>
    <row r="2794" spans="1:8" x14ac:dyDescent="0.25">
      <c r="A2794">
        <v>57</v>
      </c>
      <c r="B2794" t="s">
        <v>184</v>
      </c>
      <c r="C2794">
        <v>8</v>
      </c>
      <c r="D2794">
        <v>0</v>
      </c>
      <c r="E2794">
        <v>0</v>
      </c>
      <c r="F2794">
        <v>118.73</v>
      </c>
      <c r="G2794">
        <v>54446.21</v>
      </c>
      <c r="H2794" s="14">
        <v>43768.833333333336</v>
      </c>
    </row>
    <row r="2795" spans="1:8" x14ac:dyDescent="0.25">
      <c r="A2795">
        <v>57</v>
      </c>
      <c r="B2795" t="s">
        <v>184</v>
      </c>
      <c r="C2795">
        <v>9</v>
      </c>
      <c r="D2795">
        <v>0</v>
      </c>
      <c r="E2795">
        <v>0</v>
      </c>
      <c r="F2795">
        <v>112.03</v>
      </c>
      <c r="G2795">
        <v>93612.27</v>
      </c>
      <c r="H2795" s="14">
        <v>43768.833333333336</v>
      </c>
    </row>
    <row r="2796" spans="1:8" x14ac:dyDescent="0.25">
      <c r="A2796">
        <v>57</v>
      </c>
      <c r="B2796" t="s">
        <v>184</v>
      </c>
      <c r="C2796">
        <v>10</v>
      </c>
      <c r="D2796">
        <v>0</v>
      </c>
      <c r="E2796">
        <v>0</v>
      </c>
      <c r="F2796">
        <v>114.03</v>
      </c>
      <c r="G2796">
        <v>94296.3</v>
      </c>
      <c r="H2796" s="14">
        <v>43768.833333333336</v>
      </c>
    </row>
    <row r="2797" spans="1:8" x14ac:dyDescent="0.25">
      <c r="A2797">
        <v>57</v>
      </c>
      <c r="B2797" t="s">
        <v>184</v>
      </c>
      <c r="C2797">
        <v>11</v>
      </c>
      <c r="D2797">
        <v>0</v>
      </c>
      <c r="E2797">
        <v>0</v>
      </c>
      <c r="F2797">
        <v>113.52</v>
      </c>
      <c r="G2797">
        <v>93818.76</v>
      </c>
      <c r="H2797" s="14">
        <v>43768.833333333336</v>
      </c>
    </row>
    <row r="2798" spans="1:8" x14ac:dyDescent="0.25">
      <c r="A2798">
        <v>57</v>
      </c>
      <c r="B2798" t="s">
        <v>184</v>
      </c>
      <c r="C2798">
        <v>12</v>
      </c>
      <c r="D2798">
        <v>0</v>
      </c>
      <c r="E2798">
        <v>0</v>
      </c>
      <c r="F2798">
        <v>112.6</v>
      </c>
      <c r="G2798">
        <v>74461.72</v>
      </c>
      <c r="H2798" s="14">
        <v>43768.833333333336</v>
      </c>
    </row>
    <row r="2799" spans="1:8" x14ac:dyDescent="0.25">
      <c r="A2799">
        <v>57</v>
      </c>
      <c r="B2799" t="s">
        <v>184</v>
      </c>
      <c r="C2799">
        <v>13</v>
      </c>
      <c r="D2799">
        <v>0</v>
      </c>
      <c r="E2799">
        <v>0</v>
      </c>
      <c r="F2799">
        <v>112.87</v>
      </c>
      <c r="G2799">
        <v>92934.99</v>
      </c>
      <c r="H2799" s="14">
        <v>43768.833333333336</v>
      </c>
    </row>
    <row r="2800" spans="1:8" x14ac:dyDescent="0.25">
      <c r="A2800">
        <v>57</v>
      </c>
      <c r="B2800" t="s">
        <v>184</v>
      </c>
      <c r="C2800">
        <v>14</v>
      </c>
      <c r="D2800">
        <v>0</v>
      </c>
      <c r="E2800">
        <v>0</v>
      </c>
      <c r="F2800">
        <v>73.099999999999994</v>
      </c>
      <c r="G2800">
        <v>60940.47</v>
      </c>
      <c r="H2800" s="14">
        <v>43768.833333333336</v>
      </c>
    </row>
    <row r="2801" spans="1:8" x14ac:dyDescent="0.25">
      <c r="A2801">
        <v>57</v>
      </c>
      <c r="B2801" t="s">
        <v>184</v>
      </c>
      <c r="C2801">
        <v>15</v>
      </c>
      <c r="D2801">
        <v>0</v>
      </c>
      <c r="E2801">
        <v>0</v>
      </c>
      <c r="F2801">
        <v>72.37</v>
      </c>
      <c r="G2801">
        <v>59652.46</v>
      </c>
      <c r="H2801" s="14">
        <v>43768.833333333336</v>
      </c>
    </row>
    <row r="2802" spans="1:8" x14ac:dyDescent="0.25">
      <c r="A2802">
        <v>58</v>
      </c>
      <c r="B2802" t="s">
        <v>185</v>
      </c>
      <c r="C2802">
        <v>1</v>
      </c>
      <c r="D2802">
        <v>0</v>
      </c>
      <c r="E2802">
        <v>0</v>
      </c>
      <c r="F2802">
        <v>131.6</v>
      </c>
      <c r="G2802">
        <v>98145.95</v>
      </c>
      <c r="H2802" s="14">
        <v>43768.833333333336</v>
      </c>
    </row>
    <row r="2803" spans="1:8" x14ac:dyDescent="0.25">
      <c r="A2803">
        <v>58</v>
      </c>
      <c r="B2803" t="s">
        <v>185</v>
      </c>
      <c r="C2803">
        <v>2</v>
      </c>
      <c r="D2803">
        <v>0</v>
      </c>
      <c r="E2803">
        <v>0</v>
      </c>
      <c r="F2803">
        <v>132.16999999999999</v>
      </c>
      <c r="G2803">
        <v>98834.18</v>
      </c>
      <c r="H2803" s="14">
        <v>43768.833333333336</v>
      </c>
    </row>
    <row r="2804" spans="1:8" x14ac:dyDescent="0.25">
      <c r="A2804">
        <v>58</v>
      </c>
      <c r="B2804" t="s">
        <v>185</v>
      </c>
      <c r="C2804">
        <v>3</v>
      </c>
      <c r="D2804">
        <v>0</v>
      </c>
      <c r="E2804">
        <v>0</v>
      </c>
      <c r="F2804">
        <v>85.89</v>
      </c>
      <c r="G2804">
        <v>63567.64</v>
      </c>
      <c r="H2804" s="14">
        <v>43768.833333333336</v>
      </c>
    </row>
    <row r="2805" spans="1:8" x14ac:dyDescent="0.25">
      <c r="A2805">
        <v>59</v>
      </c>
      <c r="B2805" t="s">
        <v>186</v>
      </c>
      <c r="C2805">
        <v>1</v>
      </c>
      <c r="D2805">
        <v>0</v>
      </c>
      <c r="E2805">
        <v>0</v>
      </c>
      <c r="F2805">
        <v>94.3</v>
      </c>
      <c r="G2805">
        <v>89885.6</v>
      </c>
      <c r="H2805" s="14">
        <v>43768.833333333336</v>
      </c>
    </row>
    <row r="2806" spans="1:8" x14ac:dyDescent="0.25">
      <c r="A2806">
        <v>59</v>
      </c>
      <c r="B2806" t="s">
        <v>186</v>
      </c>
      <c r="C2806">
        <v>2</v>
      </c>
      <c r="D2806">
        <v>0</v>
      </c>
      <c r="E2806">
        <v>0</v>
      </c>
      <c r="F2806">
        <v>91.75</v>
      </c>
      <c r="G2806">
        <v>88120.34</v>
      </c>
      <c r="H2806" s="14">
        <v>43768.833333333336</v>
      </c>
    </row>
    <row r="2807" spans="1:8" x14ac:dyDescent="0.25">
      <c r="A2807">
        <v>59</v>
      </c>
      <c r="B2807" t="s">
        <v>186</v>
      </c>
      <c r="C2807">
        <v>3</v>
      </c>
      <c r="D2807">
        <v>0</v>
      </c>
      <c r="E2807">
        <v>0</v>
      </c>
      <c r="F2807">
        <v>82.16</v>
      </c>
      <c r="G2807">
        <v>81410.23</v>
      </c>
      <c r="H2807" s="14">
        <v>43768.833333333336</v>
      </c>
    </row>
    <row r="2808" spans="1:8" x14ac:dyDescent="0.25">
      <c r="A2808">
        <v>59</v>
      </c>
      <c r="B2808" t="s">
        <v>186</v>
      </c>
      <c r="C2808">
        <v>4</v>
      </c>
      <c r="D2808">
        <v>0</v>
      </c>
      <c r="E2808">
        <v>0</v>
      </c>
      <c r="F2808">
        <v>110.41</v>
      </c>
      <c r="G2808">
        <v>97974.45</v>
      </c>
      <c r="H2808" s="14">
        <v>43768.833333333336</v>
      </c>
    </row>
    <row r="2809" spans="1:8" x14ac:dyDescent="0.25">
      <c r="A2809">
        <v>59</v>
      </c>
      <c r="B2809" t="s">
        <v>186</v>
      </c>
      <c r="C2809">
        <v>5</v>
      </c>
      <c r="D2809">
        <v>0</v>
      </c>
      <c r="E2809">
        <v>0</v>
      </c>
      <c r="F2809">
        <v>108.93</v>
      </c>
      <c r="G2809">
        <v>96500.41</v>
      </c>
      <c r="H2809" s="14">
        <v>43768.833333333336</v>
      </c>
    </row>
    <row r="2810" spans="1:8" x14ac:dyDescent="0.25">
      <c r="A2810">
        <v>59</v>
      </c>
      <c r="B2810" t="s">
        <v>186</v>
      </c>
      <c r="C2810">
        <v>6</v>
      </c>
      <c r="D2810">
        <v>0</v>
      </c>
      <c r="E2810">
        <v>0</v>
      </c>
      <c r="F2810">
        <v>110.37</v>
      </c>
      <c r="G2810">
        <v>98489.94</v>
      </c>
      <c r="H2810" s="14">
        <v>43768.833333333336</v>
      </c>
    </row>
    <row r="2811" spans="1:8" x14ac:dyDescent="0.25">
      <c r="A2811">
        <v>59</v>
      </c>
      <c r="B2811" t="s">
        <v>186</v>
      </c>
      <c r="C2811">
        <v>7</v>
      </c>
      <c r="D2811">
        <v>0</v>
      </c>
      <c r="E2811">
        <v>0</v>
      </c>
      <c r="F2811">
        <v>128.56</v>
      </c>
      <c r="G2811">
        <v>103767.4</v>
      </c>
      <c r="H2811" s="14">
        <v>43768.833333333336</v>
      </c>
    </row>
    <row r="2812" spans="1:8" x14ac:dyDescent="0.25">
      <c r="A2812">
        <v>59</v>
      </c>
      <c r="B2812" t="s">
        <v>186</v>
      </c>
      <c r="C2812">
        <v>8</v>
      </c>
      <c r="D2812">
        <v>0</v>
      </c>
      <c r="E2812">
        <v>0</v>
      </c>
      <c r="F2812">
        <v>74.47</v>
      </c>
      <c r="G2812">
        <v>60602.79</v>
      </c>
      <c r="H2812" s="14">
        <v>43768.833333333336</v>
      </c>
    </row>
    <row r="2813" spans="1:8" x14ac:dyDescent="0.25">
      <c r="A2813">
        <v>60</v>
      </c>
      <c r="B2813" t="s">
        <v>187</v>
      </c>
      <c r="C2813">
        <v>1</v>
      </c>
      <c r="D2813">
        <v>0</v>
      </c>
      <c r="E2813">
        <v>0</v>
      </c>
      <c r="F2813">
        <v>87.13</v>
      </c>
      <c r="G2813">
        <v>81625.37</v>
      </c>
      <c r="H2813" s="14">
        <v>43768.833333333336</v>
      </c>
    </row>
    <row r="2814" spans="1:8" x14ac:dyDescent="0.25">
      <c r="A2814">
        <v>60</v>
      </c>
      <c r="B2814" t="s">
        <v>187</v>
      </c>
      <c r="C2814">
        <v>2</v>
      </c>
      <c r="D2814">
        <v>0</v>
      </c>
      <c r="E2814">
        <v>0</v>
      </c>
      <c r="F2814">
        <v>89.61</v>
      </c>
      <c r="G2814">
        <v>82809.22</v>
      </c>
      <c r="H2814" s="14">
        <v>43768.833333333336</v>
      </c>
    </row>
    <row r="2815" spans="1:8" x14ac:dyDescent="0.25">
      <c r="A2815">
        <v>60</v>
      </c>
      <c r="B2815" t="s">
        <v>187</v>
      </c>
      <c r="C2815">
        <v>3</v>
      </c>
      <c r="D2815">
        <v>0</v>
      </c>
      <c r="E2815">
        <v>0</v>
      </c>
      <c r="F2815">
        <v>129.72</v>
      </c>
      <c r="G2815">
        <v>97485.27</v>
      </c>
      <c r="H2815" s="14">
        <v>43768.833333333336</v>
      </c>
    </row>
    <row r="2816" spans="1:8" x14ac:dyDescent="0.25">
      <c r="A2816">
        <v>60</v>
      </c>
      <c r="B2816" t="s">
        <v>187</v>
      </c>
      <c r="C2816">
        <v>4</v>
      </c>
      <c r="D2816">
        <v>0</v>
      </c>
      <c r="E2816">
        <v>0</v>
      </c>
      <c r="F2816">
        <v>61.14</v>
      </c>
      <c r="G2816">
        <v>45759.839999999997</v>
      </c>
      <c r="H2816" s="14">
        <v>43768.833333333336</v>
      </c>
    </row>
    <row r="2817" spans="1:8" x14ac:dyDescent="0.25">
      <c r="A2817">
        <v>60</v>
      </c>
      <c r="B2817" t="s">
        <v>187</v>
      </c>
      <c r="C2817">
        <v>5</v>
      </c>
      <c r="D2817">
        <v>0</v>
      </c>
      <c r="E2817">
        <v>0</v>
      </c>
      <c r="F2817">
        <v>53.99</v>
      </c>
      <c r="G2817">
        <v>42033.98</v>
      </c>
      <c r="H2817" s="14">
        <v>43768.833333333336</v>
      </c>
    </row>
    <row r="2818" spans="1:8" x14ac:dyDescent="0.25">
      <c r="A2818">
        <v>61</v>
      </c>
      <c r="B2818" t="s">
        <v>189</v>
      </c>
      <c r="C2818">
        <v>1</v>
      </c>
      <c r="D2818">
        <v>0</v>
      </c>
      <c r="E2818">
        <v>0</v>
      </c>
      <c r="F2818">
        <v>99.66</v>
      </c>
      <c r="G2818">
        <v>82669.759999999995</v>
      </c>
      <c r="H2818" s="14">
        <v>43768.833333333336</v>
      </c>
    </row>
    <row r="2819" spans="1:8" x14ac:dyDescent="0.25">
      <c r="A2819">
        <v>61</v>
      </c>
      <c r="B2819" t="s">
        <v>189</v>
      </c>
      <c r="C2819">
        <v>2</v>
      </c>
      <c r="D2819">
        <v>0</v>
      </c>
      <c r="E2819">
        <v>0</v>
      </c>
      <c r="F2819">
        <v>86.99</v>
      </c>
      <c r="G2819">
        <v>49120.02</v>
      </c>
      <c r="H2819" s="14">
        <v>43768.833333333336</v>
      </c>
    </row>
    <row r="2820" spans="1:8" x14ac:dyDescent="0.25">
      <c r="A2820">
        <v>61</v>
      </c>
      <c r="B2820" t="s">
        <v>189</v>
      </c>
      <c r="C2820">
        <v>3</v>
      </c>
      <c r="D2820">
        <v>0</v>
      </c>
      <c r="E2820">
        <v>0</v>
      </c>
      <c r="F2820">
        <v>97.08</v>
      </c>
      <c r="G2820">
        <v>77944.100000000006</v>
      </c>
      <c r="H2820" s="14">
        <v>43768.833333333336</v>
      </c>
    </row>
    <row r="2821" spans="1:8" x14ac:dyDescent="0.25">
      <c r="A2821">
        <v>61</v>
      </c>
      <c r="B2821" t="s">
        <v>189</v>
      </c>
      <c r="C2821">
        <v>4</v>
      </c>
      <c r="D2821">
        <v>0</v>
      </c>
      <c r="E2821">
        <v>0</v>
      </c>
      <c r="F2821">
        <v>80.319999999999993</v>
      </c>
      <c r="G2821">
        <v>77442.38</v>
      </c>
      <c r="H2821" s="14">
        <v>43768.833333333336</v>
      </c>
    </row>
    <row r="2822" spans="1:8" x14ac:dyDescent="0.25">
      <c r="A2822">
        <v>61</v>
      </c>
      <c r="B2822" t="s">
        <v>189</v>
      </c>
      <c r="C2822">
        <v>5</v>
      </c>
      <c r="D2822">
        <v>0</v>
      </c>
      <c r="E2822">
        <v>0</v>
      </c>
      <c r="F2822">
        <v>97.26</v>
      </c>
      <c r="G2822">
        <v>81593.09</v>
      </c>
      <c r="H2822" s="14">
        <v>43768.833333333336</v>
      </c>
    </row>
    <row r="2823" spans="1:8" x14ac:dyDescent="0.25">
      <c r="A2823">
        <v>61</v>
      </c>
      <c r="B2823" t="s">
        <v>189</v>
      </c>
      <c r="C2823">
        <v>6</v>
      </c>
      <c r="D2823">
        <v>0</v>
      </c>
      <c r="E2823">
        <v>0</v>
      </c>
      <c r="F2823">
        <v>100.34</v>
      </c>
      <c r="G2823">
        <v>87109.48</v>
      </c>
      <c r="H2823" s="14">
        <v>43768.833333333336</v>
      </c>
    </row>
    <row r="2824" spans="1:8" x14ac:dyDescent="0.25">
      <c r="A2824">
        <v>61</v>
      </c>
      <c r="B2824" t="s">
        <v>189</v>
      </c>
      <c r="C2824">
        <v>7</v>
      </c>
      <c r="D2824">
        <v>0</v>
      </c>
      <c r="E2824">
        <v>0</v>
      </c>
      <c r="F2824">
        <v>101.51</v>
      </c>
      <c r="G2824">
        <v>80409.95</v>
      </c>
      <c r="H2824" s="14">
        <v>43768.833333333336</v>
      </c>
    </row>
    <row r="2825" spans="1:8" x14ac:dyDescent="0.25">
      <c r="A2825">
        <v>61</v>
      </c>
      <c r="B2825" t="s">
        <v>189</v>
      </c>
      <c r="C2825">
        <v>8</v>
      </c>
      <c r="D2825">
        <v>0</v>
      </c>
      <c r="E2825">
        <v>0</v>
      </c>
      <c r="F2825">
        <v>52.14</v>
      </c>
      <c r="G2825">
        <v>45233.87</v>
      </c>
      <c r="H2825" s="14">
        <v>43768.833333333336</v>
      </c>
    </row>
    <row r="2826" spans="1:8" x14ac:dyDescent="0.25">
      <c r="A2826">
        <v>62</v>
      </c>
      <c r="B2826" t="s">
        <v>190</v>
      </c>
      <c r="C2826">
        <v>1</v>
      </c>
      <c r="D2826">
        <v>0</v>
      </c>
      <c r="E2826">
        <v>0</v>
      </c>
      <c r="F2826">
        <v>105.61</v>
      </c>
      <c r="G2826">
        <v>94099.3</v>
      </c>
      <c r="H2826" s="14">
        <v>43768.833333333336</v>
      </c>
    </row>
    <row r="2827" spans="1:8" x14ac:dyDescent="0.25">
      <c r="A2827">
        <v>62</v>
      </c>
      <c r="B2827" t="s">
        <v>190</v>
      </c>
      <c r="C2827">
        <v>2</v>
      </c>
      <c r="D2827">
        <v>0</v>
      </c>
      <c r="E2827">
        <v>0</v>
      </c>
      <c r="F2827">
        <v>139.51</v>
      </c>
      <c r="G2827">
        <v>102608.63</v>
      </c>
      <c r="H2827" s="14">
        <v>43768.833333333336</v>
      </c>
    </row>
    <row r="2828" spans="1:8" x14ac:dyDescent="0.25">
      <c r="A2828">
        <v>62</v>
      </c>
      <c r="B2828" t="s">
        <v>190</v>
      </c>
      <c r="C2828">
        <v>3</v>
      </c>
      <c r="D2828">
        <v>0</v>
      </c>
      <c r="E2828">
        <v>0</v>
      </c>
      <c r="F2828">
        <v>103.25</v>
      </c>
      <c r="G2828">
        <v>92844.53</v>
      </c>
      <c r="H2828" s="14">
        <v>43768.833333333336</v>
      </c>
    </row>
    <row r="2829" spans="1:8" x14ac:dyDescent="0.25">
      <c r="A2829">
        <v>62</v>
      </c>
      <c r="B2829" t="s">
        <v>190</v>
      </c>
      <c r="C2829">
        <v>4</v>
      </c>
      <c r="D2829">
        <v>0</v>
      </c>
      <c r="E2829">
        <v>0</v>
      </c>
      <c r="F2829">
        <v>140.30000000000001</v>
      </c>
      <c r="G2829">
        <v>101936.99</v>
      </c>
      <c r="H2829" s="14">
        <v>43768.833333333336</v>
      </c>
    </row>
    <row r="2830" spans="1:8" x14ac:dyDescent="0.25">
      <c r="A2830">
        <v>62</v>
      </c>
      <c r="B2830" t="s">
        <v>190</v>
      </c>
      <c r="C2830">
        <v>5</v>
      </c>
      <c r="D2830">
        <v>0</v>
      </c>
      <c r="E2830">
        <v>0</v>
      </c>
      <c r="F2830">
        <v>90.25</v>
      </c>
      <c r="G2830">
        <v>10680.35</v>
      </c>
      <c r="H2830" s="14">
        <v>43768.833333333336</v>
      </c>
    </row>
    <row r="2831" spans="1:8" x14ac:dyDescent="0.25">
      <c r="A2831">
        <v>62</v>
      </c>
      <c r="B2831" t="s">
        <v>190</v>
      </c>
      <c r="C2831">
        <v>6</v>
      </c>
      <c r="D2831">
        <v>0</v>
      </c>
      <c r="E2831">
        <v>0</v>
      </c>
      <c r="F2831">
        <v>140.19999999999999</v>
      </c>
      <c r="G2831">
        <v>102275.97</v>
      </c>
      <c r="H2831" s="14">
        <v>43768.833333333336</v>
      </c>
    </row>
    <row r="2832" spans="1:8" x14ac:dyDescent="0.25">
      <c r="A2832">
        <v>62</v>
      </c>
      <c r="B2832" t="s">
        <v>190</v>
      </c>
      <c r="C2832">
        <v>7</v>
      </c>
      <c r="D2832">
        <v>0</v>
      </c>
      <c r="E2832">
        <v>0</v>
      </c>
      <c r="F2832">
        <v>122.56</v>
      </c>
      <c r="G2832">
        <v>97961.57</v>
      </c>
      <c r="H2832" s="14">
        <v>43768.833333333336</v>
      </c>
    </row>
    <row r="2833" spans="1:8" x14ac:dyDescent="0.25">
      <c r="A2833">
        <v>62</v>
      </c>
      <c r="B2833" t="s">
        <v>190</v>
      </c>
      <c r="C2833">
        <v>8</v>
      </c>
      <c r="D2833">
        <v>0</v>
      </c>
      <c r="E2833">
        <v>0</v>
      </c>
      <c r="F2833">
        <v>77.17</v>
      </c>
      <c r="G2833">
        <v>62665.15</v>
      </c>
      <c r="H2833" s="14">
        <v>43768.833333333336</v>
      </c>
    </row>
    <row r="2834" spans="1:8" x14ac:dyDescent="0.25">
      <c r="A2834">
        <v>62</v>
      </c>
      <c r="B2834" t="s">
        <v>190</v>
      </c>
      <c r="C2834">
        <v>9</v>
      </c>
      <c r="D2834">
        <v>0</v>
      </c>
      <c r="E2834">
        <v>0</v>
      </c>
      <c r="F2834">
        <v>80.28</v>
      </c>
      <c r="G2834">
        <v>63912.33</v>
      </c>
      <c r="H2834" s="14">
        <v>43768.833333333336</v>
      </c>
    </row>
    <row r="2835" spans="1:8" x14ac:dyDescent="0.25">
      <c r="A2835">
        <v>63</v>
      </c>
      <c r="B2835" t="s">
        <v>191</v>
      </c>
      <c r="C2835">
        <v>1</v>
      </c>
      <c r="D2835">
        <v>0</v>
      </c>
      <c r="E2835">
        <v>0</v>
      </c>
      <c r="F2835">
        <v>104.19</v>
      </c>
      <c r="G2835">
        <v>91905.41</v>
      </c>
      <c r="H2835" s="14">
        <v>43768.833333333336</v>
      </c>
    </row>
    <row r="2836" spans="1:8" x14ac:dyDescent="0.25">
      <c r="A2836">
        <v>63</v>
      </c>
      <c r="B2836" t="s">
        <v>191</v>
      </c>
      <c r="C2836">
        <v>2</v>
      </c>
      <c r="D2836">
        <v>0</v>
      </c>
      <c r="E2836">
        <v>0</v>
      </c>
      <c r="F2836">
        <v>93.81</v>
      </c>
      <c r="G2836">
        <v>82349.52</v>
      </c>
      <c r="H2836" s="14">
        <v>43768.833333333336</v>
      </c>
    </row>
    <row r="2837" spans="1:8" x14ac:dyDescent="0.25">
      <c r="A2837">
        <v>63</v>
      </c>
      <c r="B2837" t="s">
        <v>191</v>
      </c>
      <c r="C2837">
        <v>3</v>
      </c>
      <c r="D2837">
        <v>0</v>
      </c>
      <c r="E2837">
        <v>0</v>
      </c>
      <c r="F2837">
        <v>131.28</v>
      </c>
      <c r="G2837">
        <v>94392.87</v>
      </c>
      <c r="H2837" s="14">
        <v>43768.833333333336</v>
      </c>
    </row>
    <row r="2838" spans="1:8" x14ac:dyDescent="0.25">
      <c r="A2838">
        <v>63</v>
      </c>
      <c r="B2838" t="s">
        <v>191</v>
      </c>
      <c r="C2838">
        <v>4</v>
      </c>
      <c r="D2838">
        <v>0</v>
      </c>
      <c r="E2838">
        <v>0</v>
      </c>
      <c r="F2838">
        <v>99.91</v>
      </c>
      <c r="G2838">
        <v>87266.559999999998</v>
      </c>
      <c r="H2838" s="14">
        <v>43768.833333333336</v>
      </c>
    </row>
    <row r="2839" spans="1:8" x14ac:dyDescent="0.25">
      <c r="A2839">
        <v>63</v>
      </c>
      <c r="B2839" t="s">
        <v>191</v>
      </c>
      <c r="C2839">
        <v>5</v>
      </c>
      <c r="D2839">
        <v>0</v>
      </c>
      <c r="E2839">
        <v>0</v>
      </c>
      <c r="F2839">
        <v>136.72</v>
      </c>
      <c r="G2839">
        <v>98851.81</v>
      </c>
      <c r="H2839" s="14">
        <v>43768.833333333336</v>
      </c>
    </row>
    <row r="2840" spans="1:8" x14ac:dyDescent="0.25">
      <c r="A2840">
        <v>63</v>
      </c>
      <c r="B2840" t="s">
        <v>191</v>
      </c>
      <c r="C2840">
        <v>6</v>
      </c>
      <c r="D2840">
        <v>0</v>
      </c>
      <c r="E2840">
        <v>0</v>
      </c>
      <c r="F2840">
        <v>89.53</v>
      </c>
      <c r="G2840">
        <v>63468.28</v>
      </c>
      <c r="H2840" s="14">
        <v>43768.833333333336</v>
      </c>
    </row>
    <row r="2841" spans="1:8" x14ac:dyDescent="0.25">
      <c r="A2841">
        <v>64</v>
      </c>
      <c r="B2841" t="s">
        <v>192</v>
      </c>
      <c r="C2841">
        <v>1</v>
      </c>
      <c r="D2841">
        <v>0</v>
      </c>
      <c r="E2841">
        <v>0</v>
      </c>
      <c r="F2841">
        <v>108.26</v>
      </c>
      <c r="G2841">
        <v>85240.28</v>
      </c>
      <c r="H2841" s="14">
        <v>43768.833333333336</v>
      </c>
    </row>
    <row r="2842" spans="1:8" x14ac:dyDescent="0.25">
      <c r="A2842">
        <v>64</v>
      </c>
      <c r="B2842" t="s">
        <v>192</v>
      </c>
      <c r="C2842">
        <v>2</v>
      </c>
      <c r="D2842">
        <v>0</v>
      </c>
      <c r="E2842">
        <v>0</v>
      </c>
      <c r="F2842">
        <v>107.97</v>
      </c>
      <c r="G2842">
        <v>85143.8</v>
      </c>
      <c r="H2842" s="14">
        <v>43768.833333333336</v>
      </c>
    </row>
    <row r="2843" spans="1:8" x14ac:dyDescent="0.25">
      <c r="A2843">
        <v>64</v>
      </c>
      <c r="B2843" t="s">
        <v>192</v>
      </c>
      <c r="C2843">
        <v>3</v>
      </c>
      <c r="D2843">
        <v>0</v>
      </c>
      <c r="E2843">
        <v>0</v>
      </c>
      <c r="F2843">
        <v>129.13999999999999</v>
      </c>
      <c r="G2843">
        <v>97675.4</v>
      </c>
      <c r="H2843" s="14">
        <v>43768.833333333336</v>
      </c>
    </row>
    <row r="2844" spans="1:8" x14ac:dyDescent="0.25">
      <c r="A2844">
        <v>64</v>
      </c>
      <c r="B2844" t="s">
        <v>192</v>
      </c>
      <c r="C2844">
        <v>4</v>
      </c>
      <c r="D2844">
        <v>0</v>
      </c>
      <c r="E2844">
        <v>0</v>
      </c>
      <c r="F2844">
        <v>129.49</v>
      </c>
      <c r="G2844">
        <v>98338.9</v>
      </c>
      <c r="H2844" s="14">
        <v>43768.833333333336</v>
      </c>
    </row>
    <row r="2845" spans="1:8" x14ac:dyDescent="0.25">
      <c r="A2845">
        <v>64</v>
      </c>
      <c r="B2845" t="s">
        <v>192</v>
      </c>
      <c r="C2845">
        <v>5</v>
      </c>
      <c r="D2845">
        <v>0</v>
      </c>
      <c r="E2845">
        <v>0</v>
      </c>
      <c r="F2845">
        <v>129.31</v>
      </c>
      <c r="G2845">
        <v>98485.99</v>
      </c>
      <c r="H2845" s="14">
        <v>43768.833333333336</v>
      </c>
    </row>
    <row r="2846" spans="1:8" x14ac:dyDescent="0.25">
      <c r="A2846">
        <v>64</v>
      </c>
      <c r="B2846" t="s">
        <v>192</v>
      </c>
      <c r="C2846">
        <v>6</v>
      </c>
      <c r="D2846">
        <v>0</v>
      </c>
      <c r="E2846">
        <v>0</v>
      </c>
      <c r="F2846">
        <v>109.28</v>
      </c>
      <c r="G2846">
        <v>85895</v>
      </c>
      <c r="H2846" s="14">
        <v>43768.833333333336</v>
      </c>
    </row>
    <row r="2847" spans="1:8" x14ac:dyDescent="0.25">
      <c r="A2847">
        <v>64</v>
      </c>
      <c r="B2847" t="s">
        <v>192</v>
      </c>
      <c r="C2847">
        <v>7</v>
      </c>
      <c r="D2847">
        <v>0</v>
      </c>
      <c r="E2847">
        <v>0</v>
      </c>
      <c r="F2847">
        <v>109.76</v>
      </c>
      <c r="G2847">
        <v>86613.05</v>
      </c>
      <c r="H2847" s="14">
        <v>43768.833333333336</v>
      </c>
    </row>
    <row r="2848" spans="1:8" x14ac:dyDescent="0.25">
      <c r="A2848">
        <v>64</v>
      </c>
      <c r="B2848" t="s">
        <v>192</v>
      </c>
      <c r="C2848">
        <v>8</v>
      </c>
      <c r="D2848">
        <v>0</v>
      </c>
      <c r="E2848">
        <v>0</v>
      </c>
      <c r="F2848">
        <v>108.95</v>
      </c>
      <c r="G2848">
        <v>86213.8</v>
      </c>
      <c r="H2848" s="14">
        <v>43768.833333333336</v>
      </c>
    </row>
    <row r="2849" spans="1:8" x14ac:dyDescent="0.25">
      <c r="A2849">
        <v>64</v>
      </c>
      <c r="B2849" t="s">
        <v>192</v>
      </c>
      <c r="C2849">
        <v>9</v>
      </c>
      <c r="D2849">
        <v>0</v>
      </c>
      <c r="E2849">
        <v>0</v>
      </c>
      <c r="F2849">
        <v>126.74</v>
      </c>
      <c r="G2849">
        <v>95608.21</v>
      </c>
      <c r="H2849" s="14">
        <v>43768.833333333336</v>
      </c>
    </row>
    <row r="2850" spans="1:8" x14ac:dyDescent="0.25">
      <c r="A2850">
        <v>64</v>
      </c>
      <c r="B2850" t="s">
        <v>192</v>
      </c>
      <c r="C2850">
        <v>10</v>
      </c>
      <c r="D2850">
        <v>0</v>
      </c>
      <c r="E2850">
        <v>0</v>
      </c>
      <c r="F2850">
        <v>128.97999999999999</v>
      </c>
      <c r="G2850">
        <v>97940.56</v>
      </c>
      <c r="H2850" s="14">
        <v>43768.833333333336</v>
      </c>
    </row>
    <row r="2851" spans="1:8" x14ac:dyDescent="0.25">
      <c r="A2851">
        <v>64</v>
      </c>
      <c r="B2851" t="s">
        <v>192</v>
      </c>
      <c r="C2851">
        <v>11</v>
      </c>
      <c r="D2851">
        <v>0</v>
      </c>
      <c r="E2851">
        <v>0</v>
      </c>
      <c r="F2851">
        <v>129.30000000000001</v>
      </c>
      <c r="G2851">
        <v>97944.57</v>
      </c>
      <c r="H2851" s="14">
        <v>43768.833333333336</v>
      </c>
    </row>
    <row r="2852" spans="1:8" x14ac:dyDescent="0.25">
      <c r="A2852">
        <v>65</v>
      </c>
      <c r="B2852" t="s">
        <v>193</v>
      </c>
      <c r="C2852">
        <v>1</v>
      </c>
      <c r="D2852">
        <v>0</v>
      </c>
      <c r="E2852">
        <v>0</v>
      </c>
      <c r="F2852">
        <v>112.97</v>
      </c>
      <c r="G2852">
        <v>92628.26</v>
      </c>
      <c r="H2852" s="14">
        <v>43768.833333333336</v>
      </c>
    </row>
    <row r="2853" spans="1:8" x14ac:dyDescent="0.25">
      <c r="A2853">
        <v>65</v>
      </c>
      <c r="B2853" t="s">
        <v>193</v>
      </c>
      <c r="C2853">
        <v>2</v>
      </c>
      <c r="D2853">
        <v>0</v>
      </c>
      <c r="E2853">
        <v>0</v>
      </c>
      <c r="F2853">
        <v>113.39</v>
      </c>
      <c r="G2853">
        <v>93409.59</v>
      </c>
      <c r="H2853" s="14">
        <v>43768.833333333336</v>
      </c>
    </row>
    <row r="2854" spans="1:8" x14ac:dyDescent="0.25">
      <c r="A2854">
        <v>65</v>
      </c>
      <c r="B2854" t="s">
        <v>193</v>
      </c>
      <c r="C2854">
        <v>3</v>
      </c>
      <c r="D2854">
        <v>0</v>
      </c>
      <c r="E2854">
        <v>0</v>
      </c>
      <c r="F2854">
        <v>113.26</v>
      </c>
      <c r="G2854">
        <v>92051.57</v>
      </c>
      <c r="H2854" s="14">
        <v>43768.833333333336</v>
      </c>
    </row>
    <row r="2855" spans="1:8" x14ac:dyDescent="0.25">
      <c r="A2855">
        <v>65</v>
      </c>
      <c r="B2855" t="s">
        <v>193</v>
      </c>
      <c r="C2855">
        <v>4</v>
      </c>
      <c r="D2855">
        <v>0</v>
      </c>
      <c r="E2855">
        <v>0</v>
      </c>
      <c r="F2855">
        <v>114.1</v>
      </c>
      <c r="G2855">
        <v>93777.67</v>
      </c>
      <c r="H2855" s="14">
        <v>43768.833333333336</v>
      </c>
    </row>
    <row r="2856" spans="1:8" x14ac:dyDescent="0.25">
      <c r="A2856">
        <v>65</v>
      </c>
      <c r="B2856" t="s">
        <v>193</v>
      </c>
      <c r="C2856">
        <v>5</v>
      </c>
      <c r="D2856">
        <v>0</v>
      </c>
      <c r="E2856">
        <v>0</v>
      </c>
      <c r="F2856">
        <v>119.32</v>
      </c>
      <c r="G2856">
        <v>93355.81</v>
      </c>
      <c r="H2856" s="14">
        <v>43768.833333333336</v>
      </c>
    </row>
    <row r="2857" spans="1:8" x14ac:dyDescent="0.25">
      <c r="A2857">
        <v>65</v>
      </c>
      <c r="B2857" t="s">
        <v>193</v>
      </c>
      <c r="C2857">
        <v>6</v>
      </c>
      <c r="D2857">
        <v>0</v>
      </c>
      <c r="E2857">
        <v>0</v>
      </c>
      <c r="F2857">
        <v>120.91</v>
      </c>
      <c r="G2857">
        <v>94441.98</v>
      </c>
      <c r="H2857" s="14">
        <v>43768.833333333336</v>
      </c>
    </row>
    <row r="2858" spans="1:8" x14ac:dyDescent="0.25">
      <c r="A2858">
        <v>65</v>
      </c>
      <c r="B2858" t="s">
        <v>193</v>
      </c>
      <c r="C2858">
        <v>7</v>
      </c>
      <c r="D2858">
        <v>0</v>
      </c>
      <c r="E2858">
        <v>0</v>
      </c>
      <c r="F2858">
        <v>125.47</v>
      </c>
      <c r="G2858">
        <v>94565.89</v>
      </c>
      <c r="H2858" s="14">
        <v>43768.833333333336</v>
      </c>
    </row>
    <row r="2859" spans="1:8" x14ac:dyDescent="0.25">
      <c r="A2859">
        <v>65</v>
      </c>
      <c r="B2859" t="s">
        <v>193</v>
      </c>
      <c r="C2859">
        <v>8</v>
      </c>
      <c r="D2859">
        <v>0</v>
      </c>
      <c r="E2859">
        <v>0</v>
      </c>
      <c r="F2859">
        <v>125.19</v>
      </c>
      <c r="G2859">
        <v>95552.77</v>
      </c>
      <c r="H2859" s="14">
        <v>43768.833333333336</v>
      </c>
    </row>
    <row r="2860" spans="1:8" x14ac:dyDescent="0.25">
      <c r="A2860">
        <v>66</v>
      </c>
      <c r="B2860" t="s">
        <v>194</v>
      </c>
      <c r="C2860">
        <v>1</v>
      </c>
      <c r="D2860">
        <v>0</v>
      </c>
      <c r="E2860">
        <v>0</v>
      </c>
      <c r="F2860">
        <v>96.56</v>
      </c>
      <c r="G2860">
        <v>81380</v>
      </c>
      <c r="H2860" s="14">
        <v>43768.833333333336</v>
      </c>
    </row>
    <row r="2861" spans="1:8" x14ac:dyDescent="0.25">
      <c r="A2861">
        <v>66</v>
      </c>
      <c r="B2861" t="s">
        <v>194</v>
      </c>
      <c r="C2861">
        <v>2</v>
      </c>
      <c r="D2861">
        <v>0</v>
      </c>
      <c r="E2861">
        <v>0</v>
      </c>
      <c r="F2861">
        <v>119.76</v>
      </c>
      <c r="G2861">
        <v>87241.600000000006</v>
      </c>
      <c r="H2861" s="14">
        <v>43768.833333333336</v>
      </c>
    </row>
    <row r="2862" spans="1:8" x14ac:dyDescent="0.25">
      <c r="A2862">
        <v>66</v>
      </c>
      <c r="B2862" t="s">
        <v>194</v>
      </c>
      <c r="C2862">
        <v>3</v>
      </c>
      <c r="D2862">
        <v>0</v>
      </c>
      <c r="E2862">
        <v>0</v>
      </c>
      <c r="F2862">
        <v>92.71</v>
      </c>
      <c r="G2862">
        <v>80478.009999999995</v>
      </c>
      <c r="H2862" s="14">
        <v>43768.833333333336</v>
      </c>
    </row>
    <row r="2863" spans="1:8" x14ac:dyDescent="0.25">
      <c r="A2863">
        <v>66</v>
      </c>
      <c r="B2863" t="s">
        <v>194</v>
      </c>
      <c r="C2863">
        <v>4</v>
      </c>
      <c r="D2863">
        <v>0</v>
      </c>
      <c r="E2863">
        <v>0</v>
      </c>
      <c r="F2863">
        <v>113.63</v>
      </c>
      <c r="G2863">
        <v>87099.73</v>
      </c>
      <c r="H2863" s="14">
        <v>43768.833333333336</v>
      </c>
    </row>
    <row r="2864" spans="1:8" x14ac:dyDescent="0.25">
      <c r="A2864">
        <v>66</v>
      </c>
      <c r="B2864" t="s">
        <v>194</v>
      </c>
      <c r="C2864">
        <v>5</v>
      </c>
      <c r="D2864">
        <v>0</v>
      </c>
      <c r="E2864">
        <v>0</v>
      </c>
      <c r="F2864">
        <v>101.63</v>
      </c>
      <c r="G2864">
        <v>83980.88</v>
      </c>
      <c r="H2864" s="14">
        <v>43768.833333333336</v>
      </c>
    </row>
    <row r="2865" spans="1:8" x14ac:dyDescent="0.25">
      <c r="A2865">
        <v>66</v>
      </c>
      <c r="B2865" t="s">
        <v>194</v>
      </c>
      <c r="C2865">
        <v>6</v>
      </c>
      <c r="D2865">
        <v>0</v>
      </c>
      <c r="E2865">
        <v>0</v>
      </c>
      <c r="F2865">
        <v>109.3</v>
      </c>
      <c r="G2865">
        <v>85902.26</v>
      </c>
      <c r="H2865" s="14">
        <v>43768.833333333336</v>
      </c>
    </row>
    <row r="2866" spans="1:8" x14ac:dyDescent="0.25">
      <c r="A2866">
        <v>67</v>
      </c>
      <c r="B2866" t="s">
        <v>195</v>
      </c>
      <c r="C2866">
        <v>1</v>
      </c>
      <c r="D2866">
        <v>0</v>
      </c>
      <c r="E2866">
        <v>0</v>
      </c>
      <c r="F2866">
        <v>56.22</v>
      </c>
      <c r="G2866">
        <v>46163.03</v>
      </c>
      <c r="H2866" s="14">
        <v>43768.833333333336</v>
      </c>
    </row>
    <row r="2867" spans="1:8" x14ac:dyDescent="0.25">
      <c r="A2867">
        <v>67</v>
      </c>
      <c r="B2867" t="s">
        <v>195</v>
      </c>
      <c r="C2867">
        <v>2</v>
      </c>
      <c r="D2867">
        <v>0</v>
      </c>
      <c r="E2867">
        <v>0</v>
      </c>
      <c r="F2867">
        <v>74.44</v>
      </c>
      <c r="G2867">
        <v>51870.67</v>
      </c>
      <c r="H2867" s="14">
        <v>43768.833333333336</v>
      </c>
    </row>
    <row r="2868" spans="1:8" x14ac:dyDescent="0.25">
      <c r="A2868">
        <v>67</v>
      </c>
      <c r="B2868" t="s">
        <v>195</v>
      </c>
      <c r="C2868">
        <v>3</v>
      </c>
      <c r="D2868">
        <v>0</v>
      </c>
      <c r="E2868">
        <v>0</v>
      </c>
      <c r="F2868">
        <v>42.71</v>
      </c>
      <c r="G2868">
        <v>37320.629999999997</v>
      </c>
      <c r="H2868" s="14">
        <v>43768.833333333336</v>
      </c>
    </row>
    <row r="2869" spans="1:8" x14ac:dyDescent="0.25">
      <c r="A2869">
        <v>68</v>
      </c>
      <c r="B2869" t="s">
        <v>196</v>
      </c>
      <c r="C2869">
        <v>1</v>
      </c>
      <c r="D2869">
        <v>0</v>
      </c>
      <c r="E2869">
        <v>0</v>
      </c>
      <c r="F2869">
        <v>103.62</v>
      </c>
      <c r="G2869">
        <v>65477.16</v>
      </c>
      <c r="H2869" s="14">
        <v>43768.833333333336</v>
      </c>
    </row>
    <row r="2870" spans="1:8" x14ac:dyDescent="0.25">
      <c r="A2870">
        <v>68</v>
      </c>
      <c r="B2870" t="s">
        <v>196</v>
      </c>
      <c r="C2870">
        <v>2</v>
      </c>
      <c r="D2870">
        <v>0</v>
      </c>
      <c r="E2870">
        <v>0</v>
      </c>
      <c r="F2870">
        <v>103.82</v>
      </c>
      <c r="G2870">
        <v>75757.91</v>
      </c>
      <c r="H2870" s="14">
        <v>43768.833333333336</v>
      </c>
    </row>
    <row r="2871" spans="1:8" x14ac:dyDescent="0.25">
      <c r="A2871">
        <v>68</v>
      </c>
      <c r="B2871" t="s">
        <v>196</v>
      </c>
      <c r="C2871">
        <v>3</v>
      </c>
      <c r="D2871">
        <v>0</v>
      </c>
      <c r="E2871">
        <v>0</v>
      </c>
      <c r="F2871">
        <v>92.15</v>
      </c>
      <c r="G2871">
        <v>69622.52</v>
      </c>
      <c r="H2871" s="14">
        <v>43768.833333333336</v>
      </c>
    </row>
    <row r="2872" spans="1:8" x14ac:dyDescent="0.25">
      <c r="A2872">
        <v>68</v>
      </c>
      <c r="B2872" t="s">
        <v>196</v>
      </c>
      <c r="C2872">
        <v>4</v>
      </c>
      <c r="D2872">
        <v>0</v>
      </c>
      <c r="E2872">
        <v>0</v>
      </c>
      <c r="F2872">
        <v>97.16</v>
      </c>
      <c r="G2872">
        <v>73714.850000000006</v>
      </c>
      <c r="H2872" s="14">
        <v>43768.833333333336</v>
      </c>
    </row>
    <row r="2873" spans="1:8" x14ac:dyDescent="0.25">
      <c r="A2873">
        <v>68</v>
      </c>
      <c r="B2873" t="s">
        <v>196</v>
      </c>
      <c r="C2873">
        <v>5</v>
      </c>
      <c r="D2873">
        <v>0</v>
      </c>
      <c r="E2873">
        <v>0</v>
      </c>
      <c r="F2873">
        <v>63.74</v>
      </c>
      <c r="G2873">
        <v>49944.82</v>
      </c>
      <c r="H2873" s="14">
        <v>43768.833333333336</v>
      </c>
    </row>
    <row r="2874" spans="1:8" x14ac:dyDescent="0.25">
      <c r="A2874">
        <v>68</v>
      </c>
      <c r="B2874" t="s">
        <v>196</v>
      </c>
      <c r="C2874">
        <v>6</v>
      </c>
      <c r="D2874">
        <v>0</v>
      </c>
      <c r="E2874">
        <v>0</v>
      </c>
      <c r="F2874">
        <v>66.14</v>
      </c>
      <c r="G2874">
        <v>49569.9</v>
      </c>
      <c r="H2874" s="14">
        <v>43768.833333333336</v>
      </c>
    </row>
    <row r="2875" spans="1:8" x14ac:dyDescent="0.25">
      <c r="A2875">
        <v>68</v>
      </c>
      <c r="B2875" t="s">
        <v>196</v>
      </c>
      <c r="C2875">
        <v>7</v>
      </c>
      <c r="D2875">
        <v>0</v>
      </c>
      <c r="E2875">
        <v>0</v>
      </c>
      <c r="F2875">
        <v>30.88</v>
      </c>
      <c r="G2875">
        <v>21792.1</v>
      </c>
      <c r="H2875" s="14">
        <v>43768.833333333336</v>
      </c>
    </row>
    <row r="2876" spans="1:8" x14ac:dyDescent="0.25">
      <c r="A2876">
        <v>68</v>
      </c>
      <c r="B2876" t="s">
        <v>196</v>
      </c>
      <c r="C2876">
        <v>8</v>
      </c>
      <c r="D2876">
        <v>0</v>
      </c>
      <c r="E2876">
        <v>0</v>
      </c>
      <c r="F2876">
        <v>22.59</v>
      </c>
      <c r="G2876">
        <v>17242.080000000002</v>
      </c>
      <c r="H2876" s="14">
        <v>43768.833333333336</v>
      </c>
    </row>
    <row r="2877" spans="1:8" x14ac:dyDescent="0.25">
      <c r="A2877">
        <v>69</v>
      </c>
      <c r="B2877" t="s">
        <v>197</v>
      </c>
      <c r="C2877">
        <v>1</v>
      </c>
      <c r="D2877">
        <v>0</v>
      </c>
      <c r="E2877">
        <v>0</v>
      </c>
      <c r="F2877">
        <v>47.1</v>
      </c>
      <c r="G2877">
        <v>36760.559999999998</v>
      </c>
      <c r="H2877" s="14">
        <v>43768.833333333336</v>
      </c>
    </row>
    <row r="2878" spans="1:8" x14ac:dyDescent="0.25">
      <c r="A2878">
        <v>69</v>
      </c>
      <c r="B2878" t="s">
        <v>197</v>
      </c>
      <c r="C2878">
        <v>2</v>
      </c>
      <c r="D2878">
        <v>0</v>
      </c>
      <c r="E2878">
        <v>0</v>
      </c>
      <c r="F2878">
        <v>69.56</v>
      </c>
      <c r="G2878">
        <v>52054.54</v>
      </c>
      <c r="H2878" s="14">
        <v>43768.833333333336</v>
      </c>
    </row>
    <row r="2879" spans="1:8" x14ac:dyDescent="0.25">
      <c r="A2879">
        <v>69</v>
      </c>
      <c r="B2879" t="s">
        <v>197</v>
      </c>
      <c r="C2879">
        <v>3</v>
      </c>
      <c r="D2879">
        <v>0</v>
      </c>
      <c r="E2879">
        <v>0</v>
      </c>
      <c r="F2879">
        <v>103.56</v>
      </c>
      <c r="G2879">
        <v>77660.27</v>
      </c>
      <c r="H2879" s="14">
        <v>43768.833333333336</v>
      </c>
    </row>
    <row r="2880" spans="1:8" x14ac:dyDescent="0.25">
      <c r="A2880">
        <v>70</v>
      </c>
      <c r="B2880" t="s">
        <v>198</v>
      </c>
      <c r="C2880">
        <v>1</v>
      </c>
      <c r="D2880">
        <v>0</v>
      </c>
      <c r="E2880">
        <v>0</v>
      </c>
      <c r="F2880">
        <v>72.25</v>
      </c>
      <c r="G2880">
        <v>47707.78</v>
      </c>
      <c r="H2880" s="14">
        <v>43768.833333333336</v>
      </c>
    </row>
    <row r="2881" spans="1:8" x14ac:dyDescent="0.25">
      <c r="A2881">
        <v>70</v>
      </c>
      <c r="B2881" t="s">
        <v>198</v>
      </c>
      <c r="C2881">
        <v>2</v>
      </c>
      <c r="D2881">
        <v>0</v>
      </c>
      <c r="E2881">
        <v>0</v>
      </c>
      <c r="F2881">
        <v>85.85</v>
      </c>
      <c r="G2881">
        <v>58896.13</v>
      </c>
      <c r="H2881" s="14">
        <v>43768.833333333336</v>
      </c>
    </row>
    <row r="2882" spans="1:8" x14ac:dyDescent="0.25">
      <c r="A2882">
        <v>70</v>
      </c>
      <c r="B2882" t="s">
        <v>198</v>
      </c>
      <c r="C2882">
        <v>3</v>
      </c>
      <c r="D2882">
        <v>0</v>
      </c>
      <c r="E2882">
        <v>0</v>
      </c>
      <c r="F2882">
        <v>128.47</v>
      </c>
      <c r="G2882">
        <v>86546.2</v>
      </c>
      <c r="H2882" s="14">
        <v>43768.833333333336</v>
      </c>
    </row>
    <row r="2883" spans="1:8" x14ac:dyDescent="0.25">
      <c r="A2883">
        <v>70</v>
      </c>
      <c r="B2883" t="s">
        <v>198</v>
      </c>
      <c r="C2883">
        <v>4</v>
      </c>
      <c r="D2883">
        <v>0</v>
      </c>
      <c r="E2883">
        <v>0</v>
      </c>
      <c r="F2883">
        <v>128.93</v>
      </c>
      <c r="G2883">
        <v>87713.32</v>
      </c>
      <c r="H2883" s="14">
        <v>43768.833333333336</v>
      </c>
    </row>
    <row r="2884" spans="1:8" x14ac:dyDescent="0.25">
      <c r="A2884">
        <v>70</v>
      </c>
      <c r="B2884" t="s">
        <v>198</v>
      </c>
      <c r="C2884">
        <v>5</v>
      </c>
      <c r="D2884">
        <v>0</v>
      </c>
      <c r="E2884">
        <v>0</v>
      </c>
      <c r="F2884">
        <v>125.6</v>
      </c>
      <c r="G2884">
        <v>35445.4</v>
      </c>
      <c r="H2884" s="14">
        <v>43768.833333333336</v>
      </c>
    </row>
    <row r="2885" spans="1:8" x14ac:dyDescent="0.25">
      <c r="A2885">
        <v>70</v>
      </c>
      <c r="B2885" t="s">
        <v>198</v>
      </c>
      <c r="C2885">
        <v>6</v>
      </c>
      <c r="D2885">
        <v>0</v>
      </c>
      <c r="E2885">
        <v>0</v>
      </c>
      <c r="F2885">
        <v>125.13</v>
      </c>
      <c r="G2885">
        <v>85640.960000000006</v>
      </c>
      <c r="H2885" s="14">
        <v>43768.833333333336</v>
      </c>
    </row>
    <row r="2886" spans="1:8" x14ac:dyDescent="0.25">
      <c r="A2886">
        <v>71</v>
      </c>
      <c r="B2886" t="s">
        <v>199</v>
      </c>
      <c r="C2886">
        <v>1</v>
      </c>
      <c r="D2886">
        <v>0</v>
      </c>
      <c r="E2886">
        <v>0</v>
      </c>
      <c r="F2886">
        <v>125.73</v>
      </c>
      <c r="G2886">
        <v>79370.850000000006</v>
      </c>
      <c r="H2886" s="14">
        <v>43768.833333333336</v>
      </c>
    </row>
    <row r="2887" spans="1:8" x14ac:dyDescent="0.25">
      <c r="A2887">
        <v>71</v>
      </c>
      <c r="B2887" t="s">
        <v>199</v>
      </c>
      <c r="C2887">
        <v>2</v>
      </c>
      <c r="D2887">
        <v>0</v>
      </c>
      <c r="E2887">
        <v>0</v>
      </c>
      <c r="F2887">
        <v>118.95</v>
      </c>
      <c r="G2887">
        <v>76788.7</v>
      </c>
      <c r="H2887" s="14">
        <v>43768.833333333336</v>
      </c>
    </row>
    <row r="2888" spans="1:8" x14ac:dyDescent="0.25">
      <c r="A2888">
        <v>71</v>
      </c>
      <c r="B2888" t="s">
        <v>199</v>
      </c>
      <c r="C2888">
        <v>3</v>
      </c>
      <c r="D2888">
        <v>0</v>
      </c>
      <c r="E2888">
        <v>0</v>
      </c>
      <c r="F2888">
        <v>128.08000000000001</v>
      </c>
      <c r="G2888">
        <v>81853.27</v>
      </c>
      <c r="H2888" s="14">
        <v>43768.833333333336</v>
      </c>
    </row>
    <row r="2889" spans="1:8" x14ac:dyDescent="0.25">
      <c r="A2889">
        <v>71</v>
      </c>
      <c r="B2889" t="s">
        <v>199</v>
      </c>
      <c r="C2889">
        <v>4</v>
      </c>
      <c r="D2889">
        <v>0</v>
      </c>
      <c r="E2889">
        <v>0</v>
      </c>
      <c r="F2889">
        <v>115.02</v>
      </c>
      <c r="G2889">
        <v>78737.2</v>
      </c>
      <c r="H2889" s="14">
        <v>43768.833333333336</v>
      </c>
    </row>
    <row r="2890" spans="1:8" x14ac:dyDescent="0.25">
      <c r="A2890">
        <v>71</v>
      </c>
      <c r="B2890" t="s">
        <v>199</v>
      </c>
      <c r="C2890">
        <v>5</v>
      </c>
      <c r="D2890">
        <v>0</v>
      </c>
      <c r="E2890">
        <v>0</v>
      </c>
      <c r="F2890">
        <v>62.54</v>
      </c>
      <c r="G2890">
        <v>10965.88</v>
      </c>
      <c r="H2890" s="14">
        <v>43768.833333333336</v>
      </c>
    </row>
    <row r="2891" spans="1:8" x14ac:dyDescent="0.25">
      <c r="A2891">
        <v>72</v>
      </c>
      <c r="B2891" t="s">
        <v>200</v>
      </c>
      <c r="C2891">
        <v>1</v>
      </c>
      <c r="D2891">
        <v>0</v>
      </c>
      <c r="E2891">
        <v>0</v>
      </c>
      <c r="F2891">
        <v>126.72</v>
      </c>
      <c r="G2891">
        <v>71667.38</v>
      </c>
      <c r="H2891" s="14">
        <v>43768.833333333336</v>
      </c>
    </row>
    <row r="2892" spans="1:8" x14ac:dyDescent="0.25">
      <c r="A2892">
        <v>72</v>
      </c>
      <c r="B2892" t="s">
        <v>200</v>
      </c>
      <c r="C2892">
        <v>2</v>
      </c>
      <c r="D2892">
        <v>0</v>
      </c>
      <c r="E2892">
        <v>0</v>
      </c>
      <c r="F2892">
        <v>127.36</v>
      </c>
      <c r="G2892">
        <v>71746.11</v>
      </c>
      <c r="H2892" s="14">
        <v>43768.833333333336</v>
      </c>
    </row>
    <row r="2893" spans="1:8" x14ac:dyDescent="0.25">
      <c r="A2893">
        <v>73</v>
      </c>
      <c r="B2893" t="s">
        <v>201</v>
      </c>
      <c r="C2893">
        <v>1</v>
      </c>
      <c r="D2893">
        <v>0</v>
      </c>
      <c r="E2893">
        <v>0</v>
      </c>
      <c r="F2893">
        <v>80.239999999999995</v>
      </c>
      <c r="G2893">
        <v>77978.33</v>
      </c>
      <c r="H2893" s="14">
        <v>43768.833333333336</v>
      </c>
    </row>
    <row r="2894" spans="1:8" x14ac:dyDescent="0.25">
      <c r="A2894">
        <v>73</v>
      </c>
      <c r="B2894" t="s">
        <v>201</v>
      </c>
      <c r="C2894">
        <v>2</v>
      </c>
      <c r="D2894">
        <v>0</v>
      </c>
      <c r="E2894">
        <v>0</v>
      </c>
      <c r="F2894">
        <v>75.48</v>
      </c>
      <c r="G2894">
        <v>71589.38</v>
      </c>
      <c r="H2894" s="14">
        <v>43768.833333333336</v>
      </c>
    </row>
    <row r="2895" spans="1:8" x14ac:dyDescent="0.25">
      <c r="A2895">
        <v>73</v>
      </c>
      <c r="B2895" t="s">
        <v>201</v>
      </c>
      <c r="C2895">
        <v>3</v>
      </c>
      <c r="D2895">
        <v>0</v>
      </c>
      <c r="E2895">
        <v>0</v>
      </c>
      <c r="F2895">
        <v>104.02</v>
      </c>
      <c r="G2895">
        <v>81680.47</v>
      </c>
      <c r="H2895" s="14">
        <v>43768.833333333336</v>
      </c>
    </row>
    <row r="2896" spans="1:8" x14ac:dyDescent="0.25">
      <c r="A2896">
        <v>73</v>
      </c>
      <c r="B2896" t="s">
        <v>201</v>
      </c>
      <c r="C2896">
        <v>4</v>
      </c>
      <c r="D2896">
        <v>0</v>
      </c>
      <c r="E2896">
        <v>0</v>
      </c>
      <c r="F2896">
        <v>96.97</v>
      </c>
      <c r="G2896">
        <v>74942.87</v>
      </c>
      <c r="H2896" s="14">
        <v>43768.833333333336</v>
      </c>
    </row>
    <row r="2897" spans="1:8" x14ac:dyDescent="0.25">
      <c r="A2897">
        <v>73</v>
      </c>
      <c r="B2897" t="s">
        <v>201</v>
      </c>
      <c r="C2897">
        <v>5</v>
      </c>
      <c r="D2897">
        <v>0</v>
      </c>
      <c r="E2897">
        <v>0</v>
      </c>
      <c r="F2897">
        <v>89.98</v>
      </c>
      <c r="G2897">
        <v>74799.13</v>
      </c>
      <c r="H2897" s="14">
        <v>43768.833333333336</v>
      </c>
    </row>
    <row r="2898" spans="1:8" x14ac:dyDescent="0.25">
      <c r="A2898">
        <v>73</v>
      </c>
      <c r="B2898" t="s">
        <v>201</v>
      </c>
      <c r="C2898">
        <v>6</v>
      </c>
      <c r="D2898">
        <v>0</v>
      </c>
      <c r="E2898">
        <v>0</v>
      </c>
      <c r="F2898">
        <v>86.15</v>
      </c>
      <c r="G2898">
        <v>69921.600000000006</v>
      </c>
      <c r="H2898" s="14">
        <v>43768.833333333336</v>
      </c>
    </row>
    <row r="2899" spans="1:8" x14ac:dyDescent="0.25">
      <c r="A2899">
        <v>73</v>
      </c>
      <c r="B2899" t="s">
        <v>201</v>
      </c>
      <c r="C2899">
        <v>7</v>
      </c>
      <c r="D2899">
        <v>0</v>
      </c>
      <c r="E2899">
        <v>0</v>
      </c>
      <c r="F2899">
        <v>39.67</v>
      </c>
      <c r="G2899">
        <v>42908.57</v>
      </c>
      <c r="H2899" s="14">
        <v>43768.833333333336</v>
      </c>
    </row>
    <row r="2900" spans="1:8" x14ac:dyDescent="0.25">
      <c r="A2900">
        <v>74</v>
      </c>
      <c r="B2900" t="s">
        <v>202</v>
      </c>
      <c r="C2900">
        <v>1</v>
      </c>
      <c r="D2900">
        <v>0</v>
      </c>
      <c r="E2900">
        <v>0</v>
      </c>
      <c r="F2900">
        <v>63.69</v>
      </c>
      <c r="G2900">
        <v>67072.61</v>
      </c>
      <c r="H2900" s="14">
        <v>43768.833333333336</v>
      </c>
    </row>
    <row r="2901" spans="1:8" x14ac:dyDescent="0.25">
      <c r="A2901">
        <v>74</v>
      </c>
      <c r="B2901" t="s">
        <v>202</v>
      </c>
      <c r="C2901">
        <v>2</v>
      </c>
      <c r="D2901">
        <v>0</v>
      </c>
      <c r="E2901">
        <v>0</v>
      </c>
      <c r="F2901">
        <v>126.68</v>
      </c>
      <c r="G2901">
        <v>90236.38</v>
      </c>
      <c r="H2901" s="14">
        <v>43768.833333333336</v>
      </c>
    </row>
    <row r="2902" spans="1:8" x14ac:dyDescent="0.25">
      <c r="A2902">
        <v>74</v>
      </c>
      <c r="B2902" t="s">
        <v>202</v>
      </c>
      <c r="C2902">
        <v>3</v>
      </c>
      <c r="D2902">
        <v>0</v>
      </c>
      <c r="E2902">
        <v>0</v>
      </c>
      <c r="F2902">
        <v>127.74</v>
      </c>
      <c r="G2902">
        <v>83246.179999999993</v>
      </c>
      <c r="H2902" s="14">
        <v>43768.833333333336</v>
      </c>
    </row>
    <row r="2903" spans="1:8" x14ac:dyDescent="0.25">
      <c r="A2903">
        <v>74</v>
      </c>
      <c r="B2903" t="s">
        <v>202</v>
      </c>
      <c r="C2903">
        <v>4</v>
      </c>
      <c r="D2903">
        <v>0</v>
      </c>
      <c r="E2903">
        <v>0</v>
      </c>
      <c r="F2903">
        <v>133.33000000000001</v>
      </c>
      <c r="G2903">
        <v>94949.28</v>
      </c>
      <c r="H2903" s="14">
        <v>43768.833333333336</v>
      </c>
    </row>
    <row r="2904" spans="1:8" x14ac:dyDescent="0.25">
      <c r="A2904">
        <v>74</v>
      </c>
      <c r="B2904" t="s">
        <v>202</v>
      </c>
      <c r="C2904">
        <v>5</v>
      </c>
      <c r="D2904">
        <v>0</v>
      </c>
      <c r="E2904">
        <v>0</v>
      </c>
      <c r="F2904">
        <v>133.44</v>
      </c>
      <c r="G2904">
        <v>95585.7</v>
      </c>
      <c r="H2904" s="14">
        <v>43768.833333333336</v>
      </c>
    </row>
    <row r="2905" spans="1:8" x14ac:dyDescent="0.25">
      <c r="A2905">
        <v>74</v>
      </c>
      <c r="B2905" t="s">
        <v>202</v>
      </c>
      <c r="C2905">
        <v>6</v>
      </c>
      <c r="D2905">
        <v>0</v>
      </c>
      <c r="E2905">
        <v>0</v>
      </c>
      <c r="F2905">
        <v>131.54</v>
      </c>
      <c r="G2905">
        <v>95078.32</v>
      </c>
      <c r="H2905" s="14">
        <v>43768.833333333336</v>
      </c>
    </row>
    <row r="2906" spans="1:8" x14ac:dyDescent="0.25">
      <c r="A2906">
        <v>74</v>
      </c>
      <c r="B2906" t="s">
        <v>202</v>
      </c>
      <c r="C2906">
        <v>7</v>
      </c>
      <c r="D2906">
        <v>0</v>
      </c>
      <c r="E2906">
        <v>0</v>
      </c>
      <c r="F2906">
        <v>132.38</v>
      </c>
      <c r="G2906">
        <v>96053.2</v>
      </c>
      <c r="H2906" s="14">
        <v>43768.833333333336</v>
      </c>
    </row>
    <row r="2907" spans="1:8" x14ac:dyDescent="0.25">
      <c r="A2907">
        <v>74</v>
      </c>
      <c r="B2907" t="s">
        <v>202</v>
      </c>
      <c r="C2907">
        <v>8</v>
      </c>
      <c r="D2907">
        <v>0</v>
      </c>
      <c r="E2907">
        <v>0</v>
      </c>
      <c r="F2907">
        <v>138.19</v>
      </c>
      <c r="G2907">
        <v>97159.23</v>
      </c>
      <c r="H2907" s="14">
        <v>43768.833333333336</v>
      </c>
    </row>
    <row r="2908" spans="1:8" x14ac:dyDescent="0.25">
      <c r="A2908">
        <v>74</v>
      </c>
      <c r="B2908" t="s">
        <v>202</v>
      </c>
      <c r="C2908">
        <v>9</v>
      </c>
      <c r="D2908">
        <v>0</v>
      </c>
      <c r="E2908">
        <v>0</v>
      </c>
      <c r="F2908">
        <v>134.75</v>
      </c>
      <c r="G2908">
        <v>96373.54</v>
      </c>
      <c r="H2908" s="14">
        <v>43768.833333333336</v>
      </c>
    </row>
    <row r="2909" spans="1:8" x14ac:dyDescent="0.25">
      <c r="A2909">
        <v>74</v>
      </c>
      <c r="B2909" t="s">
        <v>202</v>
      </c>
      <c r="C2909">
        <v>10</v>
      </c>
      <c r="D2909">
        <v>0</v>
      </c>
      <c r="E2909">
        <v>0</v>
      </c>
      <c r="F2909">
        <v>132.43</v>
      </c>
      <c r="G2909">
        <v>96101.89</v>
      </c>
      <c r="H2909" s="14">
        <v>43768.833333333336</v>
      </c>
    </row>
    <row r="2910" spans="1:8" x14ac:dyDescent="0.25">
      <c r="A2910">
        <v>74</v>
      </c>
      <c r="B2910" t="s">
        <v>202</v>
      </c>
      <c r="C2910">
        <v>11</v>
      </c>
      <c r="D2910">
        <v>0</v>
      </c>
      <c r="E2910">
        <v>0</v>
      </c>
      <c r="F2910">
        <v>134.06</v>
      </c>
      <c r="G2910">
        <v>96649.89</v>
      </c>
      <c r="H2910" s="14">
        <v>43768.833333333336</v>
      </c>
    </row>
    <row r="2911" spans="1:8" x14ac:dyDescent="0.25">
      <c r="A2911">
        <v>74</v>
      </c>
      <c r="B2911" t="s">
        <v>202</v>
      </c>
      <c r="C2911">
        <v>12</v>
      </c>
      <c r="D2911">
        <v>0</v>
      </c>
      <c r="E2911">
        <v>0</v>
      </c>
      <c r="F2911">
        <v>132.88</v>
      </c>
      <c r="G2911">
        <v>96880.63</v>
      </c>
      <c r="H2911" s="14">
        <v>43768.833333333336</v>
      </c>
    </row>
    <row r="2912" spans="1:8" x14ac:dyDescent="0.25">
      <c r="A2912">
        <v>74</v>
      </c>
      <c r="B2912" t="s">
        <v>202</v>
      </c>
      <c r="C2912">
        <v>13</v>
      </c>
      <c r="D2912">
        <v>0</v>
      </c>
      <c r="E2912">
        <v>0</v>
      </c>
      <c r="F2912">
        <v>134.41</v>
      </c>
      <c r="G2912">
        <v>96338.16</v>
      </c>
      <c r="H2912" s="14">
        <v>43768.833333333336</v>
      </c>
    </row>
    <row r="2913" spans="1:8" x14ac:dyDescent="0.25">
      <c r="A2913">
        <v>74</v>
      </c>
      <c r="B2913" t="s">
        <v>202</v>
      </c>
      <c r="C2913">
        <v>14</v>
      </c>
      <c r="D2913">
        <v>0</v>
      </c>
      <c r="E2913">
        <v>0</v>
      </c>
      <c r="F2913">
        <v>86.97</v>
      </c>
      <c r="G2913">
        <v>63339.41</v>
      </c>
      <c r="H2913" s="14">
        <v>43768.833333333336</v>
      </c>
    </row>
    <row r="2914" spans="1:8" x14ac:dyDescent="0.25">
      <c r="A2914">
        <v>75</v>
      </c>
      <c r="B2914" t="s">
        <v>203</v>
      </c>
      <c r="C2914">
        <v>1</v>
      </c>
      <c r="D2914">
        <v>0</v>
      </c>
      <c r="E2914">
        <v>0</v>
      </c>
      <c r="F2914">
        <v>98.93</v>
      </c>
      <c r="G2914">
        <v>58812.42</v>
      </c>
      <c r="H2914" s="14">
        <v>43768.833333333336</v>
      </c>
    </row>
    <row r="2915" spans="1:8" x14ac:dyDescent="0.25">
      <c r="A2915">
        <v>75</v>
      </c>
      <c r="B2915" t="s">
        <v>203</v>
      </c>
      <c r="C2915">
        <v>2</v>
      </c>
      <c r="D2915">
        <v>0</v>
      </c>
      <c r="E2915">
        <v>0</v>
      </c>
      <c r="F2915">
        <v>103.37</v>
      </c>
      <c r="G2915">
        <v>88172.91</v>
      </c>
      <c r="H2915" s="14">
        <v>43768.833333333336</v>
      </c>
    </row>
    <row r="2916" spans="1:8" x14ac:dyDescent="0.25">
      <c r="A2916">
        <v>75</v>
      </c>
      <c r="B2916" t="s">
        <v>203</v>
      </c>
      <c r="C2916">
        <v>3</v>
      </c>
      <c r="D2916">
        <v>0</v>
      </c>
      <c r="E2916">
        <v>0</v>
      </c>
      <c r="F2916">
        <v>134.44999999999999</v>
      </c>
      <c r="G2916">
        <v>42791.79</v>
      </c>
      <c r="H2916" s="14">
        <v>43768.833333333336</v>
      </c>
    </row>
    <row r="2917" spans="1:8" x14ac:dyDescent="0.25">
      <c r="A2917">
        <v>75</v>
      </c>
      <c r="B2917" t="s">
        <v>203</v>
      </c>
      <c r="C2917">
        <v>4</v>
      </c>
      <c r="D2917">
        <v>0</v>
      </c>
      <c r="E2917">
        <v>0</v>
      </c>
      <c r="F2917">
        <v>136.43</v>
      </c>
      <c r="G2917">
        <v>97990.21</v>
      </c>
      <c r="H2917" s="14">
        <v>43768.833333333336</v>
      </c>
    </row>
    <row r="2918" spans="1:8" x14ac:dyDescent="0.25">
      <c r="A2918">
        <v>75</v>
      </c>
      <c r="B2918" t="s">
        <v>203</v>
      </c>
      <c r="C2918">
        <v>5</v>
      </c>
      <c r="D2918">
        <v>0</v>
      </c>
      <c r="E2918">
        <v>0</v>
      </c>
      <c r="F2918">
        <v>123.17</v>
      </c>
      <c r="G2918">
        <v>89218.49</v>
      </c>
      <c r="H2918" s="14">
        <v>43768.833333333336</v>
      </c>
    </row>
    <row r="2919" spans="1:8" x14ac:dyDescent="0.25">
      <c r="A2919">
        <v>75</v>
      </c>
      <c r="B2919" t="s">
        <v>203</v>
      </c>
      <c r="C2919">
        <v>6</v>
      </c>
      <c r="D2919">
        <v>0</v>
      </c>
      <c r="E2919">
        <v>0</v>
      </c>
      <c r="F2919">
        <v>123.49</v>
      </c>
      <c r="G2919">
        <v>88379.48</v>
      </c>
      <c r="H2919" s="14">
        <v>43768.833333333336</v>
      </c>
    </row>
    <row r="2920" spans="1:8" x14ac:dyDescent="0.25">
      <c r="A2920">
        <v>75</v>
      </c>
      <c r="B2920" t="s">
        <v>203</v>
      </c>
      <c r="C2920">
        <v>7</v>
      </c>
      <c r="D2920">
        <v>0</v>
      </c>
      <c r="E2920">
        <v>0</v>
      </c>
      <c r="F2920">
        <v>129.37</v>
      </c>
      <c r="G2920">
        <v>93391.34</v>
      </c>
      <c r="H2920" s="14">
        <v>43768.833333333336</v>
      </c>
    </row>
    <row r="2921" spans="1:8" x14ac:dyDescent="0.25">
      <c r="A2921">
        <v>75</v>
      </c>
      <c r="B2921" t="s">
        <v>203</v>
      </c>
      <c r="C2921">
        <v>8</v>
      </c>
      <c r="D2921">
        <v>0</v>
      </c>
      <c r="E2921">
        <v>0</v>
      </c>
      <c r="F2921">
        <v>125.98</v>
      </c>
      <c r="G2921">
        <v>89117.73</v>
      </c>
      <c r="H2921" s="14">
        <v>43768.833333333336</v>
      </c>
    </row>
    <row r="2922" spans="1:8" x14ac:dyDescent="0.25">
      <c r="A2922">
        <v>75</v>
      </c>
      <c r="B2922" t="s">
        <v>203</v>
      </c>
      <c r="C2922">
        <v>9</v>
      </c>
      <c r="D2922">
        <v>0</v>
      </c>
      <c r="E2922">
        <v>0</v>
      </c>
      <c r="F2922">
        <v>129.11000000000001</v>
      </c>
      <c r="G2922">
        <v>93566.53</v>
      </c>
      <c r="H2922" s="14">
        <v>43768.833333333336</v>
      </c>
    </row>
    <row r="2923" spans="1:8" x14ac:dyDescent="0.25">
      <c r="A2923">
        <v>75</v>
      </c>
      <c r="B2923" t="s">
        <v>203</v>
      </c>
      <c r="C2923">
        <v>10</v>
      </c>
      <c r="D2923">
        <v>0</v>
      </c>
      <c r="E2923">
        <v>0</v>
      </c>
      <c r="F2923">
        <v>116.64</v>
      </c>
      <c r="G2923">
        <v>88707.35</v>
      </c>
      <c r="H2923" s="14">
        <v>43768.833333333336</v>
      </c>
    </row>
    <row r="2924" spans="1:8" x14ac:dyDescent="0.25">
      <c r="A2924">
        <v>75</v>
      </c>
      <c r="B2924" t="s">
        <v>203</v>
      </c>
      <c r="C2924">
        <v>11</v>
      </c>
      <c r="D2924">
        <v>0</v>
      </c>
      <c r="E2924">
        <v>0</v>
      </c>
      <c r="F2924">
        <v>131.47</v>
      </c>
      <c r="G2924">
        <v>94789.94</v>
      </c>
      <c r="H2924" s="14">
        <v>43768.833333333336</v>
      </c>
    </row>
    <row r="2925" spans="1:8" x14ac:dyDescent="0.25">
      <c r="A2925">
        <v>75</v>
      </c>
      <c r="B2925" t="s">
        <v>203</v>
      </c>
      <c r="C2925">
        <v>12</v>
      </c>
      <c r="D2925">
        <v>0</v>
      </c>
      <c r="E2925">
        <v>0</v>
      </c>
      <c r="F2925">
        <v>136.06</v>
      </c>
      <c r="G2925">
        <v>96184.27</v>
      </c>
      <c r="H2925" s="14">
        <v>43768.833333333336</v>
      </c>
    </row>
    <row r="2926" spans="1:8" x14ac:dyDescent="0.25">
      <c r="A2926">
        <v>75</v>
      </c>
      <c r="B2926" t="s">
        <v>203</v>
      </c>
      <c r="C2926">
        <v>13</v>
      </c>
      <c r="D2926">
        <v>0</v>
      </c>
      <c r="E2926">
        <v>0</v>
      </c>
      <c r="F2926">
        <v>83.15</v>
      </c>
      <c r="G2926">
        <v>59179.14</v>
      </c>
      <c r="H2926" s="14">
        <v>43768.833333333336</v>
      </c>
    </row>
    <row r="2927" spans="1:8" x14ac:dyDescent="0.25">
      <c r="A2927">
        <v>75</v>
      </c>
      <c r="B2927" t="s">
        <v>203</v>
      </c>
      <c r="C2927">
        <v>14</v>
      </c>
      <c r="D2927">
        <v>0</v>
      </c>
      <c r="E2927">
        <v>0</v>
      </c>
      <c r="F2927">
        <v>82.44</v>
      </c>
      <c r="G2927">
        <v>59071.07</v>
      </c>
      <c r="H2927" s="14">
        <v>43768.833333333336</v>
      </c>
    </row>
    <row r="2928" spans="1:8" x14ac:dyDescent="0.25">
      <c r="A2928">
        <v>75</v>
      </c>
      <c r="B2928" t="s">
        <v>203</v>
      </c>
      <c r="C2928">
        <v>15</v>
      </c>
      <c r="D2928">
        <v>0</v>
      </c>
      <c r="E2928">
        <v>0</v>
      </c>
      <c r="F2928">
        <v>82.03</v>
      </c>
      <c r="G2928">
        <v>58998.73</v>
      </c>
      <c r="H2928" s="14">
        <v>43768.833333333336</v>
      </c>
    </row>
    <row r="2929" spans="1:8" x14ac:dyDescent="0.25">
      <c r="A2929">
        <v>76</v>
      </c>
      <c r="B2929" t="s">
        <v>204</v>
      </c>
      <c r="C2929">
        <v>1</v>
      </c>
      <c r="D2929">
        <v>0</v>
      </c>
      <c r="E2929">
        <v>0</v>
      </c>
      <c r="F2929">
        <v>142.47</v>
      </c>
      <c r="G2929">
        <v>103942.24</v>
      </c>
      <c r="H2929" s="14">
        <v>43768.833333333336</v>
      </c>
    </row>
    <row r="2930" spans="1:8" x14ac:dyDescent="0.25">
      <c r="A2930">
        <v>76</v>
      </c>
      <c r="B2930" t="s">
        <v>204</v>
      </c>
      <c r="C2930">
        <v>2</v>
      </c>
      <c r="D2930">
        <v>0</v>
      </c>
      <c r="E2930">
        <v>0</v>
      </c>
      <c r="F2930">
        <v>143.72999999999999</v>
      </c>
      <c r="G2930">
        <v>102692.19</v>
      </c>
      <c r="H2930" s="14">
        <v>43768.833333333336</v>
      </c>
    </row>
    <row r="2931" spans="1:8" x14ac:dyDescent="0.25">
      <c r="A2931">
        <v>76</v>
      </c>
      <c r="B2931" t="s">
        <v>204</v>
      </c>
      <c r="C2931">
        <v>3</v>
      </c>
      <c r="D2931">
        <v>0</v>
      </c>
      <c r="E2931">
        <v>0</v>
      </c>
      <c r="F2931">
        <v>142.87</v>
      </c>
      <c r="G2931">
        <v>100823.83</v>
      </c>
      <c r="H2931" s="14">
        <v>43768.833333333336</v>
      </c>
    </row>
    <row r="2932" spans="1:8" x14ac:dyDescent="0.25">
      <c r="A2932">
        <v>76</v>
      </c>
      <c r="B2932" t="s">
        <v>204</v>
      </c>
      <c r="C2932">
        <v>4</v>
      </c>
      <c r="D2932">
        <v>0</v>
      </c>
      <c r="E2932">
        <v>0</v>
      </c>
      <c r="F2932">
        <v>141.69999999999999</v>
      </c>
      <c r="G2932">
        <v>101419.85</v>
      </c>
      <c r="H2932" s="14">
        <v>43768.833333333336</v>
      </c>
    </row>
    <row r="2933" spans="1:8" x14ac:dyDescent="0.25">
      <c r="A2933">
        <v>76</v>
      </c>
      <c r="B2933" t="s">
        <v>204</v>
      </c>
      <c r="C2933">
        <v>5</v>
      </c>
      <c r="D2933">
        <v>0</v>
      </c>
      <c r="E2933">
        <v>0</v>
      </c>
      <c r="F2933">
        <v>142.83000000000001</v>
      </c>
      <c r="G2933">
        <v>101943.08</v>
      </c>
      <c r="H2933" s="14">
        <v>43768.833333333336</v>
      </c>
    </row>
    <row r="2934" spans="1:8" x14ac:dyDescent="0.25">
      <c r="A2934">
        <v>76</v>
      </c>
      <c r="B2934" t="s">
        <v>204</v>
      </c>
      <c r="C2934">
        <v>6</v>
      </c>
      <c r="D2934">
        <v>0</v>
      </c>
      <c r="E2934">
        <v>0</v>
      </c>
      <c r="F2934">
        <v>142.72</v>
      </c>
      <c r="G2934">
        <v>102618.88</v>
      </c>
      <c r="H2934" s="14">
        <v>43768.833333333336</v>
      </c>
    </row>
    <row r="2935" spans="1:8" x14ac:dyDescent="0.25">
      <c r="A2935">
        <v>76</v>
      </c>
      <c r="B2935" t="s">
        <v>204</v>
      </c>
      <c r="C2935">
        <v>7</v>
      </c>
      <c r="D2935">
        <v>0</v>
      </c>
      <c r="E2935">
        <v>0</v>
      </c>
      <c r="F2935">
        <v>142.52000000000001</v>
      </c>
      <c r="G2935">
        <v>94017.55</v>
      </c>
      <c r="H2935" s="14">
        <v>43768.833333333336</v>
      </c>
    </row>
    <row r="2936" spans="1:8" x14ac:dyDescent="0.25">
      <c r="A2936">
        <v>76</v>
      </c>
      <c r="B2936" t="s">
        <v>204</v>
      </c>
      <c r="C2936">
        <v>8</v>
      </c>
      <c r="D2936">
        <v>0</v>
      </c>
      <c r="E2936">
        <v>0</v>
      </c>
      <c r="F2936">
        <v>140.87</v>
      </c>
      <c r="G2936">
        <v>102257.39</v>
      </c>
      <c r="H2936" s="14">
        <v>43768.833333333336</v>
      </c>
    </row>
    <row r="2937" spans="1:8" x14ac:dyDescent="0.25">
      <c r="A2937">
        <v>76</v>
      </c>
      <c r="B2937" t="s">
        <v>204</v>
      </c>
      <c r="C2937">
        <v>9</v>
      </c>
      <c r="D2937">
        <v>0</v>
      </c>
      <c r="E2937">
        <v>0</v>
      </c>
      <c r="F2937">
        <v>141.1</v>
      </c>
      <c r="G2937">
        <v>102124.69</v>
      </c>
      <c r="H2937" s="14">
        <v>43768.833333333336</v>
      </c>
    </row>
    <row r="2938" spans="1:8" x14ac:dyDescent="0.25">
      <c r="A2938">
        <v>76</v>
      </c>
      <c r="B2938" t="s">
        <v>204</v>
      </c>
      <c r="C2938">
        <v>10</v>
      </c>
      <c r="D2938">
        <v>0</v>
      </c>
      <c r="E2938">
        <v>0</v>
      </c>
      <c r="F2938">
        <v>141.47</v>
      </c>
      <c r="G2938">
        <v>102174.59</v>
      </c>
      <c r="H2938" s="14">
        <v>43768.833333333336</v>
      </c>
    </row>
    <row r="2939" spans="1:8" x14ac:dyDescent="0.25">
      <c r="A2939">
        <v>76</v>
      </c>
      <c r="B2939" t="s">
        <v>204</v>
      </c>
      <c r="C2939">
        <v>11</v>
      </c>
      <c r="D2939">
        <v>0</v>
      </c>
      <c r="E2939">
        <v>0</v>
      </c>
      <c r="F2939">
        <v>142.21</v>
      </c>
      <c r="G2939">
        <v>102229.69</v>
      </c>
      <c r="H2939" s="14">
        <v>43768.833333333336</v>
      </c>
    </row>
    <row r="2940" spans="1:8" x14ac:dyDescent="0.25">
      <c r="A2940">
        <v>76</v>
      </c>
      <c r="B2940" t="s">
        <v>204</v>
      </c>
      <c r="C2940">
        <v>12</v>
      </c>
      <c r="D2940">
        <v>0</v>
      </c>
      <c r="E2940">
        <v>0</v>
      </c>
      <c r="F2940">
        <v>143.09</v>
      </c>
      <c r="G2940">
        <v>103427.02</v>
      </c>
      <c r="H2940" s="14">
        <v>43768.833333333336</v>
      </c>
    </row>
    <row r="2941" spans="1:8" x14ac:dyDescent="0.25">
      <c r="A2941">
        <v>76</v>
      </c>
      <c r="B2941" t="s">
        <v>204</v>
      </c>
      <c r="C2941">
        <v>13</v>
      </c>
      <c r="D2941">
        <v>0</v>
      </c>
      <c r="E2941">
        <v>0</v>
      </c>
      <c r="F2941">
        <v>144.66999999999999</v>
      </c>
      <c r="G2941">
        <v>103951.98</v>
      </c>
      <c r="H2941" s="14">
        <v>43768.833333333336</v>
      </c>
    </row>
    <row r="2942" spans="1:8" x14ac:dyDescent="0.25">
      <c r="A2942">
        <v>77</v>
      </c>
      <c r="B2942" t="s">
        <v>470</v>
      </c>
      <c r="C2942">
        <v>1</v>
      </c>
      <c r="D2942">
        <v>0</v>
      </c>
      <c r="E2942">
        <v>0</v>
      </c>
      <c r="F2942">
        <v>107.72</v>
      </c>
      <c r="G2942">
        <v>87792</v>
      </c>
      <c r="H2942" s="14">
        <v>43768.833333333336</v>
      </c>
    </row>
    <row r="2943" spans="1:8" x14ac:dyDescent="0.25">
      <c r="A2943">
        <v>77</v>
      </c>
      <c r="B2943" t="s">
        <v>470</v>
      </c>
      <c r="C2943">
        <v>2</v>
      </c>
      <c r="D2943">
        <v>0</v>
      </c>
      <c r="E2943">
        <v>0</v>
      </c>
      <c r="F2943">
        <v>107.87</v>
      </c>
      <c r="G2943">
        <v>82301.009999999995</v>
      </c>
      <c r="H2943" s="14">
        <v>43768.833333333336</v>
      </c>
    </row>
    <row r="2944" spans="1:8" x14ac:dyDescent="0.25">
      <c r="A2944">
        <v>77</v>
      </c>
      <c r="B2944" t="s">
        <v>470</v>
      </c>
      <c r="C2944">
        <v>3</v>
      </c>
      <c r="D2944">
        <v>0</v>
      </c>
      <c r="E2944">
        <v>0</v>
      </c>
      <c r="F2944">
        <v>121.63</v>
      </c>
      <c r="G2944">
        <v>91791.29</v>
      </c>
      <c r="H2944" s="14">
        <v>43768.833333333336</v>
      </c>
    </row>
    <row r="2945" spans="1:8" x14ac:dyDescent="0.25">
      <c r="A2945">
        <v>77</v>
      </c>
      <c r="B2945" t="s">
        <v>470</v>
      </c>
      <c r="C2945">
        <v>4</v>
      </c>
      <c r="D2945">
        <v>0</v>
      </c>
      <c r="E2945">
        <v>0</v>
      </c>
      <c r="F2945">
        <v>120.79</v>
      </c>
      <c r="G2945">
        <v>92296.5</v>
      </c>
      <c r="H2945" s="14">
        <v>43768.833333333336</v>
      </c>
    </row>
    <row r="2946" spans="1:8" x14ac:dyDescent="0.25">
      <c r="A2946">
        <v>77</v>
      </c>
      <c r="B2946" t="s">
        <v>470</v>
      </c>
      <c r="C2946">
        <v>5</v>
      </c>
      <c r="D2946">
        <v>0</v>
      </c>
      <c r="E2946">
        <v>0</v>
      </c>
      <c r="F2946">
        <v>110.45</v>
      </c>
      <c r="G2946">
        <v>89566.69</v>
      </c>
      <c r="H2946" s="14">
        <v>43768.833333333336</v>
      </c>
    </row>
    <row r="2947" spans="1:8" x14ac:dyDescent="0.25">
      <c r="A2947">
        <v>77</v>
      </c>
      <c r="B2947" t="s">
        <v>470</v>
      </c>
      <c r="C2947">
        <v>6</v>
      </c>
      <c r="D2947">
        <v>0</v>
      </c>
      <c r="E2947">
        <v>0</v>
      </c>
      <c r="F2947">
        <v>108.95</v>
      </c>
      <c r="G2947">
        <v>88112.76</v>
      </c>
      <c r="H2947" s="14">
        <v>43768.833333333336</v>
      </c>
    </row>
    <row r="2948" spans="1:8" x14ac:dyDescent="0.25">
      <c r="A2948">
        <v>77</v>
      </c>
      <c r="B2948" t="s">
        <v>470</v>
      </c>
      <c r="C2948">
        <v>7</v>
      </c>
      <c r="D2948">
        <v>0</v>
      </c>
      <c r="E2948">
        <v>0</v>
      </c>
      <c r="F2948">
        <v>120.7</v>
      </c>
      <c r="G2948">
        <v>92855.3</v>
      </c>
      <c r="H2948" s="14">
        <v>43768.833333333336</v>
      </c>
    </row>
    <row r="2949" spans="1:8" x14ac:dyDescent="0.25">
      <c r="A2949">
        <v>77</v>
      </c>
      <c r="B2949" t="s">
        <v>470</v>
      </c>
      <c r="C2949">
        <v>8</v>
      </c>
      <c r="D2949">
        <v>0</v>
      </c>
      <c r="E2949">
        <v>0</v>
      </c>
      <c r="F2949">
        <v>122.08</v>
      </c>
      <c r="G2949">
        <v>91779.74</v>
      </c>
      <c r="H2949" s="14">
        <v>43768.833333333336</v>
      </c>
    </row>
    <row r="2950" spans="1:8" x14ac:dyDescent="0.25">
      <c r="A2950">
        <v>77</v>
      </c>
      <c r="B2950" t="s">
        <v>470</v>
      </c>
      <c r="C2950">
        <v>9</v>
      </c>
      <c r="D2950">
        <v>0</v>
      </c>
      <c r="E2950">
        <v>0</v>
      </c>
      <c r="F2950">
        <v>99.27</v>
      </c>
      <c r="G2950">
        <v>85827.73</v>
      </c>
      <c r="H2950" s="14">
        <v>43768.833333333336</v>
      </c>
    </row>
    <row r="2951" spans="1:8" x14ac:dyDescent="0.25">
      <c r="A2951">
        <v>77</v>
      </c>
      <c r="B2951" t="s">
        <v>470</v>
      </c>
      <c r="C2951">
        <v>10</v>
      </c>
      <c r="D2951">
        <v>0</v>
      </c>
      <c r="E2951">
        <v>0</v>
      </c>
      <c r="F2951">
        <v>129.25</v>
      </c>
      <c r="G2951">
        <v>94882.65</v>
      </c>
      <c r="H2951" s="14">
        <v>43768.833333333336</v>
      </c>
    </row>
    <row r="2952" spans="1:8" x14ac:dyDescent="0.25">
      <c r="A2952">
        <v>77</v>
      </c>
      <c r="B2952" t="s">
        <v>470</v>
      </c>
      <c r="C2952">
        <v>11</v>
      </c>
      <c r="D2952">
        <v>0</v>
      </c>
      <c r="E2952">
        <v>0</v>
      </c>
      <c r="F2952">
        <v>105.74</v>
      </c>
      <c r="G2952">
        <v>79952.94</v>
      </c>
      <c r="H2952" s="14">
        <v>43768.833333333336</v>
      </c>
    </row>
    <row r="2953" spans="1:8" x14ac:dyDescent="0.25">
      <c r="A2953">
        <v>78</v>
      </c>
      <c r="B2953" t="s">
        <v>471</v>
      </c>
      <c r="C2953">
        <v>1</v>
      </c>
      <c r="D2953">
        <v>0</v>
      </c>
      <c r="E2953">
        <v>0</v>
      </c>
      <c r="F2953">
        <v>88.9</v>
      </c>
      <c r="G2953">
        <v>57607.57</v>
      </c>
      <c r="H2953" s="14">
        <v>43768.833333333336</v>
      </c>
    </row>
    <row r="2954" spans="1:8" x14ac:dyDescent="0.25">
      <c r="A2954">
        <v>78</v>
      </c>
      <c r="B2954" t="s">
        <v>471</v>
      </c>
      <c r="C2954">
        <v>2</v>
      </c>
      <c r="D2954">
        <v>0</v>
      </c>
      <c r="E2954">
        <v>0</v>
      </c>
      <c r="F2954">
        <v>75.959999999999994</v>
      </c>
      <c r="G2954">
        <v>57193.8</v>
      </c>
      <c r="H2954" s="14">
        <v>43768.833333333336</v>
      </c>
    </row>
    <row r="2955" spans="1:8" x14ac:dyDescent="0.25">
      <c r="A2955">
        <v>78</v>
      </c>
      <c r="B2955" t="s">
        <v>471</v>
      </c>
      <c r="C2955">
        <v>3</v>
      </c>
      <c r="D2955">
        <v>0</v>
      </c>
      <c r="E2955">
        <v>0</v>
      </c>
      <c r="F2955">
        <v>64.47</v>
      </c>
      <c r="G2955">
        <v>50931.360000000001</v>
      </c>
      <c r="H2955" s="14">
        <v>43768.833333333336</v>
      </c>
    </row>
    <row r="2956" spans="1:8" x14ac:dyDescent="0.25">
      <c r="A2956">
        <v>78</v>
      </c>
      <c r="B2956" t="s">
        <v>471</v>
      </c>
      <c r="C2956">
        <v>4</v>
      </c>
      <c r="D2956">
        <v>0</v>
      </c>
      <c r="E2956">
        <v>0</v>
      </c>
      <c r="F2956">
        <v>37.89</v>
      </c>
      <c r="G2956">
        <v>23060.38</v>
      </c>
      <c r="H2956" s="14">
        <v>43768.833333333336</v>
      </c>
    </row>
    <row r="2957" spans="1:8" x14ac:dyDescent="0.25">
      <c r="A2957">
        <v>79</v>
      </c>
      <c r="B2957" t="s">
        <v>207</v>
      </c>
      <c r="C2957">
        <v>1</v>
      </c>
      <c r="D2957">
        <v>0</v>
      </c>
      <c r="E2957">
        <v>0</v>
      </c>
      <c r="F2957">
        <v>147.44999999999999</v>
      </c>
      <c r="G2957">
        <v>89807.73</v>
      </c>
      <c r="H2957" s="14">
        <v>43768.833333333336</v>
      </c>
    </row>
    <row r="2958" spans="1:8" x14ac:dyDescent="0.25">
      <c r="A2958">
        <v>79</v>
      </c>
      <c r="B2958" t="s">
        <v>207</v>
      </c>
      <c r="C2958">
        <v>2</v>
      </c>
      <c r="D2958">
        <v>0</v>
      </c>
      <c r="E2958">
        <v>0</v>
      </c>
      <c r="F2958">
        <v>139.94999999999999</v>
      </c>
      <c r="G2958">
        <v>85879.67</v>
      </c>
      <c r="H2958" s="14">
        <v>43768.833333333336</v>
      </c>
    </row>
    <row r="2959" spans="1:8" x14ac:dyDescent="0.25">
      <c r="A2959">
        <v>79</v>
      </c>
      <c r="B2959" t="s">
        <v>207</v>
      </c>
      <c r="C2959">
        <v>3</v>
      </c>
      <c r="D2959">
        <v>0</v>
      </c>
      <c r="E2959">
        <v>0</v>
      </c>
      <c r="F2959">
        <v>143.08000000000001</v>
      </c>
      <c r="G2959">
        <v>72447.05</v>
      </c>
      <c r="H2959" s="14">
        <v>43768.833333333336</v>
      </c>
    </row>
    <row r="2960" spans="1:8" x14ac:dyDescent="0.25">
      <c r="A2960">
        <v>79</v>
      </c>
      <c r="B2960" t="s">
        <v>207</v>
      </c>
      <c r="C2960">
        <v>4</v>
      </c>
      <c r="D2960">
        <v>0</v>
      </c>
      <c r="E2960">
        <v>0</v>
      </c>
      <c r="F2960">
        <v>135.58000000000001</v>
      </c>
      <c r="G2960">
        <v>80877.759999999995</v>
      </c>
      <c r="H2960" s="14">
        <v>43768.833333333336</v>
      </c>
    </row>
    <row r="2961" spans="1:8" x14ac:dyDescent="0.25">
      <c r="A2961">
        <v>79</v>
      </c>
      <c r="B2961" t="s">
        <v>207</v>
      </c>
      <c r="C2961">
        <v>5</v>
      </c>
      <c r="D2961">
        <v>0</v>
      </c>
      <c r="E2961">
        <v>0</v>
      </c>
      <c r="F2961">
        <v>115.75</v>
      </c>
      <c r="G2961">
        <v>13428.72</v>
      </c>
      <c r="H2961" s="14">
        <v>43768.833333333336</v>
      </c>
    </row>
    <row r="2962" spans="1:8" x14ac:dyDescent="0.25">
      <c r="A2962">
        <v>79</v>
      </c>
      <c r="B2962" t="s">
        <v>207</v>
      </c>
      <c r="C2962">
        <v>6</v>
      </c>
      <c r="D2962">
        <v>0</v>
      </c>
      <c r="E2962">
        <v>0</v>
      </c>
      <c r="F2962">
        <v>98.14</v>
      </c>
      <c r="G2962">
        <v>65401.760000000002</v>
      </c>
      <c r="H2962" s="14">
        <v>43768.833333333336</v>
      </c>
    </row>
    <row r="2963" spans="1:8" x14ac:dyDescent="0.25">
      <c r="A2963">
        <v>79</v>
      </c>
      <c r="B2963" t="s">
        <v>207</v>
      </c>
      <c r="C2963">
        <v>7</v>
      </c>
      <c r="D2963">
        <v>0</v>
      </c>
      <c r="E2963">
        <v>0</v>
      </c>
      <c r="F2963">
        <v>115.91</v>
      </c>
      <c r="G2963">
        <v>68609.77</v>
      </c>
      <c r="H2963" s="14">
        <v>43768.833333333336</v>
      </c>
    </row>
    <row r="2964" spans="1:8" x14ac:dyDescent="0.25">
      <c r="A2964">
        <v>79</v>
      </c>
      <c r="B2964" t="s">
        <v>207</v>
      </c>
      <c r="C2964">
        <v>8</v>
      </c>
      <c r="D2964">
        <v>0</v>
      </c>
      <c r="E2964">
        <v>0</v>
      </c>
      <c r="F2964">
        <v>122.71</v>
      </c>
      <c r="G2964">
        <v>71125.399999999994</v>
      </c>
      <c r="H2964" s="14">
        <v>43768.833333333336</v>
      </c>
    </row>
    <row r="2965" spans="1:8" x14ac:dyDescent="0.25">
      <c r="A2965">
        <v>79</v>
      </c>
      <c r="B2965" t="s">
        <v>207</v>
      </c>
      <c r="C2965">
        <v>9</v>
      </c>
      <c r="D2965">
        <v>0</v>
      </c>
      <c r="E2965">
        <v>0</v>
      </c>
      <c r="F2965">
        <v>114.61</v>
      </c>
      <c r="G2965">
        <v>73156.399999999994</v>
      </c>
      <c r="H2965" s="14">
        <v>43768.833333333336</v>
      </c>
    </row>
    <row r="2966" spans="1:8" x14ac:dyDescent="0.25">
      <c r="A2966">
        <v>79</v>
      </c>
      <c r="B2966" t="s">
        <v>207</v>
      </c>
      <c r="C2966">
        <v>10</v>
      </c>
      <c r="D2966">
        <v>0</v>
      </c>
      <c r="E2966">
        <v>0</v>
      </c>
      <c r="F2966">
        <v>124.9</v>
      </c>
      <c r="G2966">
        <v>73985.460000000006</v>
      </c>
      <c r="H2966" s="14">
        <v>43768.833333333336</v>
      </c>
    </row>
    <row r="2967" spans="1:8" x14ac:dyDescent="0.25">
      <c r="A2967">
        <v>79</v>
      </c>
      <c r="B2967" t="s">
        <v>207</v>
      </c>
      <c r="C2967">
        <v>11</v>
      </c>
      <c r="D2967">
        <v>0</v>
      </c>
      <c r="E2967">
        <v>0</v>
      </c>
      <c r="F2967">
        <v>123.64</v>
      </c>
      <c r="G2967">
        <v>72618.89</v>
      </c>
      <c r="H2967" s="14">
        <v>43768.833333333336</v>
      </c>
    </row>
    <row r="2968" spans="1:8" x14ac:dyDescent="0.25">
      <c r="A2968">
        <v>79</v>
      </c>
      <c r="B2968" t="s">
        <v>207</v>
      </c>
      <c r="C2968">
        <v>12</v>
      </c>
      <c r="D2968">
        <v>0</v>
      </c>
      <c r="E2968">
        <v>0</v>
      </c>
      <c r="F2968">
        <v>103.71</v>
      </c>
      <c r="G2968">
        <v>68235.72</v>
      </c>
      <c r="H2968" s="14">
        <v>43768.833333333336</v>
      </c>
    </row>
    <row r="2969" spans="1:8" x14ac:dyDescent="0.25">
      <c r="A2969">
        <v>79</v>
      </c>
      <c r="B2969" t="s">
        <v>207</v>
      </c>
      <c r="C2969">
        <v>13</v>
      </c>
      <c r="D2969">
        <v>0</v>
      </c>
      <c r="E2969">
        <v>0</v>
      </c>
      <c r="F2969">
        <v>106.87</v>
      </c>
      <c r="G2969">
        <v>69965.3</v>
      </c>
      <c r="H2969" s="14">
        <v>43768.833333333336</v>
      </c>
    </row>
    <row r="2970" spans="1:8" x14ac:dyDescent="0.25">
      <c r="A2970">
        <v>79</v>
      </c>
      <c r="B2970" t="s">
        <v>207</v>
      </c>
      <c r="C2970">
        <v>14</v>
      </c>
      <c r="D2970">
        <v>0</v>
      </c>
      <c r="E2970">
        <v>0</v>
      </c>
      <c r="F2970">
        <v>109.02</v>
      </c>
      <c r="G2970">
        <v>58680.54</v>
      </c>
      <c r="H2970" s="14">
        <v>43768.833333333336</v>
      </c>
    </row>
    <row r="2971" spans="1:8" x14ac:dyDescent="0.25">
      <c r="A2971">
        <v>79</v>
      </c>
      <c r="B2971" t="s">
        <v>207</v>
      </c>
      <c r="C2971">
        <v>15</v>
      </c>
      <c r="D2971">
        <v>0</v>
      </c>
      <c r="E2971">
        <v>0</v>
      </c>
      <c r="F2971">
        <v>77.3</v>
      </c>
      <c r="G2971">
        <v>53898.16</v>
      </c>
      <c r="H2971" s="14">
        <v>43768.833333333336</v>
      </c>
    </row>
    <row r="2972" spans="1:8" x14ac:dyDescent="0.25">
      <c r="A2972">
        <v>80</v>
      </c>
      <c r="B2972" t="s">
        <v>209</v>
      </c>
      <c r="C2972">
        <v>1</v>
      </c>
      <c r="D2972">
        <v>0</v>
      </c>
      <c r="E2972">
        <v>0</v>
      </c>
      <c r="F2972">
        <v>146.53</v>
      </c>
      <c r="G2972">
        <v>76858.94</v>
      </c>
      <c r="H2972" s="14">
        <v>43768.833333333336</v>
      </c>
    </row>
    <row r="2973" spans="1:8" x14ac:dyDescent="0.25">
      <c r="A2973">
        <v>80</v>
      </c>
      <c r="B2973" t="s">
        <v>209</v>
      </c>
      <c r="C2973">
        <v>2</v>
      </c>
      <c r="D2973">
        <v>0</v>
      </c>
      <c r="E2973">
        <v>0</v>
      </c>
      <c r="F2973">
        <v>134.19999999999999</v>
      </c>
      <c r="G2973">
        <v>84233.77</v>
      </c>
      <c r="H2973" s="14">
        <v>43768.833333333336</v>
      </c>
    </row>
    <row r="2974" spans="1:8" x14ac:dyDescent="0.25">
      <c r="A2974">
        <v>80</v>
      </c>
      <c r="B2974" t="s">
        <v>209</v>
      </c>
      <c r="C2974">
        <v>3</v>
      </c>
      <c r="D2974">
        <v>0</v>
      </c>
      <c r="E2974">
        <v>0</v>
      </c>
      <c r="F2974">
        <v>154.47</v>
      </c>
      <c r="G2974">
        <v>89589.01</v>
      </c>
      <c r="H2974" s="14">
        <v>43768.833333333336</v>
      </c>
    </row>
    <row r="2975" spans="1:8" x14ac:dyDescent="0.25">
      <c r="A2975">
        <v>80</v>
      </c>
      <c r="B2975" t="s">
        <v>209</v>
      </c>
      <c r="C2975">
        <v>4</v>
      </c>
      <c r="D2975">
        <v>0</v>
      </c>
      <c r="E2975">
        <v>0</v>
      </c>
      <c r="F2975">
        <v>127.49</v>
      </c>
      <c r="G2975">
        <v>84052.78</v>
      </c>
      <c r="H2975" s="14">
        <v>43768.833333333336</v>
      </c>
    </row>
    <row r="2976" spans="1:8" x14ac:dyDescent="0.25">
      <c r="A2976">
        <v>80</v>
      </c>
      <c r="B2976" t="s">
        <v>209</v>
      </c>
      <c r="C2976">
        <v>5</v>
      </c>
      <c r="D2976">
        <v>0</v>
      </c>
      <c r="E2976">
        <v>0</v>
      </c>
      <c r="F2976">
        <v>112.6</v>
      </c>
      <c r="G2976">
        <v>83018.559999999998</v>
      </c>
      <c r="H2976" s="14">
        <v>43768.833333333336</v>
      </c>
    </row>
    <row r="2977" spans="1:8" x14ac:dyDescent="0.25">
      <c r="A2977">
        <v>80</v>
      </c>
      <c r="B2977" t="s">
        <v>209</v>
      </c>
      <c r="C2977">
        <v>6</v>
      </c>
      <c r="D2977">
        <v>0</v>
      </c>
      <c r="E2977">
        <v>0</v>
      </c>
      <c r="F2977">
        <v>147.47</v>
      </c>
      <c r="G2977">
        <v>86646.03</v>
      </c>
      <c r="H2977" s="14">
        <v>43768.833333333336</v>
      </c>
    </row>
    <row r="2978" spans="1:8" x14ac:dyDescent="0.25">
      <c r="A2978">
        <v>80</v>
      </c>
      <c r="B2978" t="s">
        <v>209</v>
      </c>
      <c r="C2978">
        <v>7</v>
      </c>
      <c r="D2978">
        <v>0</v>
      </c>
      <c r="E2978">
        <v>0</v>
      </c>
      <c r="F2978">
        <v>122.79</v>
      </c>
      <c r="G2978">
        <v>80394.64</v>
      </c>
      <c r="H2978" s="14">
        <v>43768.833333333336</v>
      </c>
    </row>
    <row r="2979" spans="1:8" x14ac:dyDescent="0.25">
      <c r="A2979">
        <v>80</v>
      </c>
      <c r="B2979" t="s">
        <v>209</v>
      </c>
      <c r="C2979">
        <v>8</v>
      </c>
      <c r="D2979">
        <v>0</v>
      </c>
      <c r="E2979">
        <v>0</v>
      </c>
      <c r="F2979">
        <v>135.28</v>
      </c>
      <c r="G2979">
        <v>83321.440000000002</v>
      </c>
      <c r="H2979" s="14">
        <v>43768.833333333336</v>
      </c>
    </row>
    <row r="2980" spans="1:8" x14ac:dyDescent="0.25">
      <c r="A2980">
        <v>80</v>
      </c>
      <c r="B2980" t="s">
        <v>209</v>
      </c>
      <c r="C2980">
        <v>9</v>
      </c>
      <c r="D2980">
        <v>0</v>
      </c>
      <c r="E2980">
        <v>0</v>
      </c>
      <c r="F2980">
        <v>107.47</v>
      </c>
      <c r="G2980">
        <v>65913.42</v>
      </c>
      <c r="H2980" s="14">
        <v>43768.833333333336</v>
      </c>
    </row>
    <row r="2981" spans="1:8" x14ac:dyDescent="0.25">
      <c r="A2981">
        <v>80</v>
      </c>
      <c r="B2981" t="s">
        <v>209</v>
      </c>
      <c r="C2981">
        <v>10</v>
      </c>
      <c r="D2981">
        <v>0</v>
      </c>
      <c r="E2981">
        <v>0</v>
      </c>
      <c r="F2981">
        <v>154.88999999999999</v>
      </c>
      <c r="G2981">
        <v>91510.56</v>
      </c>
      <c r="H2981" s="14">
        <v>43768.833333333336</v>
      </c>
    </row>
    <row r="2982" spans="1:8" x14ac:dyDescent="0.25">
      <c r="A2982">
        <v>80</v>
      </c>
      <c r="B2982" t="s">
        <v>209</v>
      </c>
      <c r="C2982">
        <v>11</v>
      </c>
      <c r="D2982">
        <v>0</v>
      </c>
      <c r="E2982">
        <v>0</v>
      </c>
      <c r="F2982">
        <v>156.22</v>
      </c>
      <c r="G2982">
        <v>91999.03</v>
      </c>
      <c r="H2982" s="14">
        <v>43768.833333333336</v>
      </c>
    </row>
    <row r="2983" spans="1:8" x14ac:dyDescent="0.25">
      <c r="A2983">
        <v>80</v>
      </c>
      <c r="B2983" t="s">
        <v>209</v>
      </c>
      <c r="C2983">
        <v>12</v>
      </c>
      <c r="D2983">
        <v>0</v>
      </c>
      <c r="E2983">
        <v>0</v>
      </c>
      <c r="F2983">
        <v>143.84</v>
      </c>
      <c r="G2983">
        <v>88147.95</v>
      </c>
      <c r="H2983" s="14">
        <v>43768.833333333336</v>
      </c>
    </row>
    <row r="2984" spans="1:8" x14ac:dyDescent="0.25">
      <c r="A2984">
        <v>80</v>
      </c>
      <c r="B2984" t="s">
        <v>209</v>
      </c>
      <c r="C2984">
        <v>13</v>
      </c>
      <c r="D2984">
        <v>0</v>
      </c>
      <c r="E2984">
        <v>0</v>
      </c>
      <c r="F2984">
        <v>71.42</v>
      </c>
      <c r="G2984">
        <v>42357.17</v>
      </c>
      <c r="H2984" s="14">
        <v>43768.833333333336</v>
      </c>
    </row>
    <row r="2985" spans="1:8" x14ac:dyDescent="0.25">
      <c r="A2985">
        <v>81</v>
      </c>
      <c r="B2985" t="s">
        <v>210</v>
      </c>
      <c r="C2985">
        <v>1</v>
      </c>
      <c r="D2985">
        <v>0</v>
      </c>
      <c r="E2985">
        <v>0</v>
      </c>
      <c r="F2985">
        <v>80.31</v>
      </c>
      <c r="G2985">
        <v>69149.820000000007</v>
      </c>
      <c r="H2985" s="14">
        <v>43768.833333333336</v>
      </c>
    </row>
    <row r="2986" spans="1:8" x14ac:dyDescent="0.25">
      <c r="A2986">
        <v>81</v>
      </c>
      <c r="B2986" t="s">
        <v>210</v>
      </c>
      <c r="C2986">
        <v>2</v>
      </c>
      <c r="D2986">
        <v>0</v>
      </c>
      <c r="E2986">
        <v>0</v>
      </c>
      <c r="F2986">
        <v>78.94</v>
      </c>
      <c r="G2986">
        <v>68537.41</v>
      </c>
      <c r="H2986" s="14">
        <v>43768.833333333336</v>
      </c>
    </row>
    <row r="2987" spans="1:8" x14ac:dyDescent="0.25">
      <c r="A2987">
        <v>81</v>
      </c>
      <c r="B2987" t="s">
        <v>210</v>
      </c>
      <c r="C2987">
        <v>3</v>
      </c>
      <c r="D2987">
        <v>0</v>
      </c>
      <c r="E2987">
        <v>0</v>
      </c>
      <c r="F2987">
        <v>81.459999999999994</v>
      </c>
      <c r="G2987">
        <v>68465.31</v>
      </c>
      <c r="H2987" s="14">
        <v>43768.833333333336</v>
      </c>
    </row>
    <row r="2988" spans="1:8" x14ac:dyDescent="0.25">
      <c r="A2988">
        <v>81</v>
      </c>
      <c r="B2988" t="s">
        <v>210</v>
      </c>
      <c r="C2988">
        <v>4</v>
      </c>
      <c r="D2988">
        <v>0</v>
      </c>
      <c r="E2988">
        <v>0</v>
      </c>
      <c r="F2988">
        <v>89.13</v>
      </c>
      <c r="G2988">
        <v>72350.97</v>
      </c>
      <c r="H2988" s="14">
        <v>43768.833333333336</v>
      </c>
    </row>
    <row r="2989" spans="1:8" x14ac:dyDescent="0.25">
      <c r="A2989">
        <v>81</v>
      </c>
      <c r="B2989" t="s">
        <v>210</v>
      </c>
      <c r="C2989">
        <v>5</v>
      </c>
      <c r="D2989">
        <v>0</v>
      </c>
      <c r="E2989">
        <v>0</v>
      </c>
      <c r="F2989">
        <v>88.03</v>
      </c>
      <c r="G2989">
        <v>72880.28</v>
      </c>
      <c r="H2989" s="14">
        <v>43768.833333333336</v>
      </c>
    </row>
    <row r="2990" spans="1:8" x14ac:dyDescent="0.25">
      <c r="A2990">
        <v>81</v>
      </c>
      <c r="B2990" t="s">
        <v>210</v>
      </c>
      <c r="C2990">
        <v>6</v>
      </c>
      <c r="D2990">
        <v>0</v>
      </c>
      <c r="E2990">
        <v>0</v>
      </c>
      <c r="F2990">
        <v>95.51</v>
      </c>
      <c r="G2990">
        <v>73923.100000000006</v>
      </c>
      <c r="H2990" s="14">
        <v>43768.833333333336</v>
      </c>
    </row>
    <row r="2991" spans="1:8" x14ac:dyDescent="0.25">
      <c r="A2991">
        <v>81</v>
      </c>
      <c r="B2991" t="s">
        <v>210</v>
      </c>
      <c r="C2991">
        <v>7</v>
      </c>
      <c r="D2991">
        <v>0</v>
      </c>
      <c r="E2991">
        <v>0</v>
      </c>
      <c r="F2991">
        <v>90.82</v>
      </c>
      <c r="G2991">
        <v>73155.350000000006</v>
      </c>
      <c r="H2991" s="14">
        <v>43768.833333333336</v>
      </c>
    </row>
    <row r="2992" spans="1:8" x14ac:dyDescent="0.25">
      <c r="A2992">
        <v>81</v>
      </c>
      <c r="B2992" t="s">
        <v>210</v>
      </c>
      <c r="C2992">
        <v>8</v>
      </c>
      <c r="D2992">
        <v>0</v>
      </c>
      <c r="E2992">
        <v>0</v>
      </c>
      <c r="F2992">
        <v>91.09</v>
      </c>
      <c r="G2992">
        <v>72767.149999999994</v>
      </c>
      <c r="H2992" s="14">
        <v>43768.833333333336</v>
      </c>
    </row>
    <row r="2993" spans="1:8" x14ac:dyDescent="0.25">
      <c r="A2993">
        <v>81</v>
      </c>
      <c r="B2993" t="s">
        <v>210</v>
      </c>
      <c r="C2993">
        <v>9</v>
      </c>
      <c r="D2993">
        <v>0</v>
      </c>
      <c r="E2993">
        <v>0</v>
      </c>
      <c r="F2993">
        <v>94.94</v>
      </c>
      <c r="G2993">
        <v>80551.509999999995</v>
      </c>
      <c r="H2993" s="14">
        <v>43768.833333333336</v>
      </c>
    </row>
    <row r="2994" spans="1:8" x14ac:dyDescent="0.25">
      <c r="A2994">
        <v>81</v>
      </c>
      <c r="B2994" t="s">
        <v>210</v>
      </c>
      <c r="C2994">
        <v>10</v>
      </c>
      <c r="D2994">
        <v>0</v>
      </c>
      <c r="E2994">
        <v>0</v>
      </c>
      <c r="F2994">
        <v>95.4</v>
      </c>
      <c r="G2994">
        <v>76564.75</v>
      </c>
      <c r="H2994" s="14">
        <v>43768.833333333336</v>
      </c>
    </row>
    <row r="2995" spans="1:8" x14ac:dyDescent="0.25">
      <c r="A2995">
        <v>81</v>
      </c>
      <c r="B2995" t="s">
        <v>210</v>
      </c>
      <c r="C2995">
        <v>11</v>
      </c>
      <c r="D2995">
        <v>0</v>
      </c>
      <c r="E2995">
        <v>0</v>
      </c>
      <c r="F2995">
        <v>95.88</v>
      </c>
      <c r="G2995">
        <v>76613.38</v>
      </c>
      <c r="H2995" s="14">
        <v>43768.833333333336</v>
      </c>
    </row>
    <row r="2996" spans="1:8" x14ac:dyDescent="0.25">
      <c r="A2996">
        <v>81</v>
      </c>
      <c r="B2996" t="s">
        <v>210</v>
      </c>
      <c r="C2996">
        <v>12</v>
      </c>
      <c r="D2996">
        <v>0</v>
      </c>
      <c r="E2996">
        <v>0</v>
      </c>
      <c r="F2996">
        <v>93.6</v>
      </c>
      <c r="G2996">
        <v>75706.13</v>
      </c>
      <c r="H2996" s="14">
        <v>43768.833333333336</v>
      </c>
    </row>
    <row r="2997" spans="1:8" x14ac:dyDescent="0.25">
      <c r="A2997">
        <v>81</v>
      </c>
      <c r="B2997" t="s">
        <v>210</v>
      </c>
      <c r="C2997">
        <v>13</v>
      </c>
      <c r="D2997">
        <v>0</v>
      </c>
      <c r="E2997">
        <v>0</v>
      </c>
      <c r="F2997">
        <v>94.34</v>
      </c>
      <c r="G2997">
        <v>75683.72</v>
      </c>
      <c r="H2997" s="14">
        <v>43768.833333333336</v>
      </c>
    </row>
    <row r="2998" spans="1:8" x14ac:dyDescent="0.25">
      <c r="A2998">
        <v>81</v>
      </c>
      <c r="B2998" t="s">
        <v>210</v>
      </c>
      <c r="C2998">
        <v>14</v>
      </c>
      <c r="D2998">
        <v>0</v>
      </c>
      <c r="E2998">
        <v>0</v>
      </c>
      <c r="F2998">
        <v>96.06</v>
      </c>
      <c r="G2998">
        <v>76296.639999999999</v>
      </c>
      <c r="H2998" s="14">
        <v>43768.833333333336</v>
      </c>
    </row>
    <row r="2999" spans="1:8" x14ac:dyDescent="0.25">
      <c r="A2999">
        <v>82</v>
      </c>
      <c r="B2999" t="s">
        <v>211</v>
      </c>
      <c r="C2999">
        <v>1</v>
      </c>
      <c r="D2999">
        <v>0</v>
      </c>
      <c r="E2999">
        <v>0</v>
      </c>
      <c r="F2999">
        <v>85.96</v>
      </c>
      <c r="G2999">
        <v>70835.600000000006</v>
      </c>
      <c r="H2999" s="14">
        <v>43768.833333333336</v>
      </c>
    </row>
    <row r="3000" spans="1:8" x14ac:dyDescent="0.25">
      <c r="A3000">
        <v>82</v>
      </c>
      <c r="B3000" t="s">
        <v>211</v>
      </c>
      <c r="C3000">
        <v>2</v>
      </c>
      <c r="D3000">
        <v>0</v>
      </c>
      <c r="E3000">
        <v>0</v>
      </c>
      <c r="F3000">
        <v>94.13</v>
      </c>
      <c r="G3000">
        <v>72958</v>
      </c>
      <c r="H3000" s="14">
        <v>43768.833333333336</v>
      </c>
    </row>
    <row r="3001" spans="1:8" x14ac:dyDescent="0.25">
      <c r="A3001">
        <v>82</v>
      </c>
      <c r="B3001" t="s">
        <v>211</v>
      </c>
      <c r="C3001">
        <v>3</v>
      </c>
      <c r="D3001">
        <v>0</v>
      </c>
      <c r="E3001">
        <v>0</v>
      </c>
      <c r="F3001">
        <v>87.94</v>
      </c>
      <c r="G3001">
        <v>69800.55</v>
      </c>
      <c r="H3001" s="14">
        <v>43768.833333333336</v>
      </c>
    </row>
    <row r="3002" spans="1:8" x14ac:dyDescent="0.25">
      <c r="A3002">
        <v>82</v>
      </c>
      <c r="B3002" t="s">
        <v>211</v>
      </c>
      <c r="C3002">
        <v>4</v>
      </c>
      <c r="D3002">
        <v>0</v>
      </c>
      <c r="E3002">
        <v>0</v>
      </c>
      <c r="F3002">
        <v>90.73</v>
      </c>
      <c r="G3002">
        <v>72066.19</v>
      </c>
      <c r="H3002" s="14">
        <v>43768.833333333336</v>
      </c>
    </row>
    <row r="3003" spans="1:8" x14ac:dyDescent="0.25">
      <c r="A3003">
        <v>82</v>
      </c>
      <c r="B3003" t="s">
        <v>211</v>
      </c>
      <c r="C3003">
        <v>5</v>
      </c>
      <c r="D3003">
        <v>0</v>
      </c>
      <c r="E3003">
        <v>0</v>
      </c>
      <c r="F3003">
        <v>82.5</v>
      </c>
      <c r="G3003">
        <v>69616.179999999993</v>
      </c>
      <c r="H3003" s="14">
        <v>43768.833333333336</v>
      </c>
    </row>
    <row r="3004" spans="1:8" x14ac:dyDescent="0.25">
      <c r="A3004">
        <v>82</v>
      </c>
      <c r="B3004" t="s">
        <v>211</v>
      </c>
      <c r="C3004">
        <v>6</v>
      </c>
      <c r="D3004">
        <v>0</v>
      </c>
      <c r="E3004">
        <v>0</v>
      </c>
      <c r="F3004">
        <v>80.069999999999993</v>
      </c>
      <c r="G3004">
        <v>70156.58</v>
      </c>
      <c r="H3004" s="14">
        <v>43768.833333333336</v>
      </c>
    </row>
    <row r="3005" spans="1:8" x14ac:dyDescent="0.25">
      <c r="A3005">
        <v>82</v>
      </c>
      <c r="B3005" t="s">
        <v>211</v>
      </c>
      <c r="C3005">
        <v>7</v>
      </c>
      <c r="D3005">
        <v>0</v>
      </c>
      <c r="E3005">
        <v>0</v>
      </c>
      <c r="F3005">
        <v>89.58</v>
      </c>
      <c r="G3005">
        <v>75313.22</v>
      </c>
      <c r="H3005" s="14">
        <v>43768.833333333336</v>
      </c>
    </row>
    <row r="3006" spans="1:8" x14ac:dyDescent="0.25">
      <c r="A3006">
        <v>82</v>
      </c>
      <c r="B3006" t="s">
        <v>211</v>
      </c>
      <c r="C3006">
        <v>8</v>
      </c>
      <c r="D3006">
        <v>0</v>
      </c>
      <c r="E3006">
        <v>0</v>
      </c>
      <c r="F3006">
        <v>95.31</v>
      </c>
      <c r="G3006">
        <v>70635.08</v>
      </c>
      <c r="H3006" s="14">
        <v>43768.833333333336</v>
      </c>
    </row>
    <row r="3007" spans="1:8" x14ac:dyDescent="0.25">
      <c r="A3007">
        <v>82</v>
      </c>
      <c r="B3007" t="s">
        <v>211</v>
      </c>
      <c r="C3007">
        <v>9</v>
      </c>
      <c r="D3007">
        <v>0</v>
      </c>
      <c r="E3007">
        <v>0</v>
      </c>
      <c r="F3007">
        <v>93.76</v>
      </c>
      <c r="G3007">
        <v>70532.210000000006</v>
      </c>
      <c r="H3007" s="14">
        <v>43768.833333333336</v>
      </c>
    </row>
    <row r="3008" spans="1:8" x14ac:dyDescent="0.25">
      <c r="A3008">
        <v>82</v>
      </c>
      <c r="B3008" t="s">
        <v>211</v>
      </c>
      <c r="C3008">
        <v>10</v>
      </c>
      <c r="D3008">
        <v>0</v>
      </c>
      <c r="E3008">
        <v>0</v>
      </c>
      <c r="F3008">
        <v>90.6</v>
      </c>
      <c r="G3008">
        <v>72433.98</v>
      </c>
      <c r="H3008" s="14">
        <v>43768.833333333336</v>
      </c>
    </row>
    <row r="3009" spans="1:8" x14ac:dyDescent="0.25">
      <c r="A3009">
        <v>82</v>
      </c>
      <c r="B3009" t="s">
        <v>211</v>
      </c>
      <c r="C3009">
        <v>11</v>
      </c>
      <c r="D3009">
        <v>0</v>
      </c>
      <c r="E3009">
        <v>0</v>
      </c>
      <c r="F3009">
        <v>92.01</v>
      </c>
      <c r="G3009">
        <v>75611.990000000005</v>
      </c>
      <c r="H3009" s="14">
        <v>43768.833333333336</v>
      </c>
    </row>
    <row r="3010" spans="1:8" x14ac:dyDescent="0.25">
      <c r="A3010">
        <v>82</v>
      </c>
      <c r="B3010" t="s">
        <v>211</v>
      </c>
      <c r="C3010">
        <v>12</v>
      </c>
      <c r="D3010">
        <v>0</v>
      </c>
      <c r="E3010">
        <v>0</v>
      </c>
      <c r="F3010">
        <v>96.65</v>
      </c>
      <c r="G3010">
        <v>76850.649999999994</v>
      </c>
      <c r="H3010" s="14">
        <v>43768.833333333336</v>
      </c>
    </row>
    <row r="3011" spans="1:8" x14ac:dyDescent="0.25">
      <c r="A3011">
        <v>82</v>
      </c>
      <c r="B3011" t="s">
        <v>211</v>
      </c>
      <c r="C3011">
        <v>13</v>
      </c>
      <c r="D3011">
        <v>0</v>
      </c>
      <c r="E3011">
        <v>0</v>
      </c>
      <c r="F3011">
        <v>96.32</v>
      </c>
      <c r="G3011">
        <v>75535.149999999994</v>
      </c>
      <c r="H3011" s="14">
        <v>43768.833333333336</v>
      </c>
    </row>
    <row r="3012" spans="1:8" x14ac:dyDescent="0.25">
      <c r="A3012">
        <v>82</v>
      </c>
      <c r="B3012" t="s">
        <v>211</v>
      </c>
      <c r="C3012">
        <v>14</v>
      </c>
      <c r="D3012">
        <v>0</v>
      </c>
      <c r="E3012">
        <v>0</v>
      </c>
      <c r="F3012">
        <v>61.64</v>
      </c>
      <c r="G3012">
        <v>48542.53</v>
      </c>
      <c r="H3012" s="14">
        <v>43768.833333333336</v>
      </c>
    </row>
    <row r="3013" spans="1:8" x14ac:dyDescent="0.25">
      <c r="A3013">
        <v>82</v>
      </c>
      <c r="B3013" t="s">
        <v>211</v>
      </c>
      <c r="C3013">
        <v>15</v>
      </c>
      <c r="D3013">
        <v>0</v>
      </c>
      <c r="E3013">
        <v>0</v>
      </c>
      <c r="F3013">
        <v>31.78</v>
      </c>
      <c r="G3013">
        <v>24437.47</v>
      </c>
      <c r="H3013" s="14">
        <v>43768.833333333336</v>
      </c>
    </row>
    <row r="3014" spans="1:8" x14ac:dyDescent="0.25">
      <c r="A3014">
        <v>83</v>
      </c>
      <c r="B3014" t="s">
        <v>212</v>
      </c>
      <c r="C3014">
        <v>1</v>
      </c>
      <c r="D3014">
        <v>0</v>
      </c>
      <c r="E3014">
        <v>0</v>
      </c>
      <c r="F3014">
        <v>97</v>
      </c>
      <c r="G3014">
        <v>75010.31</v>
      </c>
      <c r="H3014" s="14">
        <v>43768.833333333336</v>
      </c>
    </row>
    <row r="3015" spans="1:8" x14ac:dyDescent="0.25">
      <c r="A3015">
        <v>83</v>
      </c>
      <c r="B3015" t="s">
        <v>212</v>
      </c>
      <c r="C3015">
        <v>2</v>
      </c>
      <c r="D3015">
        <v>0</v>
      </c>
      <c r="E3015">
        <v>0</v>
      </c>
      <c r="F3015">
        <v>94.65</v>
      </c>
      <c r="G3015">
        <v>74938.44</v>
      </c>
      <c r="H3015" s="14">
        <v>43768.833333333336</v>
      </c>
    </row>
    <row r="3016" spans="1:8" x14ac:dyDescent="0.25">
      <c r="A3016">
        <v>83</v>
      </c>
      <c r="B3016" t="s">
        <v>212</v>
      </c>
      <c r="C3016">
        <v>3</v>
      </c>
      <c r="D3016">
        <v>0</v>
      </c>
      <c r="E3016">
        <v>0</v>
      </c>
      <c r="F3016">
        <v>94.76</v>
      </c>
      <c r="G3016">
        <v>75416.41</v>
      </c>
      <c r="H3016" s="14">
        <v>43768.833333333336</v>
      </c>
    </row>
    <row r="3017" spans="1:8" x14ac:dyDescent="0.25">
      <c r="A3017">
        <v>83</v>
      </c>
      <c r="B3017" t="s">
        <v>212</v>
      </c>
      <c r="C3017">
        <v>4</v>
      </c>
      <c r="D3017">
        <v>0</v>
      </c>
      <c r="E3017">
        <v>0</v>
      </c>
      <c r="F3017">
        <v>92.83</v>
      </c>
      <c r="G3017">
        <v>71657.97</v>
      </c>
      <c r="H3017" s="14">
        <v>43768.833333333336</v>
      </c>
    </row>
    <row r="3018" spans="1:8" x14ac:dyDescent="0.25">
      <c r="A3018">
        <v>83</v>
      </c>
      <c r="B3018" t="s">
        <v>212</v>
      </c>
      <c r="C3018">
        <v>5</v>
      </c>
      <c r="D3018">
        <v>0</v>
      </c>
      <c r="E3018">
        <v>0</v>
      </c>
      <c r="F3018">
        <v>90.75</v>
      </c>
      <c r="G3018">
        <v>72341.850000000006</v>
      </c>
      <c r="H3018" s="14">
        <v>43768.833333333336</v>
      </c>
    </row>
    <row r="3019" spans="1:8" x14ac:dyDescent="0.25">
      <c r="A3019">
        <v>83</v>
      </c>
      <c r="B3019" t="s">
        <v>212</v>
      </c>
      <c r="C3019">
        <v>6</v>
      </c>
      <c r="D3019">
        <v>0</v>
      </c>
      <c r="E3019">
        <v>0</v>
      </c>
      <c r="F3019">
        <v>90.87</v>
      </c>
      <c r="G3019">
        <v>72446.03</v>
      </c>
      <c r="H3019" s="14">
        <v>43768.833333333336</v>
      </c>
    </row>
    <row r="3020" spans="1:8" x14ac:dyDescent="0.25">
      <c r="A3020">
        <v>83</v>
      </c>
      <c r="B3020" t="s">
        <v>212</v>
      </c>
      <c r="C3020">
        <v>7</v>
      </c>
      <c r="D3020">
        <v>0</v>
      </c>
      <c r="E3020">
        <v>0</v>
      </c>
      <c r="F3020">
        <v>95.1</v>
      </c>
      <c r="G3020">
        <v>73776.17</v>
      </c>
      <c r="H3020" s="14">
        <v>43768.833333333336</v>
      </c>
    </row>
    <row r="3021" spans="1:8" x14ac:dyDescent="0.25">
      <c r="A3021">
        <v>83</v>
      </c>
      <c r="B3021" t="s">
        <v>212</v>
      </c>
      <c r="C3021">
        <v>8</v>
      </c>
      <c r="D3021">
        <v>0</v>
      </c>
      <c r="E3021">
        <v>0</v>
      </c>
      <c r="F3021">
        <v>97.34</v>
      </c>
      <c r="G3021">
        <v>76422.89</v>
      </c>
      <c r="H3021" s="14">
        <v>43768.833333333336</v>
      </c>
    </row>
    <row r="3022" spans="1:8" x14ac:dyDescent="0.25">
      <c r="A3022">
        <v>83</v>
      </c>
      <c r="B3022" t="s">
        <v>212</v>
      </c>
      <c r="C3022">
        <v>9</v>
      </c>
      <c r="D3022">
        <v>0</v>
      </c>
      <c r="E3022">
        <v>0</v>
      </c>
      <c r="F3022">
        <v>93.51</v>
      </c>
      <c r="G3022">
        <v>75940.2</v>
      </c>
      <c r="H3022" s="14">
        <v>43768.833333333336</v>
      </c>
    </row>
    <row r="3023" spans="1:8" x14ac:dyDescent="0.25">
      <c r="A3023">
        <v>83</v>
      </c>
      <c r="B3023" t="s">
        <v>212</v>
      </c>
      <c r="C3023">
        <v>10</v>
      </c>
      <c r="D3023">
        <v>0</v>
      </c>
      <c r="E3023">
        <v>0</v>
      </c>
      <c r="F3023">
        <v>88.54</v>
      </c>
      <c r="G3023">
        <v>70307.58</v>
      </c>
      <c r="H3023" s="14">
        <v>43768.833333333336</v>
      </c>
    </row>
    <row r="3024" spans="1:8" x14ac:dyDescent="0.25">
      <c r="A3024">
        <v>83</v>
      </c>
      <c r="B3024" t="s">
        <v>212</v>
      </c>
      <c r="C3024">
        <v>11</v>
      </c>
      <c r="D3024">
        <v>0</v>
      </c>
      <c r="E3024">
        <v>0</v>
      </c>
      <c r="F3024">
        <v>82.77</v>
      </c>
      <c r="G3024">
        <v>68662.09</v>
      </c>
      <c r="H3024" s="14">
        <v>43768.833333333336</v>
      </c>
    </row>
    <row r="3025" spans="1:8" x14ac:dyDescent="0.25">
      <c r="A3025">
        <v>83</v>
      </c>
      <c r="B3025" t="s">
        <v>212</v>
      </c>
      <c r="C3025">
        <v>12</v>
      </c>
      <c r="D3025">
        <v>0</v>
      </c>
      <c r="E3025">
        <v>0</v>
      </c>
      <c r="F3025">
        <v>84.21</v>
      </c>
      <c r="G3025">
        <v>70649.259999999995</v>
      </c>
      <c r="H3025" s="14">
        <v>43768.833333333336</v>
      </c>
    </row>
    <row r="3026" spans="1:8" x14ac:dyDescent="0.25">
      <c r="A3026">
        <v>83</v>
      </c>
      <c r="B3026" t="s">
        <v>212</v>
      </c>
      <c r="C3026">
        <v>13</v>
      </c>
      <c r="D3026">
        <v>0</v>
      </c>
      <c r="E3026">
        <v>0</v>
      </c>
      <c r="F3026">
        <v>60.16</v>
      </c>
      <c r="G3026">
        <v>47379.25</v>
      </c>
      <c r="H3026" s="14">
        <v>43768.833333333336</v>
      </c>
    </row>
    <row r="3027" spans="1:8" x14ac:dyDescent="0.25">
      <c r="A3027">
        <v>83</v>
      </c>
      <c r="B3027" t="s">
        <v>212</v>
      </c>
      <c r="C3027">
        <v>14</v>
      </c>
      <c r="D3027">
        <v>0</v>
      </c>
      <c r="E3027">
        <v>0</v>
      </c>
      <c r="F3027">
        <v>56.81</v>
      </c>
      <c r="G3027">
        <v>45800.800000000003</v>
      </c>
      <c r="H3027" s="14">
        <v>43768.833333333336</v>
      </c>
    </row>
    <row r="3028" spans="1:8" x14ac:dyDescent="0.25">
      <c r="A3028">
        <v>83</v>
      </c>
      <c r="B3028" t="s">
        <v>212</v>
      </c>
      <c r="C3028">
        <v>15</v>
      </c>
      <c r="D3028">
        <v>0</v>
      </c>
      <c r="E3028">
        <v>0</v>
      </c>
      <c r="F3028">
        <v>61.96</v>
      </c>
      <c r="G3028">
        <v>48764.33</v>
      </c>
      <c r="H3028" s="14">
        <v>43768.833333333336</v>
      </c>
    </row>
    <row r="3029" spans="1:8" x14ac:dyDescent="0.25">
      <c r="A3029">
        <v>84</v>
      </c>
      <c r="B3029" t="s">
        <v>213</v>
      </c>
      <c r="C3029">
        <v>1</v>
      </c>
      <c r="D3029">
        <v>0</v>
      </c>
      <c r="E3029">
        <v>0</v>
      </c>
      <c r="F3029">
        <v>83.94</v>
      </c>
      <c r="G3029">
        <v>74141.23</v>
      </c>
      <c r="H3029" s="14">
        <v>43768.833333333336</v>
      </c>
    </row>
    <row r="3030" spans="1:8" x14ac:dyDescent="0.25">
      <c r="A3030">
        <v>84</v>
      </c>
      <c r="B3030" t="s">
        <v>213</v>
      </c>
      <c r="C3030">
        <v>2</v>
      </c>
      <c r="D3030">
        <v>0</v>
      </c>
      <c r="E3030">
        <v>0</v>
      </c>
      <c r="F3030">
        <v>87.92</v>
      </c>
      <c r="G3030">
        <v>72471.850000000006</v>
      </c>
      <c r="H3030" s="14">
        <v>43768.833333333336</v>
      </c>
    </row>
    <row r="3031" spans="1:8" x14ac:dyDescent="0.25">
      <c r="A3031">
        <v>84</v>
      </c>
      <c r="B3031" t="s">
        <v>213</v>
      </c>
      <c r="C3031">
        <v>3</v>
      </c>
      <c r="D3031">
        <v>0</v>
      </c>
      <c r="E3031">
        <v>0</v>
      </c>
      <c r="F3031">
        <v>82.42</v>
      </c>
      <c r="G3031">
        <v>73448.990000000005</v>
      </c>
      <c r="H3031" s="14">
        <v>43768.833333333336</v>
      </c>
    </row>
    <row r="3032" spans="1:8" x14ac:dyDescent="0.25">
      <c r="A3032">
        <v>84</v>
      </c>
      <c r="B3032" t="s">
        <v>213</v>
      </c>
      <c r="C3032">
        <v>4</v>
      </c>
      <c r="D3032">
        <v>0</v>
      </c>
      <c r="E3032">
        <v>0</v>
      </c>
      <c r="F3032">
        <v>94.91</v>
      </c>
      <c r="G3032">
        <v>72868.600000000006</v>
      </c>
      <c r="H3032" s="14">
        <v>43768.833333333336</v>
      </c>
    </row>
    <row r="3033" spans="1:8" x14ac:dyDescent="0.25">
      <c r="A3033">
        <v>84</v>
      </c>
      <c r="B3033" t="s">
        <v>213</v>
      </c>
      <c r="C3033">
        <v>5</v>
      </c>
      <c r="D3033">
        <v>0</v>
      </c>
      <c r="E3033">
        <v>0</v>
      </c>
      <c r="F3033">
        <v>94.46</v>
      </c>
      <c r="G3033">
        <v>71679.149999999994</v>
      </c>
      <c r="H3033" s="14">
        <v>43768.833333333336</v>
      </c>
    </row>
    <row r="3034" spans="1:8" x14ac:dyDescent="0.25">
      <c r="A3034">
        <v>84</v>
      </c>
      <c r="B3034" t="s">
        <v>213</v>
      </c>
      <c r="C3034">
        <v>6</v>
      </c>
      <c r="D3034">
        <v>0</v>
      </c>
      <c r="E3034">
        <v>0</v>
      </c>
      <c r="F3034">
        <v>92.42</v>
      </c>
      <c r="G3034">
        <v>72350.75</v>
      </c>
      <c r="H3034" s="14">
        <v>43768.833333333336</v>
      </c>
    </row>
    <row r="3035" spans="1:8" x14ac:dyDescent="0.25">
      <c r="A3035">
        <v>84</v>
      </c>
      <c r="B3035" t="s">
        <v>213</v>
      </c>
      <c r="C3035">
        <v>7</v>
      </c>
      <c r="D3035">
        <v>0</v>
      </c>
      <c r="E3035">
        <v>0</v>
      </c>
      <c r="F3035">
        <v>83.71</v>
      </c>
      <c r="G3035">
        <v>73118.06</v>
      </c>
      <c r="H3035" s="14">
        <v>43768.833333333336</v>
      </c>
    </row>
    <row r="3036" spans="1:8" x14ac:dyDescent="0.25">
      <c r="A3036">
        <v>84</v>
      </c>
      <c r="B3036" t="s">
        <v>213</v>
      </c>
      <c r="C3036">
        <v>8</v>
      </c>
      <c r="D3036">
        <v>0</v>
      </c>
      <c r="E3036">
        <v>0</v>
      </c>
      <c r="F3036">
        <v>83.81</v>
      </c>
      <c r="G3036">
        <v>76387.520000000004</v>
      </c>
      <c r="H3036" s="14">
        <v>43768.833333333336</v>
      </c>
    </row>
    <row r="3037" spans="1:8" x14ac:dyDescent="0.25">
      <c r="A3037">
        <v>84</v>
      </c>
      <c r="B3037" t="s">
        <v>213</v>
      </c>
      <c r="C3037">
        <v>9</v>
      </c>
      <c r="D3037">
        <v>0</v>
      </c>
      <c r="E3037">
        <v>0</v>
      </c>
      <c r="F3037">
        <v>61.74</v>
      </c>
      <c r="G3037">
        <v>68848.98</v>
      </c>
      <c r="H3037" s="14">
        <v>43768.833333333336</v>
      </c>
    </row>
    <row r="3038" spans="1:8" x14ac:dyDescent="0.25">
      <c r="A3038">
        <v>84</v>
      </c>
      <c r="B3038" t="s">
        <v>213</v>
      </c>
      <c r="C3038">
        <v>10</v>
      </c>
      <c r="D3038">
        <v>0</v>
      </c>
      <c r="E3038">
        <v>0</v>
      </c>
      <c r="F3038">
        <v>60.83</v>
      </c>
      <c r="G3038">
        <v>70311.09</v>
      </c>
      <c r="H3038" s="14">
        <v>43768.833333333336</v>
      </c>
    </row>
    <row r="3039" spans="1:8" x14ac:dyDescent="0.25">
      <c r="A3039">
        <v>84</v>
      </c>
      <c r="B3039" t="s">
        <v>213</v>
      </c>
      <c r="C3039">
        <v>11</v>
      </c>
      <c r="D3039">
        <v>0</v>
      </c>
      <c r="E3039">
        <v>0</v>
      </c>
      <c r="F3039">
        <v>56.37</v>
      </c>
      <c r="G3039">
        <v>68310.17</v>
      </c>
      <c r="H3039" s="14">
        <v>43768.833333333336</v>
      </c>
    </row>
    <row r="3040" spans="1:8" x14ac:dyDescent="0.25">
      <c r="A3040">
        <v>84</v>
      </c>
      <c r="B3040" t="s">
        <v>213</v>
      </c>
      <c r="C3040">
        <v>12</v>
      </c>
      <c r="D3040">
        <v>0</v>
      </c>
      <c r="E3040">
        <v>0</v>
      </c>
      <c r="F3040">
        <v>86.38</v>
      </c>
      <c r="G3040">
        <v>75327.22</v>
      </c>
      <c r="H3040" s="14">
        <v>43768.833333333336</v>
      </c>
    </row>
    <row r="3041" spans="1:8" x14ac:dyDescent="0.25">
      <c r="A3041">
        <v>84</v>
      </c>
      <c r="B3041" t="s">
        <v>213</v>
      </c>
      <c r="C3041">
        <v>13</v>
      </c>
      <c r="D3041">
        <v>0</v>
      </c>
      <c r="E3041">
        <v>0</v>
      </c>
      <c r="F3041">
        <v>84.84</v>
      </c>
      <c r="G3041">
        <v>73378.22</v>
      </c>
      <c r="H3041" s="14">
        <v>43768.833333333336</v>
      </c>
    </row>
    <row r="3042" spans="1:8" x14ac:dyDescent="0.25">
      <c r="A3042">
        <v>84</v>
      </c>
      <c r="B3042" t="s">
        <v>213</v>
      </c>
      <c r="C3042">
        <v>14</v>
      </c>
      <c r="D3042">
        <v>0</v>
      </c>
      <c r="E3042">
        <v>0</v>
      </c>
      <c r="F3042">
        <v>88.93</v>
      </c>
      <c r="G3042">
        <v>74326.67</v>
      </c>
      <c r="H3042" s="14">
        <v>43768.833333333336</v>
      </c>
    </row>
    <row r="3043" spans="1:8" x14ac:dyDescent="0.25">
      <c r="A3043">
        <v>85</v>
      </c>
      <c r="B3043" t="s">
        <v>214</v>
      </c>
      <c r="C3043">
        <v>1</v>
      </c>
      <c r="D3043">
        <v>0</v>
      </c>
      <c r="E3043">
        <v>0</v>
      </c>
      <c r="F3043">
        <v>97.02</v>
      </c>
      <c r="G3043">
        <v>67723.100000000006</v>
      </c>
      <c r="H3043" s="14">
        <v>43768.833333333336</v>
      </c>
    </row>
    <row r="3044" spans="1:8" x14ac:dyDescent="0.25">
      <c r="A3044">
        <v>85</v>
      </c>
      <c r="B3044" t="s">
        <v>214</v>
      </c>
      <c r="C3044">
        <v>2</v>
      </c>
      <c r="D3044">
        <v>0</v>
      </c>
      <c r="E3044">
        <v>0</v>
      </c>
      <c r="F3044">
        <v>95.51</v>
      </c>
      <c r="G3044">
        <v>68091.92</v>
      </c>
      <c r="H3044" s="14">
        <v>43768.833333333336</v>
      </c>
    </row>
    <row r="3045" spans="1:8" x14ac:dyDescent="0.25">
      <c r="A3045">
        <v>85</v>
      </c>
      <c r="B3045" t="s">
        <v>214</v>
      </c>
      <c r="C3045">
        <v>3</v>
      </c>
      <c r="D3045">
        <v>0</v>
      </c>
      <c r="E3045">
        <v>0</v>
      </c>
      <c r="F3045">
        <v>97.5</v>
      </c>
      <c r="G3045">
        <v>68814.509999999995</v>
      </c>
      <c r="H3045" s="14">
        <v>43768.833333333336</v>
      </c>
    </row>
    <row r="3046" spans="1:8" x14ac:dyDescent="0.25">
      <c r="A3046">
        <v>85</v>
      </c>
      <c r="B3046" t="s">
        <v>214</v>
      </c>
      <c r="C3046">
        <v>4</v>
      </c>
      <c r="D3046">
        <v>0</v>
      </c>
      <c r="E3046">
        <v>0</v>
      </c>
      <c r="F3046">
        <v>97.14</v>
      </c>
      <c r="G3046">
        <v>68114.570000000007</v>
      </c>
      <c r="H3046" s="14">
        <v>43768.833333333336</v>
      </c>
    </row>
    <row r="3047" spans="1:8" x14ac:dyDescent="0.25">
      <c r="A3047">
        <v>85</v>
      </c>
      <c r="B3047" t="s">
        <v>214</v>
      </c>
      <c r="C3047">
        <v>5</v>
      </c>
      <c r="D3047">
        <v>0</v>
      </c>
      <c r="E3047">
        <v>0</v>
      </c>
      <c r="F3047">
        <v>98.21</v>
      </c>
      <c r="G3047">
        <v>68054.22</v>
      </c>
      <c r="H3047" s="14">
        <v>43768.833333333336</v>
      </c>
    </row>
    <row r="3048" spans="1:8" x14ac:dyDescent="0.25">
      <c r="A3048">
        <v>85</v>
      </c>
      <c r="B3048" t="s">
        <v>214</v>
      </c>
      <c r="C3048">
        <v>6</v>
      </c>
      <c r="D3048">
        <v>0</v>
      </c>
      <c r="E3048">
        <v>0</v>
      </c>
      <c r="F3048">
        <v>96.87</v>
      </c>
      <c r="G3048">
        <v>68990.460000000006</v>
      </c>
      <c r="H3048" s="14">
        <v>43768.833333333336</v>
      </c>
    </row>
    <row r="3049" spans="1:8" x14ac:dyDescent="0.25">
      <c r="A3049">
        <v>85</v>
      </c>
      <c r="B3049" t="s">
        <v>214</v>
      </c>
      <c r="C3049">
        <v>7</v>
      </c>
      <c r="D3049">
        <v>0</v>
      </c>
      <c r="E3049">
        <v>0</v>
      </c>
      <c r="F3049">
        <v>98.89</v>
      </c>
      <c r="G3049">
        <v>68503.3</v>
      </c>
      <c r="H3049" s="14">
        <v>43768.833333333336</v>
      </c>
    </row>
    <row r="3050" spans="1:8" x14ac:dyDescent="0.25">
      <c r="A3050">
        <v>85</v>
      </c>
      <c r="B3050" t="s">
        <v>214</v>
      </c>
      <c r="C3050">
        <v>8</v>
      </c>
      <c r="D3050">
        <v>0</v>
      </c>
      <c r="E3050">
        <v>0</v>
      </c>
      <c r="F3050">
        <v>98.87</v>
      </c>
      <c r="G3050">
        <v>68509.440000000002</v>
      </c>
      <c r="H3050" s="14">
        <v>43768.833333333336</v>
      </c>
    </row>
    <row r="3051" spans="1:8" x14ac:dyDescent="0.25">
      <c r="A3051">
        <v>85</v>
      </c>
      <c r="B3051" t="s">
        <v>214</v>
      </c>
      <c r="C3051">
        <v>9</v>
      </c>
      <c r="D3051">
        <v>0</v>
      </c>
      <c r="E3051">
        <v>0</v>
      </c>
      <c r="F3051">
        <v>98</v>
      </c>
      <c r="G3051">
        <v>68337.789999999994</v>
      </c>
      <c r="H3051" s="14">
        <v>43768.833333333336</v>
      </c>
    </row>
    <row r="3052" spans="1:8" x14ac:dyDescent="0.25">
      <c r="A3052">
        <v>85</v>
      </c>
      <c r="B3052" t="s">
        <v>214</v>
      </c>
      <c r="C3052">
        <v>10</v>
      </c>
      <c r="D3052">
        <v>0</v>
      </c>
      <c r="E3052">
        <v>0</v>
      </c>
      <c r="F3052">
        <v>98.46</v>
      </c>
      <c r="G3052">
        <v>39918.379999999997</v>
      </c>
      <c r="H3052" s="14">
        <v>43768.833333333336</v>
      </c>
    </row>
    <row r="3053" spans="1:8" x14ac:dyDescent="0.25">
      <c r="A3053">
        <v>85</v>
      </c>
      <c r="B3053" t="s">
        <v>214</v>
      </c>
      <c r="C3053">
        <v>11</v>
      </c>
      <c r="D3053">
        <v>0</v>
      </c>
      <c r="E3053">
        <v>0</v>
      </c>
      <c r="F3053">
        <v>99.7</v>
      </c>
      <c r="G3053">
        <v>69219.199999999997</v>
      </c>
      <c r="H3053" s="14">
        <v>43768.833333333336</v>
      </c>
    </row>
    <row r="3054" spans="1:8" x14ac:dyDescent="0.25">
      <c r="A3054">
        <v>85</v>
      </c>
      <c r="B3054" t="s">
        <v>214</v>
      </c>
      <c r="C3054">
        <v>12</v>
      </c>
      <c r="D3054">
        <v>0</v>
      </c>
      <c r="E3054">
        <v>0</v>
      </c>
      <c r="F3054">
        <v>29.85</v>
      </c>
      <c r="G3054">
        <v>22097.63</v>
      </c>
      <c r="H3054" s="14">
        <v>43768.833333333336</v>
      </c>
    </row>
    <row r="3055" spans="1:8" x14ac:dyDescent="0.25">
      <c r="A3055">
        <v>86</v>
      </c>
      <c r="B3055" t="s">
        <v>215</v>
      </c>
      <c r="C3055">
        <v>1</v>
      </c>
      <c r="D3055">
        <v>0</v>
      </c>
      <c r="E3055">
        <v>0</v>
      </c>
      <c r="F3055">
        <v>87.35</v>
      </c>
      <c r="G3055">
        <v>68215.22</v>
      </c>
      <c r="H3055" s="14">
        <v>43768.833333333336</v>
      </c>
    </row>
    <row r="3056" spans="1:8" x14ac:dyDescent="0.25">
      <c r="A3056">
        <v>86</v>
      </c>
      <c r="B3056" t="s">
        <v>215</v>
      </c>
      <c r="C3056">
        <v>2</v>
      </c>
      <c r="D3056">
        <v>0</v>
      </c>
      <c r="E3056">
        <v>0</v>
      </c>
      <c r="F3056">
        <v>81.5</v>
      </c>
      <c r="G3056">
        <v>67333.259999999995</v>
      </c>
      <c r="H3056" s="14">
        <v>43768.833333333336</v>
      </c>
    </row>
    <row r="3057" spans="1:8" x14ac:dyDescent="0.25">
      <c r="A3057">
        <v>86</v>
      </c>
      <c r="B3057" t="s">
        <v>215</v>
      </c>
      <c r="C3057">
        <v>3</v>
      </c>
      <c r="D3057">
        <v>0</v>
      </c>
      <c r="E3057">
        <v>0</v>
      </c>
      <c r="F3057">
        <v>76.760000000000005</v>
      </c>
      <c r="G3057">
        <v>64901.32</v>
      </c>
      <c r="H3057" s="14">
        <v>43768.833333333336</v>
      </c>
    </row>
    <row r="3058" spans="1:8" x14ac:dyDescent="0.25">
      <c r="A3058">
        <v>87</v>
      </c>
      <c r="B3058" t="s">
        <v>216</v>
      </c>
      <c r="C3058">
        <v>1</v>
      </c>
      <c r="D3058">
        <v>0</v>
      </c>
      <c r="E3058">
        <v>0</v>
      </c>
      <c r="F3058">
        <v>98.35</v>
      </c>
      <c r="G3058">
        <v>71245.289999999994</v>
      </c>
      <c r="H3058" s="14">
        <v>43768.833333333336</v>
      </c>
    </row>
    <row r="3059" spans="1:8" x14ac:dyDescent="0.25">
      <c r="A3059">
        <v>87</v>
      </c>
      <c r="B3059" t="s">
        <v>216</v>
      </c>
      <c r="C3059">
        <v>2</v>
      </c>
      <c r="D3059">
        <v>0</v>
      </c>
      <c r="E3059">
        <v>0</v>
      </c>
      <c r="F3059">
        <v>98.52</v>
      </c>
      <c r="G3059">
        <v>71372.039999999994</v>
      </c>
      <c r="H3059" s="14">
        <v>43768.833333333336</v>
      </c>
    </row>
    <row r="3060" spans="1:8" x14ac:dyDescent="0.25">
      <c r="A3060">
        <v>87</v>
      </c>
      <c r="B3060" t="s">
        <v>216</v>
      </c>
      <c r="C3060">
        <v>3</v>
      </c>
      <c r="D3060">
        <v>0</v>
      </c>
      <c r="E3060">
        <v>0</v>
      </c>
      <c r="F3060">
        <v>99.86</v>
      </c>
      <c r="G3060">
        <v>70932.399999999994</v>
      </c>
      <c r="H3060" s="14">
        <v>43768.833333333336</v>
      </c>
    </row>
    <row r="3061" spans="1:8" x14ac:dyDescent="0.25">
      <c r="A3061">
        <v>87</v>
      </c>
      <c r="B3061" t="s">
        <v>216</v>
      </c>
      <c r="C3061">
        <v>4</v>
      </c>
      <c r="D3061">
        <v>0</v>
      </c>
      <c r="E3061">
        <v>0</v>
      </c>
      <c r="F3061">
        <v>82.62</v>
      </c>
      <c r="G3061">
        <v>65255.519999999997</v>
      </c>
      <c r="H3061" s="14">
        <v>43768.833333333336</v>
      </c>
    </row>
    <row r="3062" spans="1:8" x14ac:dyDescent="0.25">
      <c r="A3062">
        <v>87</v>
      </c>
      <c r="B3062" t="s">
        <v>216</v>
      </c>
      <c r="C3062">
        <v>5</v>
      </c>
      <c r="D3062">
        <v>0</v>
      </c>
      <c r="E3062">
        <v>0</v>
      </c>
      <c r="F3062">
        <v>100</v>
      </c>
      <c r="G3062">
        <v>73105.710000000006</v>
      </c>
      <c r="H3062" s="14">
        <v>43768.833333333336</v>
      </c>
    </row>
    <row r="3063" spans="1:8" x14ac:dyDescent="0.25">
      <c r="A3063">
        <v>87</v>
      </c>
      <c r="B3063" t="s">
        <v>216</v>
      </c>
      <c r="C3063">
        <v>6</v>
      </c>
      <c r="D3063">
        <v>0</v>
      </c>
      <c r="E3063">
        <v>0</v>
      </c>
      <c r="F3063">
        <v>99.65</v>
      </c>
      <c r="G3063">
        <v>72738.66</v>
      </c>
      <c r="H3063" s="14">
        <v>43768.833333333336</v>
      </c>
    </row>
    <row r="3064" spans="1:8" x14ac:dyDescent="0.25">
      <c r="A3064">
        <v>87</v>
      </c>
      <c r="B3064" t="s">
        <v>216</v>
      </c>
      <c r="C3064">
        <v>7</v>
      </c>
      <c r="D3064">
        <v>0</v>
      </c>
      <c r="E3064">
        <v>0</v>
      </c>
      <c r="F3064">
        <v>100.48</v>
      </c>
      <c r="G3064">
        <v>71356.97</v>
      </c>
      <c r="H3064" s="14">
        <v>43768.833333333336</v>
      </c>
    </row>
    <row r="3065" spans="1:8" x14ac:dyDescent="0.25">
      <c r="A3065">
        <v>87</v>
      </c>
      <c r="B3065" t="s">
        <v>216</v>
      </c>
      <c r="C3065">
        <v>8</v>
      </c>
      <c r="D3065">
        <v>0</v>
      </c>
      <c r="E3065">
        <v>0</v>
      </c>
      <c r="F3065">
        <v>96.56</v>
      </c>
      <c r="G3065">
        <v>71477.5</v>
      </c>
      <c r="H3065" s="14">
        <v>43768.833333333336</v>
      </c>
    </row>
    <row r="3066" spans="1:8" x14ac:dyDescent="0.25">
      <c r="A3066">
        <v>87</v>
      </c>
      <c r="B3066" t="s">
        <v>216</v>
      </c>
      <c r="C3066">
        <v>9</v>
      </c>
      <c r="D3066">
        <v>0</v>
      </c>
      <c r="E3066">
        <v>0</v>
      </c>
      <c r="F3066">
        <v>100.74</v>
      </c>
      <c r="G3066">
        <v>72623.5</v>
      </c>
      <c r="H3066" s="14">
        <v>43768.833333333336</v>
      </c>
    </row>
    <row r="3067" spans="1:8" x14ac:dyDescent="0.25">
      <c r="A3067">
        <v>87</v>
      </c>
      <c r="B3067" t="s">
        <v>216</v>
      </c>
      <c r="C3067">
        <v>10</v>
      </c>
      <c r="D3067">
        <v>0</v>
      </c>
      <c r="E3067">
        <v>0</v>
      </c>
      <c r="F3067">
        <v>97.46</v>
      </c>
      <c r="G3067">
        <v>71772.78</v>
      </c>
      <c r="H3067" s="14">
        <v>43768.833333333336</v>
      </c>
    </row>
    <row r="3068" spans="1:8" x14ac:dyDescent="0.25">
      <c r="A3068">
        <v>87</v>
      </c>
      <c r="B3068" t="s">
        <v>216</v>
      </c>
      <c r="C3068">
        <v>11</v>
      </c>
      <c r="D3068">
        <v>0</v>
      </c>
      <c r="E3068">
        <v>0</v>
      </c>
      <c r="F3068">
        <v>97.23</v>
      </c>
      <c r="G3068">
        <v>67671.850000000006</v>
      </c>
      <c r="H3068" s="14">
        <v>43768.833333333336</v>
      </c>
    </row>
    <row r="3069" spans="1:8" x14ac:dyDescent="0.25">
      <c r="A3069">
        <v>87</v>
      </c>
      <c r="B3069" t="s">
        <v>216</v>
      </c>
      <c r="C3069">
        <v>12</v>
      </c>
      <c r="D3069">
        <v>0</v>
      </c>
      <c r="E3069">
        <v>0</v>
      </c>
      <c r="F3069">
        <v>99.05</v>
      </c>
      <c r="G3069">
        <v>72489.98</v>
      </c>
      <c r="H3069" s="14">
        <v>43768.833333333336</v>
      </c>
    </row>
    <row r="3070" spans="1:8" x14ac:dyDescent="0.25">
      <c r="A3070">
        <v>87</v>
      </c>
      <c r="B3070" t="s">
        <v>216</v>
      </c>
      <c r="C3070">
        <v>13</v>
      </c>
      <c r="D3070">
        <v>0</v>
      </c>
      <c r="E3070">
        <v>0</v>
      </c>
      <c r="F3070">
        <v>101.41</v>
      </c>
      <c r="G3070">
        <v>73061.75</v>
      </c>
      <c r="H3070" s="14">
        <v>43768.833333333336</v>
      </c>
    </row>
    <row r="3071" spans="1:8" x14ac:dyDescent="0.25">
      <c r="A3071">
        <v>87</v>
      </c>
      <c r="B3071" t="s">
        <v>216</v>
      </c>
      <c r="C3071">
        <v>14</v>
      </c>
      <c r="D3071">
        <v>0</v>
      </c>
      <c r="E3071">
        <v>0</v>
      </c>
      <c r="F3071">
        <v>99.5</v>
      </c>
      <c r="G3071">
        <v>72846.45</v>
      </c>
      <c r="H3071" s="14">
        <v>43768.833333333336</v>
      </c>
    </row>
    <row r="3072" spans="1:8" x14ac:dyDescent="0.25">
      <c r="A3072">
        <v>87</v>
      </c>
      <c r="B3072" t="s">
        <v>216</v>
      </c>
      <c r="C3072">
        <v>15</v>
      </c>
      <c r="D3072">
        <v>0</v>
      </c>
      <c r="E3072">
        <v>0</v>
      </c>
      <c r="F3072">
        <v>34.33</v>
      </c>
      <c r="G3072">
        <v>22989.56</v>
      </c>
      <c r="H3072" s="14">
        <v>43768.833333333336</v>
      </c>
    </row>
    <row r="3073" spans="1:8" x14ac:dyDescent="0.25">
      <c r="A3073">
        <v>88</v>
      </c>
      <c r="B3073" t="s">
        <v>217</v>
      </c>
      <c r="C3073">
        <v>1</v>
      </c>
      <c r="D3073">
        <v>0</v>
      </c>
      <c r="E3073">
        <v>0</v>
      </c>
      <c r="F3073">
        <v>92.74</v>
      </c>
      <c r="G3073">
        <v>71755.67</v>
      </c>
      <c r="H3073" s="14">
        <v>43768.833333333336</v>
      </c>
    </row>
    <row r="3074" spans="1:8" x14ac:dyDescent="0.25">
      <c r="A3074">
        <v>88</v>
      </c>
      <c r="B3074" t="s">
        <v>217</v>
      </c>
      <c r="C3074">
        <v>2</v>
      </c>
      <c r="D3074">
        <v>0</v>
      </c>
      <c r="E3074">
        <v>0</v>
      </c>
      <c r="F3074">
        <v>95.05</v>
      </c>
      <c r="G3074">
        <v>72109.52</v>
      </c>
      <c r="H3074" s="14">
        <v>43768.833333333336</v>
      </c>
    </row>
    <row r="3075" spans="1:8" x14ac:dyDescent="0.25">
      <c r="A3075">
        <v>88</v>
      </c>
      <c r="B3075" t="s">
        <v>217</v>
      </c>
      <c r="C3075">
        <v>3</v>
      </c>
      <c r="D3075">
        <v>0</v>
      </c>
      <c r="E3075">
        <v>0</v>
      </c>
      <c r="F3075">
        <v>95.71</v>
      </c>
      <c r="G3075">
        <v>71432.53</v>
      </c>
      <c r="H3075" s="14">
        <v>43768.833333333336</v>
      </c>
    </row>
    <row r="3076" spans="1:8" x14ac:dyDescent="0.25">
      <c r="A3076">
        <v>88</v>
      </c>
      <c r="B3076" t="s">
        <v>217</v>
      </c>
      <c r="C3076">
        <v>4</v>
      </c>
      <c r="D3076">
        <v>0</v>
      </c>
      <c r="E3076">
        <v>0</v>
      </c>
      <c r="F3076">
        <v>101.69</v>
      </c>
      <c r="G3076">
        <v>72241.37</v>
      </c>
      <c r="H3076" s="14">
        <v>43768.833333333336</v>
      </c>
    </row>
    <row r="3077" spans="1:8" x14ac:dyDescent="0.25">
      <c r="A3077">
        <v>88</v>
      </c>
      <c r="B3077" t="s">
        <v>217</v>
      </c>
      <c r="C3077">
        <v>5</v>
      </c>
      <c r="D3077">
        <v>0</v>
      </c>
      <c r="E3077">
        <v>0</v>
      </c>
      <c r="F3077">
        <v>101.62</v>
      </c>
      <c r="G3077">
        <v>73404.08</v>
      </c>
      <c r="H3077" s="14">
        <v>43768.833333333336</v>
      </c>
    </row>
    <row r="3078" spans="1:8" x14ac:dyDescent="0.25">
      <c r="A3078">
        <v>88</v>
      </c>
      <c r="B3078" t="s">
        <v>217</v>
      </c>
      <c r="C3078">
        <v>6</v>
      </c>
      <c r="D3078">
        <v>0</v>
      </c>
      <c r="E3078">
        <v>0</v>
      </c>
      <c r="F3078">
        <v>104.33</v>
      </c>
      <c r="G3078">
        <v>73950.25</v>
      </c>
      <c r="H3078" s="14">
        <v>43768.833333333336</v>
      </c>
    </row>
    <row r="3079" spans="1:8" x14ac:dyDescent="0.25">
      <c r="A3079">
        <v>88</v>
      </c>
      <c r="B3079" t="s">
        <v>217</v>
      </c>
      <c r="C3079">
        <v>7</v>
      </c>
      <c r="D3079">
        <v>0</v>
      </c>
      <c r="E3079">
        <v>0</v>
      </c>
      <c r="F3079">
        <v>102.32</v>
      </c>
      <c r="G3079">
        <v>73295.149999999994</v>
      </c>
      <c r="H3079" s="14">
        <v>43768.833333333336</v>
      </c>
    </row>
    <row r="3080" spans="1:8" x14ac:dyDescent="0.25">
      <c r="A3080">
        <v>88</v>
      </c>
      <c r="B3080" t="s">
        <v>217</v>
      </c>
      <c r="C3080">
        <v>8</v>
      </c>
      <c r="D3080">
        <v>0</v>
      </c>
      <c r="E3080">
        <v>0</v>
      </c>
      <c r="F3080">
        <v>103.01</v>
      </c>
      <c r="G3080">
        <v>74779.97</v>
      </c>
      <c r="H3080" s="14">
        <v>43768.833333333336</v>
      </c>
    </row>
    <row r="3081" spans="1:8" x14ac:dyDescent="0.25">
      <c r="A3081">
        <v>88</v>
      </c>
      <c r="B3081" t="s">
        <v>217</v>
      </c>
      <c r="C3081">
        <v>9</v>
      </c>
      <c r="D3081">
        <v>0</v>
      </c>
      <c r="E3081">
        <v>0</v>
      </c>
      <c r="F3081">
        <v>104.28</v>
      </c>
      <c r="G3081">
        <v>75108.92</v>
      </c>
      <c r="H3081" s="14">
        <v>43768.833333333336</v>
      </c>
    </row>
    <row r="3082" spans="1:8" x14ac:dyDescent="0.25">
      <c r="A3082">
        <v>88</v>
      </c>
      <c r="B3082" t="s">
        <v>217</v>
      </c>
      <c r="C3082">
        <v>10</v>
      </c>
      <c r="D3082">
        <v>0</v>
      </c>
      <c r="E3082">
        <v>0</v>
      </c>
      <c r="F3082">
        <v>100.6</v>
      </c>
      <c r="G3082">
        <v>73091.259999999995</v>
      </c>
      <c r="H3082" s="14">
        <v>43768.833333333336</v>
      </c>
    </row>
    <row r="3083" spans="1:8" x14ac:dyDescent="0.25">
      <c r="A3083">
        <v>88</v>
      </c>
      <c r="B3083" t="s">
        <v>217</v>
      </c>
      <c r="C3083">
        <v>11</v>
      </c>
      <c r="D3083">
        <v>0</v>
      </c>
      <c r="E3083">
        <v>0</v>
      </c>
      <c r="F3083">
        <v>104.47</v>
      </c>
      <c r="G3083">
        <v>73630.91</v>
      </c>
      <c r="H3083" s="14">
        <v>43768.833333333336</v>
      </c>
    </row>
    <row r="3084" spans="1:8" x14ac:dyDescent="0.25">
      <c r="A3084">
        <v>88</v>
      </c>
      <c r="B3084" t="s">
        <v>217</v>
      </c>
      <c r="C3084">
        <v>12</v>
      </c>
      <c r="D3084">
        <v>0</v>
      </c>
      <c r="E3084">
        <v>0</v>
      </c>
      <c r="F3084">
        <v>101.67</v>
      </c>
      <c r="G3084">
        <v>73550.759999999995</v>
      </c>
      <c r="H3084" s="14">
        <v>43768.833333333336</v>
      </c>
    </row>
    <row r="3085" spans="1:8" x14ac:dyDescent="0.25">
      <c r="A3085">
        <v>88</v>
      </c>
      <c r="B3085" t="s">
        <v>217</v>
      </c>
      <c r="C3085">
        <v>13</v>
      </c>
      <c r="D3085">
        <v>0</v>
      </c>
      <c r="E3085">
        <v>0</v>
      </c>
      <c r="F3085">
        <v>102.34</v>
      </c>
      <c r="G3085">
        <v>73494.7</v>
      </c>
      <c r="H3085" s="14">
        <v>43768.833333333336</v>
      </c>
    </row>
    <row r="3086" spans="1:8" x14ac:dyDescent="0.25">
      <c r="A3086">
        <v>88</v>
      </c>
      <c r="B3086" t="s">
        <v>217</v>
      </c>
      <c r="C3086">
        <v>14</v>
      </c>
      <c r="D3086">
        <v>0</v>
      </c>
      <c r="E3086">
        <v>0</v>
      </c>
      <c r="F3086">
        <v>101.81</v>
      </c>
      <c r="G3086">
        <v>72183.28</v>
      </c>
      <c r="H3086" s="14">
        <v>43768.833333333336</v>
      </c>
    </row>
    <row r="3087" spans="1:8" x14ac:dyDescent="0.25">
      <c r="A3087">
        <v>88</v>
      </c>
      <c r="B3087" t="s">
        <v>217</v>
      </c>
      <c r="C3087">
        <v>15</v>
      </c>
      <c r="D3087">
        <v>0</v>
      </c>
      <c r="E3087">
        <v>0</v>
      </c>
      <c r="F3087">
        <v>31.86</v>
      </c>
      <c r="G3087">
        <v>24275.88</v>
      </c>
      <c r="H3087" s="14">
        <v>43768.833333333336</v>
      </c>
    </row>
    <row r="3088" spans="1:8" x14ac:dyDescent="0.25">
      <c r="A3088">
        <v>89</v>
      </c>
      <c r="B3088" t="s">
        <v>218</v>
      </c>
      <c r="C3088">
        <v>1</v>
      </c>
      <c r="D3088">
        <v>0</v>
      </c>
      <c r="E3088">
        <v>0</v>
      </c>
      <c r="F3088">
        <v>98.5</v>
      </c>
      <c r="G3088">
        <v>71696.75</v>
      </c>
      <c r="H3088" s="14">
        <v>43768.833333333336</v>
      </c>
    </row>
    <row r="3089" spans="1:8" x14ac:dyDescent="0.25">
      <c r="A3089">
        <v>89</v>
      </c>
      <c r="B3089" t="s">
        <v>218</v>
      </c>
      <c r="C3089">
        <v>2</v>
      </c>
      <c r="D3089">
        <v>0</v>
      </c>
      <c r="E3089">
        <v>0</v>
      </c>
      <c r="F3089">
        <v>93.81</v>
      </c>
      <c r="G3089">
        <v>69183.98</v>
      </c>
      <c r="H3089" s="14">
        <v>43768.833333333336</v>
      </c>
    </row>
    <row r="3090" spans="1:8" x14ac:dyDescent="0.25">
      <c r="A3090">
        <v>89</v>
      </c>
      <c r="B3090" t="s">
        <v>218</v>
      </c>
      <c r="C3090">
        <v>3</v>
      </c>
      <c r="D3090">
        <v>0</v>
      </c>
      <c r="E3090">
        <v>0</v>
      </c>
      <c r="F3090">
        <v>93.5</v>
      </c>
      <c r="G3090">
        <v>69033.37</v>
      </c>
      <c r="H3090" s="14">
        <v>43768.833333333336</v>
      </c>
    </row>
    <row r="3091" spans="1:8" x14ac:dyDescent="0.25">
      <c r="A3091">
        <v>89</v>
      </c>
      <c r="B3091" t="s">
        <v>218</v>
      </c>
      <c r="C3091">
        <v>4</v>
      </c>
      <c r="D3091">
        <v>0</v>
      </c>
      <c r="E3091">
        <v>0</v>
      </c>
      <c r="F3091">
        <v>102.81</v>
      </c>
      <c r="G3091">
        <v>75136.33</v>
      </c>
      <c r="H3091" s="14">
        <v>43768.833333333336</v>
      </c>
    </row>
    <row r="3092" spans="1:8" x14ac:dyDescent="0.25">
      <c r="A3092">
        <v>89</v>
      </c>
      <c r="B3092" t="s">
        <v>218</v>
      </c>
      <c r="C3092">
        <v>5</v>
      </c>
      <c r="D3092">
        <v>0</v>
      </c>
      <c r="E3092">
        <v>0</v>
      </c>
      <c r="F3092">
        <v>104.24</v>
      </c>
      <c r="G3092">
        <v>76979</v>
      </c>
      <c r="H3092" s="14">
        <v>43768.833333333336</v>
      </c>
    </row>
    <row r="3093" spans="1:8" x14ac:dyDescent="0.25">
      <c r="A3093">
        <v>89</v>
      </c>
      <c r="B3093" t="s">
        <v>218</v>
      </c>
      <c r="C3093">
        <v>6</v>
      </c>
      <c r="D3093">
        <v>0</v>
      </c>
      <c r="E3093">
        <v>0</v>
      </c>
      <c r="F3093">
        <v>104.73</v>
      </c>
      <c r="G3093">
        <v>77155.64</v>
      </c>
      <c r="H3093" s="14">
        <v>43768.833333333336</v>
      </c>
    </row>
    <row r="3094" spans="1:8" x14ac:dyDescent="0.25">
      <c r="A3094">
        <v>89</v>
      </c>
      <c r="B3094" t="s">
        <v>218</v>
      </c>
      <c r="C3094">
        <v>7</v>
      </c>
      <c r="D3094">
        <v>0</v>
      </c>
      <c r="E3094">
        <v>0</v>
      </c>
      <c r="F3094">
        <v>102.77</v>
      </c>
      <c r="G3094">
        <v>75713.960000000006</v>
      </c>
      <c r="H3094" s="14">
        <v>43768.833333333336</v>
      </c>
    </row>
    <row r="3095" spans="1:8" x14ac:dyDescent="0.25">
      <c r="A3095">
        <v>89</v>
      </c>
      <c r="B3095" t="s">
        <v>218</v>
      </c>
      <c r="C3095">
        <v>8</v>
      </c>
      <c r="D3095">
        <v>0</v>
      </c>
      <c r="E3095">
        <v>0</v>
      </c>
      <c r="F3095">
        <v>100.62</v>
      </c>
      <c r="G3095">
        <v>75264.2</v>
      </c>
      <c r="H3095" s="14">
        <v>43768.833333333336</v>
      </c>
    </row>
    <row r="3096" spans="1:8" x14ac:dyDescent="0.25">
      <c r="A3096">
        <v>89</v>
      </c>
      <c r="B3096" t="s">
        <v>218</v>
      </c>
      <c r="C3096">
        <v>9</v>
      </c>
      <c r="D3096">
        <v>0</v>
      </c>
      <c r="E3096">
        <v>0</v>
      </c>
      <c r="F3096">
        <v>101.39</v>
      </c>
      <c r="G3096">
        <v>75570.7</v>
      </c>
      <c r="H3096" s="14">
        <v>43768.833333333336</v>
      </c>
    </row>
    <row r="3097" spans="1:8" x14ac:dyDescent="0.25">
      <c r="A3097">
        <v>89</v>
      </c>
      <c r="B3097" t="s">
        <v>218</v>
      </c>
      <c r="C3097">
        <v>10</v>
      </c>
      <c r="D3097">
        <v>0</v>
      </c>
      <c r="E3097">
        <v>0</v>
      </c>
      <c r="F3097">
        <v>97.98</v>
      </c>
      <c r="G3097">
        <v>73897.25</v>
      </c>
      <c r="H3097" s="14">
        <v>43768.833333333336</v>
      </c>
    </row>
    <row r="3098" spans="1:8" x14ac:dyDescent="0.25">
      <c r="A3098">
        <v>89</v>
      </c>
      <c r="B3098" t="s">
        <v>218</v>
      </c>
      <c r="C3098">
        <v>11</v>
      </c>
      <c r="D3098">
        <v>0</v>
      </c>
      <c r="E3098">
        <v>0</v>
      </c>
      <c r="F3098">
        <v>97.24</v>
      </c>
      <c r="G3098">
        <v>71838.570000000007</v>
      </c>
      <c r="H3098" s="14">
        <v>43768.833333333336</v>
      </c>
    </row>
    <row r="3099" spans="1:8" x14ac:dyDescent="0.25">
      <c r="A3099">
        <v>89</v>
      </c>
      <c r="B3099" t="s">
        <v>218</v>
      </c>
      <c r="C3099">
        <v>12</v>
      </c>
      <c r="D3099">
        <v>0</v>
      </c>
      <c r="E3099">
        <v>0</v>
      </c>
      <c r="F3099">
        <v>103.83</v>
      </c>
      <c r="G3099">
        <v>74385.399999999994</v>
      </c>
      <c r="H3099" s="14">
        <v>43768.833333333336</v>
      </c>
    </row>
    <row r="3100" spans="1:8" x14ac:dyDescent="0.25">
      <c r="A3100">
        <v>89</v>
      </c>
      <c r="B3100" t="s">
        <v>218</v>
      </c>
      <c r="C3100">
        <v>13</v>
      </c>
      <c r="D3100">
        <v>0</v>
      </c>
      <c r="E3100">
        <v>0</v>
      </c>
      <c r="F3100">
        <v>102.62</v>
      </c>
      <c r="G3100">
        <v>73946.05</v>
      </c>
      <c r="H3100" s="14">
        <v>43768.833333333336</v>
      </c>
    </row>
    <row r="3101" spans="1:8" x14ac:dyDescent="0.25">
      <c r="A3101">
        <v>89</v>
      </c>
      <c r="B3101" t="s">
        <v>218</v>
      </c>
      <c r="C3101">
        <v>14</v>
      </c>
      <c r="D3101">
        <v>0</v>
      </c>
      <c r="E3101">
        <v>0</v>
      </c>
      <c r="F3101">
        <v>96.56</v>
      </c>
      <c r="G3101">
        <v>67877.070000000007</v>
      </c>
      <c r="H3101" s="14">
        <v>43768.833333333336</v>
      </c>
    </row>
    <row r="3102" spans="1:8" x14ac:dyDescent="0.25">
      <c r="A3102">
        <v>89</v>
      </c>
      <c r="B3102" t="s">
        <v>218</v>
      </c>
      <c r="C3102">
        <v>15</v>
      </c>
      <c r="D3102">
        <v>0</v>
      </c>
      <c r="E3102">
        <v>0</v>
      </c>
      <c r="F3102">
        <v>63.09</v>
      </c>
      <c r="G3102">
        <v>44799.35</v>
      </c>
      <c r="H3102" s="14">
        <v>43768.833333333336</v>
      </c>
    </row>
    <row r="3103" spans="1:8" x14ac:dyDescent="0.25">
      <c r="A3103">
        <v>90</v>
      </c>
      <c r="B3103" t="s">
        <v>219</v>
      </c>
      <c r="C3103">
        <v>1</v>
      </c>
      <c r="D3103">
        <v>0</v>
      </c>
      <c r="E3103">
        <v>0</v>
      </c>
      <c r="F3103">
        <v>75.5</v>
      </c>
      <c r="G3103">
        <v>60636.17</v>
      </c>
      <c r="H3103" s="14">
        <v>43768.833333333336</v>
      </c>
    </row>
    <row r="3104" spans="1:8" x14ac:dyDescent="0.25">
      <c r="A3104">
        <v>90</v>
      </c>
      <c r="B3104" t="s">
        <v>219</v>
      </c>
      <c r="C3104">
        <v>2</v>
      </c>
      <c r="D3104">
        <v>0</v>
      </c>
      <c r="E3104">
        <v>0</v>
      </c>
      <c r="F3104">
        <v>93.98</v>
      </c>
      <c r="G3104">
        <v>69407.350000000006</v>
      </c>
      <c r="H3104" s="14">
        <v>43768.833333333336</v>
      </c>
    </row>
    <row r="3105" spans="1:8" x14ac:dyDescent="0.25">
      <c r="A3105">
        <v>90</v>
      </c>
      <c r="B3105" t="s">
        <v>219</v>
      </c>
      <c r="C3105">
        <v>3</v>
      </c>
      <c r="D3105">
        <v>0</v>
      </c>
      <c r="E3105">
        <v>0</v>
      </c>
      <c r="F3105">
        <v>103.24</v>
      </c>
      <c r="G3105">
        <v>76386.95</v>
      </c>
      <c r="H3105" s="14">
        <v>43768.833333333336</v>
      </c>
    </row>
    <row r="3106" spans="1:8" x14ac:dyDescent="0.25">
      <c r="A3106">
        <v>90</v>
      </c>
      <c r="B3106" t="s">
        <v>219</v>
      </c>
      <c r="C3106">
        <v>4</v>
      </c>
      <c r="D3106">
        <v>0</v>
      </c>
      <c r="E3106">
        <v>0</v>
      </c>
      <c r="F3106">
        <v>103.43</v>
      </c>
      <c r="G3106">
        <v>76529.399999999994</v>
      </c>
      <c r="H3106" s="14">
        <v>43768.833333333336</v>
      </c>
    </row>
    <row r="3107" spans="1:8" x14ac:dyDescent="0.25">
      <c r="A3107">
        <v>90</v>
      </c>
      <c r="B3107" t="s">
        <v>219</v>
      </c>
      <c r="C3107">
        <v>5</v>
      </c>
      <c r="D3107">
        <v>0</v>
      </c>
      <c r="E3107">
        <v>0</v>
      </c>
      <c r="F3107">
        <v>97.12</v>
      </c>
      <c r="G3107">
        <v>70068.17</v>
      </c>
      <c r="H3107" s="14">
        <v>43768.833333333336</v>
      </c>
    </row>
    <row r="3108" spans="1:8" x14ac:dyDescent="0.25">
      <c r="A3108">
        <v>90</v>
      </c>
      <c r="B3108" t="s">
        <v>219</v>
      </c>
      <c r="C3108">
        <v>6</v>
      </c>
      <c r="D3108">
        <v>0</v>
      </c>
      <c r="E3108">
        <v>0</v>
      </c>
      <c r="F3108">
        <v>97.34</v>
      </c>
      <c r="G3108">
        <v>72133.350000000006</v>
      </c>
      <c r="H3108" s="14">
        <v>43768.833333333336</v>
      </c>
    </row>
    <row r="3109" spans="1:8" x14ac:dyDescent="0.25">
      <c r="A3109">
        <v>90</v>
      </c>
      <c r="B3109" t="s">
        <v>219</v>
      </c>
      <c r="C3109">
        <v>7</v>
      </c>
      <c r="D3109">
        <v>0</v>
      </c>
      <c r="E3109">
        <v>0</v>
      </c>
      <c r="F3109">
        <v>96.27</v>
      </c>
      <c r="G3109">
        <v>57952.93</v>
      </c>
      <c r="H3109" s="14">
        <v>43768.833333333336</v>
      </c>
    </row>
    <row r="3110" spans="1:8" x14ac:dyDescent="0.25">
      <c r="A3110">
        <v>90</v>
      </c>
      <c r="B3110" t="s">
        <v>219</v>
      </c>
      <c r="C3110">
        <v>8</v>
      </c>
      <c r="D3110">
        <v>0</v>
      </c>
      <c r="E3110">
        <v>0</v>
      </c>
      <c r="F3110">
        <v>96.06</v>
      </c>
      <c r="G3110">
        <v>68052.67</v>
      </c>
      <c r="H3110" s="14">
        <v>43768.833333333336</v>
      </c>
    </row>
    <row r="3111" spans="1:8" x14ac:dyDescent="0.25">
      <c r="A3111">
        <v>90</v>
      </c>
      <c r="B3111" t="s">
        <v>219</v>
      </c>
      <c r="C3111">
        <v>9</v>
      </c>
      <c r="D3111">
        <v>0</v>
      </c>
      <c r="E3111">
        <v>0</v>
      </c>
      <c r="F3111">
        <v>97.55</v>
      </c>
      <c r="G3111">
        <v>68331.95</v>
      </c>
      <c r="H3111" s="14">
        <v>43768.833333333336</v>
      </c>
    </row>
    <row r="3112" spans="1:8" x14ac:dyDescent="0.25">
      <c r="A3112">
        <v>90</v>
      </c>
      <c r="B3112" t="s">
        <v>219</v>
      </c>
      <c r="C3112">
        <v>10</v>
      </c>
      <c r="D3112">
        <v>0</v>
      </c>
      <c r="E3112">
        <v>0</v>
      </c>
      <c r="F3112">
        <v>83.24</v>
      </c>
      <c r="G3112">
        <v>70414.89</v>
      </c>
      <c r="H3112" s="14">
        <v>43768.833333333336</v>
      </c>
    </row>
    <row r="3113" spans="1:8" x14ac:dyDescent="0.25">
      <c r="A3113">
        <v>90</v>
      </c>
      <c r="B3113" t="s">
        <v>219</v>
      </c>
      <c r="C3113">
        <v>11</v>
      </c>
      <c r="D3113">
        <v>0</v>
      </c>
      <c r="E3113">
        <v>0</v>
      </c>
      <c r="F3113">
        <v>100.75</v>
      </c>
      <c r="G3113">
        <v>75095.55</v>
      </c>
      <c r="H3113" s="14">
        <v>43768.833333333336</v>
      </c>
    </row>
    <row r="3114" spans="1:8" x14ac:dyDescent="0.25">
      <c r="A3114">
        <v>90</v>
      </c>
      <c r="B3114" t="s">
        <v>219</v>
      </c>
      <c r="C3114">
        <v>12</v>
      </c>
      <c r="D3114">
        <v>0</v>
      </c>
      <c r="E3114">
        <v>0</v>
      </c>
      <c r="F3114">
        <v>101.81</v>
      </c>
      <c r="G3114">
        <v>75330.48</v>
      </c>
      <c r="H3114" s="14">
        <v>43768.833333333336</v>
      </c>
    </row>
    <row r="3115" spans="1:8" x14ac:dyDescent="0.25">
      <c r="A3115">
        <v>90</v>
      </c>
      <c r="B3115" t="s">
        <v>219</v>
      </c>
      <c r="C3115">
        <v>13</v>
      </c>
      <c r="D3115">
        <v>0</v>
      </c>
      <c r="E3115">
        <v>0</v>
      </c>
      <c r="F3115">
        <v>106.17</v>
      </c>
      <c r="G3115">
        <v>75794.25</v>
      </c>
      <c r="H3115" s="14">
        <v>43768.833333333336</v>
      </c>
    </row>
    <row r="3116" spans="1:8" x14ac:dyDescent="0.25">
      <c r="A3116">
        <v>90</v>
      </c>
      <c r="B3116" t="s">
        <v>219</v>
      </c>
      <c r="C3116">
        <v>14</v>
      </c>
      <c r="D3116">
        <v>0</v>
      </c>
      <c r="E3116">
        <v>0</v>
      </c>
      <c r="F3116">
        <v>109.95</v>
      </c>
      <c r="G3116">
        <v>77141.649999999994</v>
      </c>
      <c r="H3116" s="14">
        <v>43768.833333333336</v>
      </c>
    </row>
    <row r="3117" spans="1:8" x14ac:dyDescent="0.25">
      <c r="A3117">
        <v>90</v>
      </c>
      <c r="B3117" t="s">
        <v>219</v>
      </c>
      <c r="C3117">
        <v>15</v>
      </c>
      <c r="D3117">
        <v>0</v>
      </c>
      <c r="E3117">
        <v>0</v>
      </c>
      <c r="F3117">
        <v>71.17</v>
      </c>
      <c r="G3117">
        <v>50239.89</v>
      </c>
      <c r="H3117" s="14">
        <v>43768.833333333336</v>
      </c>
    </row>
    <row r="3118" spans="1:8" x14ac:dyDescent="0.25">
      <c r="A3118">
        <v>91</v>
      </c>
      <c r="B3118" t="s">
        <v>220</v>
      </c>
      <c r="C3118">
        <v>1</v>
      </c>
      <c r="D3118">
        <v>0</v>
      </c>
      <c r="E3118">
        <v>0</v>
      </c>
      <c r="F3118">
        <v>0</v>
      </c>
      <c r="G3118">
        <v>0</v>
      </c>
      <c r="H3118" s="14">
        <v>43760.336805555555</v>
      </c>
    </row>
    <row r="3119" spans="1:8" x14ac:dyDescent="0.25">
      <c r="A3119">
        <v>91</v>
      </c>
      <c r="B3119" t="s">
        <v>220</v>
      </c>
      <c r="C3119">
        <v>2</v>
      </c>
      <c r="D3119">
        <v>0</v>
      </c>
      <c r="E3119">
        <v>0</v>
      </c>
      <c r="F3119">
        <v>0</v>
      </c>
      <c r="G3119">
        <v>0</v>
      </c>
      <c r="H3119" s="14">
        <v>43760.336805555555</v>
      </c>
    </row>
    <row r="3120" spans="1:8" x14ac:dyDescent="0.25">
      <c r="A3120">
        <v>91</v>
      </c>
      <c r="B3120" t="s">
        <v>220</v>
      </c>
      <c r="C3120">
        <v>3</v>
      </c>
      <c r="D3120">
        <v>0</v>
      </c>
      <c r="E3120">
        <v>0</v>
      </c>
      <c r="F3120">
        <v>0</v>
      </c>
      <c r="G3120">
        <v>0</v>
      </c>
      <c r="H3120" s="14">
        <v>43760.336805555555</v>
      </c>
    </row>
    <row r="3121" spans="1:8" x14ac:dyDescent="0.25">
      <c r="A3121">
        <v>91</v>
      </c>
      <c r="B3121" t="s">
        <v>220</v>
      </c>
      <c r="C3121">
        <v>4</v>
      </c>
      <c r="D3121">
        <v>0</v>
      </c>
      <c r="E3121">
        <v>0</v>
      </c>
      <c r="F3121">
        <v>0</v>
      </c>
      <c r="G3121">
        <v>0</v>
      </c>
      <c r="H3121" s="14">
        <v>43760.336805555555</v>
      </c>
    </row>
    <row r="3122" spans="1:8" x14ac:dyDescent="0.25">
      <c r="A3122">
        <v>91</v>
      </c>
      <c r="B3122" t="s">
        <v>220</v>
      </c>
      <c r="C3122">
        <v>5</v>
      </c>
      <c r="D3122">
        <v>0</v>
      </c>
      <c r="E3122">
        <v>0</v>
      </c>
      <c r="F3122">
        <v>0</v>
      </c>
      <c r="G3122">
        <v>0</v>
      </c>
      <c r="H3122" s="14">
        <v>43760.336805555555</v>
      </c>
    </row>
    <row r="3123" spans="1:8" x14ac:dyDescent="0.25">
      <c r="A3123">
        <v>91</v>
      </c>
      <c r="B3123" t="s">
        <v>220</v>
      </c>
      <c r="C3123">
        <v>6</v>
      </c>
      <c r="D3123">
        <v>0</v>
      </c>
      <c r="E3123">
        <v>0</v>
      </c>
      <c r="F3123">
        <v>0</v>
      </c>
      <c r="G3123">
        <v>0</v>
      </c>
      <c r="H3123" s="14">
        <v>43760.336805555555</v>
      </c>
    </row>
    <row r="3124" spans="1:8" x14ac:dyDescent="0.25">
      <c r="A3124">
        <v>91</v>
      </c>
      <c r="B3124" t="s">
        <v>220</v>
      </c>
      <c r="C3124">
        <v>7</v>
      </c>
      <c r="D3124">
        <v>0</v>
      </c>
      <c r="E3124">
        <v>0</v>
      </c>
      <c r="F3124">
        <v>0</v>
      </c>
      <c r="G3124">
        <v>0</v>
      </c>
      <c r="H3124" s="14">
        <v>43760.336805555555</v>
      </c>
    </row>
    <row r="3125" spans="1:8" x14ac:dyDescent="0.25">
      <c r="A3125">
        <v>91</v>
      </c>
      <c r="B3125" t="s">
        <v>220</v>
      </c>
      <c r="C3125">
        <v>8</v>
      </c>
      <c r="D3125">
        <v>0</v>
      </c>
      <c r="E3125">
        <v>0</v>
      </c>
      <c r="F3125">
        <v>0</v>
      </c>
      <c r="G3125">
        <v>0</v>
      </c>
      <c r="H3125" s="14">
        <v>43760.336805555555</v>
      </c>
    </row>
    <row r="3126" spans="1:8" x14ac:dyDescent="0.25">
      <c r="A3126">
        <v>91</v>
      </c>
      <c r="B3126" t="s">
        <v>220</v>
      </c>
      <c r="C3126">
        <v>9</v>
      </c>
      <c r="D3126">
        <v>0</v>
      </c>
      <c r="E3126">
        <v>0</v>
      </c>
      <c r="F3126">
        <v>0</v>
      </c>
      <c r="G3126">
        <v>0</v>
      </c>
      <c r="H3126" s="14">
        <v>43760.336805555555</v>
      </c>
    </row>
    <row r="3127" spans="1:8" x14ac:dyDescent="0.25">
      <c r="A3127">
        <v>91</v>
      </c>
      <c r="B3127" t="s">
        <v>220</v>
      </c>
      <c r="C3127">
        <v>10</v>
      </c>
      <c r="D3127">
        <v>0</v>
      </c>
      <c r="E3127">
        <v>0</v>
      </c>
      <c r="F3127">
        <v>0</v>
      </c>
      <c r="G3127">
        <v>0</v>
      </c>
      <c r="H3127" s="14">
        <v>43760.336805555555</v>
      </c>
    </row>
    <row r="3128" spans="1:8" x14ac:dyDescent="0.25">
      <c r="A3128">
        <v>91</v>
      </c>
      <c r="B3128" t="s">
        <v>220</v>
      </c>
      <c r="C3128">
        <v>11</v>
      </c>
      <c r="D3128">
        <v>0</v>
      </c>
      <c r="E3128">
        <v>0</v>
      </c>
      <c r="F3128">
        <v>0</v>
      </c>
      <c r="G3128">
        <v>0</v>
      </c>
      <c r="H3128" s="14">
        <v>43760.336805555555</v>
      </c>
    </row>
    <row r="3129" spans="1:8" x14ac:dyDescent="0.25">
      <c r="A3129">
        <v>91</v>
      </c>
      <c r="B3129" t="s">
        <v>220</v>
      </c>
      <c r="C3129">
        <v>12</v>
      </c>
      <c r="D3129">
        <v>0</v>
      </c>
      <c r="E3129">
        <v>0</v>
      </c>
      <c r="F3129">
        <v>0</v>
      </c>
      <c r="G3129">
        <v>0</v>
      </c>
      <c r="H3129" s="14">
        <v>43760.336805555555</v>
      </c>
    </row>
    <row r="3130" spans="1:8" x14ac:dyDescent="0.25">
      <c r="A3130">
        <v>91</v>
      </c>
      <c r="B3130" t="s">
        <v>220</v>
      </c>
      <c r="C3130">
        <v>13</v>
      </c>
      <c r="D3130">
        <v>0</v>
      </c>
      <c r="E3130">
        <v>0</v>
      </c>
      <c r="F3130">
        <v>0</v>
      </c>
      <c r="G3130">
        <v>0</v>
      </c>
      <c r="H3130" s="14">
        <v>43760.336805555555</v>
      </c>
    </row>
    <row r="3131" spans="1:8" x14ac:dyDescent="0.25">
      <c r="A3131">
        <v>91</v>
      </c>
      <c r="B3131" t="s">
        <v>220</v>
      </c>
      <c r="C3131">
        <v>14</v>
      </c>
      <c r="D3131">
        <v>0</v>
      </c>
      <c r="E3131">
        <v>0</v>
      </c>
      <c r="F3131">
        <v>0</v>
      </c>
      <c r="G3131">
        <v>0</v>
      </c>
      <c r="H3131" s="14">
        <v>43760.336805555555</v>
      </c>
    </row>
    <row r="3132" spans="1:8" x14ac:dyDescent="0.25">
      <c r="A3132">
        <v>91</v>
      </c>
      <c r="B3132" t="s">
        <v>220</v>
      </c>
      <c r="C3132">
        <v>15</v>
      </c>
      <c r="D3132">
        <v>0</v>
      </c>
      <c r="E3132">
        <v>0</v>
      </c>
      <c r="F3132">
        <v>0</v>
      </c>
      <c r="G3132">
        <v>0</v>
      </c>
      <c r="H3132" s="14">
        <v>43760.336805555555</v>
      </c>
    </row>
    <row r="3133" spans="1:8" x14ac:dyDescent="0.25">
      <c r="A3133">
        <v>92</v>
      </c>
      <c r="B3133" t="s">
        <v>222</v>
      </c>
      <c r="C3133">
        <v>1</v>
      </c>
      <c r="D3133">
        <v>0</v>
      </c>
      <c r="E3133">
        <v>0</v>
      </c>
      <c r="F3133">
        <v>140.28</v>
      </c>
      <c r="G3133">
        <v>83963.53</v>
      </c>
      <c r="H3133" s="14">
        <v>43768.833333333336</v>
      </c>
    </row>
    <row r="3134" spans="1:8" x14ac:dyDescent="0.25">
      <c r="A3134">
        <v>92</v>
      </c>
      <c r="B3134" t="s">
        <v>222</v>
      </c>
      <c r="C3134">
        <v>2</v>
      </c>
      <c r="D3134">
        <v>0</v>
      </c>
      <c r="E3134">
        <v>0</v>
      </c>
      <c r="F3134">
        <v>140.75</v>
      </c>
      <c r="G3134">
        <v>83851.5</v>
      </c>
      <c r="H3134" s="14">
        <v>43768.833333333336</v>
      </c>
    </row>
    <row r="3135" spans="1:8" x14ac:dyDescent="0.25">
      <c r="A3135">
        <v>92</v>
      </c>
      <c r="B3135" t="s">
        <v>222</v>
      </c>
      <c r="C3135">
        <v>3</v>
      </c>
      <c r="D3135">
        <v>0</v>
      </c>
      <c r="E3135">
        <v>0</v>
      </c>
      <c r="F3135">
        <v>143.16</v>
      </c>
      <c r="G3135">
        <v>84552.55</v>
      </c>
      <c r="H3135" s="14">
        <v>43768.833333333336</v>
      </c>
    </row>
    <row r="3136" spans="1:8" x14ac:dyDescent="0.25">
      <c r="A3136">
        <v>92</v>
      </c>
      <c r="B3136" t="s">
        <v>222</v>
      </c>
      <c r="C3136">
        <v>4</v>
      </c>
      <c r="D3136">
        <v>0</v>
      </c>
      <c r="E3136">
        <v>0</v>
      </c>
      <c r="F3136">
        <v>142.87</v>
      </c>
      <c r="G3136">
        <v>84219.6</v>
      </c>
      <c r="H3136" s="14">
        <v>43768.833333333336</v>
      </c>
    </row>
    <row r="3137" spans="1:8" x14ac:dyDescent="0.25">
      <c r="A3137">
        <v>92</v>
      </c>
      <c r="B3137" t="s">
        <v>222</v>
      </c>
      <c r="C3137">
        <v>5</v>
      </c>
      <c r="D3137">
        <v>0</v>
      </c>
      <c r="E3137">
        <v>0</v>
      </c>
      <c r="F3137">
        <v>144.59</v>
      </c>
      <c r="G3137">
        <v>83291.33</v>
      </c>
      <c r="H3137" s="14">
        <v>43768.833333333336</v>
      </c>
    </row>
    <row r="3138" spans="1:8" x14ac:dyDescent="0.25">
      <c r="A3138">
        <v>92</v>
      </c>
      <c r="B3138" t="s">
        <v>222</v>
      </c>
      <c r="C3138">
        <v>6</v>
      </c>
      <c r="D3138">
        <v>0</v>
      </c>
      <c r="E3138">
        <v>0</v>
      </c>
      <c r="F3138">
        <v>141.74</v>
      </c>
      <c r="G3138">
        <v>84129.18</v>
      </c>
      <c r="H3138" s="14">
        <v>43768.833333333336</v>
      </c>
    </row>
    <row r="3139" spans="1:8" x14ac:dyDescent="0.25">
      <c r="A3139">
        <v>92</v>
      </c>
      <c r="B3139" t="s">
        <v>222</v>
      </c>
      <c r="C3139">
        <v>7</v>
      </c>
      <c r="D3139">
        <v>0</v>
      </c>
      <c r="E3139">
        <v>0</v>
      </c>
      <c r="F3139">
        <v>141.85</v>
      </c>
      <c r="G3139">
        <v>83617.66</v>
      </c>
      <c r="H3139" s="14">
        <v>43768.833333333336</v>
      </c>
    </row>
    <row r="3140" spans="1:8" x14ac:dyDescent="0.25">
      <c r="A3140">
        <v>92</v>
      </c>
      <c r="B3140" t="s">
        <v>222</v>
      </c>
      <c r="C3140">
        <v>8</v>
      </c>
      <c r="D3140">
        <v>0</v>
      </c>
      <c r="E3140">
        <v>0</v>
      </c>
      <c r="F3140">
        <v>138.15</v>
      </c>
      <c r="G3140">
        <v>82977.78</v>
      </c>
      <c r="H3140" s="14">
        <v>43768.833333333336</v>
      </c>
    </row>
    <row r="3141" spans="1:8" x14ac:dyDescent="0.25">
      <c r="A3141">
        <v>92</v>
      </c>
      <c r="B3141" t="s">
        <v>222</v>
      </c>
      <c r="C3141">
        <v>9</v>
      </c>
      <c r="D3141">
        <v>0</v>
      </c>
      <c r="E3141">
        <v>0</v>
      </c>
      <c r="F3141">
        <v>138.69999999999999</v>
      </c>
      <c r="G3141">
        <v>82704.95</v>
      </c>
      <c r="H3141" s="14">
        <v>43768.833333333336</v>
      </c>
    </row>
    <row r="3142" spans="1:8" x14ac:dyDescent="0.25">
      <c r="A3142">
        <v>92</v>
      </c>
      <c r="B3142" t="s">
        <v>222</v>
      </c>
      <c r="C3142">
        <v>10</v>
      </c>
      <c r="D3142">
        <v>0</v>
      </c>
      <c r="E3142">
        <v>0</v>
      </c>
      <c r="F3142">
        <v>146.97999999999999</v>
      </c>
      <c r="G3142">
        <v>86109.5</v>
      </c>
      <c r="H3142" s="14">
        <v>43768.833333333336</v>
      </c>
    </row>
    <row r="3143" spans="1:8" x14ac:dyDescent="0.25">
      <c r="A3143">
        <v>92</v>
      </c>
      <c r="B3143" t="s">
        <v>222</v>
      </c>
      <c r="C3143">
        <v>11</v>
      </c>
      <c r="D3143">
        <v>0</v>
      </c>
      <c r="E3143">
        <v>0</v>
      </c>
      <c r="F3143">
        <v>150.96</v>
      </c>
      <c r="G3143">
        <v>86603.89</v>
      </c>
      <c r="H3143" s="14">
        <v>43768.833333333336</v>
      </c>
    </row>
    <row r="3144" spans="1:8" x14ac:dyDescent="0.25">
      <c r="A3144">
        <v>92</v>
      </c>
      <c r="B3144" t="s">
        <v>222</v>
      </c>
      <c r="C3144">
        <v>12</v>
      </c>
      <c r="D3144">
        <v>0</v>
      </c>
      <c r="E3144">
        <v>0</v>
      </c>
      <c r="F3144">
        <v>152.08000000000001</v>
      </c>
      <c r="G3144">
        <v>85452.13</v>
      </c>
      <c r="H3144" s="14">
        <v>43768.833333333336</v>
      </c>
    </row>
    <row r="3145" spans="1:8" x14ac:dyDescent="0.25">
      <c r="A3145">
        <v>92</v>
      </c>
      <c r="B3145" t="s">
        <v>222</v>
      </c>
      <c r="C3145">
        <v>13</v>
      </c>
      <c r="D3145">
        <v>0</v>
      </c>
      <c r="E3145">
        <v>0</v>
      </c>
      <c r="F3145">
        <v>151.65</v>
      </c>
      <c r="G3145">
        <v>86236.22</v>
      </c>
      <c r="H3145" s="14">
        <v>43768.833333333336</v>
      </c>
    </row>
    <row r="3146" spans="1:8" x14ac:dyDescent="0.25">
      <c r="A3146">
        <v>92</v>
      </c>
      <c r="B3146" t="s">
        <v>222</v>
      </c>
      <c r="C3146">
        <v>14</v>
      </c>
      <c r="D3146">
        <v>0</v>
      </c>
      <c r="E3146">
        <v>0</v>
      </c>
      <c r="F3146">
        <v>97.63</v>
      </c>
      <c r="G3146">
        <v>55006.03</v>
      </c>
      <c r="H3146" s="14">
        <v>43768.833333333336</v>
      </c>
    </row>
    <row r="3147" spans="1:8" x14ac:dyDescent="0.25">
      <c r="A3147">
        <v>93</v>
      </c>
      <c r="B3147" t="s">
        <v>223</v>
      </c>
      <c r="C3147">
        <v>1</v>
      </c>
      <c r="D3147">
        <v>0</v>
      </c>
      <c r="E3147">
        <v>0</v>
      </c>
      <c r="F3147">
        <v>115.35</v>
      </c>
      <c r="G3147">
        <v>76814.320000000007</v>
      </c>
      <c r="H3147" s="14">
        <v>43768.833333333336</v>
      </c>
    </row>
    <row r="3148" spans="1:8" x14ac:dyDescent="0.25">
      <c r="A3148">
        <v>93</v>
      </c>
      <c r="B3148" t="s">
        <v>223</v>
      </c>
      <c r="C3148">
        <v>2</v>
      </c>
      <c r="D3148">
        <v>0</v>
      </c>
      <c r="E3148">
        <v>0</v>
      </c>
      <c r="F3148">
        <v>126.22</v>
      </c>
      <c r="G3148">
        <v>75899.509999999995</v>
      </c>
      <c r="H3148" s="14">
        <v>43768.833333333336</v>
      </c>
    </row>
    <row r="3149" spans="1:8" x14ac:dyDescent="0.25">
      <c r="A3149">
        <v>93</v>
      </c>
      <c r="B3149" t="s">
        <v>223</v>
      </c>
      <c r="C3149">
        <v>3</v>
      </c>
      <c r="D3149">
        <v>0</v>
      </c>
      <c r="E3149">
        <v>0</v>
      </c>
      <c r="F3149">
        <v>121.07</v>
      </c>
      <c r="G3149">
        <v>78846.47</v>
      </c>
      <c r="H3149" s="14">
        <v>43768.833333333336</v>
      </c>
    </row>
    <row r="3150" spans="1:8" x14ac:dyDescent="0.25">
      <c r="A3150">
        <v>93</v>
      </c>
      <c r="B3150" t="s">
        <v>223</v>
      </c>
      <c r="C3150">
        <v>4</v>
      </c>
      <c r="D3150">
        <v>0</v>
      </c>
      <c r="E3150">
        <v>0</v>
      </c>
      <c r="F3150">
        <v>124.71</v>
      </c>
      <c r="G3150">
        <v>79321.8</v>
      </c>
      <c r="H3150" s="14">
        <v>43768.833333333336</v>
      </c>
    </row>
    <row r="3151" spans="1:8" x14ac:dyDescent="0.25">
      <c r="A3151">
        <v>93</v>
      </c>
      <c r="B3151" t="s">
        <v>223</v>
      </c>
      <c r="C3151">
        <v>5</v>
      </c>
      <c r="D3151">
        <v>0</v>
      </c>
      <c r="E3151">
        <v>0</v>
      </c>
      <c r="F3151">
        <v>134.1</v>
      </c>
      <c r="G3151">
        <v>80207.72</v>
      </c>
      <c r="H3151" s="14">
        <v>43768.833333333336</v>
      </c>
    </row>
    <row r="3152" spans="1:8" x14ac:dyDescent="0.25">
      <c r="A3152">
        <v>93</v>
      </c>
      <c r="B3152" t="s">
        <v>223</v>
      </c>
      <c r="C3152">
        <v>6</v>
      </c>
      <c r="D3152">
        <v>0</v>
      </c>
      <c r="E3152">
        <v>0</v>
      </c>
      <c r="F3152">
        <v>132.16</v>
      </c>
      <c r="G3152">
        <v>78586.240000000005</v>
      </c>
      <c r="H3152" s="14">
        <v>43768.833333333336</v>
      </c>
    </row>
    <row r="3153" spans="1:8" x14ac:dyDescent="0.25">
      <c r="A3153">
        <v>93</v>
      </c>
      <c r="B3153" t="s">
        <v>223</v>
      </c>
      <c r="C3153">
        <v>7</v>
      </c>
      <c r="D3153">
        <v>0</v>
      </c>
      <c r="E3153">
        <v>0</v>
      </c>
      <c r="F3153">
        <v>127.28</v>
      </c>
      <c r="G3153">
        <v>77867.75</v>
      </c>
      <c r="H3153" s="14">
        <v>43768.833333333336</v>
      </c>
    </row>
    <row r="3154" spans="1:8" x14ac:dyDescent="0.25">
      <c r="A3154">
        <v>93</v>
      </c>
      <c r="B3154" t="s">
        <v>223</v>
      </c>
      <c r="C3154">
        <v>8</v>
      </c>
      <c r="D3154">
        <v>0</v>
      </c>
      <c r="E3154">
        <v>0</v>
      </c>
      <c r="F3154">
        <v>101.34</v>
      </c>
      <c r="G3154">
        <v>3535.55</v>
      </c>
      <c r="H3154" s="14">
        <v>43768.833333333336</v>
      </c>
    </row>
    <row r="3155" spans="1:8" x14ac:dyDescent="0.25">
      <c r="A3155">
        <v>93</v>
      </c>
      <c r="B3155" t="s">
        <v>223</v>
      </c>
      <c r="C3155">
        <v>9</v>
      </c>
      <c r="D3155">
        <v>0</v>
      </c>
      <c r="E3155">
        <v>0</v>
      </c>
      <c r="F3155">
        <v>129.76</v>
      </c>
      <c r="G3155">
        <v>78995.27</v>
      </c>
      <c r="H3155" s="14">
        <v>43768.833333333336</v>
      </c>
    </row>
    <row r="3156" spans="1:8" x14ac:dyDescent="0.25">
      <c r="A3156">
        <v>93</v>
      </c>
      <c r="B3156" t="s">
        <v>223</v>
      </c>
      <c r="C3156">
        <v>10</v>
      </c>
      <c r="D3156">
        <v>0</v>
      </c>
      <c r="E3156">
        <v>0</v>
      </c>
      <c r="F3156">
        <v>131.72</v>
      </c>
      <c r="G3156">
        <v>80298.12</v>
      </c>
      <c r="H3156" s="14">
        <v>43768.833333333336</v>
      </c>
    </row>
    <row r="3157" spans="1:8" x14ac:dyDescent="0.25">
      <c r="A3157">
        <v>93</v>
      </c>
      <c r="B3157" t="s">
        <v>223</v>
      </c>
      <c r="C3157">
        <v>11</v>
      </c>
      <c r="D3157">
        <v>0</v>
      </c>
      <c r="E3157">
        <v>0</v>
      </c>
      <c r="F3157">
        <v>147.53</v>
      </c>
      <c r="G3157">
        <v>84839.26</v>
      </c>
      <c r="H3157" s="14">
        <v>43768.833333333336</v>
      </c>
    </row>
    <row r="3158" spans="1:8" x14ac:dyDescent="0.25">
      <c r="A3158">
        <v>93</v>
      </c>
      <c r="B3158" t="s">
        <v>223</v>
      </c>
      <c r="C3158">
        <v>12</v>
      </c>
      <c r="D3158">
        <v>0</v>
      </c>
      <c r="E3158">
        <v>0</v>
      </c>
      <c r="F3158">
        <v>142.08000000000001</v>
      </c>
      <c r="G3158">
        <v>83332.740000000005</v>
      </c>
      <c r="H3158" s="14">
        <v>43768.833333333336</v>
      </c>
    </row>
    <row r="3159" spans="1:8" x14ac:dyDescent="0.25">
      <c r="A3159">
        <v>93</v>
      </c>
      <c r="B3159" t="s">
        <v>223</v>
      </c>
      <c r="C3159">
        <v>13</v>
      </c>
      <c r="D3159">
        <v>0</v>
      </c>
      <c r="E3159">
        <v>0</v>
      </c>
      <c r="F3159">
        <v>137.63999999999999</v>
      </c>
      <c r="G3159">
        <v>82656.91</v>
      </c>
      <c r="H3159" s="14">
        <v>43768.833333333336</v>
      </c>
    </row>
    <row r="3160" spans="1:8" x14ac:dyDescent="0.25">
      <c r="A3160">
        <v>93</v>
      </c>
      <c r="B3160" t="s">
        <v>223</v>
      </c>
      <c r="C3160">
        <v>14</v>
      </c>
      <c r="D3160">
        <v>0</v>
      </c>
      <c r="E3160">
        <v>0</v>
      </c>
      <c r="F3160">
        <v>87.7</v>
      </c>
      <c r="G3160">
        <v>53618.85</v>
      </c>
      <c r="H3160" s="14">
        <v>43768.833333333336</v>
      </c>
    </row>
    <row r="3161" spans="1:8" x14ac:dyDescent="0.25">
      <c r="A3161">
        <v>94</v>
      </c>
      <c r="B3161" t="s">
        <v>225</v>
      </c>
      <c r="C3161">
        <v>1</v>
      </c>
      <c r="D3161">
        <v>0</v>
      </c>
      <c r="E3161">
        <v>0</v>
      </c>
      <c r="F3161">
        <v>75.17</v>
      </c>
      <c r="G3161">
        <v>57776.32</v>
      </c>
      <c r="H3161" s="14">
        <v>43768.833333333336</v>
      </c>
    </row>
    <row r="3162" spans="1:8" x14ac:dyDescent="0.25">
      <c r="A3162">
        <v>94</v>
      </c>
      <c r="B3162" t="s">
        <v>225</v>
      </c>
      <c r="C3162">
        <v>2</v>
      </c>
      <c r="D3162">
        <v>0</v>
      </c>
      <c r="E3162">
        <v>0</v>
      </c>
      <c r="F3162">
        <v>129.33000000000001</v>
      </c>
      <c r="G3162">
        <v>70320.36</v>
      </c>
      <c r="H3162" s="14">
        <v>43768.833333333336</v>
      </c>
    </row>
    <row r="3163" spans="1:8" x14ac:dyDescent="0.25">
      <c r="A3163">
        <v>94</v>
      </c>
      <c r="B3163" t="s">
        <v>225</v>
      </c>
      <c r="C3163">
        <v>3</v>
      </c>
      <c r="D3163">
        <v>0</v>
      </c>
      <c r="E3163">
        <v>0</v>
      </c>
      <c r="F3163">
        <v>140.66</v>
      </c>
      <c r="G3163">
        <v>76016.98</v>
      </c>
      <c r="H3163" s="14">
        <v>43768.833333333336</v>
      </c>
    </row>
    <row r="3164" spans="1:8" x14ac:dyDescent="0.25">
      <c r="A3164">
        <v>94</v>
      </c>
      <c r="B3164" t="s">
        <v>225</v>
      </c>
      <c r="C3164">
        <v>4</v>
      </c>
      <c r="D3164">
        <v>0</v>
      </c>
      <c r="E3164">
        <v>0</v>
      </c>
      <c r="F3164">
        <v>131.4</v>
      </c>
      <c r="G3164">
        <v>73154.8</v>
      </c>
      <c r="H3164" s="14">
        <v>43768.833333333336</v>
      </c>
    </row>
    <row r="3165" spans="1:8" x14ac:dyDescent="0.25">
      <c r="A3165">
        <v>94</v>
      </c>
      <c r="B3165" t="s">
        <v>225</v>
      </c>
      <c r="C3165">
        <v>5</v>
      </c>
      <c r="D3165">
        <v>0</v>
      </c>
      <c r="E3165">
        <v>0</v>
      </c>
      <c r="F3165">
        <v>123.14</v>
      </c>
      <c r="G3165">
        <v>71766.28</v>
      </c>
      <c r="H3165" s="14">
        <v>43768.833333333336</v>
      </c>
    </row>
    <row r="3166" spans="1:8" x14ac:dyDescent="0.25">
      <c r="A3166">
        <v>94</v>
      </c>
      <c r="B3166" t="s">
        <v>225</v>
      </c>
      <c r="C3166">
        <v>6</v>
      </c>
      <c r="D3166">
        <v>0</v>
      </c>
      <c r="E3166">
        <v>0</v>
      </c>
      <c r="F3166">
        <v>115.15</v>
      </c>
      <c r="G3166">
        <v>69501.39</v>
      </c>
      <c r="H3166" s="14">
        <v>43768.833333333336</v>
      </c>
    </row>
    <row r="3167" spans="1:8" x14ac:dyDescent="0.25">
      <c r="A3167">
        <v>94</v>
      </c>
      <c r="B3167" t="s">
        <v>225</v>
      </c>
      <c r="C3167">
        <v>7</v>
      </c>
      <c r="D3167">
        <v>0</v>
      </c>
      <c r="E3167">
        <v>0</v>
      </c>
      <c r="F3167">
        <v>91.53</v>
      </c>
      <c r="G3167">
        <v>67956.25</v>
      </c>
      <c r="H3167" s="14">
        <v>43768.833333333336</v>
      </c>
    </row>
    <row r="3168" spans="1:8" x14ac:dyDescent="0.25">
      <c r="A3168">
        <v>94</v>
      </c>
      <c r="B3168" t="s">
        <v>225</v>
      </c>
      <c r="C3168">
        <v>8</v>
      </c>
      <c r="D3168">
        <v>0</v>
      </c>
      <c r="E3168">
        <v>0</v>
      </c>
      <c r="F3168">
        <v>140.31</v>
      </c>
      <c r="G3168">
        <v>75364.490000000005</v>
      </c>
      <c r="H3168" s="14">
        <v>43768.833333333336</v>
      </c>
    </row>
    <row r="3169" spans="1:8" x14ac:dyDescent="0.25">
      <c r="A3169">
        <v>94</v>
      </c>
      <c r="B3169" t="s">
        <v>225</v>
      </c>
      <c r="C3169">
        <v>9</v>
      </c>
      <c r="D3169">
        <v>0</v>
      </c>
      <c r="E3169">
        <v>0</v>
      </c>
      <c r="F3169">
        <v>147.09</v>
      </c>
      <c r="G3169">
        <v>77103.240000000005</v>
      </c>
      <c r="H3169" s="14">
        <v>43768.833333333336</v>
      </c>
    </row>
    <row r="3170" spans="1:8" x14ac:dyDescent="0.25">
      <c r="A3170">
        <v>94</v>
      </c>
      <c r="B3170" t="s">
        <v>225</v>
      </c>
      <c r="C3170">
        <v>10</v>
      </c>
      <c r="D3170">
        <v>0</v>
      </c>
      <c r="E3170">
        <v>0</v>
      </c>
      <c r="F3170">
        <v>148.41</v>
      </c>
      <c r="G3170">
        <v>77358.320000000007</v>
      </c>
      <c r="H3170" s="14">
        <v>43768.833333333336</v>
      </c>
    </row>
    <row r="3171" spans="1:8" x14ac:dyDescent="0.25">
      <c r="A3171">
        <v>94</v>
      </c>
      <c r="B3171" t="s">
        <v>225</v>
      </c>
      <c r="C3171">
        <v>11</v>
      </c>
      <c r="D3171">
        <v>0</v>
      </c>
      <c r="E3171">
        <v>0</v>
      </c>
      <c r="F3171">
        <v>147.91999999999999</v>
      </c>
      <c r="G3171">
        <v>77017.179999999993</v>
      </c>
      <c r="H3171" s="14">
        <v>43768.833333333336</v>
      </c>
    </row>
    <row r="3172" spans="1:8" x14ac:dyDescent="0.25">
      <c r="A3172">
        <v>94</v>
      </c>
      <c r="B3172" t="s">
        <v>225</v>
      </c>
      <c r="C3172">
        <v>12</v>
      </c>
      <c r="D3172">
        <v>0</v>
      </c>
      <c r="E3172">
        <v>0</v>
      </c>
      <c r="F3172">
        <v>140.96</v>
      </c>
      <c r="G3172">
        <v>74106.880000000005</v>
      </c>
      <c r="H3172" s="14">
        <v>43768.833333333336</v>
      </c>
    </row>
    <row r="3173" spans="1:8" x14ac:dyDescent="0.25">
      <c r="A3173">
        <v>94</v>
      </c>
      <c r="B3173" t="s">
        <v>225</v>
      </c>
      <c r="C3173">
        <v>13</v>
      </c>
      <c r="D3173">
        <v>0</v>
      </c>
      <c r="E3173">
        <v>0</v>
      </c>
      <c r="F3173">
        <v>91.17</v>
      </c>
      <c r="G3173">
        <v>48121.62</v>
      </c>
      <c r="H3173" s="14">
        <v>43768.833333333336</v>
      </c>
    </row>
    <row r="3174" spans="1:8" x14ac:dyDescent="0.25">
      <c r="A3174">
        <v>94</v>
      </c>
      <c r="B3174" t="s">
        <v>225</v>
      </c>
      <c r="C3174">
        <v>14</v>
      </c>
      <c r="D3174">
        <v>0</v>
      </c>
      <c r="E3174">
        <v>0</v>
      </c>
      <c r="F3174">
        <v>91.15</v>
      </c>
      <c r="G3174">
        <v>48442.58</v>
      </c>
      <c r="H3174" s="14">
        <v>43768.833333333336</v>
      </c>
    </row>
    <row r="3175" spans="1:8" x14ac:dyDescent="0.25">
      <c r="A3175">
        <v>94</v>
      </c>
      <c r="B3175" t="s">
        <v>225</v>
      </c>
      <c r="C3175">
        <v>15</v>
      </c>
      <c r="D3175">
        <v>0</v>
      </c>
      <c r="E3175">
        <v>0</v>
      </c>
      <c r="F3175">
        <v>84.04</v>
      </c>
      <c r="G3175">
        <v>43691.15</v>
      </c>
      <c r="H3175" s="14">
        <v>43768.833333333336</v>
      </c>
    </row>
    <row r="3176" spans="1:8" x14ac:dyDescent="0.25">
      <c r="A3176">
        <v>95</v>
      </c>
      <c r="B3176" t="s">
        <v>226</v>
      </c>
      <c r="C3176">
        <v>1</v>
      </c>
      <c r="D3176">
        <v>0</v>
      </c>
      <c r="E3176">
        <v>0</v>
      </c>
      <c r="F3176">
        <v>149.63</v>
      </c>
      <c r="G3176">
        <v>84281.94</v>
      </c>
      <c r="H3176" s="14">
        <v>43768.833333333336</v>
      </c>
    </row>
    <row r="3177" spans="1:8" x14ac:dyDescent="0.25">
      <c r="A3177">
        <v>95</v>
      </c>
      <c r="B3177" t="s">
        <v>226</v>
      </c>
      <c r="C3177">
        <v>2</v>
      </c>
      <c r="D3177">
        <v>0</v>
      </c>
      <c r="E3177">
        <v>0</v>
      </c>
      <c r="F3177">
        <v>148.75</v>
      </c>
      <c r="G3177">
        <v>83964.21</v>
      </c>
      <c r="H3177" s="14">
        <v>43768.833333333336</v>
      </c>
    </row>
    <row r="3178" spans="1:8" x14ac:dyDescent="0.25">
      <c r="A3178">
        <v>95</v>
      </c>
      <c r="B3178" t="s">
        <v>226</v>
      </c>
      <c r="C3178">
        <v>3</v>
      </c>
      <c r="D3178">
        <v>0</v>
      </c>
      <c r="E3178">
        <v>0</v>
      </c>
      <c r="F3178">
        <v>141.54</v>
      </c>
      <c r="G3178">
        <v>80169.13</v>
      </c>
      <c r="H3178" s="14">
        <v>43768.833333333336</v>
      </c>
    </row>
    <row r="3179" spans="1:8" x14ac:dyDescent="0.25">
      <c r="A3179">
        <v>95</v>
      </c>
      <c r="B3179" t="s">
        <v>226</v>
      </c>
      <c r="C3179">
        <v>4</v>
      </c>
      <c r="D3179">
        <v>0</v>
      </c>
      <c r="E3179">
        <v>0</v>
      </c>
      <c r="F3179">
        <v>136.66999999999999</v>
      </c>
      <c r="G3179">
        <v>79568.89</v>
      </c>
      <c r="H3179" s="14">
        <v>43768.833333333336</v>
      </c>
    </row>
    <row r="3180" spans="1:8" x14ac:dyDescent="0.25">
      <c r="A3180">
        <v>95</v>
      </c>
      <c r="B3180" t="s">
        <v>226</v>
      </c>
      <c r="C3180">
        <v>5</v>
      </c>
      <c r="D3180">
        <v>0</v>
      </c>
      <c r="E3180">
        <v>0</v>
      </c>
      <c r="F3180">
        <v>126.25</v>
      </c>
      <c r="G3180">
        <v>74617.8</v>
      </c>
      <c r="H3180" s="14">
        <v>43768.833333333336</v>
      </c>
    </row>
    <row r="3181" spans="1:8" x14ac:dyDescent="0.25">
      <c r="A3181">
        <v>95</v>
      </c>
      <c r="B3181" t="s">
        <v>226</v>
      </c>
      <c r="C3181">
        <v>6</v>
      </c>
      <c r="D3181">
        <v>0</v>
      </c>
      <c r="E3181">
        <v>0</v>
      </c>
      <c r="F3181">
        <v>139.53</v>
      </c>
      <c r="G3181">
        <v>80196.990000000005</v>
      </c>
      <c r="H3181" s="14">
        <v>43768.833333333336</v>
      </c>
    </row>
    <row r="3182" spans="1:8" x14ac:dyDescent="0.25">
      <c r="A3182">
        <v>95</v>
      </c>
      <c r="B3182" t="s">
        <v>226</v>
      </c>
      <c r="C3182">
        <v>7</v>
      </c>
      <c r="D3182">
        <v>0</v>
      </c>
      <c r="E3182">
        <v>0</v>
      </c>
      <c r="F3182">
        <v>131.07</v>
      </c>
      <c r="G3182">
        <v>77253.36</v>
      </c>
      <c r="H3182" s="14">
        <v>43768.833333333336</v>
      </c>
    </row>
    <row r="3183" spans="1:8" x14ac:dyDescent="0.25">
      <c r="A3183">
        <v>95</v>
      </c>
      <c r="B3183" t="s">
        <v>226</v>
      </c>
      <c r="C3183">
        <v>8</v>
      </c>
      <c r="D3183">
        <v>0</v>
      </c>
      <c r="E3183">
        <v>0</v>
      </c>
      <c r="F3183">
        <v>115.54</v>
      </c>
      <c r="G3183">
        <v>68025.899999999994</v>
      </c>
      <c r="H3183" s="14">
        <v>43768.833333333336</v>
      </c>
    </row>
    <row r="3184" spans="1:8" x14ac:dyDescent="0.25">
      <c r="A3184">
        <v>95</v>
      </c>
      <c r="B3184" t="s">
        <v>226</v>
      </c>
      <c r="C3184">
        <v>9</v>
      </c>
      <c r="D3184">
        <v>0</v>
      </c>
      <c r="E3184">
        <v>0</v>
      </c>
      <c r="F3184">
        <v>122.3</v>
      </c>
      <c r="G3184">
        <v>71677.22</v>
      </c>
      <c r="H3184" s="14">
        <v>43768.833333333336</v>
      </c>
    </row>
    <row r="3185" spans="1:8" x14ac:dyDescent="0.25">
      <c r="A3185">
        <v>95</v>
      </c>
      <c r="B3185" t="s">
        <v>226</v>
      </c>
      <c r="C3185">
        <v>10</v>
      </c>
      <c r="D3185">
        <v>0</v>
      </c>
      <c r="E3185">
        <v>0</v>
      </c>
      <c r="F3185">
        <v>136.96</v>
      </c>
      <c r="G3185">
        <v>79564.25</v>
      </c>
      <c r="H3185" s="14">
        <v>43768.833333333336</v>
      </c>
    </row>
    <row r="3186" spans="1:8" x14ac:dyDescent="0.25">
      <c r="A3186">
        <v>95</v>
      </c>
      <c r="B3186" t="s">
        <v>226</v>
      </c>
      <c r="C3186">
        <v>11</v>
      </c>
      <c r="D3186">
        <v>0</v>
      </c>
      <c r="E3186">
        <v>0</v>
      </c>
      <c r="F3186">
        <v>127.89</v>
      </c>
      <c r="G3186">
        <v>72527</v>
      </c>
      <c r="H3186" s="14">
        <v>43768.833333333336</v>
      </c>
    </row>
    <row r="3187" spans="1:8" x14ac:dyDescent="0.25">
      <c r="A3187">
        <v>95</v>
      </c>
      <c r="B3187" t="s">
        <v>226</v>
      </c>
      <c r="C3187">
        <v>12</v>
      </c>
      <c r="D3187">
        <v>0</v>
      </c>
      <c r="E3187">
        <v>0</v>
      </c>
      <c r="F3187">
        <v>147.26</v>
      </c>
      <c r="G3187">
        <v>82749.039999999994</v>
      </c>
      <c r="H3187" s="14">
        <v>43768.833333333336</v>
      </c>
    </row>
    <row r="3188" spans="1:8" x14ac:dyDescent="0.25">
      <c r="A3188">
        <v>95</v>
      </c>
      <c r="B3188" t="s">
        <v>226</v>
      </c>
      <c r="C3188">
        <v>13</v>
      </c>
      <c r="D3188">
        <v>0</v>
      </c>
      <c r="E3188">
        <v>0</v>
      </c>
      <c r="F3188">
        <v>147.77000000000001</v>
      </c>
      <c r="G3188">
        <v>83326.69</v>
      </c>
      <c r="H3188" s="14">
        <v>43768.833333333336</v>
      </c>
    </row>
    <row r="3189" spans="1:8" x14ac:dyDescent="0.25">
      <c r="A3189">
        <v>95</v>
      </c>
      <c r="B3189" t="s">
        <v>226</v>
      </c>
      <c r="C3189">
        <v>14</v>
      </c>
      <c r="D3189">
        <v>0</v>
      </c>
      <c r="E3189">
        <v>0</v>
      </c>
      <c r="F3189">
        <v>97.8</v>
      </c>
      <c r="G3189">
        <v>55050.94</v>
      </c>
      <c r="H3189" s="14">
        <v>43768.833333333336</v>
      </c>
    </row>
    <row r="3190" spans="1:8" x14ac:dyDescent="0.25">
      <c r="A3190">
        <v>95</v>
      </c>
      <c r="B3190" t="s">
        <v>226</v>
      </c>
      <c r="C3190">
        <v>15</v>
      </c>
      <c r="D3190">
        <v>0</v>
      </c>
      <c r="E3190">
        <v>0</v>
      </c>
      <c r="F3190">
        <v>96.65</v>
      </c>
      <c r="G3190">
        <v>53690.91</v>
      </c>
      <c r="H3190" s="14">
        <v>43768.833333333336</v>
      </c>
    </row>
    <row r="3191" spans="1:8" x14ac:dyDescent="0.25">
      <c r="A3191">
        <v>96</v>
      </c>
      <c r="B3191" t="s">
        <v>227</v>
      </c>
      <c r="C3191">
        <v>1</v>
      </c>
      <c r="D3191">
        <v>0</v>
      </c>
      <c r="E3191">
        <v>0</v>
      </c>
      <c r="F3191">
        <v>133.6</v>
      </c>
      <c r="G3191">
        <v>78670.98</v>
      </c>
      <c r="H3191" s="14">
        <v>43768.833333333336</v>
      </c>
    </row>
    <row r="3192" spans="1:8" x14ac:dyDescent="0.25">
      <c r="A3192">
        <v>96</v>
      </c>
      <c r="B3192" t="s">
        <v>227</v>
      </c>
      <c r="C3192">
        <v>2</v>
      </c>
      <c r="D3192">
        <v>0</v>
      </c>
      <c r="E3192">
        <v>0</v>
      </c>
      <c r="F3192">
        <v>132.52000000000001</v>
      </c>
      <c r="G3192">
        <v>69747.929999999993</v>
      </c>
      <c r="H3192" s="14">
        <v>43768.833333333336</v>
      </c>
    </row>
    <row r="3193" spans="1:8" x14ac:dyDescent="0.25">
      <c r="A3193">
        <v>96</v>
      </c>
      <c r="B3193" t="s">
        <v>227</v>
      </c>
      <c r="C3193">
        <v>3</v>
      </c>
      <c r="D3193">
        <v>0</v>
      </c>
      <c r="E3193">
        <v>0</v>
      </c>
      <c r="F3193">
        <v>131.97999999999999</v>
      </c>
      <c r="G3193">
        <v>77339.48</v>
      </c>
      <c r="H3193" s="14">
        <v>43768.833333333336</v>
      </c>
    </row>
    <row r="3194" spans="1:8" x14ac:dyDescent="0.25">
      <c r="A3194">
        <v>96</v>
      </c>
      <c r="B3194" t="s">
        <v>227</v>
      </c>
      <c r="C3194">
        <v>4</v>
      </c>
      <c r="D3194">
        <v>0</v>
      </c>
      <c r="E3194">
        <v>0</v>
      </c>
      <c r="F3194">
        <v>133.33000000000001</v>
      </c>
      <c r="G3194">
        <v>77918.87</v>
      </c>
      <c r="H3194" s="14">
        <v>43768.833333333336</v>
      </c>
    </row>
    <row r="3195" spans="1:8" x14ac:dyDescent="0.25">
      <c r="A3195">
        <v>96</v>
      </c>
      <c r="B3195" t="s">
        <v>227</v>
      </c>
      <c r="C3195">
        <v>5</v>
      </c>
      <c r="D3195">
        <v>0</v>
      </c>
      <c r="E3195">
        <v>0</v>
      </c>
      <c r="F3195">
        <v>129.08000000000001</v>
      </c>
      <c r="G3195">
        <v>76715.539999999994</v>
      </c>
      <c r="H3195" s="14">
        <v>43768.833333333336</v>
      </c>
    </row>
    <row r="3196" spans="1:8" x14ac:dyDescent="0.25">
      <c r="A3196">
        <v>96</v>
      </c>
      <c r="B3196" t="s">
        <v>227</v>
      </c>
      <c r="C3196">
        <v>6</v>
      </c>
      <c r="D3196">
        <v>0</v>
      </c>
      <c r="E3196">
        <v>0</v>
      </c>
      <c r="F3196">
        <v>130.15</v>
      </c>
      <c r="G3196">
        <v>76684.66</v>
      </c>
      <c r="H3196" s="14">
        <v>43768.833333333336</v>
      </c>
    </row>
    <row r="3197" spans="1:8" x14ac:dyDescent="0.25">
      <c r="A3197">
        <v>96</v>
      </c>
      <c r="B3197" t="s">
        <v>227</v>
      </c>
      <c r="C3197">
        <v>7</v>
      </c>
      <c r="D3197">
        <v>0</v>
      </c>
      <c r="E3197">
        <v>0</v>
      </c>
      <c r="F3197">
        <v>128.61000000000001</v>
      </c>
      <c r="G3197">
        <v>76624.820000000007</v>
      </c>
      <c r="H3197" s="14">
        <v>43768.833333333336</v>
      </c>
    </row>
    <row r="3198" spans="1:8" x14ac:dyDescent="0.25">
      <c r="A3198">
        <v>96</v>
      </c>
      <c r="B3198" t="s">
        <v>227</v>
      </c>
      <c r="C3198">
        <v>8</v>
      </c>
      <c r="D3198">
        <v>0</v>
      </c>
      <c r="E3198">
        <v>0</v>
      </c>
      <c r="F3198">
        <v>125.01</v>
      </c>
      <c r="G3198">
        <v>75763.360000000001</v>
      </c>
      <c r="H3198" s="14">
        <v>43768.833333333336</v>
      </c>
    </row>
    <row r="3199" spans="1:8" x14ac:dyDescent="0.25">
      <c r="A3199">
        <v>96</v>
      </c>
      <c r="B3199" t="s">
        <v>227</v>
      </c>
      <c r="C3199">
        <v>9</v>
      </c>
      <c r="D3199">
        <v>0</v>
      </c>
      <c r="E3199">
        <v>0</v>
      </c>
      <c r="F3199">
        <v>118.25</v>
      </c>
      <c r="G3199">
        <v>73151.81</v>
      </c>
      <c r="H3199" s="14">
        <v>43768.833333333336</v>
      </c>
    </row>
    <row r="3200" spans="1:8" x14ac:dyDescent="0.25">
      <c r="A3200">
        <v>96</v>
      </c>
      <c r="B3200" t="s">
        <v>227</v>
      </c>
      <c r="C3200">
        <v>10</v>
      </c>
      <c r="D3200">
        <v>0</v>
      </c>
      <c r="E3200">
        <v>0</v>
      </c>
      <c r="F3200">
        <v>116.79</v>
      </c>
      <c r="G3200">
        <v>70674.28</v>
      </c>
      <c r="H3200" s="14">
        <v>43768.833333333336</v>
      </c>
    </row>
    <row r="3201" spans="1:8" x14ac:dyDescent="0.25">
      <c r="A3201">
        <v>96</v>
      </c>
      <c r="B3201" t="s">
        <v>227</v>
      </c>
      <c r="C3201">
        <v>11</v>
      </c>
      <c r="D3201">
        <v>0</v>
      </c>
      <c r="E3201">
        <v>0</v>
      </c>
      <c r="F3201">
        <v>111.65</v>
      </c>
      <c r="G3201">
        <v>66313.75</v>
      </c>
      <c r="H3201" s="14">
        <v>43768.833333333336</v>
      </c>
    </row>
    <row r="3202" spans="1:8" x14ac:dyDescent="0.25">
      <c r="A3202">
        <v>96</v>
      </c>
      <c r="B3202" t="s">
        <v>227</v>
      </c>
      <c r="C3202">
        <v>12</v>
      </c>
      <c r="D3202">
        <v>0</v>
      </c>
      <c r="E3202">
        <v>0</v>
      </c>
      <c r="F3202">
        <v>107.26</v>
      </c>
      <c r="G3202">
        <v>62709.27</v>
      </c>
      <c r="H3202" s="14">
        <v>43768.833333333336</v>
      </c>
    </row>
    <row r="3203" spans="1:8" x14ac:dyDescent="0.25">
      <c r="A3203">
        <v>96</v>
      </c>
      <c r="B3203" t="s">
        <v>227</v>
      </c>
      <c r="C3203">
        <v>13</v>
      </c>
      <c r="D3203">
        <v>0</v>
      </c>
      <c r="E3203">
        <v>0</v>
      </c>
      <c r="F3203">
        <v>114.07</v>
      </c>
      <c r="G3203">
        <v>66853.119999999995</v>
      </c>
      <c r="H3203" s="14">
        <v>43768.833333333336</v>
      </c>
    </row>
    <row r="3204" spans="1:8" x14ac:dyDescent="0.25">
      <c r="A3204">
        <v>96</v>
      </c>
      <c r="B3204" t="s">
        <v>227</v>
      </c>
      <c r="C3204">
        <v>14</v>
      </c>
      <c r="D3204">
        <v>0</v>
      </c>
      <c r="E3204">
        <v>0</v>
      </c>
      <c r="F3204">
        <v>98.58</v>
      </c>
      <c r="G3204">
        <v>58128.02</v>
      </c>
      <c r="H3204" s="14">
        <v>43768.833333333336</v>
      </c>
    </row>
    <row r="3205" spans="1:8" x14ac:dyDescent="0.25">
      <c r="A3205">
        <v>96</v>
      </c>
      <c r="B3205" t="s">
        <v>227</v>
      </c>
      <c r="C3205">
        <v>15</v>
      </c>
      <c r="D3205">
        <v>0</v>
      </c>
      <c r="E3205">
        <v>0</v>
      </c>
      <c r="F3205">
        <v>110.17</v>
      </c>
      <c r="G3205">
        <v>60095.17</v>
      </c>
      <c r="H3205" s="14">
        <v>43768.833333333336</v>
      </c>
    </row>
    <row r="3206" spans="1:8" x14ac:dyDescent="0.25">
      <c r="A3206">
        <v>96</v>
      </c>
      <c r="B3206" t="s">
        <v>227</v>
      </c>
      <c r="C3206">
        <v>16</v>
      </c>
      <c r="D3206">
        <v>0</v>
      </c>
      <c r="E3206">
        <v>0</v>
      </c>
      <c r="F3206">
        <v>0</v>
      </c>
      <c r="G3206">
        <v>0</v>
      </c>
      <c r="H3206" s="14">
        <v>36526</v>
      </c>
    </row>
    <row r="3207" spans="1:8" x14ac:dyDescent="0.25">
      <c r="A3207">
        <v>96</v>
      </c>
      <c r="B3207" t="s">
        <v>227</v>
      </c>
      <c r="C3207">
        <v>17</v>
      </c>
      <c r="D3207">
        <v>0</v>
      </c>
      <c r="E3207">
        <v>0</v>
      </c>
      <c r="F3207">
        <v>0</v>
      </c>
      <c r="G3207">
        <v>0</v>
      </c>
      <c r="H3207" s="14">
        <v>36526</v>
      </c>
    </row>
    <row r="3208" spans="1:8" x14ac:dyDescent="0.25">
      <c r="A3208">
        <v>96</v>
      </c>
      <c r="B3208" t="s">
        <v>227</v>
      </c>
      <c r="C3208">
        <v>18</v>
      </c>
      <c r="D3208">
        <v>0</v>
      </c>
      <c r="E3208">
        <v>0</v>
      </c>
      <c r="F3208">
        <v>0</v>
      </c>
      <c r="G3208">
        <v>0</v>
      </c>
      <c r="H3208" s="14">
        <v>36526</v>
      </c>
    </row>
    <row r="3209" spans="1:8" x14ac:dyDescent="0.25">
      <c r="A3209">
        <v>96</v>
      </c>
      <c r="B3209" t="s">
        <v>227</v>
      </c>
      <c r="C3209">
        <v>19</v>
      </c>
      <c r="D3209">
        <v>0</v>
      </c>
      <c r="E3209">
        <v>0</v>
      </c>
      <c r="F3209">
        <v>0</v>
      </c>
      <c r="G3209">
        <v>0</v>
      </c>
      <c r="H3209" s="14">
        <v>36526</v>
      </c>
    </row>
    <row r="3210" spans="1:8" x14ac:dyDescent="0.25">
      <c r="A3210">
        <v>96</v>
      </c>
      <c r="B3210" t="s">
        <v>227</v>
      </c>
      <c r="C3210">
        <v>20</v>
      </c>
      <c r="D3210">
        <v>0</v>
      </c>
      <c r="E3210">
        <v>0</v>
      </c>
      <c r="F3210">
        <v>0</v>
      </c>
      <c r="G3210">
        <v>0</v>
      </c>
      <c r="H3210" s="14">
        <v>36526</v>
      </c>
    </row>
    <row r="3211" spans="1:8" x14ac:dyDescent="0.25">
      <c r="A3211">
        <v>97</v>
      </c>
      <c r="B3211" t="s">
        <v>228</v>
      </c>
      <c r="C3211">
        <v>1</v>
      </c>
      <c r="D3211">
        <v>0</v>
      </c>
      <c r="E3211">
        <v>0</v>
      </c>
      <c r="F3211">
        <v>55.94</v>
      </c>
      <c r="G3211">
        <v>53385.42</v>
      </c>
      <c r="H3211" s="14">
        <v>43768.833333333336</v>
      </c>
    </row>
    <row r="3212" spans="1:8" x14ac:dyDescent="0.25">
      <c r="A3212">
        <v>97</v>
      </c>
      <c r="B3212" t="s">
        <v>228</v>
      </c>
      <c r="C3212">
        <v>2</v>
      </c>
      <c r="D3212">
        <v>0</v>
      </c>
      <c r="E3212">
        <v>0</v>
      </c>
      <c r="F3212">
        <v>110.31</v>
      </c>
      <c r="G3212">
        <v>68737.149999999994</v>
      </c>
      <c r="H3212" s="14">
        <v>43768.833333333336</v>
      </c>
    </row>
    <row r="3213" spans="1:8" x14ac:dyDescent="0.25">
      <c r="A3213">
        <v>97</v>
      </c>
      <c r="B3213" t="s">
        <v>228</v>
      </c>
      <c r="C3213">
        <v>3</v>
      </c>
      <c r="D3213">
        <v>0</v>
      </c>
      <c r="E3213">
        <v>0</v>
      </c>
      <c r="F3213">
        <v>119.34</v>
      </c>
      <c r="G3213">
        <v>74650.210000000006</v>
      </c>
      <c r="H3213" s="14">
        <v>43768.833333333336</v>
      </c>
    </row>
    <row r="3214" spans="1:8" x14ac:dyDescent="0.25">
      <c r="A3214">
        <v>97</v>
      </c>
      <c r="B3214" t="s">
        <v>228</v>
      </c>
      <c r="C3214">
        <v>4</v>
      </c>
      <c r="D3214">
        <v>0</v>
      </c>
      <c r="E3214">
        <v>0</v>
      </c>
      <c r="F3214">
        <v>125.57</v>
      </c>
      <c r="G3214">
        <v>76956.09</v>
      </c>
      <c r="H3214" s="14">
        <v>43768.833333333336</v>
      </c>
    </row>
    <row r="3215" spans="1:8" x14ac:dyDescent="0.25">
      <c r="A3215">
        <v>97</v>
      </c>
      <c r="B3215" t="s">
        <v>228</v>
      </c>
      <c r="C3215">
        <v>5</v>
      </c>
      <c r="D3215">
        <v>0</v>
      </c>
      <c r="E3215">
        <v>0</v>
      </c>
      <c r="F3215">
        <v>120.97</v>
      </c>
      <c r="G3215">
        <v>72434.880000000005</v>
      </c>
      <c r="H3215" s="14">
        <v>43768.833333333336</v>
      </c>
    </row>
    <row r="3216" spans="1:8" x14ac:dyDescent="0.25">
      <c r="A3216">
        <v>97</v>
      </c>
      <c r="B3216" t="s">
        <v>228</v>
      </c>
      <c r="C3216">
        <v>6</v>
      </c>
      <c r="D3216">
        <v>0</v>
      </c>
      <c r="E3216">
        <v>0</v>
      </c>
      <c r="F3216">
        <v>110.21</v>
      </c>
      <c r="G3216">
        <v>70793.45</v>
      </c>
      <c r="H3216" s="14">
        <v>43768.833333333336</v>
      </c>
    </row>
    <row r="3217" spans="1:8" x14ac:dyDescent="0.25">
      <c r="A3217">
        <v>97</v>
      </c>
      <c r="B3217" t="s">
        <v>228</v>
      </c>
      <c r="C3217">
        <v>7</v>
      </c>
      <c r="D3217">
        <v>0</v>
      </c>
      <c r="E3217">
        <v>0</v>
      </c>
      <c r="F3217">
        <v>119.38</v>
      </c>
      <c r="G3217">
        <v>74217.39</v>
      </c>
      <c r="H3217" s="14">
        <v>43768.833333333336</v>
      </c>
    </row>
    <row r="3218" spans="1:8" x14ac:dyDescent="0.25">
      <c r="A3218">
        <v>97</v>
      </c>
      <c r="B3218" t="s">
        <v>228</v>
      </c>
      <c r="C3218">
        <v>8</v>
      </c>
      <c r="D3218">
        <v>0</v>
      </c>
      <c r="E3218">
        <v>0</v>
      </c>
      <c r="F3218">
        <v>121.05</v>
      </c>
      <c r="G3218">
        <v>72715.960000000006</v>
      </c>
      <c r="H3218" s="14">
        <v>43768.833333333336</v>
      </c>
    </row>
    <row r="3219" spans="1:8" x14ac:dyDescent="0.25">
      <c r="A3219">
        <v>97</v>
      </c>
      <c r="B3219" t="s">
        <v>228</v>
      </c>
      <c r="C3219">
        <v>9</v>
      </c>
      <c r="D3219">
        <v>0</v>
      </c>
      <c r="E3219">
        <v>0</v>
      </c>
      <c r="F3219">
        <v>95.89</v>
      </c>
      <c r="G3219">
        <v>58679.21</v>
      </c>
      <c r="H3219" s="14">
        <v>43768.833333333336</v>
      </c>
    </row>
    <row r="3220" spans="1:8" x14ac:dyDescent="0.25">
      <c r="A3220">
        <v>97</v>
      </c>
      <c r="B3220" t="s">
        <v>228</v>
      </c>
      <c r="C3220">
        <v>10</v>
      </c>
      <c r="D3220">
        <v>0</v>
      </c>
      <c r="E3220">
        <v>0</v>
      </c>
      <c r="F3220">
        <v>67.209999999999994</v>
      </c>
      <c r="G3220">
        <v>52657.08</v>
      </c>
      <c r="H3220" s="14">
        <v>43768.833333333336</v>
      </c>
    </row>
    <row r="3221" spans="1:8" x14ac:dyDescent="0.25">
      <c r="A3221">
        <v>97</v>
      </c>
      <c r="B3221" t="s">
        <v>228</v>
      </c>
      <c r="C3221">
        <v>11</v>
      </c>
      <c r="D3221">
        <v>0</v>
      </c>
      <c r="E3221">
        <v>0</v>
      </c>
      <c r="F3221">
        <v>92.4</v>
      </c>
      <c r="G3221">
        <v>65299.51</v>
      </c>
      <c r="H3221" s="14">
        <v>43768.833333333336</v>
      </c>
    </row>
    <row r="3222" spans="1:8" x14ac:dyDescent="0.25">
      <c r="A3222">
        <v>97</v>
      </c>
      <c r="B3222" t="s">
        <v>228</v>
      </c>
      <c r="C3222">
        <v>12</v>
      </c>
      <c r="D3222">
        <v>0</v>
      </c>
      <c r="E3222">
        <v>0</v>
      </c>
      <c r="F3222">
        <v>121.96</v>
      </c>
      <c r="G3222">
        <v>76006.5</v>
      </c>
      <c r="H3222" s="14">
        <v>43768.833333333336</v>
      </c>
    </row>
    <row r="3223" spans="1:8" x14ac:dyDescent="0.25">
      <c r="A3223">
        <v>97</v>
      </c>
      <c r="B3223" t="s">
        <v>228</v>
      </c>
      <c r="C3223">
        <v>13</v>
      </c>
      <c r="D3223">
        <v>0</v>
      </c>
      <c r="E3223">
        <v>0</v>
      </c>
      <c r="F3223">
        <v>126.03</v>
      </c>
      <c r="G3223">
        <v>76818.210000000006</v>
      </c>
      <c r="H3223" s="14">
        <v>43768.833333333336</v>
      </c>
    </row>
    <row r="3224" spans="1:8" x14ac:dyDescent="0.25">
      <c r="A3224">
        <v>97</v>
      </c>
      <c r="B3224" t="s">
        <v>228</v>
      </c>
      <c r="C3224">
        <v>14</v>
      </c>
      <c r="D3224">
        <v>0</v>
      </c>
      <c r="E3224">
        <v>0</v>
      </c>
      <c r="F3224">
        <v>125.34</v>
      </c>
      <c r="G3224">
        <v>76966.53</v>
      </c>
      <c r="H3224" s="14">
        <v>43768.833333333336</v>
      </c>
    </row>
    <row r="3225" spans="1:8" x14ac:dyDescent="0.25">
      <c r="A3225">
        <v>97</v>
      </c>
      <c r="B3225" t="s">
        <v>228</v>
      </c>
      <c r="C3225">
        <v>15</v>
      </c>
      <c r="D3225">
        <v>0</v>
      </c>
      <c r="E3225">
        <v>0</v>
      </c>
      <c r="F3225">
        <v>93.91</v>
      </c>
      <c r="G3225">
        <v>53809.52</v>
      </c>
      <c r="H3225" s="14">
        <v>43768.833333333336</v>
      </c>
    </row>
    <row r="3226" spans="1:8" x14ac:dyDescent="0.25">
      <c r="A3226">
        <v>97</v>
      </c>
      <c r="B3226" t="s">
        <v>228</v>
      </c>
      <c r="C3226">
        <v>16</v>
      </c>
      <c r="D3226">
        <v>0</v>
      </c>
      <c r="E3226">
        <v>0</v>
      </c>
      <c r="F3226">
        <v>0</v>
      </c>
      <c r="G3226">
        <v>0</v>
      </c>
      <c r="H3226" s="14">
        <v>36526</v>
      </c>
    </row>
    <row r="3227" spans="1:8" x14ac:dyDescent="0.25">
      <c r="A3227">
        <v>97</v>
      </c>
      <c r="B3227" t="s">
        <v>228</v>
      </c>
      <c r="C3227">
        <v>17</v>
      </c>
      <c r="D3227">
        <v>0</v>
      </c>
      <c r="E3227">
        <v>0</v>
      </c>
      <c r="F3227">
        <v>0</v>
      </c>
      <c r="G3227">
        <v>0</v>
      </c>
      <c r="H3227" s="14">
        <v>36526</v>
      </c>
    </row>
    <row r="3228" spans="1:8" x14ac:dyDescent="0.25">
      <c r="A3228">
        <v>97</v>
      </c>
      <c r="B3228" t="s">
        <v>228</v>
      </c>
      <c r="C3228">
        <v>18</v>
      </c>
      <c r="D3228">
        <v>0</v>
      </c>
      <c r="E3228">
        <v>0</v>
      </c>
      <c r="F3228">
        <v>0</v>
      </c>
      <c r="G3228">
        <v>0</v>
      </c>
      <c r="H3228" s="14">
        <v>36526</v>
      </c>
    </row>
    <row r="3229" spans="1:8" x14ac:dyDescent="0.25">
      <c r="A3229">
        <v>97</v>
      </c>
      <c r="B3229" t="s">
        <v>228</v>
      </c>
      <c r="C3229">
        <v>19</v>
      </c>
      <c r="D3229">
        <v>0</v>
      </c>
      <c r="E3229">
        <v>0</v>
      </c>
      <c r="F3229">
        <v>0</v>
      </c>
      <c r="G3229">
        <v>0</v>
      </c>
      <c r="H3229" s="14">
        <v>36526</v>
      </c>
    </row>
    <row r="3230" spans="1:8" x14ac:dyDescent="0.25">
      <c r="A3230">
        <v>97</v>
      </c>
      <c r="B3230" t="s">
        <v>228</v>
      </c>
      <c r="C3230">
        <v>20</v>
      </c>
      <c r="D3230">
        <v>0</v>
      </c>
      <c r="E3230">
        <v>0</v>
      </c>
      <c r="F3230">
        <v>0</v>
      </c>
      <c r="G3230">
        <v>0</v>
      </c>
      <c r="H3230" s="14">
        <v>36526</v>
      </c>
    </row>
    <row r="3231" spans="1:8" x14ac:dyDescent="0.25">
      <c r="A3231">
        <v>98</v>
      </c>
      <c r="B3231" t="s">
        <v>229</v>
      </c>
      <c r="C3231">
        <v>1</v>
      </c>
      <c r="D3231">
        <v>0</v>
      </c>
      <c r="E3231">
        <v>0</v>
      </c>
      <c r="F3231">
        <v>132.93</v>
      </c>
      <c r="G3231">
        <v>93747.86</v>
      </c>
      <c r="H3231" s="14">
        <v>43768.833333333336</v>
      </c>
    </row>
    <row r="3232" spans="1:8" x14ac:dyDescent="0.25">
      <c r="A3232">
        <v>98</v>
      </c>
      <c r="B3232" t="s">
        <v>229</v>
      </c>
      <c r="C3232">
        <v>2</v>
      </c>
      <c r="D3232">
        <v>0</v>
      </c>
      <c r="E3232">
        <v>0</v>
      </c>
      <c r="F3232">
        <v>133.21</v>
      </c>
      <c r="G3232">
        <v>94087.74</v>
      </c>
      <c r="H3232" s="14">
        <v>43768.833333333336</v>
      </c>
    </row>
    <row r="3233" spans="1:8" x14ac:dyDescent="0.25">
      <c r="A3233">
        <v>98</v>
      </c>
      <c r="B3233" t="s">
        <v>229</v>
      </c>
      <c r="C3233">
        <v>3</v>
      </c>
      <c r="D3233">
        <v>0</v>
      </c>
      <c r="E3233">
        <v>0</v>
      </c>
      <c r="F3233">
        <v>132.99</v>
      </c>
      <c r="G3233">
        <v>89723.7</v>
      </c>
      <c r="H3233" s="14">
        <v>43768.833333333336</v>
      </c>
    </row>
    <row r="3234" spans="1:8" x14ac:dyDescent="0.25">
      <c r="A3234">
        <v>98</v>
      </c>
      <c r="B3234" t="s">
        <v>229</v>
      </c>
      <c r="C3234">
        <v>4</v>
      </c>
      <c r="D3234">
        <v>0</v>
      </c>
      <c r="E3234">
        <v>0</v>
      </c>
      <c r="F3234">
        <v>131.53</v>
      </c>
      <c r="G3234">
        <v>65406.44</v>
      </c>
      <c r="H3234" s="14">
        <v>43768.833333333336</v>
      </c>
    </row>
    <row r="3235" spans="1:8" x14ac:dyDescent="0.25">
      <c r="A3235">
        <v>98</v>
      </c>
      <c r="B3235" t="s">
        <v>229</v>
      </c>
      <c r="C3235">
        <v>5</v>
      </c>
      <c r="D3235">
        <v>0</v>
      </c>
      <c r="E3235">
        <v>0</v>
      </c>
      <c r="F3235">
        <v>147.04</v>
      </c>
      <c r="G3235">
        <v>98636.6</v>
      </c>
      <c r="H3235" s="14">
        <v>43768.833333333336</v>
      </c>
    </row>
    <row r="3236" spans="1:8" x14ac:dyDescent="0.25">
      <c r="A3236">
        <v>98</v>
      </c>
      <c r="B3236" t="s">
        <v>229</v>
      </c>
      <c r="C3236">
        <v>6</v>
      </c>
      <c r="D3236">
        <v>0</v>
      </c>
      <c r="E3236">
        <v>0</v>
      </c>
      <c r="F3236">
        <v>147.91999999999999</v>
      </c>
      <c r="G3236">
        <v>47988.71</v>
      </c>
      <c r="H3236" s="14">
        <v>43768.833333333336</v>
      </c>
    </row>
    <row r="3237" spans="1:8" x14ac:dyDescent="0.25">
      <c r="A3237">
        <v>98</v>
      </c>
      <c r="B3237" t="s">
        <v>229</v>
      </c>
      <c r="C3237">
        <v>7</v>
      </c>
      <c r="D3237">
        <v>0</v>
      </c>
      <c r="E3237">
        <v>0</v>
      </c>
      <c r="F3237">
        <v>114.52</v>
      </c>
      <c r="G3237">
        <v>93193.9</v>
      </c>
      <c r="H3237" s="14">
        <v>43768.833333333336</v>
      </c>
    </row>
    <row r="3238" spans="1:8" x14ac:dyDescent="0.25">
      <c r="A3238">
        <v>98</v>
      </c>
      <c r="B3238" t="s">
        <v>229</v>
      </c>
      <c r="C3238">
        <v>8</v>
      </c>
      <c r="D3238">
        <v>0</v>
      </c>
      <c r="E3238">
        <v>0</v>
      </c>
      <c r="F3238">
        <v>115.98</v>
      </c>
      <c r="G3238">
        <v>92516.66</v>
      </c>
      <c r="H3238" s="14">
        <v>43768.833333333336</v>
      </c>
    </row>
    <row r="3239" spans="1:8" x14ac:dyDescent="0.25">
      <c r="A3239">
        <v>98</v>
      </c>
      <c r="B3239" t="s">
        <v>229</v>
      </c>
      <c r="C3239">
        <v>9</v>
      </c>
      <c r="D3239">
        <v>0</v>
      </c>
      <c r="E3239">
        <v>0</v>
      </c>
      <c r="F3239">
        <v>111.9</v>
      </c>
      <c r="G3239">
        <v>79583.88</v>
      </c>
      <c r="H3239" s="14">
        <v>43768.833333333336</v>
      </c>
    </row>
    <row r="3240" spans="1:8" x14ac:dyDescent="0.25">
      <c r="A3240">
        <v>98</v>
      </c>
      <c r="B3240" t="s">
        <v>229</v>
      </c>
      <c r="C3240">
        <v>10</v>
      </c>
      <c r="D3240">
        <v>0</v>
      </c>
      <c r="E3240">
        <v>0</v>
      </c>
      <c r="F3240">
        <v>115.73</v>
      </c>
      <c r="G3240">
        <v>88482.46</v>
      </c>
      <c r="H3240" s="14">
        <v>43768.833333333336</v>
      </c>
    </row>
    <row r="3241" spans="1:8" x14ac:dyDescent="0.25">
      <c r="A3241">
        <v>98</v>
      </c>
      <c r="B3241" t="s">
        <v>229</v>
      </c>
      <c r="C3241">
        <v>11</v>
      </c>
      <c r="D3241">
        <v>0</v>
      </c>
      <c r="E3241">
        <v>0</v>
      </c>
      <c r="F3241">
        <v>116.82</v>
      </c>
      <c r="G3241">
        <v>89130.52</v>
      </c>
      <c r="H3241" s="14">
        <v>43768.833333333336</v>
      </c>
    </row>
    <row r="3242" spans="1:8" x14ac:dyDescent="0.25">
      <c r="A3242">
        <v>98</v>
      </c>
      <c r="B3242" t="s">
        <v>229</v>
      </c>
      <c r="C3242">
        <v>12</v>
      </c>
      <c r="D3242">
        <v>0</v>
      </c>
      <c r="E3242">
        <v>0</v>
      </c>
      <c r="F3242">
        <v>76.95</v>
      </c>
      <c r="G3242">
        <v>58507.35</v>
      </c>
      <c r="H3242" s="14">
        <v>43768.833333333336</v>
      </c>
    </row>
    <row r="3243" spans="1:8" x14ac:dyDescent="0.25">
      <c r="A3243">
        <v>98</v>
      </c>
      <c r="B3243" t="s">
        <v>229</v>
      </c>
      <c r="C3243">
        <v>13</v>
      </c>
      <c r="D3243">
        <v>0</v>
      </c>
      <c r="E3243">
        <v>0</v>
      </c>
      <c r="F3243">
        <v>38.869999999999997</v>
      </c>
      <c r="G3243">
        <v>29556.44</v>
      </c>
      <c r="H3243" s="14">
        <v>43768.833333333336</v>
      </c>
    </row>
    <row r="3244" spans="1:8" x14ac:dyDescent="0.25">
      <c r="A3244">
        <v>99</v>
      </c>
      <c r="B3244" t="s">
        <v>230</v>
      </c>
      <c r="C3244">
        <v>1</v>
      </c>
      <c r="D3244">
        <v>0</v>
      </c>
      <c r="E3244">
        <v>0</v>
      </c>
      <c r="F3244">
        <v>143.30000000000001</v>
      </c>
      <c r="G3244">
        <v>100361.43</v>
      </c>
      <c r="H3244" s="14">
        <v>43768.833333333336</v>
      </c>
    </row>
    <row r="3245" spans="1:8" x14ac:dyDescent="0.25">
      <c r="A3245">
        <v>99</v>
      </c>
      <c r="B3245" t="s">
        <v>230</v>
      </c>
      <c r="C3245">
        <v>2</v>
      </c>
      <c r="D3245">
        <v>0</v>
      </c>
      <c r="E3245">
        <v>0</v>
      </c>
      <c r="F3245">
        <v>140.71</v>
      </c>
      <c r="G3245">
        <v>100941.09</v>
      </c>
      <c r="H3245" s="14">
        <v>43768.833333333336</v>
      </c>
    </row>
    <row r="3246" spans="1:8" x14ac:dyDescent="0.25">
      <c r="A3246">
        <v>99</v>
      </c>
      <c r="B3246" t="s">
        <v>230</v>
      </c>
      <c r="C3246">
        <v>3</v>
      </c>
      <c r="D3246">
        <v>0</v>
      </c>
      <c r="E3246">
        <v>0</v>
      </c>
      <c r="F3246">
        <v>142.72999999999999</v>
      </c>
      <c r="G3246">
        <v>102531.11</v>
      </c>
      <c r="H3246" s="14">
        <v>43768.833333333336</v>
      </c>
    </row>
    <row r="3247" spans="1:8" x14ac:dyDescent="0.25">
      <c r="A3247">
        <v>99</v>
      </c>
      <c r="B3247" t="s">
        <v>230</v>
      </c>
      <c r="C3247">
        <v>4</v>
      </c>
      <c r="D3247">
        <v>0</v>
      </c>
      <c r="E3247">
        <v>0</v>
      </c>
      <c r="F3247">
        <v>141.93</v>
      </c>
      <c r="G3247">
        <v>100874.62</v>
      </c>
      <c r="H3247" s="14">
        <v>43768.833333333336</v>
      </c>
    </row>
    <row r="3248" spans="1:8" x14ac:dyDescent="0.25">
      <c r="A3248">
        <v>99</v>
      </c>
      <c r="B3248" t="s">
        <v>230</v>
      </c>
      <c r="C3248">
        <v>5</v>
      </c>
      <c r="D3248">
        <v>0</v>
      </c>
      <c r="E3248">
        <v>0</v>
      </c>
      <c r="F3248">
        <v>141.04</v>
      </c>
      <c r="G3248">
        <v>97294.75</v>
      </c>
      <c r="H3248" s="14">
        <v>43768.833333333336</v>
      </c>
    </row>
    <row r="3249" spans="1:8" x14ac:dyDescent="0.25">
      <c r="A3249">
        <v>100</v>
      </c>
      <c r="B3249" t="s">
        <v>231</v>
      </c>
      <c r="C3249">
        <v>1</v>
      </c>
      <c r="D3249">
        <v>0</v>
      </c>
      <c r="E3249">
        <v>0</v>
      </c>
      <c r="F3249">
        <v>109.66</v>
      </c>
      <c r="G3249">
        <v>83724.63</v>
      </c>
      <c r="H3249" s="14">
        <v>43768.833333333336</v>
      </c>
    </row>
    <row r="3250" spans="1:8" x14ac:dyDescent="0.25">
      <c r="A3250">
        <v>100</v>
      </c>
      <c r="B3250" t="s">
        <v>231</v>
      </c>
      <c r="C3250">
        <v>2</v>
      </c>
      <c r="D3250">
        <v>0</v>
      </c>
      <c r="E3250">
        <v>0</v>
      </c>
      <c r="F3250">
        <v>120.53</v>
      </c>
      <c r="G3250">
        <v>83749.929999999993</v>
      </c>
      <c r="H3250" s="14">
        <v>43768.833333333336</v>
      </c>
    </row>
    <row r="3251" spans="1:8" x14ac:dyDescent="0.25">
      <c r="A3251">
        <v>100</v>
      </c>
      <c r="B3251" t="s">
        <v>231</v>
      </c>
      <c r="C3251">
        <v>3</v>
      </c>
      <c r="D3251">
        <v>0</v>
      </c>
      <c r="E3251">
        <v>0</v>
      </c>
      <c r="F3251">
        <v>109.27</v>
      </c>
      <c r="G3251">
        <v>83200.91</v>
      </c>
      <c r="H3251" s="14">
        <v>43768.833333333336</v>
      </c>
    </row>
    <row r="3252" spans="1:8" x14ac:dyDescent="0.25">
      <c r="A3252">
        <v>100</v>
      </c>
      <c r="B3252" t="s">
        <v>231</v>
      </c>
      <c r="C3252">
        <v>4</v>
      </c>
      <c r="D3252">
        <v>0</v>
      </c>
      <c r="E3252">
        <v>0</v>
      </c>
      <c r="F3252">
        <v>117.64</v>
      </c>
      <c r="G3252">
        <v>82957.81</v>
      </c>
      <c r="H3252" s="14">
        <v>43768.833333333336</v>
      </c>
    </row>
    <row r="3253" spans="1:8" x14ac:dyDescent="0.25">
      <c r="A3253">
        <v>100</v>
      </c>
      <c r="B3253" t="s">
        <v>231</v>
      </c>
      <c r="C3253">
        <v>5</v>
      </c>
      <c r="D3253">
        <v>0</v>
      </c>
      <c r="E3253">
        <v>0</v>
      </c>
      <c r="F3253">
        <v>105.38</v>
      </c>
      <c r="G3253">
        <v>81038.89</v>
      </c>
      <c r="H3253" s="14">
        <v>43768.833333333336</v>
      </c>
    </row>
    <row r="3254" spans="1:8" x14ac:dyDescent="0.25">
      <c r="A3254">
        <v>100</v>
      </c>
      <c r="B3254" t="s">
        <v>231</v>
      </c>
      <c r="C3254">
        <v>6</v>
      </c>
      <c r="D3254">
        <v>0</v>
      </c>
      <c r="E3254">
        <v>0</v>
      </c>
      <c r="F3254">
        <v>118.44</v>
      </c>
      <c r="G3254">
        <v>82056.2</v>
      </c>
      <c r="H3254" s="14">
        <v>43768.833333333336</v>
      </c>
    </row>
    <row r="3255" spans="1:8" x14ac:dyDescent="0.25">
      <c r="A3255">
        <v>100</v>
      </c>
      <c r="B3255" t="s">
        <v>231</v>
      </c>
      <c r="C3255">
        <v>7</v>
      </c>
      <c r="D3255">
        <v>0</v>
      </c>
      <c r="E3255">
        <v>0</v>
      </c>
      <c r="F3255">
        <v>108.45</v>
      </c>
      <c r="G3255">
        <v>81541.08</v>
      </c>
      <c r="H3255" s="14">
        <v>43768.833333333336</v>
      </c>
    </row>
    <row r="3256" spans="1:8" x14ac:dyDescent="0.25">
      <c r="A3256">
        <v>100</v>
      </c>
      <c r="B3256" t="s">
        <v>231</v>
      </c>
      <c r="C3256">
        <v>8</v>
      </c>
      <c r="D3256">
        <v>0</v>
      </c>
      <c r="E3256">
        <v>0</v>
      </c>
      <c r="F3256">
        <v>120.48</v>
      </c>
      <c r="G3256">
        <v>82113.649999999994</v>
      </c>
      <c r="H3256" s="14">
        <v>43768.833333333336</v>
      </c>
    </row>
    <row r="3257" spans="1:8" x14ac:dyDescent="0.25">
      <c r="A3257">
        <v>100</v>
      </c>
      <c r="B3257" t="s">
        <v>231</v>
      </c>
      <c r="C3257">
        <v>9</v>
      </c>
      <c r="D3257">
        <v>0</v>
      </c>
      <c r="E3257">
        <v>0</v>
      </c>
      <c r="F3257">
        <v>95.6</v>
      </c>
      <c r="G3257">
        <v>77139.929999999993</v>
      </c>
      <c r="H3257" s="14">
        <v>43768.833333333336</v>
      </c>
    </row>
    <row r="3258" spans="1:8" x14ac:dyDescent="0.25">
      <c r="A3258">
        <v>101</v>
      </c>
      <c r="B3258" t="s">
        <v>233</v>
      </c>
      <c r="C3258">
        <v>1</v>
      </c>
      <c r="D3258">
        <v>0</v>
      </c>
      <c r="E3258">
        <v>0</v>
      </c>
      <c r="F3258">
        <v>121.21</v>
      </c>
      <c r="G3258">
        <v>85068.36</v>
      </c>
      <c r="H3258" s="14">
        <v>43768.833333333336</v>
      </c>
    </row>
    <row r="3259" spans="1:8" x14ac:dyDescent="0.25">
      <c r="A3259">
        <v>101</v>
      </c>
      <c r="B3259" t="s">
        <v>233</v>
      </c>
      <c r="C3259">
        <v>2</v>
      </c>
      <c r="D3259">
        <v>0</v>
      </c>
      <c r="E3259">
        <v>0</v>
      </c>
      <c r="F3259">
        <v>137.93</v>
      </c>
      <c r="G3259">
        <v>87894.02</v>
      </c>
      <c r="H3259" s="14">
        <v>43768.833333333336</v>
      </c>
    </row>
    <row r="3260" spans="1:8" x14ac:dyDescent="0.25">
      <c r="A3260">
        <v>101</v>
      </c>
      <c r="B3260" t="s">
        <v>233</v>
      </c>
      <c r="C3260">
        <v>3</v>
      </c>
      <c r="D3260">
        <v>0</v>
      </c>
      <c r="E3260">
        <v>0</v>
      </c>
      <c r="F3260">
        <v>118.84</v>
      </c>
      <c r="G3260">
        <v>85072.44</v>
      </c>
      <c r="H3260" s="14">
        <v>43768.833333333336</v>
      </c>
    </row>
    <row r="3261" spans="1:8" x14ac:dyDescent="0.25">
      <c r="A3261">
        <v>101</v>
      </c>
      <c r="B3261" t="s">
        <v>233</v>
      </c>
      <c r="C3261">
        <v>4</v>
      </c>
      <c r="D3261">
        <v>0</v>
      </c>
      <c r="E3261">
        <v>0</v>
      </c>
      <c r="F3261">
        <v>131.56</v>
      </c>
      <c r="G3261">
        <v>86290.53</v>
      </c>
      <c r="H3261" s="14">
        <v>43768.833333333336</v>
      </c>
    </row>
    <row r="3262" spans="1:8" x14ac:dyDescent="0.25">
      <c r="A3262">
        <v>101</v>
      </c>
      <c r="B3262" t="s">
        <v>233</v>
      </c>
      <c r="C3262">
        <v>5</v>
      </c>
      <c r="D3262">
        <v>0</v>
      </c>
      <c r="E3262">
        <v>0</v>
      </c>
      <c r="F3262">
        <v>116.14</v>
      </c>
      <c r="G3262">
        <v>84790.46</v>
      </c>
      <c r="H3262" s="14">
        <v>43768.833333333336</v>
      </c>
    </row>
    <row r="3263" spans="1:8" x14ac:dyDescent="0.25">
      <c r="A3263">
        <v>101</v>
      </c>
      <c r="B3263" t="s">
        <v>233</v>
      </c>
      <c r="C3263">
        <v>6</v>
      </c>
      <c r="D3263">
        <v>0</v>
      </c>
      <c r="E3263">
        <v>0</v>
      </c>
      <c r="F3263">
        <v>131.06</v>
      </c>
      <c r="G3263">
        <v>86528.78</v>
      </c>
      <c r="H3263" s="14">
        <v>43768.833333333336</v>
      </c>
    </row>
    <row r="3264" spans="1:8" x14ac:dyDescent="0.25">
      <c r="A3264">
        <v>101</v>
      </c>
      <c r="B3264" t="s">
        <v>233</v>
      </c>
      <c r="C3264">
        <v>7</v>
      </c>
      <c r="D3264">
        <v>0</v>
      </c>
      <c r="E3264">
        <v>0</v>
      </c>
      <c r="F3264">
        <v>114.91</v>
      </c>
      <c r="G3264">
        <v>84557.15</v>
      </c>
      <c r="H3264" s="14">
        <v>43768.833333333336</v>
      </c>
    </row>
    <row r="3265" spans="1:8" x14ac:dyDescent="0.25">
      <c r="A3265">
        <v>101</v>
      </c>
      <c r="B3265" t="s">
        <v>233</v>
      </c>
      <c r="C3265">
        <v>8</v>
      </c>
      <c r="D3265">
        <v>0</v>
      </c>
      <c r="E3265">
        <v>0</v>
      </c>
      <c r="F3265">
        <v>128.44</v>
      </c>
      <c r="G3265">
        <v>85250.48</v>
      </c>
      <c r="H3265" s="14">
        <v>43768.833333333336</v>
      </c>
    </row>
    <row r="3266" spans="1:8" x14ac:dyDescent="0.25">
      <c r="A3266">
        <v>101</v>
      </c>
      <c r="B3266" t="s">
        <v>233</v>
      </c>
      <c r="C3266">
        <v>9</v>
      </c>
      <c r="D3266">
        <v>0</v>
      </c>
      <c r="E3266">
        <v>0</v>
      </c>
      <c r="F3266">
        <v>79.22</v>
      </c>
      <c r="G3266">
        <v>54957.51</v>
      </c>
      <c r="H3266" s="14">
        <v>43768.833333333336</v>
      </c>
    </row>
    <row r="3267" spans="1:8" x14ac:dyDescent="0.25">
      <c r="A3267">
        <v>101</v>
      </c>
      <c r="B3267" t="s">
        <v>233</v>
      </c>
      <c r="C3267">
        <v>10</v>
      </c>
      <c r="D3267">
        <v>0</v>
      </c>
      <c r="E3267">
        <v>0</v>
      </c>
      <c r="F3267">
        <v>72.97</v>
      </c>
      <c r="G3267">
        <v>50845.5</v>
      </c>
      <c r="H3267" s="14">
        <v>43768.833333333336</v>
      </c>
    </row>
    <row r="3268" spans="1:8" x14ac:dyDescent="0.25">
      <c r="A3268">
        <v>102</v>
      </c>
      <c r="B3268" t="s">
        <v>234</v>
      </c>
      <c r="C3268">
        <v>1</v>
      </c>
      <c r="D3268">
        <v>0</v>
      </c>
      <c r="E3268">
        <v>0</v>
      </c>
      <c r="F3268">
        <v>82.63</v>
      </c>
      <c r="G3268">
        <v>78005.89</v>
      </c>
      <c r="H3268" s="14">
        <v>43768.833333333336</v>
      </c>
    </row>
    <row r="3269" spans="1:8" x14ac:dyDescent="0.25">
      <c r="A3269">
        <v>102</v>
      </c>
      <c r="B3269" t="s">
        <v>234</v>
      </c>
      <c r="C3269">
        <v>2</v>
      </c>
      <c r="D3269">
        <v>0</v>
      </c>
      <c r="E3269">
        <v>0</v>
      </c>
      <c r="F3269">
        <v>160.6</v>
      </c>
      <c r="G3269">
        <v>93456.75</v>
      </c>
      <c r="H3269" s="14">
        <v>43768.833333333336</v>
      </c>
    </row>
    <row r="3270" spans="1:8" x14ac:dyDescent="0.25">
      <c r="A3270">
        <v>102</v>
      </c>
      <c r="B3270" t="s">
        <v>234</v>
      </c>
      <c r="C3270">
        <v>3</v>
      </c>
      <c r="D3270">
        <v>0</v>
      </c>
      <c r="E3270">
        <v>0</v>
      </c>
      <c r="F3270">
        <v>101.54</v>
      </c>
      <c r="G3270">
        <v>82421.77</v>
      </c>
      <c r="H3270" s="14">
        <v>43768.833333333336</v>
      </c>
    </row>
    <row r="3271" spans="1:8" x14ac:dyDescent="0.25">
      <c r="A3271">
        <v>102</v>
      </c>
      <c r="B3271" t="s">
        <v>234</v>
      </c>
      <c r="C3271">
        <v>4</v>
      </c>
      <c r="D3271">
        <v>0</v>
      </c>
      <c r="E3271">
        <v>0</v>
      </c>
      <c r="F3271">
        <v>101.96</v>
      </c>
      <c r="G3271">
        <v>80639.88</v>
      </c>
      <c r="H3271" s="14">
        <v>43768.833333333336</v>
      </c>
    </row>
    <row r="3272" spans="1:8" x14ac:dyDescent="0.25">
      <c r="A3272">
        <v>102</v>
      </c>
      <c r="B3272" t="s">
        <v>234</v>
      </c>
      <c r="C3272">
        <v>5</v>
      </c>
      <c r="D3272">
        <v>0</v>
      </c>
      <c r="E3272">
        <v>0</v>
      </c>
      <c r="F3272">
        <v>160.27000000000001</v>
      </c>
      <c r="G3272">
        <v>93594.73</v>
      </c>
      <c r="H3272" s="14">
        <v>43768.833333333336</v>
      </c>
    </row>
    <row r="3273" spans="1:8" x14ac:dyDescent="0.25">
      <c r="A3273">
        <v>102</v>
      </c>
      <c r="B3273" t="s">
        <v>234</v>
      </c>
      <c r="C3273">
        <v>6</v>
      </c>
      <c r="D3273">
        <v>0</v>
      </c>
      <c r="E3273">
        <v>0</v>
      </c>
      <c r="F3273">
        <v>156.69999999999999</v>
      </c>
      <c r="G3273">
        <v>91217.29</v>
      </c>
      <c r="H3273" s="14">
        <v>43768.833333333336</v>
      </c>
    </row>
    <row r="3274" spans="1:8" x14ac:dyDescent="0.25">
      <c r="A3274">
        <v>102</v>
      </c>
      <c r="B3274" t="s">
        <v>234</v>
      </c>
      <c r="C3274">
        <v>7</v>
      </c>
      <c r="D3274">
        <v>0</v>
      </c>
      <c r="E3274">
        <v>0</v>
      </c>
      <c r="F3274">
        <v>160.36000000000001</v>
      </c>
      <c r="G3274">
        <v>86756.19</v>
      </c>
      <c r="H3274" s="14">
        <v>43768.833333333336</v>
      </c>
    </row>
    <row r="3275" spans="1:8" x14ac:dyDescent="0.25">
      <c r="A3275">
        <v>102</v>
      </c>
      <c r="B3275" t="s">
        <v>234</v>
      </c>
      <c r="C3275">
        <v>8</v>
      </c>
      <c r="D3275">
        <v>0</v>
      </c>
      <c r="E3275">
        <v>0</v>
      </c>
      <c r="F3275">
        <v>103.11</v>
      </c>
      <c r="G3275">
        <v>75606.23</v>
      </c>
      <c r="H3275" s="14">
        <v>43768.833333333336</v>
      </c>
    </row>
    <row r="3276" spans="1:8" x14ac:dyDescent="0.25">
      <c r="A3276">
        <v>102</v>
      </c>
      <c r="B3276" t="s">
        <v>234</v>
      </c>
      <c r="C3276">
        <v>9</v>
      </c>
      <c r="D3276">
        <v>0</v>
      </c>
      <c r="E3276">
        <v>0</v>
      </c>
      <c r="F3276">
        <v>86.23</v>
      </c>
      <c r="G3276">
        <v>56327.61</v>
      </c>
      <c r="H3276" s="14">
        <v>43768.833333333336</v>
      </c>
    </row>
    <row r="3277" spans="1:8" x14ac:dyDescent="0.25">
      <c r="A3277">
        <v>103</v>
      </c>
      <c r="B3277" t="s">
        <v>235</v>
      </c>
      <c r="C3277">
        <v>1</v>
      </c>
      <c r="D3277">
        <v>0</v>
      </c>
      <c r="E3277">
        <v>0</v>
      </c>
      <c r="F3277">
        <v>103.16</v>
      </c>
      <c r="G3277">
        <v>80506.67</v>
      </c>
      <c r="H3277" s="14">
        <v>43768.833333333336</v>
      </c>
    </row>
    <row r="3278" spans="1:8" x14ac:dyDescent="0.25">
      <c r="A3278">
        <v>103</v>
      </c>
      <c r="B3278" t="s">
        <v>235</v>
      </c>
      <c r="C3278">
        <v>2</v>
      </c>
      <c r="D3278">
        <v>0</v>
      </c>
      <c r="E3278">
        <v>0</v>
      </c>
      <c r="F3278">
        <v>160.6</v>
      </c>
      <c r="G3278">
        <v>93024.55</v>
      </c>
      <c r="H3278" s="14">
        <v>43768.833333333336</v>
      </c>
    </row>
    <row r="3279" spans="1:8" x14ac:dyDescent="0.25">
      <c r="A3279">
        <v>103</v>
      </c>
      <c r="B3279" t="s">
        <v>235</v>
      </c>
      <c r="C3279">
        <v>3</v>
      </c>
      <c r="D3279">
        <v>0</v>
      </c>
      <c r="E3279">
        <v>0</v>
      </c>
      <c r="F3279">
        <v>151.87</v>
      </c>
      <c r="G3279">
        <v>89547.9</v>
      </c>
      <c r="H3279" s="14">
        <v>43768.833333333336</v>
      </c>
    </row>
    <row r="3280" spans="1:8" x14ac:dyDescent="0.25">
      <c r="A3280">
        <v>103</v>
      </c>
      <c r="B3280" t="s">
        <v>235</v>
      </c>
      <c r="C3280">
        <v>4</v>
      </c>
      <c r="D3280">
        <v>0</v>
      </c>
      <c r="E3280">
        <v>0</v>
      </c>
      <c r="F3280">
        <v>125.08</v>
      </c>
      <c r="G3280">
        <v>84375.31</v>
      </c>
      <c r="H3280" s="14">
        <v>43768.833333333336</v>
      </c>
    </row>
    <row r="3281" spans="1:8" x14ac:dyDescent="0.25">
      <c r="A3281">
        <v>103</v>
      </c>
      <c r="B3281" t="s">
        <v>235</v>
      </c>
      <c r="C3281">
        <v>5</v>
      </c>
      <c r="D3281">
        <v>0</v>
      </c>
      <c r="E3281">
        <v>0</v>
      </c>
      <c r="F3281">
        <v>103.91</v>
      </c>
      <c r="G3281">
        <v>79444.62</v>
      </c>
      <c r="H3281" s="14">
        <v>43768.833333333336</v>
      </c>
    </row>
    <row r="3282" spans="1:8" x14ac:dyDescent="0.25">
      <c r="A3282">
        <v>103</v>
      </c>
      <c r="B3282" t="s">
        <v>235</v>
      </c>
      <c r="C3282">
        <v>6</v>
      </c>
      <c r="D3282">
        <v>0</v>
      </c>
      <c r="E3282">
        <v>0</v>
      </c>
      <c r="F3282">
        <v>161.37</v>
      </c>
      <c r="G3282">
        <v>93135.679999999993</v>
      </c>
      <c r="H3282" s="14">
        <v>43768.833333333336</v>
      </c>
    </row>
    <row r="3283" spans="1:8" x14ac:dyDescent="0.25">
      <c r="A3283">
        <v>103</v>
      </c>
      <c r="B3283" t="s">
        <v>235</v>
      </c>
      <c r="C3283">
        <v>7</v>
      </c>
      <c r="D3283">
        <v>0</v>
      </c>
      <c r="E3283">
        <v>0</v>
      </c>
      <c r="F3283">
        <v>125.88</v>
      </c>
      <c r="G3283">
        <v>83976.52</v>
      </c>
      <c r="H3283" s="14">
        <v>43768.833333333336</v>
      </c>
    </row>
    <row r="3284" spans="1:8" x14ac:dyDescent="0.25">
      <c r="A3284">
        <v>103</v>
      </c>
      <c r="B3284" t="s">
        <v>235</v>
      </c>
      <c r="C3284">
        <v>8</v>
      </c>
      <c r="D3284">
        <v>0</v>
      </c>
      <c r="E3284">
        <v>0</v>
      </c>
      <c r="F3284">
        <v>101.94</v>
      </c>
      <c r="G3284">
        <v>79446.47</v>
      </c>
      <c r="H3284" s="14">
        <v>43768.833333333336</v>
      </c>
    </row>
    <row r="3285" spans="1:8" x14ac:dyDescent="0.25">
      <c r="A3285">
        <v>103</v>
      </c>
      <c r="B3285" t="s">
        <v>235</v>
      </c>
      <c r="C3285">
        <v>9</v>
      </c>
      <c r="D3285">
        <v>0</v>
      </c>
      <c r="E3285">
        <v>0</v>
      </c>
      <c r="F3285">
        <v>162.71</v>
      </c>
      <c r="G3285">
        <v>94323.81</v>
      </c>
      <c r="H3285" s="14">
        <v>43768.833333333336</v>
      </c>
    </row>
    <row r="3286" spans="1:8" x14ac:dyDescent="0.25">
      <c r="A3286">
        <v>104</v>
      </c>
      <c r="B3286" t="s">
        <v>236</v>
      </c>
      <c r="C3286">
        <v>1</v>
      </c>
      <c r="D3286">
        <v>0</v>
      </c>
      <c r="E3286">
        <v>0</v>
      </c>
      <c r="F3286">
        <v>131.29</v>
      </c>
      <c r="G3286">
        <v>92589.18</v>
      </c>
      <c r="H3286" s="14">
        <v>43768.833333333336</v>
      </c>
    </row>
    <row r="3287" spans="1:8" x14ac:dyDescent="0.25">
      <c r="A3287">
        <v>104</v>
      </c>
      <c r="B3287" t="s">
        <v>236</v>
      </c>
      <c r="C3287">
        <v>2</v>
      </c>
      <c r="D3287">
        <v>0</v>
      </c>
      <c r="E3287">
        <v>0</v>
      </c>
      <c r="F3287">
        <v>140.13999999999999</v>
      </c>
      <c r="G3287">
        <v>93949.23</v>
      </c>
      <c r="H3287" s="14">
        <v>43768.833333333336</v>
      </c>
    </row>
    <row r="3288" spans="1:8" x14ac:dyDescent="0.25">
      <c r="A3288">
        <v>104</v>
      </c>
      <c r="B3288" t="s">
        <v>236</v>
      </c>
      <c r="C3288">
        <v>3</v>
      </c>
      <c r="D3288">
        <v>0</v>
      </c>
      <c r="E3288">
        <v>0</v>
      </c>
      <c r="F3288">
        <v>96.2</v>
      </c>
      <c r="G3288">
        <v>82172.94</v>
      </c>
      <c r="H3288" s="14">
        <v>43768.833333333336</v>
      </c>
    </row>
    <row r="3289" spans="1:8" x14ac:dyDescent="0.25">
      <c r="A3289">
        <v>104</v>
      </c>
      <c r="B3289" t="s">
        <v>236</v>
      </c>
      <c r="C3289">
        <v>4</v>
      </c>
      <c r="D3289">
        <v>0</v>
      </c>
      <c r="E3289">
        <v>0</v>
      </c>
      <c r="F3289">
        <v>-82228.789999999994</v>
      </c>
      <c r="G3289">
        <v>13.29</v>
      </c>
      <c r="H3289" s="14">
        <v>43768.833333333336</v>
      </c>
    </row>
    <row r="3290" spans="1:8" x14ac:dyDescent="0.25">
      <c r="A3290">
        <v>105</v>
      </c>
      <c r="B3290" t="s">
        <v>237</v>
      </c>
      <c r="C3290">
        <v>1</v>
      </c>
      <c r="D3290">
        <v>0</v>
      </c>
      <c r="E3290">
        <v>0</v>
      </c>
      <c r="F3290">
        <v>102.59</v>
      </c>
      <c r="G3290">
        <v>81952.09</v>
      </c>
      <c r="H3290" s="14">
        <v>43768.833333333336</v>
      </c>
    </row>
    <row r="3291" spans="1:8" x14ac:dyDescent="0.25">
      <c r="A3291">
        <v>105</v>
      </c>
      <c r="B3291" t="s">
        <v>237</v>
      </c>
      <c r="C3291">
        <v>2</v>
      </c>
      <c r="D3291">
        <v>0</v>
      </c>
      <c r="E3291">
        <v>0</v>
      </c>
      <c r="F3291">
        <v>98.92</v>
      </c>
      <c r="G3291">
        <v>71167.850000000006</v>
      </c>
      <c r="H3291" s="14">
        <v>43768.833333333336</v>
      </c>
    </row>
    <row r="3292" spans="1:8" x14ac:dyDescent="0.25">
      <c r="A3292">
        <v>105</v>
      </c>
      <c r="B3292" t="s">
        <v>237</v>
      </c>
      <c r="C3292">
        <v>3</v>
      </c>
      <c r="D3292">
        <v>0</v>
      </c>
      <c r="E3292">
        <v>0</v>
      </c>
      <c r="F3292">
        <v>137.22</v>
      </c>
      <c r="G3292">
        <v>32329.67</v>
      </c>
      <c r="H3292" s="14">
        <v>43768.833333333336</v>
      </c>
    </row>
    <row r="3293" spans="1:8" x14ac:dyDescent="0.25">
      <c r="A3293">
        <v>105</v>
      </c>
      <c r="B3293" t="s">
        <v>237</v>
      </c>
      <c r="C3293">
        <v>4</v>
      </c>
      <c r="D3293">
        <v>0</v>
      </c>
      <c r="E3293">
        <v>0</v>
      </c>
      <c r="F3293">
        <v>126.17</v>
      </c>
      <c r="G3293">
        <v>83320.789999999994</v>
      </c>
      <c r="H3293" s="14">
        <v>43768.833333333336</v>
      </c>
    </row>
    <row r="3294" spans="1:8" x14ac:dyDescent="0.25">
      <c r="A3294">
        <v>105</v>
      </c>
      <c r="B3294" t="s">
        <v>237</v>
      </c>
      <c r="C3294">
        <v>5</v>
      </c>
      <c r="D3294">
        <v>0</v>
      </c>
      <c r="E3294">
        <v>0</v>
      </c>
      <c r="F3294">
        <v>67.23</v>
      </c>
      <c r="G3294">
        <v>50662.55</v>
      </c>
      <c r="H3294" s="14">
        <v>43768.833333333336</v>
      </c>
    </row>
    <row r="3295" spans="1:8" x14ac:dyDescent="0.25">
      <c r="A3295">
        <v>105</v>
      </c>
      <c r="B3295" t="s">
        <v>237</v>
      </c>
      <c r="C3295">
        <v>6</v>
      </c>
      <c r="D3295">
        <v>0</v>
      </c>
      <c r="E3295">
        <v>0</v>
      </c>
      <c r="F3295">
        <v>83.74</v>
      </c>
      <c r="G3295">
        <v>53740.56</v>
      </c>
      <c r="H3295" s="14">
        <v>43768.833333333336</v>
      </c>
    </row>
    <row r="3296" spans="1:8" x14ac:dyDescent="0.25">
      <c r="A3296">
        <v>106</v>
      </c>
      <c r="B3296" t="s">
        <v>238</v>
      </c>
      <c r="C3296">
        <v>1</v>
      </c>
      <c r="D3296">
        <v>0</v>
      </c>
      <c r="E3296">
        <v>0</v>
      </c>
      <c r="F3296">
        <v>116.69</v>
      </c>
      <c r="G3296">
        <v>85861.01</v>
      </c>
      <c r="H3296" s="14">
        <v>43768.833333333336</v>
      </c>
    </row>
    <row r="3297" spans="1:8" x14ac:dyDescent="0.25">
      <c r="A3297">
        <v>106</v>
      </c>
      <c r="B3297" t="s">
        <v>238</v>
      </c>
      <c r="C3297">
        <v>2</v>
      </c>
      <c r="D3297">
        <v>0</v>
      </c>
      <c r="E3297">
        <v>0</v>
      </c>
      <c r="F3297">
        <v>117.89</v>
      </c>
      <c r="G3297">
        <v>71833.25</v>
      </c>
      <c r="H3297" s="14">
        <v>43768.833333333336</v>
      </c>
    </row>
    <row r="3298" spans="1:8" x14ac:dyDescent="0.25">
      <c r="A3298">
        <v>106</v>
      </c>
      <c r="B3298" t="s">
        <v>238</v>
      </c>
      <c r="C3298">
        <v>3</v>
      </c>
      <c r="D3298">
        <v>0</v>
      </c>
      <c r="E3298">
        <v>0</v>
      </c>
      <c r="F3298">
        <v>109.84</v>
      </c>
      <c r="G3298">
        <v>89003</v>
      </c>
      <c r="H3298" s="14">
        <v>43768.833333333336</v>
      </c>
    </row>
    <row r="3299" spans="1:8" x14ac:dyDescent="0.25">
      <c r="A3299">
        <v>106</v>
      </c>
      <c r="B3299" t="s">
        <v>238</v>
      </c>
      <c r="C3299">
        <v>4</v>
      </c>
      <c r="D3299">
        <v>0</v>
      </c>
      <c r="E3299">
        <v>0</v>
      </c>
      <c r="F3299">
        <v>111.32</v>
      </c>
      <c r="G3299">
        <v>89680.6</v>
      </c>
      <c r="H3299" s="14">
        <v>43768.833333333336</v>
      </c>
    </row>
    <row r="3300" spans="1:8" x14ac:dyDescent="0.25">
      <c r="A3300">
        <v>106</v>
      </c>
      <c r="B3300" t="s">
        <v>238</v>
      </c>
      <c r="C3300">
        <v>5</v>
      </c>
      <c r="D3300">
        <v>0</v>
      </c>
      <c r="E3300">
        <v>0</v>
      </c>
      <c r="F3300">
        <v>112.83</v>
      </c>
      <c r="G3300">
        <v>78381.279999999999</v>
      </c>
      <c r="H3300" s="14">
        <v>43768.833333333336</v>
      </c>
    </row>
    <row r="3301" spans="1:8" x14ac:dyDescent="0.25">
      <c r="A3301">
        <v>106</v>
      </c>
      <c r="B3301" t="s">
        <v>238</v>
      </c>
      <c r="C3301">
        <v>6</v>
      </c>
      <c r="D3301">
        <v>0</v>
      </c>
      <c r="E3301">
        <v>0</v>
      </c>
      <c r="F3301">
        <v>100.63</v>
      </c>
      <c r="G3301">
        <v>80986.11</v>
      </c>
      <c r="H3301" s="14">
        <v>43768.833333333336</v>
      </c>
    </row>
    <row r="3302" spans="1:8" x14ac:dyDescent="0.25">
      <c r="A3302">
        <v>107</v>
      </c>
      <c r="B3302" t="s">
        <v>239</v>
      </c>
      <c r="C3302">
        <v>1</v>
      </c>
      <c r="D3302">
        <v>0</v>
      </c>
      <c r="E3302">
        <v>0</v>
      </c>
      <c r="F3302">
        <v>90.53</v>
      </c>
      <c r="G3302">
        <v>51223.47</v>
      </c>
      <c r="H3302" s="14">
        <v>43768.833333333336</v>
      </c>
    </row>
    <row r="3303" spans="1:8" x14ac:dyDescent="0.25">
      <c r="A3303">
        <v>107</v>
      </c>
      <c r="B3303" t="s">
        <v>239</v>
      </c>
      <c r="C3303">
        <v>2</v>
      </c>
      <c r="D3303">
        <v>0</v>
      </c>
      <c r="E3303">
        <v>0</v>
      </c>
      <c r="F3303">
        <v>136.96</v>
      </c>
      <c r="G3303">
        <v>79988.73</v>
      </c>
      <c r="H3303" s="14">
        <v>43768.833333333336</v>
      </c>
    </row>
    <row r="3304" spans="1:8" x14ac:dyDescent="0.25">
      <c r="A3304">
        <v>107</v>
      </c>
      <c r="B3304" t="s">
        <v>239</v>
      </c>
      <c r="C3304">
        <v>3</v>
      </c>
      <c r="D3304">
        <v>0</v>
      </c>
      <c r="E3304">
        <v>0</v>
      </c>
      <c r="F3304">
        <v>135.63</v>
      </c>
      <c r="G3304">
        <v>77736.570000000007</v>
      </c>
      <c r="H3304" s="14">
        <v>43768.833333333336</v>
      </c>
    </row>
    <row r="3305" spans="1:8" x14ac:dyDescent="0.25">
      <c r="A3305">
        <v>107</v>
      </c>
      <c r="B3305" t="s">
        <v>239</v>
      </c>
      <c r="C3305">
        <v>4</v>
      </c>
      <c r="D3305">
        <v>0</v>
      </c>
      <c r="E3305">
        <v>0</v>
      </c>
      <c r="F3305">
        <v>138.47</v>
      </c>
      <c r="G3305">
        <v>78375.399999999994</v>
      </c>
      <c r="H3305" s="14">
        <v>43768.833333333336</v>
      </c>
    </row>
    <row r="3306" spans="1:8" x14ac:dyDescent="0.25">
      <c r="A3306">
        <v>107</v>
      </c>
      <c r="B3306" t="s">
        <v>239</v>
      </c>
      <c r="C3306">
        <v>5</v>
      </c>
      <c r="D3306">
        <v>0</v>
      </c>
      <c r="E3306">
        <v>0</v>
      </c>
      <c r="F3306">
        <v>142.84</v>
      </c>
      <c r="G3306">
        <v>80692.960000000006</v>
      </c>
      <c r="H3306" s="14">
        <v>43768.833333333336</v>
      </c>
    </row>
    <row r="3307" spans="1:8" x14ac:dyDescent="0.25">
      <c r="A3307">
        <v>107</v>
      </c>
      <c r="B3307" t="s">
        <v>239</v>
      </c>
      <c r="C3307">
        <v>6</v>
      </c>
      <c r="D3307">
        <v>0</v>
      </c>
      <c r="E3307">
        <v>0</v>
      </c>
      <c r="F3307">
        <v>145.63</v>
      </c>
      <c r="G3307">
        <v>82116.179999999993</v>
      </c>
      <c r="H3307" s="14">
        <v>43768.833333333336</v>
      </c>
    </row>
    <row r="3308" spans="1:8" x14ac:dyDescent="0.25">
      <c r="A3308">
        <v>107</v>
      </c>
      <c r="B3308" t="s">
        <v>239</v>
      </c>
      <c r="C3308">
        <v>7</v>
      </c>
      <c r="D3308">
        <v>0</v>
      </c>
      <c r="E3308">
        <v>0</v>
      </c>
      <c r="F3308">
        <v>144.46</v>
      </c>
      <c r="G3308">
        <v>81825.539999999994</v>
      </c>
      <c r="H3308" s="14">
        <v>43768.833333333336</v>
      </c>
    </row>
    <row r="3309" spans="1:8" x14ac:dyDescent="0.25">
      <c r="A3309">
        <v>107</v>
      </c>
      <c r="B3309" t="s">
        <v>239</v>
      </c>
      <c r="C3309">
        <v>8</v>
      </c>
      <c r="D3309">
        <v>0</v>
      </c>
      <c r="E3309">
        <v>0</v>
      </c>
      <c r="F3309">
        <v>141.97999999999999</v>
      </c>
      <c r="G3309">
        <v>81551.08</v>
      </c>
      <c r="H3309" s="14">
        <v>43768.833333333336</v>
      </c>
    </row>
    <row r="3310" spans="1:8" x14ac:dyDescent="0.25">
      <c r="A3310">
        <v>107</v>
      </c>
      <c r="B3310" t="s">
        <v>239</v>
      </c>
      <c r="C3310">
        <v>9</v>
      </c>
      <c r="D3310">
        <v>0</v>
      </c>
      <c r="E3310">
        <v>0</v>
      </c>
      <c r="F3310">
        <v>139.32</v>
      </c>
      <c r="G3310">
        <v>80943.87</v>
      </c>
      <c r="H3310" s="14">
        <v>43768.833333333336</v>
      </c>
    </row>
    <row r="3311" spans="1:8" x14ac:dyDescent="0.25">
      <c r="A3311">
        <v>107</v>
      </c>
      <c r="B3311" t="s">
        <v>239</v>
      </c>
      <c r="C3311">
        <v>10</v>
      </c>
      <c r="D3311">
        <v>0</v>
      </c>
      <c r="E3311">
        <v>0</v>
      </c>
      <c r="F3311">
        <v>0</v>
      </c>
      <c r="G3311">
        <v>0</v>
      </c>
      <c r="H3311" s="14">
        <v>36526</v>
      </c>
    </row>
    <row r="3312" spans="1:8" x14ac:dyDescent="0.25">
      <c r="A3312">
        <v>107</v>
      </c>
      <c r="B3312" t="s">
        <v>239</v>
      </c>
      <c r="C3312">
        <v>11</v>
      </c>
      <c r="D3312">
        <v>0</v>
      </c>
      <c r="E3312">
        <v>0</v>
      </c>
      <c r="F3312">
        <v>0</v>
      </c>
      <c r="G3312">
        <v>0</v>
      </c>
      <c r="H3312" s="14">
        <v>36526</v>
      </c>
    </row>
    <row r="3313" spans="1:8" x14ac:dyDescent="0.25">
      <c r="A3313">
        <v>107</v>
      </c>
      <c r="B3313" t="s">
        <v>239</v>
      </c>
      <c r="C3313">
        <v>12</v>
      </c>
      <c r="D3313">
        <v>0</v>
      </c>
      <c r="E3313">
        <v>0</v>
      </c>
      <c r="F3313">
        <v>0</v>
      </c>
      <c r="G3313">
        <v>0</v>
      </c>
      <c r="H3313" s="14">
        <v>36526</v>
      </c>
    </row>
    <row r="3314" spans="1:8" x14ac:dyDescent="0.25">
      <c r="A3314">
        <v>107</v>
      </c>
      <c r="B3314" t="s">
        <v>239</v>
      </c>
      <c r="C3314">
        <v>13</v>
      </c>
      <c r="D3314">
        <v>0</v>
      </c>
      <c r="E3314">
        <v>0</v>
      </c>
      <c r="F3314">
        <v>0</v>
      </c>
      <c r="G3314">
        <v>0</v>
      </c>
      <c r="H3314" s="14">
        <v>36526</v>
      </c>
    </row>
    <row r="3315" spans="1:8" x14ac:dyDescent="0.25">
      <c r="A3315">
        <v>107</v>
      </c>
      <c r="B3315" t="s">
        <v>239</v>
      </c>
      <c r="C3315">
        <v>14</v>
      </c>
      <c r="D3315">
        <v>0</v>
      </c>
      <c r="E3315">
        <v>0</v>
      </c>
      <c r="F3315">
        <v>0</v>
      </c>
      <c r="G3315">
        <v>0</v>
      </c>
      <c r="H3315" s="14">
        <v>36526</v>
      </c>
    </row>
    <row r="3316" spans="1:8" x14ac:dyDescent="0.25">
      <c r="A3316">
        <v>107</v>
      </c>
      <c r="B3316" t="s">
        <v>239</v>
      </c>
      <c r="C3316">
        <v>15</v>
      </c>
      <c r="D3316">
        <v>0</v>
      </c>
      <c r="E3316">
        <v>0</v>
      </c>
      <c r="F3316">
        <v>0</v>
      </c>
      <c r="G3316">
        <v>0</v>
      </c>
      <c r="H3316" s="14">
        <v>36526</v>
      </c>
    </row>
    <row r="3317" spans="1:8" x14ac:dyDescent="0.25">
      <c r="A3317">
        <v>107</v>
      </c>
      <c r="B3317" t="s">
        <v>239</v>
      </c>
      <c r="C3317">
        <v>16</v>
      </c>
      <c r="D3317">
        <v>0</v>
      </c>
      <c r="E3317">
        <v>0</v>
      </c>
      <c r="F3317">
        <v>0</v>
      </c>
      <c r="G3317">
        <v>0</v>
      </c>
      <c r="H3317" s="14">
        <v>36526</v>
      </c>
    </row>
    <row r="3318" spans="1:8" x14ac:dyDescent="0.25">
      <c r="A3318">
        <v>107</v>
      </c>
      <c r="B3318" t="s">
        <v>239</v>
      </c>
      <c r="C3318">
        <v>17</v>
      </c>
      <c r="D3318">
        <v>0</v>
      </c>
      <c r="E3318">
        <v>0</v>
      </c>
      <c r="F3318">
        <v>0</v>
      </c>
      <c r="G3318">
        <v>0</v>
      </c>
      <c r="H3318" s="14">
        <v>36526</v>
      </c>
    </row>
    <row r="3319" spans="1:8" x14ac:dyDescent="0.25">
      <c r="A3319">
        <v>107</v>
      </c>
      <c r="B3319" t="s">
        <v>239</v>
      </c>
      <c r="C3319">
        <v>18</v>
      </c>
      <c r="D3319">
        <v>0</v>
      </c>
      <c r="E3319">
        <v>0</v>
      </c>
      <c r="F3319">
        <v>0</v>
      </c>
      <c r="G3319">
        <v>0</v>
      </c>
      <c r="H3319" s="14">
        <v>36526</v>
      </c>
    </row>
    <row r="3320" spans="1:8" x14ac:dyDescent="0.25">
      <c r="A3320">
        <v>107</v>
      </c>
      <c r="B3320" t="s">
        <v>239</v>
      </c>
      <c r="C3320">
        <v>19</v>
      </c>
      <c r="D3320">
        <v>0</v>
      </c>
      <c r="E3320">
        <v>0</v>
      </c>
      <c r="F3320">
        <v>0</v>
      </c>
      <c r="G3320">
        <v>0</v>
      </c>
      <c r="H3320" s="14">
        <v>36526</v>
      </c>
    </row>
    <row r="3321" spans="1:8" x14ac:dyDescent="0.25">
      <c r="A3321">
        <v>107</v>
      </c>
      <c r="B3321" t="s">
        <v>239</v>
      </c>
      <c r="C3321">
        <v>20</v>
      </c>
      <c r="D3321">
        <v>0</v>
      </c>
      <c r="E3321">
        <v>0</v>
      </c>
      <c r="F3321">
        <v>0</v>
      </c>
      <c r="G3321">
        <v>0</v>
      </c>
      <c r="H3321" s="14">
        <v>36526</v>
      </c>
    </row>
    <row r="3322" spans="1:8" x14ac:dyDescent="0.25">
      <c r="A3322">
        <v>108</v>
      </c>
      <c r="B3322" t="s">
        <v>240</v>
      </c>
      <c r="C3322">
        <v>1</v>
      </c>
      <c r="D3322">
        <v>0</v>
      </c>
      <c r="E3322">
        <v>0</v>
      </c>
      <c r="F3322">
        <v>120.39</v>
      </c>
      <c r="G3322">
        <v>76549.87</v>
      </c>
      <c r="H3322" s="14">
        <v>43768.833333333336</v>
      </c>
    </row>
    <row r="3323" spans="1:8" x14ac:dyDescent="0.25">
      <c r="A3323">
        <v>108</v>
      </c>
      <c r="B3323" t="s">
        <v>240</v>
      </c>
      <c r="C3323">
        <v>2</v>
      </c>
      <c r="D3323">
        <v>0</v>
      </c>
      <c r="E3323">
        <v>0</v>
      </c>
      <c r="F3323">
        <v>133.22</v>
      </c>
      <c r="G3323">
        <v>79704.800000000003</v>
      </c>
      <c r="H3323" s="14">
        <v>43768.833333333336</v>
      </c>
    </row>
    <row r="3324" spans="1:8" x14ac:dyDescent="0.25">
      <c r="A3324">
        <v>108</v>
      </c>
      <c r="B3324" t="s">
        <v>240</v>
      </c>
      <c r="C3324">
        <v>3</v>
      </c>
      <c r="D3324">
        <v>0</v>
      </c>
      <c r="E3324">
        <v>0</v>
      </c>
      <c r="F3324">
        <v>128.25</v>
      </c>
      <c r="G3324">
        <v>79488.83</v>
      </c>
      <c r="H3324" s="14">
        <v>43768.833333333336</v>
      </c>
    </row>
    <row r="3325" spans="1:8" x14ac:dyDescent="0.25">
      <c r="A3325">
        <v>108</v>
      </c>
      <c r="B3325" t="s">
        <v>240</v>
      </c>
      <c r="C3325">
        <v>4</v>
      </c>
      <c r="D3325">
        <v>0</v>
      </c>
      <c r="E3325">
        <v>0</v>
      </c>
      <c r="F3325">
        <v>135.25</v>
      </c>
      <c r="G3325">
        <v>79971.679999999993</v>
      </c>
      <c r="H3325" s="14">
        <v>43768.833333333336</v>
      </c>
    </row>
    <row r="3326" spans="1:8" x14ac:dyDescent="0.25">
      <c r="A3326">
        <v>108</v>
      </c>
      <c r="B3326" t="s">
        <v>240</v>
      </c>
      <c r="C3326">
        <v>5</v>
      </c>
      <c r="D3326">
        <v>0</v>
      </c>
      <c r="E3326">
        <v>0</v>
      </c>
      <c r="F3326">
        <v>140.9</v>
      </c>
      <c r="G3326">
        <v>81607.42</v>
      </c>
      <c r="H3326" s="14">
        <v>43768.833333333336</v>
      </c>
    </row>
    <row r="3327" spans="1:8" x14ac:dyDescent="0.25">
      <c r="A3327">
        <v>108</v>
      </c>
      <c r="B3327" t="s">
        <v>240</v>
      </c>
      <c r="C3327">
        <v>6</v>
      </c>
      <c r="D3327">
        <v>0</v>
      </c>
      <c r="E3327">
        <v>0</v>
      </c>
      <c r="F3327">
        <v>137.56</v>
      </c>
      <c r="G3327">
        <v>80857.09</v>
      </c>
      <c r="H3327" s="14">
        <v>43768.833333333336</v>
      </c>
    </row>
    <row r="3328" spans="1:8" x14ac:dyDescent="0.25">
      <c r="A3328">
        <v>108</v>
      </c>
      <c r="B3328" t="s">
        <v>240</v>
      </c>
      <c r="C3328">
        <v>7</v>
      </c>
      <c r="D3328">
        <v>0</v>
      </c>
      <c r="E3328">
        <v>0</v>
      </c>
      <c r="F3328">
        <v>129.13999999999999</v>
      </c>
      <c r="G3328">
        <v>78092.86</v>
      </c>
      <c r="H3328" s="14">
        <v>43768.833333333336</v>
      </c>
    </row>
    <row r="3329" spans="1:8" x14ac:dyDescent="0.25">
      <c r="A3329">
        <v>108</v>
      </c>
      <c r="B3329" t="s">
        <v>240</v>
      </c>
      <c r="C3329">
        <v>8</v>
      </c>
      <c r="D3329">
        <v>0</v>
      </c>
      <c r="E3329">
        <v>0</v>
      </c>
      <c r="F3329">
        <v>122.06</v>
      </c>
      <c r="G3329">
        <v>75009.210000000006</v>
      </c>
      <c r="H3329" s="14">
        <v>43768.833333333336</v>
      </c>
    </row>
    <row r="3330" spans="1:8" x14ac:dyDescent="0.25">
      <c r="A3330">
        <v>108</v>
      </c>
      <c r="B3330" t="s">
        <v>240</v>
      </c>
      <c r="C3330">
        <v>9</v>
      </c>
      <c r="D3330">
        <v>0</v>
      </c>
      <c r="E3330">
        <v>0</v>
      </c>
      <c r="F3330">
        <v>122.89</v>
      </c>
      <c r="G3330">
        <v>74274.559999999998</v>
      </c>
      <c r="H3330" s="14">
        <v>43768.833333333336</v>
      </c>
    </row>
    <row r="3331" spans="1:8" x14ac:dyDescent="0.25">
      <c r="A3331">
        <v>108</v>
      </c>
      <c r="B3331" t="s">
        <v>240</v>
      </c>
      <c r="C3331">
        <v>10</v>
      </c>
      <c r="D3331">
        <v>0</v>
      </c>
      <c r="E3331">
        <v>0</v>
      </c>
      <c r="F3331">
        <v>84.41</v>
      </c>
      <c r="G3331">
        <v>71919.69</v>
      </c>
      <c r="H3331" s="14">
        <v>43768.833333333336</v>
      </c>
    </row>
    <row r="3332" spans="1:8" x14ac:dyDescent="0.25">
      <c r="A3332">
        <v>108</v>
      </c>
      <c r="B3332" t="s">
        <v>240</v>
      </c>
      <c r="C3332">
        <v>11</v>
      </c>
      <c r="D3332">
        <v>0</v>
      </c>
      <c r="E3332">
        <v>0</v>
      </c>
      <c r="F3332">
        <v>121.6</v>
      </c>
      <c r="G3332">
        <v>73551.839999999997</v>
      </c>
      <c r="H3332" s="14">
        <v>43768.833333333336</v>
      </c>
    </row>
    <row r="3333" spans="1:8" x14ac:dyDescent="0.25">
      <c r="A3333">
        <v>108</v>
      </c>
      <c r="B3333" t="s">
        <v>240</v>
      </c>
      <c r="C3333">
        <v>12</v>
      </c>
      <c r="D3333">
        <v>0</v>
      </c>
      <c r="E3333">
        <v>0</v>
      </c>
      <c r="F3333">
        <v>135.26</v>
      </c>
      <c r="G3333">
        <v>77341.02</v>
      </c>
      <c r="H3333" s="14">
        <v>43768.833333333336</v>
      </c>
    </row>
    <row r="3334" spans="1:8" x14ac:dyDescent="0.25">
      <c r="A3334">
        <v>108</v>
      </c>
      <c r="B3334" t="s">
        <v>240</v>
      </c>
      <c r="C3334">
        <v>13</v>
      </c>
      <c r="D3334">
        <v>0</v>
      </c>
      <c r="E3334">
        <v>0</v>
      </c>
      <c r="F3334">
        <v>84.4</v>
      </c>
      <c r="G3334">
        <v>45535.81</v>
      </c>
      <c r="H3334" s="14">
        <v>43768.833333333336</v>
      </c>
    </row>
    <row r="3335" spans="1:8" x14ac:dyDescent="0.25">
      <c r="A3335">
        <v>108</v>
      </c>
      <c r="B3335" t="s">
        <v>240</v>
      </c>
      <c r="C3335">
        <v>14</v>
      </c>
      <c r="D3335">
        <v>0</v>
      </c>
      <c r="E3335">
        <v>0</v>
      </c>
      <c r="F3335">
        <v>88.98</v>
      </c>
      <c r="G3335">
        <v>40307.699999999997</v>
      </c>
      <c r="H3335" s="14">
        <v>43768.833333333336</v>
      </c>
    </row>
    <row r="3336" spans="1:8" x14ac:dyDescent="0.25">
      <c r="A3336">
        <v>108</v>
      </c>
      <c r="B3336" t="s">
        <v>240</v>
      </c>
      <c r="C3336">
        <v>15</v>
      </c>
      <c r="D3336">
        <v>0</v>
      </c>
      <c r="E3336">
        <v>0</v>
      </c>
      <c r="F3336">
        <v>87.62</v>
      </c>
      <c r="G3336">
        <v>50913.760000000002</v>
      </c>
      <c r="H3336" s="14">
        <v>43768.833333333336</v>
      </c>
    </row>
    <row r="3337" spans="1:8" x14ac:dyDescent="0.25">
      <c r="A3337">
        <v>109</v>
      </c>
      <c r="B3337" t="s">
        <v>241</v>
      </c>
      <c r="C3337">
        <v>1</v>
      </c>
      <c r="D3337">
        <v>0</v>
      </c>
      <c r="E3337">
        <v>0</v>
      </c>
      <c r="F3337">
        <v>96.85</v>
      </c>
      <c r="G3337">
        <v>71429.98</v>
      </c>
      <c r="H3337" s="14">
        <v>43768.833333333336</v>
      </c>
    </row>
    <row r="3338" spans="1:8" x14ac:dyDescent="0.25">
      <c r="A3338">
        <v>109</v>
      </c>
      <c r="B3338" t="s">
        <v>241</v>
      </c>
      <c r="C3338">
        <v>2</v>
      </c>
      <c r="D3338">
        <v>0</v>
      </c>
      <c r="E3338">
        <v>0</v>
      </c>
      <c r="F3338">
        <v>97.89</v>
      </c>
      <c r="G3338">
        <v>71158.13</v>
      </c>
      <c r="H3338" s="14">
        <v>43768.833333333336</v>
      </c>
    </row>
    <row r="3339" spans="1:8" x14ac:dyDescent="0.25">
      <c r="A3339">
        <v>109</v>
      </c>
      <c r="B3339" t="s">
        <v>241</v>
      </c>
      <c r="C3339">
        <v>3</v>
      </c>
      <c r="D3339">
        <v>0</v>
      </c>
      <c r="E3339">
        <v>0</v>
      </c>
      <c r="F3339">
        <v>99.06</v>
      </c>
      <c r="G3339">
        <v>69059</v>
      </c>
      <c r="H3339" s="14">
        <v>43768.833333333336</v>
      </c>
    </row>
    <row r="3340" spans="1:8" x14ac:dyDescent="0.25">
      <c r="A3340">
        <v>109</v>
      </c>
      <c r="B3340" t="s">
        <v>241</v>
      </c>
      <c r="C3340">
        <v>4</v>
      </c>
      <c r="D3340">
        <v>0</v>
      </c>
      <c r="E3340">
        <v>0</v>
      </c>
      <c r="F3340">
        <v>97.88</v>
      </c>
      <c r="G3340">
        <v>87681.38</v>
      </c>
      <c r="H3340" s="14">
        <v>43768.833333333336</v>
      </c>
    </row>
    <row r="3341" spans="1:8" x14ac:dyDescent="0.25">
      <c r="A3341">
        <v>109</v>
      </c>
      <c r="B3341" t="s">
        <v>241</v>
      </c>
      <c r="C3341">
        <v>5</v>
      </c>
      <c r="D3341">
        <v>0</v>
      </c>
      <c r="E3341">
        <v>0</v>
      </c>
      <c r="F3341">
        <v>99.8</v>
      </c>
      <c r="G3341">
        <v>71810.960000000006</v>
      </c>
      <c r="H3341" s="14">
        <v>43768.833333333336</v>
      </c>
    </row>
    <row r="3342" spans="1:8" x14ac:dyDescent="0.25">
      <c r="A3342">
        <v>109</v>
      </c>
      <c r="B3342" t="s">
        <v>241</v>
      </c>
      <c r="C3342">
        <v>6</v>
      </c>
      <c r="D3342">
        <v>0</v>
      </c>
      <c r="E3342">
        <v>0</v>
      </c>
      <c r="F3342">
        <v>100</v>
      </c>
      <c r="G3342">
        <v>71867.25</v>
      </c>
      <c r="H3342" s="14">
        <v>43768.833333333336</v>
      </c>
    </row>
    <row r="3343" spans="1:8" x14ac:dyDescent="0.25">
      <c r="A3343">
        <v>109</v>
      </c>
      <c r="B3343" t="s">
        <v>241</v>
      </c>
      <c r="C3343">
        <v>7</v>
      </c>
      <c r="D3343">
        <v>0</v>
      </c>
      <c r="E3343">
        <v>0</v>
      </c>
      <c r="F3343">
        <v>98.54</v>
      </c>
      <c r="G3343">
        <v>72047.06</v>
      </c>
      <c r="H3343" s="14">
        <v>43768.833333333336</v>
      </c>
    </row>
    <row r="3344" spans="1:8" x14ac:dyDescent="0.25">
      <c r="A3344">
        <v>109</v>
      </c>
      <c r="B3344" t="s">
        <v>241</v>
      </c>
      <c r="C3344">
        <v>8</v>
      </c>
      <c r="D3344">
        <v>0</v>
      </c>
      <c r="E3344">
        <v>0</v>
      </c>
      <c r="F3344">
        <v>98.74</v>
      </c>
      <c r="G3344">
        <v>72345.17</v>
      </c>
      <c r="H3344" s="14">
        <v>43768.833333333336</v>
      </c>
    </row>
    <row r="3345" spans="1:8" x14ac:dyDescent="0.25">
      <c r="A3345">
        <v>109</v>
      </c>
      <c r="B3345" t="s">
        <v>241</v>
      </c>
      <c r="C3345">
        <v>9</v>
      </c>
      <c r="D3345">
        <v>0</v>
      </c>
      <c r="E3345">
        <v>0</v>
      </c>
      <c r="F3345">
        <v>97.47</v>
      </c>
      <c r="G3345">
        <v>71410.14</v>
      </c>
      <c r="H3345" s="14">
        <v>43768.833333333336</v>
      </c>
    </row>
    <row r="3346" spans="1:8" x14ac:dyDescent="0.25">
      <c r="A3346">
        <v>109</v>
      </c>
      <c r="B3346" t="s">
        <v>241</v>
      </c>
      <c r="C3346">
        <v>10</v>
      </c>
      <c r="D3346">
        <v>0</v>
      </c>
      <c r="E3346">
        <v>0</v>
      </c>
      <c r="F3346">
        <v>98</v>
      </c>
      <c r="G3346">
        <v>72363</v>
      </c>
      <c r="H3346" s="14">
        <v>43768.833333333336</v>
      </c>
    </row>
    <row r="3347" spans="1:8" x14ac:dyDescent="0.25">
      <c r="A3347">
        <v>109</v>
      </c>
      <c r="B3347" t="s">
        <v>241</v>
      </c>
      <c r="C3347">
        <v>11</v>
      </c>
      <c r="D3347">
        <v>0</v>
      </c>
      <c r="E3347">
        <v>0</v>
      </c>
      <c r="F3347">
        <v>98.25</v>
      </c>
      <c r="G3347">
        <v>69563.570000000007</v>
      </c>
      <c r="H3347" s="14">
        <v>43768.833333333336</v>
      </c>
    </row>
    <row r="3348" spans="1:8" x14ac:dyDescent="0.25">
      <c r="A3348">
        <v>109</v>
      </c>
      <c r="B3348" t="s">
        <v>241</v>
      </c>
      <c r="C3348">
        <v>12</v>
      </c>
      <c r="D3348">
        <v>0</v>
      </c>
      <c r="E3348">
        <v>0</v>
      </c>
      <c r="F3348">
        <v>97.92</v>
      </c>
      <c r="G3348">
        <v>69617.53</v>
      </c>
      <c r="H3348" s="14">
        <v>43768.833333333336</v>
      </c>
    </row>
    <row r="3349" spans="1:8" x14ac:dyDescent="0.25">
      <c r="A3349">
        <v>109</v>
      </c>
      <c r="B3349" t="s">
        <v>241</v>
      </c>
      <c r="C3349">
        <v>13</v>
      </c>
      <c r="D3349">
        <v>0</v>
      </c>
      <c r="E3349">
        <v>0</v>
      </c>
      <c r="F3349">
        <v>99.58</v>
      </c>
      <c r="G3349">
        <v>72110.539999999994</v>
      </c>
      <c r="H3349" s="14">
        <v>43768.833333333336</v>
      </c>
    </row>
    <row r="3350" spans="1:8" x14ac:dyDescent="0.25">
      <c r="A3350">
        <v>109</v>
      </c>
      <c r="B3350" t="s">
        <v>241</v>
      </c>
      <c r="C3350">
        <v>14</v>
      </c>
      <c r="D3350">
        <v>0</v>
      </c>
      <c r="E3350">
        <v>0</v>
      </c>
      <c r="F3350">
        <v>101.16</v>
      </c>
      <c r="G3350">
        <v>72661.429999999993</v>
      </c>
      <c r="H3350" s="14">
        <v>43768.833333333336</v>
      </c>
    </row>
    <row r="3351" spans="1:8" x14ac:dyDescent="0.25">
      <c r="A3351">
        <v>109</v>
      </c>
      <c r="B3351" t="s">
        <v>241</v>
      </c>
      <c r="C3351">
        <v>15</v>
      </c>
      <c r="D3351">
        <v>0</v>
      </c>
      <c r="E3351">
        <v>0</v>
      </c>
      <c r="F3351">
        <v>32.78</v>
      </c>
      <c r="G3351">
        <v>24010.66</v>
      </c>
      <c r="H3351" s="14">
        <v>43768.833333333336</v>
      </c>
    </row>
    <row r="3352" spans="1:8" x14ac:dyDescent="0.25">
      <c r="A3352">
        <v>110</v>
      </c>
      <c r="B3352" t="s">
        <v>242</v>
      </c>
      <c r="C3352">
        <v>1</v>
      </c>
      <c r="D3352">
        <v>0</v>
      </c>
      <c r="E3352">
        <v>0</v>
      </c>
      <c r="F3352">
        <v>107.95</v>
      </c>
      <c r="G3352">
        <v>74825.759999999995</v>
      </c>
      <c r="H3352" s="14">
        <v>43768.833333333336</v>
      </c>
    </row>
    <row r="3353" spans="1:8" x14ac:dyDescent="0.25">
      <c r="A3353">
        <v>110</v>
      </c>
      <c r="B3353" t="s">
        <v>242</v>
      </c>
      <c r="C3353">
        <v>2</v>
      </c>
      <c r="D3353">
        <v>0</v>
      </c>
      <c r="E3353">
        <v>0</v>
      </c>
      <c r="F3353">
        <v>107.77</v>
      </c>
      <c r="G3353">
        <v>74718.47</v>
      </c>
      <c r="H3353" s="14">
        <v>43768.833333333336</v>
      </c>
    </row>
    <row r="3354" spans="1:8" x14ac:dyDescent="0.25">
      <c r="A3354">
        <v>110</v>
      </c>
      <c r="B3354" t="s">
        <v>242</v>
      </c>
      <c r="C3354">
        <v>3</v>
      </c>
      <c r="D3354">
        <v>0</v>
      </c>
      <c r="E3354">
        <v>0</v>
      </c>
      <c r="F3354">
        <v>106.44</v>
      </c>
      <c r="G3354">
        <v>74471.14</v>
      </c>
      <c r="H3354" s="14">
        <v>43768.833333333336</v>
      </c>
    </row>
    <row r="3355" spans="1:8" x14ac:dyDescent="0.25">
      <c r="A3355">
        <v>110</v>
      </c>
      <c r="B3355" t="s">
        <v>242</v>
      </c>
      <c r="C3355">
        <v>4</v>
      </c>
      <c r="D3355">
        <v>0</v>
      </c>
      <c r="E3355">
        <v>0</v>
      </c>
      <c r="F3355">
        <v>109.02</v>
      </c>
      <c r="G3355">
        <v>74823</v>
      </c>
      <c r="H3355" s="14">
        <v>43768.833333333336</v>
      </c>
    </row>
    <row r="3356" spans="1:8" x14ac:dyDescent="0.25">
      <c r="A3356">
        <v>110</v>
      </c>
      <c r="B3356" t="s">
        <v>242</v>
      </c>
      <c r="C3356">
        <v>5</v>
      </c>
      <c r="D3356">
        <v>0</v>
      </c>
      <c r="E3356">
        <v>0</v>
      </c>
      <c r="F3356">
        <v>108.79</v>
      </c>
      <c r="G3356">
        <v>75150.25</v>
      </c>
      <c r="H3356" s="14">
        <v>43768.833333333336</v>
      </c>
    </row>
    <row r="3357" spans="1:8" x14ac:dyDescent="0.25">
      <c r="A3357">
        <v>110</v>
      </c>
      <c r="B3357" t="s">
        <v>242</v>
      </c>
      <c r="C3357">
        <v>6</v>
      </c>
      <c r="D3357">
        <v>0</v>
      </c>
      <c r="E3357">
        <v>0</v>
      </c>
      <c r="F3357">
        <v>107.18</v>
      </c>
      <c r="G3357">
        <v>74539.95</v>
      </c>
      <c r="H3357" s="14">
        <v>43768.833333333336</v>
      </c>
    </row>
    <row r="3358" spans="1:8" x14ac:dyDescent="0.25">
      <c r="A3358">
        <v>110</v>
      </c>
      <c r="B3358" t="s">
        <v>242</v>
      </c>
      <c r="C3358">
        <v>7</v>
      </c>
      <c r="D3358">
        <v>0</v>
      </c>
      <c r="E3358">
        <v>0</v>
      </c>
      <c r="F3358">
        <v>110.01</v>
      </c>
      <c r="G3358">
        <v>75339</v>
      </c>
      <c r="H3358" s="14">
        <v>43768.833333333336</v>
      </c>
    </row>
    <row r="3359" spans="1:8" x14ac:dyDescent="0.25">
      <c r="A3359">
        <v>110</v>
      </c>
      <c r="B3359" t="s">
        <v>242</v>
      </c>
      <c r="C3359">
        <v>8</v>
      </c>
      <c r="D3359">
        <v>0</v>
      </c>
      <c r="E3359">
        <v>0</v>
      </c>
      <c r="F3359">
        <v>107.99</v>
      </c>
      <c r="G3359">
        <v>74888.02</v>
      </c>
      <c r="H3359" s="14">
        <v>43768.833333333336</v>
      </c>
    </row>
    <row r="3360" spans="1:8" x14ac:dyDescent="0.25">
      <c r="A3360">
        <v>110</v>
      </c>
      <c r="B3360" t="s">
        <v>242</v>
      </c>
      <c r="C3360">
        <v>9</v>
      </c>
      <c r="D3360">
        <v>0</v>
      </c>
      <c r="E3360">
        <v>0</v>
      </c>
      <c r="F3360">
        <v>106.8</v>
      </c>
      <c r="G3360">
        <v>73785.88</v>
      </c>
      <c r="H3360" s="14">
        <v>43768.833333333336</v>
      </c>
    </row>
    <row r="3361" spans="1:8" x14ac:dyDescent="0.25">
      <c r="A3361">
        <v>110</v>
      </c>
      <c r="B3361" t="s">
        <v>242</v>
      </c>
      <c r="C3361">
        <v>10</v>
      </c>
      <c r="D3361">
        <v>0</v>
      </c>
      <c r="E3361">
        <v>0</v>
      </c>
      <c r="F3361">
        <v>108.55</v>
      </c>
      <c r="G3361">
        <v>74824.81</v>
      </c>
      <c r="H3361" s="14">
        <v>43768.833333333336</v>
      </c>
    </row>
    <row r="3362" spans="1:8" x14ac:dyDescent="0.25">
      <c r="A3362">
        <v>110</v>
      </c>
      <c r="B3362" t="s">
        <v>242</v>
      </c>
      <c r="C3362">
        <v>11</v>
      </c>
      <c r="D3362">
        <v>0</v>
      </c>
      <c r="E3362">
        <v>0</v>
      </c>
      <c r="F3362">
        <v>108.01</v>
      </c>
      <c r="G3362">
        <v>74747.45</v>
      </c>
      <c r="H3362" s="14">
        <v>43768.833333333336</v>
      </c>
    </row>
    <row r="3363" spans="1:8" x14ac:dyDescent="0.25">
      <c r="A3363">
        <v>110</v>
      </c>
      <c r="B3363" t="s">
        <v>242</v>
      </c>
      <c r="C3363">
        <v>12</v>
      </c>
      <c r="D3363">
        <v>0</v>
      </c>
      <c r="E3363">
        <v>0</v>
      </c>
      <c r="F3363">
        <v>107.17</v>
      </c>
      <c r="G3363">
        <v>73375.41</v>
      </c>
      <c r="H3363" s="14">
        <v>43768.833333333336</v>
      </c>
    </row>
    <row r="3364" spans="1:8" x14ac:dyDescent="0.25">
      <c r="A3364">
        <v>110</v>
      </c>
      <c r="B3364" t="s">
        <v>242</v>
      </c>
      <c r="C3364">
        <v>13</v>
      </c>
      <c r="D3364">
        <v>0</v>
      </c>
      <c r="E3364">
        <v>0</v>
      </c>
      <c r="F3364">
        <v>104.05</v>
      </c>
      <c r="G3364">
        <v>73449.33</v>
      </c>
      <c r="H3364" s="14">
        <v>43768.833333333336</v>
      </c>
    </row>
    <row r="3365" spans="1:8" x14ac:dyDescent="0.25">
      <c r="A3365">
        <v>110</v>
      </c>
      <c r="B3365" t="s">
        <v>242</v>
      </c>
      <c r="C3365">
        <v>14</v>
      </c>
      <c r="D3365">
        <v>0</v>
      </c>
      <c r="E3365">
        <v>0</v>
      </c>
      <c r="F3365">
        <v>107.53</v>
      </c>
      <c r="G3365">
        <v>74408.84</v>
      </c>
      <c r="H3365" s="14">
        <v>43768.833333333336</v>
      </c>
    </row>
    <row r="3366" spans="1:8" x14ac:dyDescent="0.25">
      <c r="A3366">
        <v>110</v>
      </c>
      <c r="B3366" t="s">
        <v>242</v>
      </c>
      <c r="C3366">
        <v>15</v>
      </c>
      <c r="D3366">
        <v>0</v>
      </c>
      <c r="E3366">
        <v>0</v>
      </c>
      <c r="F3366">
        <v>33.39</v>
      </c>
      <c r="G3366">
        <v>24355.22</v>
      </c>
      <c r="H3366" s="14">
        <v>43768.833333333336</v>
      </c>
    </row>
    <row r="3367" spans="1:8" x14ac:dyDescent="0.25">
      <c r="A3367">
        <v>111</v>
      </c>
      <c r="B3367" t="s">
        <v>243</v>
      </c>
      <c r="C3367">
        <v>1</v>
      </c>
      <c r="D3367">
        <v>0</v>
      </c>
      <c r="E3367">
        <v>0</v>
      </c>
      <c r="F3367">
        <v>106.31</v>
      </c>
      <c r="G3367">
        <v>73344.679999999993</v>
      </c>
      <c r="H3367" s="14">
        <v>43768.833333333336</v>
      </c>
    </row>
    <row r="3368" spans="1:8" x14ac:dyDescent="0.25">
      <c r="A3368">
        <v>111</v>
      </c>
      <c r="B3368" t="s">
        <v>243</v>
      </c>
      <c r="C3368">
        <v>2</v>
      </c>
      <c r="D3368">
        <v>0</v>
      </c>
      <c r="E3368">
        <v>0</v>
      </c>
      <c r="F3368">
        <v>105.68</v>
      </c>
      <c r="G3368">
        <v>73278.5</v>
      </c>
      <c r="H3368" s="14">
        <v>43768.833333333336</v>
      </c>
    </row>
    <row r="3369" spans="1:8" x14ac:dyDescent="0.25">
      <c r="A3369">
        <v>111</v>
      </c>
      <c r="B3369" t="s">
        <v>243</v>
      </c>
      <c r="C3369">
        <v>3</v>
      </c>
      <c r="D3369">
        <v>0</v>
      </c>
      <c r="E3369">
        <v>0</v>
      </c>
      <c r="F3369">
        <v>105.97</v>
      </c>
      <c r="G3369">
        <v>73303.539999999994</v>
      </c>
      <c r="H3369" s="14">
        <v>43768.833333333336</v>
      </c>
    </row>
    <row r="3370" spans="1:8" x14ac:dyDescent="0.25">
      <c r="A3370">
        <v>111</v>
      </c>
      <c r="B3370" t="s">
        <v>243</v>
      </c>
      <c r="C3370">
        <v>4</v>
      </c>
      <c r="D3370">
        <v>0</v>
      </c>
      <c r="E3370">
        <v>0</v>
      </c>
      <c r="F3370">
        <v>107.1</v>
      </c>
      <c r="G3370">
        <v>73153.91</v>
      </c>
      <c r="H3370" s="14">
        <v>43768.833333333336</v>
      </c>
    </row>
    <row r="3371" spans="1:8" x14ac:dyDescent="0.25">
      <c r="A3371">
        <v>111</v>
      </c>
      <c r="B3371" t="s">
        <v>243</v>
      </c>
      <c r="C3371">
        <v>5</v>
      </c>
      <c r="D3371">
        <v>0</v>
      </c>
      <c r="E3371">
        <v>0</v>
      </c>
      <c r="F3371">
        <v>89.68</v>
      </c>
      <c r="G3371">
        <v>65551.45</v>
      </c>
      <c r="H3371" s="14">
        <v>43768.833333333336</v>
      </c>
    </row>
    <row r="3372" spans="1:8" x14ac:dyDescent="0.25">
      <c r="A3372">
        <v>111</v>
      </c>
      <c r="B3372" t="s">
        <v>243</v>
      </c>
      <c r="C3372">
        <v>6</v>
      </c>
      <c r="D3372">
        <v>0</v>
      </c>
      <c r="E3372">
        <v>0</v>
      </c>
      <c r="F3372">
        <v>108.19</v>
      </c>
      <c r="G3372">
        <v>73140.14</v>
      </c>
      <c r="H3372" s="14">
        <v>43768.833333333336</v>
      </c>
    </row>
    <row r="3373" spans="1:8" x14ac:dyDescent="0.25">
      <c r="A3373">
        <v>111</v>
      </c>
      <c r="B3373" t="s">
        <v>243</v>
      </c>
      <c r="C3373">
        <v>7</v>
      </c>
      <c r="D3373">
        <v>0</v>
      </c>
      <c r="E3373">
        <v>0</v>
      </c>
      <c r="F3373">
        <v>106.66</v>
      </c>
      <c r="G3373">
        <v>72461.63</v>
      </c>
      <c r="H3373" s="14">
        <v>43768.833333333336</v>
      </c>
    </row>
    <row r="3374" spans="1:8" x14ac:dyDescent="0.25">
      <c r="A3374">
        <v>111</v>
      </c>
      <c r="B3374" t="s">
        <v>243</v>
      </c>
      <c r="C3374">
        <v>8</v>
      </c>
      <c r="D3374">
        <v>0</v>
      </c>
      <c r="E3374">
        <v>0</v>
      </c>
      <c r="F3374">
        <v>107.26</v>
      </c>
      <c r="G3374">
        <v>72530.28</v>
      </c>
      <c r="H3374" s="14">
        <v>43768.833333333336</v>
      </c>
    </row>
    <row r="3375" spans="1:8" x14ac:dyDescent="0.25">
      <c r="A3375">
        <v>111</v>
      </c>
      <c r="B3375" t="s">
        <v>243</v>
      </c>
      <c r="C3375">
        <v>9</v>
      </c>
      <c r="D3375">
        <v>0</v>
      </c>
      <c r="E3375">
        <v>0</v>
      </c>
      <c r="F3375">
        <v>107.58</v>
      </c>
      <c r="G3375">
        <v>72262.41</v>
      </c>
      <c r="H3375" s="14">
        <v>43768.833333333336</v>
      </c>
    </row>
    <row r="3376" spans="1:8" x14ac:dyDescent="0.25">
      <c r="A3376">
        <v>111</v>
      </c>
      <c r="B3376" t="s">
        <v>243</v>
      </c>
      <c r="C3376">
        <v>10</v>
      </c>
      <c r="D3376">
        <v>0</v>
      </c>
      <c r="E3376">
        <v>0</v>
      </c>
      <c r="F3376">
        <v>99.36</v>
      </c>
      <c r="G3376">
        <v>70029.08</v>
      </c>
      <c r="H3376" s="14">
        <v>43768.833333333336</v>
      </c>
    </row>
    <row r="3377" spans="1:8" x14ac:dyDescent="0.25">
      <c r="A3377">
        <v>111</v>
      </c>
      <c r="B3377" t="s">
        <v>243</v>
      </c>
      <c r="C3377">
        <v>11</v>
      </c>
      <c r="D3377">
        <v>0</v>
      </c>
      <c r="E3377">
        <v>0</v>
      </c>
      <c r="F3377">
        <v>105.84</v>
      </c>
      <c r="G3377">
        <v>71486.36</v>
      </c>
      <c r="H3377" s="14">
        <v>43768.833333333336</v>
      </c>
    </row>
    <row r="3378" spans="1:8" x14ac:dyDescent="0.25">
      <c r="A3378">
        <v>111</v>
      </c>
      <c r="B3378" t="s">
        <v>243</v>
      </c>
      <c r="C3378">
        <v>12</v>
      </c>
      <c r="D3378">
        <v>0</v>
      </c>
      <c r="E3378">
        <v>0</v>
      </c>
      <c r="F3378">
        <v>108.5</v>
      </c>
      <c r="G3378">
        <v>72106.36</v>
      </c>
      <c r="H3378" s="14">
        <v>43768.833333333336</v>
      </c>
    </row>
    <row r="3379" spans="1:8" x14ac:dyDescent="0.25">
      <c r="A3379">
        <v>111</v>
      </c>
      <c r="B3379" t="s">
        <v>243</v>
      </c>
      <c r="C3379">
        <v>13</v>
      </c>
      <c r="D3379">
        <v>0</v>
      </c>
      <c r="E3379">
        <v>0</v>
      </c>
      <c r="F3379">
        <v>106.66</v>
      </c>
      <c r="G3379">
        <v>72289.09</v>
      </c>
      <c r="H3379" s="14">
        <v>43768.833333333336</v>
      </c>
    </row>
    <row r="3380" spans="1:8" x14ac:dyDescent="0.25">
      <c r="A3380">
        <v>111</v>
      </c>
      <c r="B3380" t="s">
        <v>243</v>
      </c>
      <c r="C3380">
        <v>14</v>
      </c>
      <c r="D3380">
        <v>0</v>
      </c>
      <c r="E3380">
        <v>0</v>
      </c>
      <c r="F3380">
        <v>72.2</v>
      </c>
      <c r="G3380">
        <v>48458.65</v>
      </c>
      <c r="H3380" s="14">
        <v>43768.833333333336</v>
      </c>
    </row>
    <row r="3381" spans="1:8" x14ac:dyDescent="0.25">
      <c r="A3381">
        <v>111</v>
      </c>
      <c r="B3381" t="s">
        <v>243</v>
      </c>
      <c r="C3381">
        <v>15</v>
      </c>
      <c r="D3381">
        <v>0</v>
      </c>
      <c r="E3381">
        <v>0</v>
      </c>
      <c r="F3381">
        <v>70.02</v>
      </c>
      <c r="G3381">
        <v>48159.28</v>
      </c>
      <c r="H3381" s="14">
        <v>43768.833333333336</v>
      </c>
    </row>
    <row r="3382" spans="1:8" x14ac:dyDescent="0.25">
      <c r="A3382">
        <v>112</v>
      </c>
      <c r="B3382" t="s">
        <v>244</v>
      </c>
      <c r="C3382">
        <v>1</v>
      </c>
      <c r="D3382">
        <v>0</v>
      </c>
      <c r="E3382">
        <v>0</v>
      </c>
      <c r="F3382">
        <v>105.16</v>
      </c>
      <c r="G3382">
        <v>72277.740000000005</v>
      </c>
      <c r="H3382" s="14">
        <v>43768.833333333336</v>
      </c>
    </row>
    <row r="3383" spans="1:8" x14ac:dyDescent="0.25">
      <c r="A3383">
        <v>112</v>
      </c>
      <c r="B3383" t="s">
        <v>244</v>
      </c>
      <c r="C3383">
        <v>2</v>
      </c>
      <c r="D3383">
        <v>0</v>
      </c>
      <c r="E3383">
        <v>0</v>
      </c>
      <c r="F3383">
        <v>105.99</v>
      </c>
      <c r="G3383">
        <v>72607.070000000007</v>
      </c>
      <c r="H3383" s="14">
        <v>43768.833333333336</v>
      </c>
    </row>
    <row r="3384" spans="1:8" x14ac:dyDescent="0.25">
      <c r="A3384">
        <v>112</v>
      </c>
      <c r="B3384" t="s">
        <v>244</v>
      </c>
      <c r="C3384">
        <v>3</v>
      </c>
      <c r="D3384">
        <v>0</v>
      </c>
      <c r="E3384">
        <v>0</v>
      </c>
      <c r="F3384">
        <v>105.61</v>
      </c>
      <c r="G3384">
        <v>71912.33</v>
      </c>
      <c r="H3384" s="14">
        <v>43768.833333333336</v>
      </c>
    </row>
    <row r="3385" spans="1:8" x14ac:dyDescent="0.25">
      <c r="A3385">
        <v>112</v>
      </c>
      <c r="B3385" t="s">
        <v>244</v>
      </c>
      <c r="C3385">
        <v>4</v>
      </c>
      <c r="D3385">
        <v>0</v>
      </c>
      <c r="E3385">
        <v>0</v>
      </c>
      <c r="F3385">
        <v>105.75</v>
      </c>
      <c r="G3385">
        <v>72167.39</v>
      </c>
      <c r="H3385" s="14">
        <v>43768.833333333336</v>
      </c>
    </row>
    <row r="3386" spans="1:8" x14ac:dyDescent="0.25">
      <c r="A3386">
        <v>112</v>
      </c>
      <c r="B3386" t="s">
        <v>244</v>
      </c>
      <c r="C3386">
        <v>5</v>
      </c>
      <c r="D3386">
        <v>0</v>
      </c>
      <c r="E3386">
        <v>0</v>
      </c>
      <c r="F3386">
        <v>104.24</v>
      </c>
      <c r="G3386">
        <v>71912.97</v>
      </c>
      <c r="H3386" s="14">
        <v>43768.833333333336</v>
      </c>
    </row>
    <row r="3387" spans="1:8" x14ac:dyDescent="0.25">
      <c r="A3387">
        <v>112</v>
      </c>
      <c r="B3387" t="s">
        <v>244</v>
      </c>
      <c r="C3387">
        <v>6</v>
      </c>
      <c r="D3387">
        <v>0</v>
      </c>
      <c r="E3387">
        <v>0</v>
      </c>
      <c r="F3387">
        <v>104.2</v>
      </c>
      <c r="G3387">
        <v>70879.56</v>
      </c>
      <c r="H3387" s="14">
        <v>43768.833333333336</v>
      </c>
    </row>
    <row r="3388" spans="1:8" x14ac:dyDescent="0.25">
      <c r="A3388">
        <v>112</v>
      </c>
      <c r="B3388" t="s">
        <v>244</v>
      </c>
      <c r="C3388">
        <v>7</v>
      </c>
      <c r="D3388">
        <v>0</v>
      </c>
      <c r="E3388">
        <v>0</v>
      </c>
      <c r="F3388">
        <v>106.87</v>
      </c>
      <c r="G3388">
        <v>72356.38</v>
      </c>
      <c r="H3388" s="14">
        <v>43768.833333333336</v>
      </c>
    </row>
    <row r="3389" spans="1:8" x14ac:dyDescent="0.25">
      <c r="A3389">
        <v>112</v>
      </c>
      <c r="B3389" t="s">
        <v>244</v>
      </c>
      <c r="C3389">
        <v>8</v>
      </c>
      <c r="D3389">
        <v>0</v>
      </c>
      <c r="E3389">
        <v>0</v>
      </c>
      <c r="F3389">
        <v>107.71</v>
      </c>
      <c r="G3389">
        <v>72664.14</v>
      </c>
      <c r="H3389" s="14">
        <v>43768.833333333336</v>
      </c>
    </row>
    <row r="3390" spans="1:8" x14ac:dyDescent="0.25">
      <c r="A3390">
        <v>112</v>
      </c>
      <c r="B3390" t="s">
        <v>244</v>
      </c>
      <c r="C3390">
        <v>9</v>
      </c>
      <c r="D3390">
        <v>0</v>
      </c>
      <c r="E3390">
        <v>0</v>
      </c>
      <c r="F3390">
        <v>105.36</v>
      </c>
      <c r="G3390">
        <v>72266.63</v>
      </c>
      <c r="H3390" s="14">
        <v>43768.833333333336</v>
      </c>
    </row>
    <row r="3391" spans="1:8" x14ac:dyDescent="0.25">
      <c r="A3391">
        <v>112</v>
      </c>
      <c r="B3391" t="s">
        <v>244</v>
      </c>
      <c r="C3391">
        <v>10</v>
      </c>
      <c r="D3391">
        <v>0</v>
      </c>
      <c r="E3391">
        <v>0</v>
      </c>
      <c r="F3391">
        <v>107.19</v>
      </c>
      <c r="G3391">
        <v>74441.45</v>
      </c>
      <c r="H3391" s="14">
        <v>43768.833333333336</v>
      </c>
    </row>
    <row r="3392" spans="1:8" x14ac:dyDescent="0.25">
      <c r="A3392">
        <v>112</v>
      </c>
      <c r="B3392" t="s">
        <v>244</v>
      </c>
      <c r="C3392">
        <v>11</v>
      </c>
      <c r="D3392">
        <v>0</v>
      </c>
      <c r="E3392">
        <v>0</v>
      </c>
      <c r="F3392">
        <v>106.01</v>
      </c>
      <c r="G3392">
        <v>73525.070000000007</v>
      </c>
      <c r="H3392" s="14">
        <v>43768.833333333336</v>
      </c>
    </row>
    <row r="3393" spans="1:8" x14ac:dyDescent="0.25">
      <c r="A3393">
        <v>112</v>
      </c>
      <c r="B3393" t="s">
        <v>244</v>
      </c>
      <c r="C3393">
        <v>12</v>
      </c>
      <c r="D3393">
        <v>0</v>
      </c>
      <c r="E3393">
        <v>0</v>
      </c>
      <c r="F3393">
        <v>106.52</v>
      </c>
      <c r="G3393">
        <v>73536.679999999993</v>
      </c>
      <c r="H3393" s="14">
        <v>43768.833333333336</v>
      </c>
    </row>
    <row r="3394" spans="1:8" x14ac:dyDescent="0.25">
      <c r="A3394">
        <v>112</v>
      </c>
      <c r="B3394" t="s">
        <v>244</v>
      </c>
      <c r="C3394">
        <v>13</v>
      </c>
      <c r="D3394">
        <v>0</v>
      </c>
      <c r="E3394">
        <v>0</v>
      </c>
      <c r="F3394">
        <v>105.76</v>
      </c>
      <c r="G3394">
        <v>73217.59</v>
      </c>
      <c r="H3394" s="14">
        <v>43768.833333333336</v>
      </c>
    </row>
    <row r="3395" spans="1:8" x14ac:dyDescent="0.25">
      <c r="A3395">
        <v>112</v>
      </c>
      <c r="B3395" t="s">
        <v>244</v>
      </c>
      <c r="C3395">
        <v>14</v>
      </c>
      <c r="D3395">
        <v>0</v>
      </c>
      <c r="E3395">
        <v>0</v>
      </c>
      <c r="F3395">
        <v>107.33</v>
      </c>
      <c r="G3395">
        <v>73296.179999999993</v>
      </c>
      <c r="H3395" s="14">
        <v>43768.833333333336</v>
      </c>
    </row>
    <row r="3396" spans="1:8" x14ac:dyDescent="0.25">
      <c r="A3396">
        <v>112</v>
      </c>
      <c r="B3396" t="s">
        <v>244</v>
      </c>
      <c r="C3396">
        <v>15</v>
      </c>
      <c r="D3396">
        <v>0</v>
      </c>
      <c r="E3396">
        <v>0</v>
      </c>
      <c r="F3396">
        <v>36.32</v>
      </c>
      <c r="G3396">
        <v>24842.84</v>
      </c>
      <c r="H3396" s="14">
        <v>43768.833333333336</v>
      </c>
    </row>
    <row r="3397" spans="1:8" x14ac:dyDescent="0.25">
      <c r="A3397">
        <v>113</v>
      </c>
      <c r="B3397" t="s">
        <v>245</v>
      </c>
      <c r="C3397">
        <v>1</v>
      </c>
      <c r="D3397">
        <v>0</v>
      </c>
      <c r="E3397">
        <v>0</v>
      </c>
      <c r="F3397">
        <v>102.35</v>
      </c>
      <c r="G3397">
        <v>72080.600000000006</v>
      </c>
      <c r="H3397" s="14">
        <v>43768.833333333336</v>
      </c>
    </row>
    <row r="3398" spans="1:8" x14ac:dyDescent="0.25">
      <c r="A3398">
        <v>113</v>
      </c>
      <c r="B3398" t="s">
        <v>245</v>
      </c>
      <c r="C3398">
        <v>2</v>
      </c>
      <c r="D3398">
        <v>0</v>
      </c>
      <c r="E3398">
        <v>0</v>
      </c>
      <c r="F3398">
        <v>100.9</v>
      </c>
      <c r="G3398">
        <v>71093.149999999994</v>
      </c>
      <c r="H3398" s="14">
        <v>43768.833333333336</v>
      </c>
    </row>
    <row r="3399" spans="1:8" x14ac:dyDescent="0.25">
      <c r="A3399">
        <v>113</v>
      </c>
      <c r="B3399" t="s">
        <v>245</v>
      </c>
      <c r="C3399">
        <v>3</v>
      </c>
      <c r="D3399">
        <v>0</v>
      </c>
      <c r="E3399">
        <v>0</v>
      </c>
      <c r="F3399">
        <v>96.11</v>
      </c>
      <c r="G3399">
        <v>70068.399999999994</v>
      </c>
      <c r="H3399" s="14">
        <v>43768.833333333336</v>
      </c>
    </row>
    <row r="3400" spans="1:8" x14ac:dyDescent="0.25">
      <c r="A3400">
        <v>113</v>
      </c>
      <c r="B3400" t="s">
        <v>245</v>
      </c>
      <c r="C3400">
        <v>4</v>
      </c>
      <c r="D3400">
        <v>0</v>
      </c>
      <c r="E3400">
        <v>0</v>
      </c>
      <c r="F3400">
        <v>99.16</v>
      </c>
      <c r="G3400">
        <v>71312.66</v>
      </c>
      <c r="H3400" s="14">
        <v>43768.833333333336</v>
      </c>
    </row>
    <row r="3401" spans="1:8" x14ac:dyDescent="0.25">
      <c r="A3401">
        <v>113</v>
      </c>
      <c r="B3401" t="s">
        <v>245</v>
      </c>
      <c r="C3401">
        <v>5</v>
      </c>
      <c r="D3401">
        <v>0</v>
      </c>
      <c r="E3401">
        <v>0</v>
      </c>
      <c r="F3401">
        <v>100.21</v>
      </c>
      <c r="G3401">
        <v>71064.25</v>
      </c>
      <c r="H3401" s="14">
        <v>43768.833333333336</v>
      </c>
    </row>
    <row r="3402" spans="1:8" x14ac:dyDescent="0.25">
      <c r="A3402">
        <v>113</v>
      </c>
      <c r="B3402" t="s">
        <v>245</v>
      </c>
      <c r="C3402">
        <v>6</v>
      </c>
      <c r="D3402">
        <v>0</v>
      </c>
      <c r="E3402">
        <v>0</v>
      </c>
      <c r="F3402">
        <v>99.74</v>
      </c>
      <c r="G3402">
        <v>70915.06</v>
      </c>
      <c r="H3402" s="14">
        <v>43768.833333333336</v>
      </c>
    </row>
    <row r="3403" spans="1:8" x14ac:dyDescent="0.25">
      <c r="A3403">
        <v>113</v>
      </c>
      <c r="B3403" t="s">
        <v>245</v>
      </c>
      <c r="C3403">
        <v>7</v>
      </c>
      <c r="D3403">
        <v>0</v>
      </c>
      <c r="E3403">
        <v>0</v>
      </c>
      <c r="F3403">
        <v>101.2</v>
      </c>
      <c r="G3403">
        <v>71322.929999999993</v>
      </c>
      <c r="H3403" s="14">
        <v>43768.833333333336</v>
      </c>
    </row>
    <row r="3404" spans="1:8" x14ac:dyDescent="0.25">
      <c r="A3404">
        <v>113</v>
      </c>
      <c r="B3404" t="s">
        <v>245</v>
      </c>
      <c r="C3404">
        <v>8</v>
      </c>
      <c r="D3404">
        <v>0</v>
      </c>
      <c r="E3404">
        <v>0</v>
      </c>
      <c r="F3404">
        <v>104.95</v>
      </c>
      <c r="G3404">
        <v>72166.94</v>
      </c>
      <c r="H3404" s="14">
        <v>43768.833333333336</v>
      </c>
    </row>
    <row r="3405" spans="1:8" x14ac:dyDescent="0.25">
      <c r="A3405">
        <v>113</v>
      </c>
      <c r="B3405" t="s">
        <v>245</v>
      </c>
      <c r="C3405">
        <v>9</v>
      </c>
      <c r="D3405">
        <v>0</v>
      </c>
      <c r="E3405">
        <v>0</v>
      </c>
      <c r="F3405">
        <v>100.91</v>
      </c>
      <c r="G3405">
        <v>71190.14</v>
      </c>
      <c r="H3405" s="14">
        <v>43768.833333333336</v>
      </c>
    </row>
    <row r="3406" spans="1:8" x14ac:dyDescent="0.25">
      <c r="A3406">
        <v>113</v>
      </c>
      <c r="B3406" t="s">
        <v>245</v>
      </c>
      <c r="C3406">
        <v>10</v>
      </c>
      <c r="D3406">
        <v>0</v>
      </c>
      <c r="E3406">
        <v>0</v>
      </c>
      <c r="F3406">
        <v>95.01</v>
      </c>
      <c r="G3406">
        <v>70603.42</v>
      </c>
      <c r="H3406" s="14">
        <v>43768.833333333336</v>
      </c>
    </row>
    <row r="3407" spans="1:8" x14ac:dyDescent="0.25">
      <c r="A3407">
        <v>113</v>
      </c>
      <c r="B3407" t="s">
        <v>245</v>
      </c>
      <c r="C3407">
        <v>11</v>
      </c>
      <c r="D3407">
        <v>0</v>
      </c>
      <c r="E3407">
        <v>0</v>
      </c>
      <c r="F3407">
        <v>81.12</v>
      </c>
      <c r="G3407">
        <v>65293.54</v>
      </c>
      <c r="H3407" s="14">
        <v>43768.833333333336</v>
      </c>
    </row>
    <row r="3408" spans="1:8" x14ac:dyDescent="0.25">
      <c r="A3408">
        <v>113</v>
      </c>
      <c r="B3408" t="s">
        <v>245</v>
      </c>
      <c r="C3408">
        <v>12</v>
      </c>
      <c r="D3408">
        <v>0</v>
      </c>
      <c r="E3408">
        <v>0</v>
      </c>
      <c r="F3408">
        <v>93.48</v>
      </c>
      <c r="G3408">
        <v>68212.45</v>
      </c>
      <c r="H3408" s="14">
        <v>43768.833333333336</v>
      </c>
    </row>
    <row r="3409" spans="1:8" x14ac:dyDescent="0.25">
      <c r="A3409">
        <v>113</v>
      </c>
      <c r="B3409" t="s">
        <v>245</v>
      </c>
      <c r="C3409">
        <v>13</v>
      </c>
      <c r="D3409">
        <v>0</v>
      </c>
      <c r="E3409">
        <v>0</v>
      </c>
      <c r="F3409">
        <v>104.83</v>
      </c>
      <c r="G3409">
        <v>72087.5</v>
      </c>
      <c r="H3409" s="14">
        <v>43768.833333333336</v>
      </c>
    </row>
    <row r="3410" spans="1:8" x14ac:dyDescent="0.25">
      <c r="A3410">
        <v>113</v>
      </c>
      <c r="B3410" t="s">
        <v>245</v>
      </c>
      <c r="C3410">
        <v>14</v>
      </c>
      <c r="D3410">
        <v>0</v>
      </c>
      <c r="E3410">
        <v>0</v>
      </c>
      <c r="F3410">
        <v>104.28</v>
      </c>
      <c r="G3410">
        <v>72181.539999999994</v>
      </c>
      <c r="H3410" s="14">
        <v>43768.833333333336</v>
      </c>
    </row>
    <row r="3411" spans="1:8" x14ac:dyDescent="0.25">
      <c r="A3411">
        <v>113</v>
      </c>
      <c r="B3411" t="s">
        <v>245</v>
      </c>
      <c r="C3411">
        <v>15</v>
      </c>
      <c r="D3411">
        <v>0</v>
      </c>
      <c r="E3411">
        <v>0</v>
      </c>
      <c r="F3411">
        <v>32.549999999999997</v>
      </c>
      <c r="G3411">
        <v>24461.43</v>
      </c>
      <c r="H3411" s="14">
        <v>43768.833333333336</v>
      </c>
    </row>
    <row r="3412" spans="1:8" x14ac:dyDescent="0.25">
      <c r="A3412">
        <v>114</v>
      </c>
      <c r="B3412" t="s">
        <v>246</v>
      </c>
      <c r="C3412">
        <v>1</v>
      </c>
      <c r="D3412">
        <v>0</v>
      </c>
      <c r="E3412">
        <v>0</v>
      </c>
      <c r="F3412">
        <v>128.61000000000001</v>
      </c>
      <c r="G3412">
        <v>71197.19</v>
      </c>
      <c r="H3412" s="14">
        <v>43768.833333333336</v>
      </c>
    </row>
    <row r="3413" spans="1:8" x14ac:dyDescent="0.25">
      <c r="A3413">
        <v>114</v>
      </c>
      <c r="B3413" t="s">
        <v>246</v>
      </c>
      <c r="C3413">
        <v>2</v>
      </c>
      <c r="D3413">
        <v>0</v>
      </c>
      <c r="E3413">
        <v>0</v>
      </c>
      <c r="F3413">
        <v>129.68</v>
      </c>
      <c r="G3413">
        <v>71533.09</v>
      </c>
      <c r="H3413" s="14">
        <v>43768.833333333336</v>
      </c>
    </row>
    <row r="3414" spans="1:8" x14ac:dyDescent="0.25">
      <c r="A3414">
        <v>114</v>
      </c>
      <c r="B3414" t="s">
        <v>246</v>
      </c>
      <c r="C3414">
        <v>3</v>
      </c>
      <c r="D3414">
        <v>0</v>
      </c>
      <c r="E3414">
        <v>0</v>
      </c>
      <c r="F3414">
        <v>127.32</v>
      </c>
      <c r="G3414">
        <v>70200.320000000007</v>
      </c>
      <c r="H3414" s="14">
        <v>43768.833333333336</v>
      </c>
    </row>
    <row r="3415" spans="1:8" x14ac:dyDescent="0.25">
      <c r="A3415">
        <v>114</v>
      </c>
      <c r="B3415" t="s">
        <v>246</v>
      </c>
      <c r="C3415">
        <v>4</v>
      </c>
      <c r="D3415">
        <v>0</v>
      </c>
      <c r="E3415">
        <v>0</v>
      </c>
      <c r="F3415">
        <v>131.16</v>
      </c>
      <c r="G3415">
        <v>72640.23</v>
      </c>
      <c r="H3415" s="14">
        <v>43768.833333333336</v>
      </c>
    </row>
    <row r="3416" spans="1:8" x14ac:dyDescent="0.25">
      <c r="A3416">
        <v>114</v>
      </c>
      <c r="B3416" t="s">
        <v>246</v>
      </c>
      <c r="C3416">
        <v>5</v>
      </c>
      <c r="D3416">
        <v>0</v>
      </c>
      <c r="E3416">
        <v>0</v>
      </c>
      <c r="F3416">
        <v>84.71</v>
      </c>
      <c r="G3416">
        <v>46556.65</v>
      </c>
      <c r="H3416" s="14">
        <v>43768.833333333336</v>
      </c>
    </row>
    <row r="3417" spans="1:8" x14ac:dyDescent="0.25">
      <c r="A3417">
        <v>115</v>
      </c>
      <c r="B3417" t="s">
        <v>247</v>
      </c>
      <c r="C3417">
        <v>1</v>
      </c>
      <c r="D3417">
        <v>0</v>
      </c>
      <c r="E3417">
        <v>0</v>
      </c>
      <c r="F3417">
        <v>141.43</v>
      </c>
      <c r="G3417">
        <v>101667.72</v>
      </c>
      <c r="H3417" s="14">
        <v>43768.833333333336</v>
      </c>
    </row>
    <row r="3418" spans="1:8" x14ac:dyDescent="0.25">
      <c r="A3418">
        <v>115</v>
      </c>
      <c r="B3418" t="s">
        <v>247</v>
      </c>
      <c r="C3418">
        <v>2</v>
      </c>
      <c r="D3418">
        <v>0</v>
      </c>
      <c r="E3418">
        <v>0</v>
      </c>
      <c r="F3418">
        <v>131.27000000000001</v>
      </c>
      <c r="G3418">
        <v>95640.52</v>
      </c>
      <c r="H3418" s="14">
        <v>43768.833333333336</v>
      </c>
    </row>
    <row r="3419" spans="1:8" x14ac:dyDescent="0.25">
      <c r="A3419">
        <v>115</v>
      </c>
      <c r="B3419" t="s">
        <v>247</v>
      </c>
      <c r="C3419">
        <v>3</v>
      </c>
      <c r="D3419">
        <v>0</v>
      </c>
      <c r="E3419">
        <v>0</v>
      </c>
      <c r="F3419">
        <v>139.51</v>
      </c>
      <c r="G3419">
        <v>102747.13</v>
      </c>
      <c r="H3419" s="14">
        <v>43768.833333333336</v>
      </c>
    </row>
    <row r="3420" spans="1:8" x14ac:dyDescent="0.25">
      <c r="A3420">
        <v>115</v>
      </c>
      <c r="B3420" t="s">
        <v>247</v>
      </c>
      <c r="C3420">
        <v>4</v>
      </c>
      <c r="D3420">
        <v>0</v>
      </c>
      <c r="E3420">
        <v>0</v>
      </c>
      <c r="F3420">
        <v>115.43</v>
      </c>
      <c r="G3420">
        <v>100937.78</v>
      </c>
      <c r="H3420" s="14">
        <v>43768.833333333336</v>
      </c>
    </row>
    <row r="3421" spans="1:8" x14ac:dyDescent="0.25">
      <c r="A3421">
        <v>115</v>
      </c>
      <c r="B3421" t="s">
        <v>247</v>
      </c>
      <c r="C3421">
        <v>5</v>
      </c>
      <c r="D3421">
        <v>0</v>
      </c>
      <c r="E3421">
        <v>0</v>
      </c>
      <c r="F3421">
        <v>136.94999999999999</v>
      </c>
      <c r="G3421">
        <v>102054.9</v>
      </c>
      <c r="H3421" s="14">
        <v>43768.833333333336</v>
      </c>
    </row>
    <row r="3422" spans="1:8" x14ac:dyDescent="0.25">
      <c r="A3422">
        <v>115</v>
      </c>
      <c r="B3422" t="s">
        <v>247</v>
      </c>
      <c r="C3422">
        <v>6</v>
      </c>
      <c r="D3422">
        <v>0</v>
      </c>
      <c r="E3422">
        <v>0</v>
      </c>
      <c r="F3422">
        <v>141.58000000000001</v>
      </c>
      <c r="G3422">
        <v>103725.89</v>
      </c>
      <c r="H3422" s="14">
        <v>43768.833333333336</v>
      </c>
    </row>
    <row r="3423" spans="1:8" x14ac:dyDescent="0.25">
      <c r="A3423">
        <v>115</v>
      </c>
      <c r="B3423" t="s">
        <v>247</v>
      </c>
      <c r="C3423">
        <v>7</v>
      </c>
      <c r="D3423">
        <v>0</v>
      </c>
      <c r="E3423">
        <v>0</v>
      </c>
      <c r="F3423">
        <v>141.30000000000001</v>
      </c>
      <c r="G3423">
        <v>103332.72</v>
      </c>
      <c r="H3423" s="14">
        <v>43768.833333333336</v>
      </c>
    </row>
    <row r="3424" spans="1:8" x14ac:dyDescent="0.25">
      <c r="A3424">
        <v>115</v>
      </c>
      <c r="B3424" t="s">
        <v>247</v>
      </c>
      <c r="C3424">
        <v>8</v>
      </c>
      <c r="D3424">
        <v>0</v>
      </c>
      <c r="E3424">
        <v>0</v>
      </c>
      <c r="F3424">
        <v>140.13</v>
      </c>
      <c r="G3424">
        <v>103006.88</v>
      </c>
      <c r="H3424" s="14">
        <v>43768.833333333336</v>
      </c>
    </row>
    <row r="3425" spans="1:8" x14ac:dyDescent="0.25">
      <c r="A3425">
        <v>115</v>
      </c>
      <c r="B3425" t="s">
        <v>247</v>
      </c>
      <c r="C3425">
        <v>9</v>
      </c>
      <c r="D3425">
        <v>0</v>
      </c>
      <c r="E3425">
        <v>0</v>
      </c>
      <c r="F3425">
        <v>140.21</v>
      </c>
      <c r="G3425">
        <v>94681.93</v>
      </c>
      <c r="H3425" s="14">
        <v>43768.833333333336</v>
      </c>
    </row>
    <row r="3426" spans="1:8" x14ac:dyDescent="0.25">
      <c r="A3426">
        <v>115</v>
      </c>
      <c r="B3426" t="s">
        <v>247</v>
      </c>
      <c r="C3426">
        <v>10</v>
      </c>
      <c r="D3426">
        <v>0</v>
      </c>
      <c r="E3426">
        <v>0</v>
      </c>
      <c r="F3426">
        <v>37.5</v>
      </c>
      <c r="G3426">
        <v>29269.53</v>
      </c>
      <c r="H3426" s="14">
        <v>43768.833333333336</v>
      </c>
    </row>
    <row r="3427" spans="1:8" x14ac:dyDescent="0.25">
      <c r="A3427">
        <v>116</v>
      </c>
      <c r="B3427" t="s">
        <v>248</v>
      </c>
      <c r="C3427">
        <v>1</v>
      </c>
      <c r="D3427">
        <v>0</v>
      </c>
      <c r="E3427">
        <v>0</v>
      </c>
      <c r="F3427">
        <v>79.61</v>
      </c>
      <c r="G3427">
        <v>10166.77</v>
      </c>
      <c r="H3427" s="14">
        <v>43768.833333333336</v>
      </c>
    </row>
    <row r="3428" spans="1:8" x14ac:dyDescent="0.25">
      <c r="A3428">
        <v>116</v>
      </c>
      <c r="B3428" t="s">
        <v>248</v>
      </c>
      <c r="C3428">
        <v>2</v>
      </c>
      <c r="D3428">
        <v>0</v>
      </c>
      <c r="E3428">
        <v>0</v>
      </c>
      <c r="F3428">
        <v>118.63</v>
      </c>
      <c r="G3428">
        <v>93805.5</v>
      </c>
      <c r="H3428" s="14">
        <v>43768.833333333336</v>
      </c>
    </row>
    <row r="3429" spans="1:8" x14ac:dyDescent="0.25">
      <c r="A3429">
        <v>116</v>
      </c>
      <c r="B3429" t="s">
        <v>248</v>
      </c>
      <c r="C3429">
        <v>3</v>
      </c>
      <c r="D3429">
        <v>0</v>
      </c>
      <c r="E3429">
        <v>0</v>
      </c>
      <c r="F3429">
        <v>121.35</v>
      </c>
      <c r="G3429">
        <v>89345.01</v>
      </c>
      <c r="H3429" s="14">
        <v>43768.833333333336</v>
      </c>
    </row>
    <row r="3430" spans="1:8" x14ac:dyDescent="0.25">
      <c r="A3430">
        <v>116</v>
      </c>
      <c r="B3430" t="s">
        <v>248</v>
      </c>
      <c r="C3430">
        <v>4</v>
      </c>
      <c r="D3430">
        <v>0</v>
      </c>
      <c r="E3430">
        <v>0</v>
      </c>
      <c r="F3430">
        <v>117.24</v>
      </c>
      <c r="G3430">
        <v>93922.18</v>
      </c>
      <c r="H3430" s="14">
        <v>43768.833333333336</v>
      </c>
    </row>
    <row r="3431" spans="1:8" x14ac:dyDescent="0.25">
      <c r="A3431">
        <v>116</v>
      </c>
      <c r="B3431" t="s">
        <v>248</v>
      </c>
      <c r="C3431">
        <v>5</v>
      </c>
      <c r="D3431">
        <v>0</v>
      </c>
      <c r="E3431">
        <v>0</v>
      </c>
      <c r="F3431">
        <v>120.17</v>
      </c>
      <c r="G3431">
        <v>93566.48</v>
      </c>
      <c r="H3431" s="14">
        <v>43768.833333333336</v>
      </c>
    </row>
    <row r="3432" spans="1:8" x14ac:dyDescent="0.25">
      <c r="A3432">
        <v>116</v>
      </c>
      <c r="B3432" t="s">
        <v>248</v>
      </c>
      <c r="C3432">
        <v>6</v>
      </c>
      <c r="D3432">
        <v>0</v>
      </c>
      <c r="E3432">
        <v>0</v>
      </c>
      <c r="F3432">
        <v>67.709999999999994</v>
      </c>
      <c r="G3432">
        <v>49412.71</v>
      </c>
      <c r="H3432" s="14">
        <v>43768.833333333336</v>
      </c>
    </row>
    <row r="3433" spans="1:8" x14ac:dyDescent="0.25">
      <c r="A3433">
        <v>117</v>
      </c>
      <c r="B3433" t="s">
        <v>249</v>
      </c>
      <c r="C3433">
        <v>1</v>
      </c>
      <c r="D3433">
        <v>0</v>
      </c>
      <c r="E3433">
        <v>0</v>
      </c>
      <c r="F3433">
        <v>121.06</v>
      </c>
      <c r="G3433">
        <v>82928.84</v>
      </c>
      <c r="H3433" s="14">
        <v>43768.833333333336</v>
      </c>
    </row>
    <row r="3434" spans="1:8" x14ac:dyDescent="0.25">
      <c r="A3434">
        <v>117</v>
      </c>
      <c r="B3434" t="s">
        <v>249</v>
      </c>
      <c r="C3434">
        <v>2</v>
      </c>
      <c r="D3434">
        <v>0</v>
      </c>
      <c r="E3434">
        <v>0</v>
      </c>
      <c r="F3434">
        <v>120.61</v>
      </c>
      <c r="G3434">
        <v>86045.14</v>
      </c>
      <c r="H3434" s="14">
        <v>43768.833333333336</v>
      </c>
    </row>
    <row r="3435" spans="1:8" x14ac:dyDescent="0.25">
      <c r="A3435">
        <v>117</v>
      </c>
      <c r="B3435" t="s">
        <v>249</v>
      </c>
      <c r="C3435">
        <v>3</v>
      </c>
      <c r="D3435">
        <v>0</v>
      </c>
      <c r="E3435">
        <v>0</v>
      </c>
      <c r="F3435">
        <v>120.08</v>
      </c>
      <c r="G3435">
        <v>86324.67</v>
      </c>
      <c r="H3435" s="14">
        <v>43768.833333333336</v>
      </c>
    </row>
    <row r="3436" spans="1:8" x14ac:dyDescent="0.25">
      <c r="A3436">
        <v>117</v>
      </c>
      <c r="B3436" t="s">
        <v>249</v>
      </c>
      <c r="C3436">
        <v>4</v>
      </c>
      <c r="D3436">
        <v>0</v>
      </c>
      <c r="E3436">
        <v>0</v>
      </c>
      <c r="F3436">
        <v>120.81</v>
      </c>
      <c r="G3436">
        <v>87155.520000000004</v>
      </c>
      <c r="H3436" s="14">
        <v>43768.833333333336</v>
      </c>
    </row>
    <row r="3437" spans="1:8" x14ac:dyDescent="0.25">
      <c r="A3437">
        <v>117</v>
      </c>
      <c r="B3437" t="s">
        <v>249</v>
      </c>
      <c r="C3437">
        <v>5</v>
      </c>
      <c r="D3437">
        <v>0</v>
      </c>
      <c r="E3437">
        <v>0</v>
      </c>
      <c r="F3437">
        <v>105.34</v>
      </c>
      <c r="G3437">
        <v>82489.289999999994</v>
      </c>
      <c r="H3437" s="14">
        <v>43768.833333333336</v>
      </c>
    </row>
    <row r="3438" spans="1:8" x14ac:dyDescent="0.25">
      <c r="A3438">
        <v>117</v>
      </c>
      <c r="B3438" t="s">
        <v>249</v>
      </c>
      <c r="C3438">
        <v>6</v>
      </c>
      <c r="D3438">
        <v>0</v>
      </c>
      <c r="E3438">
        <v>0</v>
      </c>
      <c r="F3438">
        <v>120.26</v>
      </c>
      <c r="G3438">
        <v>87980.13</v>
      </c>
      <c r="H3438" s="14">
        <v>43768.833333333336</v>
      </c>
    </row>
    <row r="3439" spans="1:8" x14ac:dyDescent="0.25">
      <c r="A3439">
        <v>117</v>
      </c>
      <c r="B3439" t="s">
        <v>249</v>
      </c>
      <c r="C3439">
        <v>7</v>
      </c>
      <c r="D3439">
        <v>0</v>
      </c>
      <c r="E3439">
        <v>0</v>
      </c>
      <c r="F3439">
        <v>109.29</v>
      </c>
      <c r="G3439">
        <v>82328.55</v>
      </c>
      <c r="H3439" s="14">
        <v>43768.833333333336</v>
      </c>
    </row>
    <row r="3440" spans="1:8" x14ac:dyDescent="0.25">
      <c r="A3440">
        <v>117</v>
      </c>
      <c r="B3440" t="s">
        <v>249</v>
      </c>
      <c r="C3440">
        <v>8</v>
      </c>
      <c r="D3440">
        <v>0</v>
      </c>
      <c r="E3440">
        <v>0</v>
      </c>
      <c r="F3440">
        <v>90.86</v>
      </c>
      <c r="G3440">
        <v>78270.38</v>
      </c>
      <c r="H3440" s="14">
        <v>43768.833333333336</v>
      </c>
    </row>
    <row r="3441" spans="1:8" x14ac:dyDescent="0.25">
      <c r="A3441">
        <v>117</v>
      </c>
      <c r="B3441" t="s">
        <v>249</v>
      </c>
      <c r="C3441">
        <v>9</v>
      </c>
      <c r="D3441">
        <v>0</v>
      </c>
      <c r="E3441">
        <v>0</v>
      </c>
      <c r="F3441">
        <v>97.84</v>
      </c>
      <c r="G3441">
        <v>79026.14</v>
      </c>
      <c r="H3441" s="14">
        <v>43768.833333333336</v>
      </c>
    </row>
    <row r="3442" spans="1:8" x14ac:dyDescent="0.25">
      <c r="A3442">
        <v>117</v>
      </c>
      <c r="B3442" t="s">
        <v>249</v>
      </c>
      <c r="C3442">
        <v>10</v>
      </c>
      <c r="D3442">
        <v>0</v>
      </c>
      <c r="E3442">
        <v>0</v>
      </c>
      <c r="F3442">
        <v>122.4</v>
      </c>
      <c r="G3442">
        <v>90825.2</v>
      </c>
      <c r="H3442" s="14">
        <v>43768.833333333336</v>
      </c>
    </row>
    <row r="3443" spans="1:8" x14ac:dyDescent="0.25">
      <c r="A3443">
        <v>117</v>
      </c>
      <c r="B3443" t="s">
        <v>249</v>
      </c>
      <c r="C3443">
        <v>11</v>
      </c>
      <c r="D3443">
        <v>0</v>
      </c>
      <c r="E3443">
        <v>0</v>
      </c>
      <c r="F3443">
        <v>102.15</v>
      </c>
      <c r="G3443">
        <v>81594.44</v>
      </c>
      <c r="H3443" s="14">
        <v>43768.833333333336</v>
      </c>
    </row>
    <row r="3444" spans="1:8" x14ac:dyDescent="0.25">
      <c r="A3444">
        <v>117</v>
      </c>
      <c r="B3444" t="s">
        <v>249</v>
      </c>
      <c r="C3444">
        <v>12</v>
      </c>
      <c r="D3444">
        <v>0</v>
      </c>
      <c r="E3444">
        <v>0</v>
      </c>
      <c r="F3444">
        <v>103.26</v>
      </c>
      <c r="G3444">
        <v>80457.259999999995</v>
      </c>
      <c r="H3444" s="14">
        <v>43768.833333333336</v>
      </c>
    </row>
    <row r="3445" spans="1:8" x14ac:dyDescent="0.25">
      <c r="A3445">
        <v>117</v>
      </c>
      <c r="B3445" t="s">
        <v>249</v>
      </c>
      <c r="C3445">
        <v>13</v>
      </c>
      <c r="D3445">
        <v>0</v>
      </c>
      <c r="E3445">
        <v>0</v>
      </c>
      <c r="F3445">
        <v>112.14</v>
      </c>
      <c r="G3445">
        <v>83681.119999999995</v>
      </c>
      <c r="H3445" s="14">
        <v>43768.833333333336</v>
      </c>
    </row>
    <row r="3446" spans="1:8" x14ac:dyDescent="0.25">
      <c r="A3446">
        <v>117</v>
      </c>
      <c r="B3446" t="s">
        <v>249</v>
      </c>
      <c r="C3446">
        <v>14</v>
      </c>
      <c r="D3446">
        <v>0</v>
      </c>
      <c r="E3446">
        <v>0</v>
      </c>
      <c r="F3446">
        <v>97.05</v>
      </c>
      <c r="G3446">
        <v>82978.22</v>
      </c>
      <c r="H3446" s="14">
        <v>43768.833333333336</v>
      </c>
    </row>
    <row r="3447" spans="1:8" x14ac:dyDescent="0.25">
      <c r="A3447">
        <v>118</v>
      </c>
      <c r="B3447" t="s">
        <v>250</v>
      </c>
      <c r="C3447">
        <v>1</v>
      </c>
      <c r="D3447">
        <v>0</v>
      </c>
      <c r="E3447">
        <v>0</v>
      </c>
      <c r="F3447">
        <v>134.66</v>
      </c>
      <c r="G3447">
        <v>97618.55</v>
      </c>
      <c r="H3447" s="14">
        <v>43768.833333333336</v>
      </c>
    </row>
    <row r="3448" spans="1:8" x14ac:dyDescent="0.25">
      <c r="A3448">
        <v>118</v>
      </c>
      <c r="B3448" t="s">
        <v>250</v>
      </c>
      <c r="C3448">
        <v>2</v>
      </c>
      <c r="D3448">
        <v>0</v>
      </c>
      <c r="E3448">
        <v>0</v>
      </c>
      <c r="F3448">
        <v>144.34</v>
      </c>
      <c r="G3448">
        <v>99466.76</v>
      </c>
      <c r="H3448" s="14">
        <v>43768.833333333336</v>
      </c>
    </row>
    <row r="3449" spans="1:8" x14ac:dyDescent="0.25">
      <c r="A3449">
        <v>118</v>
      </c>
      <c r="B3449" t="s">
        <v>250</v>
      </c>
      <c r="C3449">
        <v>3</v>
      </c>
      <c r="D3449">
        <v>0</v>
      </c>
      <c r="E3449">
        <v>0</v>
      </c>
      <c r="F3449">
        <v>143.58000000000001</v>
      </c>
      <c r="G3449">
        <v>99892.44</v>
      </c>
      <c r="H3449" s="14">
        <v>43768.833333333336</v>
      </c>
    </row>
    <row r="3450" spans="1:8" x14ac:dyDescent="0.25">
      <c r="A3450">
        <v>118</v>
      </c>
      <c r="B3450" t="s">
        <v>250</v>
      </c>
      <c r="C3450">
        <v>4</v>
      </c>
      <c r="D3450">
        <v>0</v>
      </c>
      <c r="E3450">
        <v>0</v>
      </c>
      <c r="F3450">
        <v>126.77</v>
      </c>
      <c r="G3450">
        <v>97020.49</v>
      </c>
      <c r="H3450" s="14">
        <v>43768.833333333336</v>
      </c>
    </row>
    <row r="3451" spans="1:8" x14ac:dyDescent="0.25">
      <c r="A3451">
        <v>118</v>
      </c>
      <c r="B3451" t="s">
        <v>250</v>
      </c>
      <c r="C3451">
        <v>5</v>
      </c>
      <c r="D3451">
        <v>0</v>
      </c>
      <c r="E3451">
        <v>0</v>
      </c>
      <c r="F3451">
        <v>147.35</v>
      </c>
      <c r="G3451">
        <v>100392.49</v>
      </c>
      <c r="H3451" s="14">
        <v>43768.833333333336</v>
      </c>
    </row>
    <row r="3452" spans="1:8" x14ac:dyDescent="0.25">
      <c r="A3452">
        <v>118</v>
      </c>
      <c r="B3452" t="s">
        <v>250</v>
      </c>
      <c r="C3452">
        <v>6</v>
      </c>
      <c r="D3452">
        <v>0</v>
      </c>
      <c r="E3452">
        <v>0</v>
      </c>
      <c r="F3452">
        <v>145.5</v>
      </c>
      <c r="G3452">
        <v>98985.4</v>
      </c>
      <c r="H3452" s="14">
        <v>43768.833333333336</v>
      </c>
    </row>
    <row r="3453" spans="1:8" x14ac:dyDescent="0.25">
      <c r="A3453">
        <v>118</v>
      </c>
      <c r="B3453" t="s">
        <v>250</v>
      </c>
      <c r="C3453">
        <v>7</v>
      </c>
      <c r="D3453">
        <v>0</v>
      </c>
      <c r="E3453">
        <v>0</v>
      </c>
      <c r="F3453">
        <v>145.58000000000001</v>
      </c>
      <c r="G3453">
        <v>98886.97</v>
      </c>
      <c r="H3453" s="14">
        <v>43768.833333333336</v>
      </c>
    </row>
    <row r="3454" spans="1:8" x14ac:dyDescent="0.25">
      <c r="A3454">
        <v>118</v>
      </c>
      <c r="B3454" t="s">
        <v>250</v>
      </c>
      <c r="C3454">
        <v>8</v>
      </c>
      <c r="D3454">
        <v>0</v>
      </c>
      <c r="E3454">
        <v>0</v>
      </c>
      <c r="F3454">
        <v>145.19999999999999</v>
      </c>
      <c r="G3454">
        <v>98981.4</v>
      </c>
      <c r="H3454" s="14">
        <v>43768.833333333336</v>
      </c>
    </row>
    <row r="3455" spans="1:8" x14ac:dyDescent="0.25">
      <c r="A3455">
        <v>119</v>
      </c>
      <c r="B3455" t="s">
        <v>251</v>
      </c>
      <c r="C3455">
        <v>1</v>
      </c>
      <c r="D3455">
        <v>0</v>
      </c>
      <c r="E3455">
        <v>0</v>
      </c>
      <c r="F3455">
        <v>146.65</v>
      </c>
      <c r="G3455">
        <v>99323.65</v>
      </c>
      <c r="H3455" s="14">
        <v>43768.833333333336</v>
      </c>
    </row>
    <row r="3456" spans="1:8" x14ac:dyDescent="0.25">
      <c r="A3456">
        <v>119</v>
      </c>
      <c r="B3456" t="s">
        <v>251</v>
      </c>
      <c r="C3456">
        <v>2</v>
      </c>
      <c r="D3456">
        <v>0</v>
      </c>
      <c r="E3456">
        <v>0</v>
      </c>
      <c r="F3456">
        <v>143.66</v>
      </c>
      <c r="G3456">
        <v>98548.74</v>
      </c>
      <c r="H3456" s="14">
        <v>43768.833333333336</v>
      </c>
    </row>
    <row r="3457" spans="1:8" x14ac:dyDescent="0.25">
      <c r="A3457">
        <v>119</v>
      </c>
      <c r="B3457" t="s">
        <v>251</v>
      </c>
      <c r="C3457">
        <v>3</v>
      </c>
      <c r="D3457">
        <v>0</v>
      </c>
      <c r="E3457">
        <v>0</v>
      </c>
      <c r="F3457">
        <v>144.21</v>
      </c>
      <c r="G3457">
        <v>99210.62</v>
      </c>
      <c r="H3457" s="14">
        <v>43768.833333333336</v>
      </c>
    </row>
    <row r="3458" spans="1:8" x14ac:dyDescent="0.25">
      <c r="A3458">
        <v>119</v>
      </c>
      <c r="B3458" t="s">
        <v>251</v>
      </c>
      <c r="C3458">
        <v>4</v>
      </c>
      <c r="D3458">
        <v>0</v>
      </c>
      <c r="E3458">
        <v>0</v>
      </c>
      <c r="F3458">
        <v>141.53</v>
      </c>
      <c r="G3458">
        <v>98475.199999999997</v>
      </c>
      <c r="H3458" s="14">
        <v>43768.833333333336</v>
      </c>
    </row>
    <row r="3459" spans="1:8" x14ac:dyDescent="0.25">
      <c r="A3459">
        <v>119</v>
      </c>
      <c r="B3459" t="s">
        <v>251</v>
      </c>
      <c r="C3459">
        <v>5</v>
      </c>
      <c r="D3459">
        <v>0</v>
      </c>
      <c r="E3459">
        <v>0</v>
      </c>
      <c r="F3459">
        <v>141.41999999999999</v>
      </c>
      <c r="G3459">
        <v>99300.7</v>
      </c>
      <c r="H3459" s="14">
        <v>43768.833333333336</v>
      </c>
    </row>
    <row r="3460" spans="1:8" x14ac:dyDescent="0.25">
      <c r="A3460">
        <v>119</v>
      </c>
      <c r="B3460" t="s">
        <v>251</v>
      </c>
      <c r="C3460">
        <v>6</v>
      </c>
      <c r="D3460">
        <v>0</v>
      </c>
      <c r="E3460">
        <v>0</v>
      </c>
      <c r="F3460">
        <v>144.46</v>
      </c>
      <c r="G3460">
        <v>100380.43</v>
      </c>
      <c r="H3460" s="14">
        <v>43768.833333333336</v>
      </c>
    </row>
    <row r="3461" spans="1:8" x14ac:dyDescent="0.25">
      <c r="A3461">
        <v>119</v>
      </c>
      <c r="B3461" t="s">
        <v>251</v>
      </c>
      <c r="C3461">
        <v>7</v>
      </c>
      <c r="D3461">
        <v>0</v>
      </c>
      <c r="E3461">
        <v>0</v>
      </c>
      <c r="F3461">
        <v>137.35</v>
      </c>
      <c r="G3461">
        <v>99183.49</v>
      </c>
      <c r="H3461" s="14">
        <v>43768.833333333336</v>
      </c>
    </row>
    <row r="3462" spans="1:8" x14ac:dyDescent="0.25">
      <c r="A3462">
        <v>119</v>
      </c>
      <c r="B3462" t="s">
        <v>251</v>
      </c>
      <c r="C3462">
        <v>8</v>
      </c>
      <c r="D3462">
        <v>0</v>
      </c>
      <c r="E3462">
        <v>0</v>
      </c>
      <c r="F3462">
        <v>147.71</v>
      </c>
      <c r="G3462">
        <v>100880.4</v>
      </c>
      <c r="H3462" s="14">
        <v>43768.833333333336</v>
      </c>
    </row>
    <row r="3463" spans="1:8" x14ac:dyDescent="0.25">
      <c r="A3463">
        <v>119</v>
      </c>
      <c r="B3463" t="s">
        <v>251</v>
      </c>
      <c r="C3463">
        <v>9</v>
      </c>
      <c r="D3463">
        <v>0</v>
      </c>
      <c r="E3463">
        <v>0</v>
      </c>
      <c r="F3463">
        <v>97</v>
      </c>
      <c r="G3463">
        <v>65864.990000000005</v>
      </c>
      <c r="H3463" s="14">
        <v>43768.833333333336</v>
      </c>
    </row>
    <row r="3464" spans="1:8" x14ac:dyDescent="0.25">
      <c r="A3464">
        <v>120</v>
      </c>
      <c r="B3464" t="s">
        <v>252</v>
      </c>
      <c r="C3464">
        <v>1</v>
      </c>
      <c r="D3464">
        <v>0</v>
      </c>
      <c r="E3464">
        <v>0</v>
      </c>
      <c r="F3464">
        <v>153.78</v>
      </c>
      <c r="G3464">
        <v>104475.92</v>
      </c>
      <c r="H3464" s="14">
        <v>43768.833333333336</v>
      </c>
    </row>
    <row r="3465" spans="1:8" x14ac:dyDescent="0.25">
      <c r="A3465">
        <v>120</v>
      </c>
      <c r="B3465" t="s">
        <v>252</v>
      </c>
      <c r="C3465">
        <v>2</v>
      </c>
      <c r="D3465">
        <v>0</v>
      </c>
      <c r="E3465">
        <v>0</v>
      </c>
      <c r="F3465">
        <v>151.30000000000001</v>
      </c>
      <c r="G3465">
        <v>103265.4</v>
      </c>
      <c r="H3465" s="14">
        <v>43768.833333333336</v>
      </c>
    </row>
    <row r="3466" spans="1:8" x14ac:dyDescent="0.25">
      <c r="A3466">
        <v>120</v>
      </c>
      <c r="B3466" t="s">
        <v>252</v>
      </c>
      <c r="C3466">
        <v>3</v>
      </c>
      <c r="D3466">
        <v>0</v>
      </c>
      <c r="E3466">
        <v>0</v>
      </c>
      <c r="F3466">
        <v>151.04</v>
      </c>
      <c r="G3466">
        <v>102258.33</v>
      </c>
      <c r="H3466" s="14">
        <v>43768.833333333336</v>
      </c>
    </row>
    <row r="3467" spans="1:8" x14ac:dyDescent="0.25">
      <c r="A3467">
        <v>120</v>
      </c>
      <c r="B3467" t="s">
        <v>252</v>
      </c>
      <c r="C3467">
        <v>4</v>
      </c>
      <c r="D3467">
        <v>0</v>
      </c>
      <c r="E3467">
        <v>0</v>
      </c>
      <c r="F3467">
        <v>150.22999999999999</v>
      </c>
      <c r="G3467">
        <v>101496.46</v>
      </c>
      <c r="H3467" s="14">
        <v>43768.833333333336</v>
      </c>
    </row>
    <row r="3468" spans="1:8" x14ac:dyDescent="0.25">
      <c r="A3468">
        <v>120</v>
      </c>
      <c r="B3468" t="s">
        <v>252</v>
      </c>
      <c r="C3468">
        <v>5</v>
      </c>
      <c r="D3468">
        <v>0</v>
      </c>
      <c r="E3468">
        <v>0</v>
      </c>
      <c r="F3468">
        <v>155.04</v>
      </c>
      <c r="G3468">
        <v>105089.4</v>
      </c>
      <c r="H3468" s="14">
        <v>43768.833333333336</v>
      </c>
    </row>
    <row r="3469" spans="1:8" x14ac:dyDescent="0.25">
      <c r="A3469">
        <v>120</v>
      </c>
      <c r="B3469" t="s">
        <v>252</v>
      </c>
      <c r="C3469">
        <v>6</v>
      </c>
      <c r="D3469">
        <v>0</v>
      </c>
      <c r="E3469">
        <v>0</v>
      </c>
      <c r="F3469">
        <v>154.29</v>
      </c>
      <c r="G3469">
        <v>100893.78</v>
      </c>
      <c r="H3469" s="14">
        <v>43768.833333333336</v>
      </c>
    </row>
    <row r="3470" spans="1:8" x14ac:dyDescent="0.25">
      <c r="A3470">
        <v>120</v>
      </c>
      <c r="B3470" t="s">
        <v>252</v>
      </c>
      <c r="C3470">
        <v>7</v>
      </c>
      <c r="D3470">
        <v>0</v>
      </c>
      <c r="E3470">
        <v>0</v>
      </c>
      <c r="F3470">
        <v>154.52000000000001</v>
      </c>
      <c r="G3470">
        <v>103182.68</v>
      </c>
      <c r="H3470" s="14">
        <v>43768.833333333336</v>
      </c>
    </row>
    <row r="3471" spans="1:8" x14ac:dyDescent="0.25">
      <c r="A3471">
        <v>120</v>
      </c>
      <c r="B3471" t="s">
        <v>252</v>
      </c>
      <c r="C3471">
        <v>8</v>
      </c>
      <c r="D3471">
        <v>0</v>
      </c>
      <c r="E3471">
        <v>0</v>
      </c>
      <c r="F3471">
        <v>155.33000000000001</v>
      </c>
      <c r="G3471">
        <v>103990.06</v>
      </c>
      <c r="H3471" s="14">
        <v>43768.833333333336</v>
      </c>
    </row>
    <row r="3472" spans="1:8" x14ac:dyDescent="0.25">
      <c r="A3472">
        <v>121</v>
      </c>
      <c r="B3472" t="s">
        <v>253</v>
      </c>
      <c r="C3472">
        <v>1</v>
      </c>
      <c r="D3472">
        <v>0</v>
      </c>
      <c r="E3472">
        <v>0</v>
      </c>
      <c r="F3472">
        <v>130.05000000000001</v>
      </c>
      <c r="G3472">
        <v>89771.72</v>
      </c>
      <c r="H3472" s="14">
        <v>43768.833333333336</v>
      </c>
    </row>
    <row r="3473" spans="1:8" x14ac:dyDescent="0.25">
      <c r="A3473">
        <v>121</v>
      </c>
      <c r="B3473" t="s">
        <v>253</v>
      </c>
      <c r="C3473">
        <v>2</v>
      </c>
      <c r="D3473">
        <v>0</v>
      </c>
      <c r="E3473">
        <v>0</v>
      </c>
      <c r="F3473">
        <v>141.79</v>
      </c>
      <c r="G3473">
        <v>99227.18</v>
      </c>
      <c r="H3473" s="14">
        <v>43768.833333333336</v>
      </c>
    </row>
    <row r="3474" spans="1:8" x14ac:dyDescent="0.25">
      <c r="A3474">
        <v>121</v>
      </c>
      <c r="B3474" t="s">
        <v>253</v>
      </c>
      <c r="C3474">
        <v>3</v>
      </c>
      <c r="D3474">
        <v>0</v>
      </c>
      <c r="E3474">
        <v>0</v>
      </c>
      <c r="F3474">
        <v>142.52000000000001</v>
      </c>
      <c r="G3474">
        <v>98327.43</v>
      </c>
      <c r="H3474" s="14">
        <v>43768.833333333336</v>
      </c>
    </row>
    <row r="3475" spans="1:8" x14ac:dyDescent="0.25">
      <c r="A3475">
        <v>121</v>
      </c>
      <c r="B3475" t="s">
        <v>253</v>
      </c>
      <c r="C3475">
        <v>4</v>
      </c>
      <c r="D3475">
        <v>0</v>
      </c>
      <c r="E3475">
        <v>0</v>
      </c>
      <c r="F3475">
        <v>41.97</v>
      </c>
      <c r="G3475">
        <v>38072.269999999997</v>
      </c>
      <c r="H3475" s="14">
        <v>43768.833333333336</v>
      </c>
    </row>
    <row r="3476" spans="1:8" x14ac:dyDescent="0.25">
      <c r="A3476">
        <v>122</v>
      </c>
      <c r="B3476" t="s">
        <v>254</v>
      </c>
      <c r="C3476">
        <v>1</v>
      </c>
      <c r="D3476">
        <v>0</v>
      </c>
      <c r="E3476">
        <v>0</v>
      </c>
      <c r="F3476">
        <v>138.1</v>
      </c>
      <c r="G3476">
        <v>94864.74</v>
      </c>
      <c r="H3476" s="14">
        <v>43768.833333333336</v>
      </c>
    </row>
    <row r="3477" spans="1:8" x14ac:dyDescent="0.25">
      <c r="A3477">
        <v>122</v>
      </c>
      <c r="B3477" t="s">
        <v>254</v>
      </c>
      <c r="C3477">
        <v>2</v>
      </c>
      <c r="D3477">
        <v>0</v>
      </c>
      <c r="E3477">
        <v>0</v>
      </c>
      <c r="F3477">
        <v>139.83000000000001</v>
      </c>
      <c r="G3477">
        <v>50223.58</v>
      </c>
      <c r="H3477" s="14">
        <v>43768.833333333336</v>
      </c>
    </row>
    <row r="3478" spans="1:8" x14ac:dyDescent="0.25">
      <c r="A3478">
        <v>122</v>
      </c>
      <c r="B3478" t="s">
        <v>254</v>
      </c>
      <c r="C3478">
        <v>3</v>
      </c>
      <c r="D3478">
        <v>0</v>
      </c>
      <c r="E3478">
        <v>0</v>
      </c>
      <c r="F3478">
        <v>137.43</v>
      </c>
      <c r="G3478">
        <v>95164.98</v>
      </c>
      <c r="H3478" s="14">
        <v>43768.833333333336</v>
      </c>
    </row>
    <row r="3479" spans="1:8" x14ac:dyDescent="0.25">
      <c r="A3479">
        <v>123</v>
      </c>
      <c r="B3479" t="s">
        <v>255</v>
      </c>
      <c r="C3479">
        <v>1</v>
      </c>
      <c r="D3479">
        <v>0</v>
      </c>
      <c r="E3479">
        <v>0</v>
      </c>
      <c r="F3479">
        <v>130.71</v>
      </c>
      <c r="G3479">
        <v>95927.02</v>
      </c>
      <c r="H3479" s="14">
        <v>43768.833333333336</v>
      </c>
    </row>
    <row r="3480" spans="1:8" x14ac:dyDescent="0.25">
      <c r="A3480">
        <v>123</v>
      </c>
      <c r="B3480" t="s">
        <v>255</v>
      </c>
      <c r="C3480">
        <v>2</v>
      </c>
      <c r="D3480">
        <v>0</v>
      </c>
      <c r="E3480">
        <v>0</v>
      </c>
      <c r="F3480">
        <v>128.66</v>
      </c>
      <c r="G3480">
        <v>89373.38</v>
      </c>
      <c r="H3480" s="14">
        <v>43768.833333333336</v>
      </c>
    </row>
    <row r="3481" spans="1:8" x14ac:dyDescent="0.25">
      <c r="A3481">
        <v>123</v>
      </c>
      <c r="B3481" t="s">
        <v>255</v>
      </c>
      <c r="C3481">
        <v>3</v>
      </c>
      <c r="D3481">
        <v>0</v>
      </c>
      <c r="E3481">
        <v>0</v>
      </c>
      <c r="F3481">
        <v>129.36000000000001</v>
      </c>
      <c r="G3481">
        <v>93495.360000000001</v>
      </c>
      <c r="H3481" s="14">
        <v>43768.833333333336</v>
      </c>
    </row>
    <row r="3482" spans="1:8" x14ac:dyDescent="0.25">
      <c r="A3482">
        <v>123</v>
      </c>
      <c r="B3482" t="s">
        <v>255</v>
      </c>
      <c r="C3482">
        <v>4</v>
      </c>
      <c r="D3482">
        <v>0</v>
      </c>
      <c r="E3482">
        <v>0</v>
      </c>
      <c r="F3482">
        <v>130.88</v>
      </c>
      <c r="G3482">
        <v>95625.9</v>
      </c>
      <c r="H3482" s="14">
        <v>43768.833333333336</v>
      </c>
    </row>
    <row r="3483" spans="1:8" x14ac:dyDescent="0.25">
      <c r="A3483">
        <v>123</v>
      </c>
      <c r="B3483" t="s">
        <v>255</v>
      </c>
      <c r="C3483">
        <v>5</v>
      </c>
      <c r="D3483">
        <v>0</v>
      </c>
      <c r="E3483">
        <v>0</v>
      </c>
      <c r="F3483">
        <v>130.54</v>
      </c>
      <c r="G3483">
        <v>92384.14</v>
      </c>
      <c r="H3483" s="14">
        <v>43768.833333333336</v>
      </c>
    </row>
    <row r="3484" spans="1:8" x14ac:dyDescent="0.25">
      <c r="A3484">
        <v>123</v>
      </c>
      <c r="B3484" t="s">
        <v>255</v>
      </c>
      <c r="C3484">
        <v>6</v>
      </c>
      <c r="D3484">
        <v>0</v>
      </c>
      <c r="E3484">
        <v>0</v>
      </c>
      <c r="F3484">
        <v>128.80000000000001</v>
      </c>
      <c r="G3484">
        <v>95081.18</v>
      </c>
      <c r="H3484" s="14">
        <v>43768.833333333336</v>
      </c>
    </row>
    <row r="3485" spans="1:8" x14ac:dyDescent="0.25">
      <c r="A3485">
        <v>123</v>
      </c>
      <c r="B3485" t="s">
        <v>255</v>
      </c>
      <c r="C3485">
        <v>7</v>
      </c>
      <c r="D3485">
        <v>0</v>
      </c>
      <c r="E3485">
        <v>0</v>
      </c>
      <c r="F3485">
        <v>112.7</v>
      </c>
      <c r="G3485">
        <v>6943.32</v>
      </c>
      <c r="H3485" s="14">
        <v>43768.833333333336</v>
      </c>
    </row>
    <row r="3486" spans="1:8" x14ac:dyDescent="0.25">
      <c r="A3486">
        <v>123</v>
      </c>
      <c r="B3486" t="s">
        <v>255</v>
      </c>
      <c r="C3486">
        <v>8</v>
      </c>
      <c r="D3486">
        <v>0</v>
      </c>
      <c r="E3486">
        <v>0</v>
      </c>
      <c r="F3486">
        <v>83.58</v>
      </c>
      <c r="G3486">
        <v>62465.04</v>
      </c>
      <c r="H3486" s="14">
        <v>43768.833333333336</v>
      </c>
    </row>
    <row r="3487" spans="1:8" x14ac:dyDescent="0.25">
      <c r="A3487">
        <v>124</v>
      </c>
      <c r="B3487" t="s">
        <v>256</v>
      </c>
      <c r="C3487">
        <v>1</v>
      </c>
      <c r="D3487">
        <v>0</v>
      </c>
      <c r="E3487">
        <v>0</v>
      </c>
      <c r="F3487">
        <v>108.09</v>
      </c>
      <c r="G3487">
        <v>89233.05</v>
      </c>
      <c r="H3487" s="14">
        <v>43768.833333333336</v>
      </c>
    </row>
    <row r="3488" spans="1:8" x14ac:dyDescent="0.25">
      <c r="A3488">
        <v>124</v>
      </c>
      <c r="B3488" t="s">
        <v>256</v>
      </c>
      <c r="C3488">
        <v>2</v>
      </c>
      <c r="D3488">
        <v>0</v>
      </c>
      <c r="E3488">
        <v>0</v>
      </c>
      <c r="F3488">
        <v>107.42</v>
      </c>
      <c r="G3488">
        <v>91674.22</v>
      </c>
      <c r="H3488" s="14">
        <v>43768.833333333336</v>
      </c>
    </row>
    <row r="3489" spans="1:8" x14ac:dyDescent="0.25">
      <c r="A3489">
        <v>124</v>
      </c>
      <c r="B3489" t="s">
        <v>256</v>
      </c>
      <c r="C3489">
        <v>3</v>
      </c>
      <c r="D3489">
        <v>0</v>
      </c>
      <c r="E3489">
        <v>0</v>
      </c>
      <c r="F3489">
        <v>126.63</v>
      </c>
      <c r="G3489">
        <v>89386.99</v>
      </c>
      <c r="H3489" s="14">
        <v>43768.833333333336</v>
      </c>
    </row>
    <row r="3490" spans="1:8" x14ac:dyDescent="0.25">
      <c r="A3490">
        <v>124</v>
      </c>
      <c r="B3490" t="s">
        <v>256</v>
      </c>
      <c r="C3490">
        <v>4</v>
      </c>
      <c r="D3490">
        <v>0</v>
      </c>
      <c r="E3490">
        <v>0</v>
      </c>
      <c r="F3490">
        <v>126.55</v>
      </c>
      <c r="G3490">
        <v>93314.73</v>
      </c>
      <c r="H3490" s="14">
        <v>43768.833333333336</v>
      </c>
    </row>
    <row r="3491" spans="1:8" x14ac:dyDescent="0.25">
      <c r="A3491">
        <v>124</v>
      </c>
      <c r="B3491" t="s">
        <v>256</v>
      </c>
      <c r="C3491">
        <v>5</v>
      </c>
      <c r="D3491">
        <v>0</v>
      </c>
      <c r="E3491">
        <v>0</v>
      </c>
      <c r="F3491">
        <v>127.28</v>
      </c>
      <c r="G3491">
        <v>94929.78</v>
      </c>
      <c r="H3491" s="14">
        <v>43768.833333333336</v>
      </c>
    </row>
    <row r="3492" spans="1:8" x14ac:dyDescent="0.25">
      <c r="A3492">
        <v>124</v>
      </c>
      <c r="B3492" t="s">
        <v>256</v>
      </c>
      <c r="C3492">
        <v>6</v>
      </c>
      <c r="D3492">
        <v>0</v>
      </c>
      <c r="E3492">
        <v>0</v>
      </c>
      <c r="F3492">
        <v>125.89</v>
      </c>
      <c r="G3492">
        <v>92645.57</v>
      </c>
      <c r="H3492" s="14">
        <v>43768.833333333336</v>
      </c>
    </row>
    <row r="3493" spans="1:8" x14ac:dyDescent="0.25">
      <c r="A3493">
        <v>124</v>
      </c>
      <c r="B3493" t="s">
        <v>256</v>
      </c>
      <c r="C3493">
        <v>7</v>
      </c>
      <c r="D3493">
        <v>0</v>
      </c>
      <c r="E3493">
        <v>0</v>
      </c>
      <c r="F3493">
        <v>125.69</v>
      </c>
      <c r="G3493">
        <v>91917.87</v>
      </c>
      <c r="H3493" s="14">
        <v>43768.833333333336</v>
      </c>
    </row>
    <row r="3494" spans="1:8" x14ac:dyDescent="0.25">
      <c r="A3494">
        <v>124</v>
      </c>
      <c r="B3494" t="s">
        <v>256</v>
      </c>
      <c r="C3494">
        <v>8</v>
      </c>
      <c r="D3494">
        <v>0</v>
      </c>
      <c r="E3494">
        <v>0</v>
      </c>
      <c r="F3494">
        <v>128.85</v>
      </c>
      <c r="G3494">
        <v>90222.39</v>
      </c>
      <c r="H3494" s="14">
        <v>43768.833333333336</v>
      </c>
    </row>
    <row r="3495" spans="1:8" x14ac:dyDescent="0.25">
      <c r="A3495">
        <v>124</v>
      </c>
      <c r="B3495" t="s">
        <v>256</v>
      </c>
      <c r="C3495">
        <v>9</v>
      </c>
      <c r="D3495">
        <v>0</v>
      </c>
      <c r="E3495">
        <v>0</v>
      </c>
      <c r="F3495">
        <v>130.07</v>
      </c>
      <c r="G3495">
        <v>89665.82</v>
      </c>
      <c r="H3495" s="14">
        <v>43768.833333333336</v>
      </c>
    </row>
    <row r="3496" spans="1:8" x14ac:dyDescent="0.25">
      <c r="A3496">
        <v>124</v>
      </c>
      <c r="B3496" t="s">
        <v>256</v>
      </c>
      <c r="C3496">
        <v>10</v>
      </c>
      <c r="D3496">
        <v>0</v>
      </c>
      <c r="E3496">
        <v>0</v>
      </c>
      <c r="F3496">
        <v>128.96</v>
      </c>
      <c r="G3496">
        <v>95330.45</v>
      </c>
      <c r="H3496" s="14">
        <v>43768.833333333336</v>
      </c>
    </row>
    <row r="3497" spans="1:8" x14ac:dyDescent="0.25">
      <c r="A3497">
        <v>124</v>
      </c>
      <c r="B3497" t="s">
        <v>256</v>
      </c>
      <c r="C3497">
        <v>11</v>
      </c>
      <c r="D3497">
        <v>0</v>
      </c>
      <c r="E3497">
        <v>0</v>
      </c>
      <c r="F3497">
        <v>127.74</v>
      </c>
      <c r="G3497">
        <v>94883.34</v>
      </c>
      <c r="H3497" s="14">
        <v>43768.833333333336</v>
      </c>
    </row>
    <row r="3498" spans="1:8" x14ac:dyDescent="0.25">
      <c r="A3498">
        <v>124</v>
      </c>
      <c r="B3498" t="s">
        <v>256</v>
      </c>
      <c r="C3498">
        <v>12</v>
      </c>
      <c r="D3498">
        <v>0</v>
      </c>
      <c r="E3498">
        <v>0</v>
      </c>
      <c r="F3498">
        <v>129.07</v>
      </c>
      <c r="G3498">
        <v>94195.98</v>
      </c>
      <c r="H3498" s="14">
        <v>43768.833333333336</v>
      </c>
    </row>
    <row r="3499" spans="1:8" x14ac:dyDescent="0.25">
      <c r="A3499">
        <v>124</v>
      </c>
      <c r="B3499" t="s">
        <v>256</v>
      </c>
      <c r="C3499">
        <v>13</v>
      </c>
      <c r="D3499">
        <v>0</v>
      </c>
      <c r="E3499">
        <v>0</v>
      </c>
      <c r="F3499">
        <v>124.44</v>
      </c>
      <c r="G3499">
        <v>87330.57</v>
      </c>
      <c r="H3499" s="14">
        <v>43768.833333333336</v>
      </c>
    </row>
    <row r="3500" spans="1:8" x14ac:dyDescent="0.25">
      <c r="A3500">
        <v>125</v>
      </c>
      <c r="B3500" t="s">
        <v>257</v>
      </c>
      <c r="C3500">
        <v>1</v>
      </c>
      <c r="D3500">
        <v>0</v>
      </c>
      <c r="E3500">
        <v>0</v>
      </c>
      <c r="F3500">
        <v>111.15</v>
      </c>
      <c r="G3500">
        <v>58154.46</v>
      </c>
      <c r="H3500" s="14">
        <v>43768.833333333336</v>
      </c>
    </row>
    <row r="3501" spans="1:8" x14ac:dyDescent="0.25">
      <c r="A3501">
        <v>125</v>
      </c>
      <c r="B3501" t="s">
        <v>257</v>
      </c>
      <c r="C3501">
        <v>2</v>
      </c>
      <c r="D3501">
        <v>0</v>
      </c>
      <c r="E3501">
        <v>0</v>
      </c>
      <c r="F3501">
        <v>110.76</v>
      </c>
      <c r="G3501">
        <v>58207.71</v>
      </c>
      <c r="H3501" s="14">
        <v>43768.833333333336</v>
      </c>
    </row>
    <row r="3502" spans="1:8" x14ac:dyDescent="0.25">
      <c r="A3502">
        <v>125</v>
      </c>
      <c r="B3502" t="s">
        <v>257</v>
      </c>
      <c r="C3502">
        <v>3</v>
      </c>
      <c r="D3502">
        <v>0</v>
      </c>
      <c r="E3502">
        <v>0</v>
      </c>
      <c r="F3502">
        <v>52.4</v>
      </c>
      <c r="G3502">
        <v>32681.29</v>
      </c>
      <c r="H3502" s="14">
        <v>43768.833333333336</v>
      </c>
    </row>
    <row r="3503" spans="1:8" x14ac:dyDescent="0.25">
      <c r="A3503">
        <v>125</v>
      </c>
      <c r="B3503" t="s">
        <v>257</v>
      </c>
      <c r="C3503">
        <v>4</v>
      </c>
      <c r="D3503">
        <v>0</v>
      </c>
      <c r="E3503">
        <v>0</v>
      </c>
      <c r="F3503">
        <v>78.11</v>
      </c>
      <c r="G3503">
        <v>35351.51</v>
      </c>
      <c r="H3503" s="14">
        <v>43768.833333333336</v>
      </c>
    </row>
    <row r="3504" spans="1:8" x14ac:dyDescent="0.25">
      <c r="A3504">
        <v>125</v>
      </c>
      <c r="B3504" t="s">
        <v>257</v>
      </c>
      <c r="C3504">
        <v>5</v>
      </c>
      <c r="D3504">
        <v>0</v>
      </c>
      <c r="E3504">
        <v>0</v>
      </c>
      <c r="F3504">
        <v>88.13</v>
      </c>
      <c r="G3504">
        <v>54718.89</v>
      </c>
      <c r="H3504" s="14">
        <v>43768.833333333336</v>
      </c>
    </row>
    <row r="3505" spans="1:8" x14ac:dyDescent="0.25">
      <c r="A3505">
        <v>125</v>
      </c>
      <c r="B3505" t="s">
        <v>257</v>
      </c>
      <c r="C3505">
        <v>6</v>
      </c>
      <c r="D3505">
        <v>0</v>
      </c>
      <c r="E3505">
        <v>0</v>
      </c>
      <c r="F3505">
        <v>136.36000000000001</v>
      </c>
      <c r="G3505">
        <v>65387.199999999997</v>
      </c>
      <c r="H3505" s="14">
        <v>43768.833333333336</v>
      </c>
    </row>
    <row r="3506" spans="1:8" x14ac:dyDescent="0.25">
      <c r="A3506">
        <v>125</v>
      </c>
      <c r="B3506" t="s">
        <v>257</v>
      </c>
      <c r="C3506">
        <v>7</v>
      </c>
      <c r="D3506">
        <v>0</v>
      </c>
      <c r="E3506">
        <v>0</v>
      </c>
      <c r="F3506">
        <v>92.68</v>
      </c>
      <c r="G3506">
        <v>56653.77</v>
      </c>
      <c r="H3506" s="14">
        <v>43768.833333333336</v>
      </c>
    </row>
    <row r="3507" spans="1:8" x14ac:dyDescent="0.25">
      <c r="A3507">
        <v>125</v>
      </c>
      <c r="B3507" t="s">
        <v>257</v>
      </c>
      <c r="C3507">
        <v>8</v>
      </c>
      <c r="D3507">
        <v>0</v>
      </c>
      <c r="E3507">
        <v>0</v>
      </c>
      <c r="F3507">
        <v>81.75</v>
      </c>
      <c r="G3507">
        <v>39269.449999999997</v>
      </c>
      <c r="H3507" s="14">
        <v>43768.833333333336</v>
      </c>
    </row>
    <row r="3508" spans="1:8" x14ac:dyDescent="0.25">
      <c r="A3508">
        <v>125</v>
      </c>
      <c r="B3508" t="s">
        <v>257</v>
      </c>
      <c r="C3508">
        <v>9</v>
      </c>
      <c r="D3508">
        <v>0</v>
      </c>
      <c r="E3508">
        <v>0</v>
      </c>
      <c r="F3508">
        <v>95.21</v>
      </c>
      <c r="G3508">
        <v>51479.79</v>
      </c>
      <c r="H3508" s="14">
        <v>43768.833333333336</v>
      </c>
    </row>
    <row r="3509" spans="1:8" x14ac:dyDescent="0.25">
      <c r="A3509">
        <v>125</v>
      </c>
      <c r="B3509" t="s">
        <v>257</v>
      </c>
      <c r="C3509">
        <v>10</v>
      </c>
      <c r="D3509">
        <v>0</v>
      </c>
      <c r="E3509">
        <v>0</v>
      </c>
      <c r="F3509">
        <v>86.84</v>
      </c>
      <c r="G3509">
        <v>53804.22</v>
      </c>
      <c r="H3509" s="14">
        <v>43768.833333333336</v>
      </c>
    </row>
    <row r="3510" spans="1:8" x14ac:dyDescent="0.25">
      <c r="A3510">
        <v>125</v>
      </c>
      <c r="B3510" t="s">
        <v>257</v>
      </c>
      <c r="C3510">
        <v>11</v>
      </c>
      <c r="D3510">
        <v>0</v>
      </c>
      <c r="E3510">
        <v>0</v>
      </c>
      <c r="F3510">
        <v>56.92</v>
      </c>
      <c r="G3510">
        <v>30486.17</v>
      </c>
      <c r="H3510" s="14">
        <v>43768.833333333336</v>
      </c>
    </row>
    <row r="3511" spans="1:8" x14ac:dyDescent="0.25">
      <c r="A3511">
        <v>126</v>
      </c>
      <c r="B3511" t="s">
        <v>258</v>
      </c>
      <c r="C3511">
        <v>1</v>
      </c>
      <c r="D3511">
        <v>0</v>
      </c>
      <c r="E3511">
        <v>0</v>
      </c>
      <c r="F3511">
        <v>110.16</v>
      </c>
      <c r="G3511">
        <v>59927.99</v>
      </c>
      <c r="H3511" s="14">
        <v>43768.833333333336</v>
      </c>
    </row>
    <row r="3512" spans="1:8" x14ac:dyDescent="0.25">
      <c r="A3512">
        <v>126</v>
      </c>
      <c r="B3512" t="s">
        <v>258</v>
      </c>
      <c r="C3512">
        <v>2</v>
      </c>
      <c r="D3512">
        <v>0</v>
      </c>
      <c r="E3512">
        <v>0</v>
      </c>
      <c r="F3512">
        <v>109.49</v>
      </c>
      <c r="G3512">
        <v>59799.41</v>
      </c>
      <c r="H3512" s="14">
        <v>43768.833333333336</v>
      </c>
    </row>
    <row r="3513" spans="1:8" x14ac:dyDescent="0.25">
      <c r="A3513">
        <v>126</v>
      </c>
      <c r="B3513" t="s">
        <v>258</v>
      </c>
      <c r="C3513">
        <v>3</v>
      </c>
      <c r="D3513">
        <v>0</v>
      </c>
      <c r="E3513">
        <v>0</v>
      </c>
      <c r="F3513">
        <v>111.18</v>
      </c>
      <c r="G3513">
        <v>60296.51</v>
      </c>
      <c r="H3513" s="14">
        <v>43768.833333333336</v>
      </c>
    </row>
    <row r="3514" spans="1:8" x14ac:dyDescent="0.25">
      <c r="A3514">
        <v>126</v>
      </c>
      <c r="B3514" t="s">
        <v>258</v>
      </c>
      <c r="C3514">
        <v>4</v>
      </c>
      <c r="D3514">
        <v>0</v>
      </c>
      <c r="E3514">
        <v>0</v>
      </c>
      <c r="F3514">
        <v>104.36</v>
      </c>
      <c r="G3514">
        <v>58652.52</v>
      </c>
      <c r="H3514" s="14">
        <v>43768.833333333336</v>
      </c>
    </row>
    <row r="3515" spans="1:8" x14ac:dyDescent="0.25">
      <c r="A3515">
        <v>126</v>
      </c>
      <c r="B3515" t="s">
        <v>258</v>
      </c>
      <c r="C3515">
        <v>5</v>
      </c>
      <c r="D3515">
        <v>0</v>
      </c>
      <c r="E3515">
        <v>0</v>
      </c>
      <c r="F3515">
        <v>127.37</v>
      </c>
      <c r="G3515">
        <v>62929.71</v>
      </c>
      <c r="H3515" s="14">
        <v>43768.833333333336</v>
      </c>
    </row>
    <row r="3516" spans="1:8" x14ac:dyDescent="0.25">
      <c r="A3516">
        <v>126</v>
      </c>
      <c r="B3516" t="s">
        <v>258</v>
      </c>
      <c r="C3516">
        <v>6</v>
      </c>
      <c r="D3516">
        <v>0</v>
      </c>
      <c r="E3516">
        <v>0</v>
      </c>
      <c r="F3516">
        <v>112.61</v>
      </c>
      <c r="G3516">
        <v>60759.92</v>
      </c>
      <c r="H3516" s="14">
        <v>43768.833333333336</v>
      </c>
    </row>
    <row r="3517" spans="1:8" x14ac:dyDescent="0.25">
      <c r="A3517">
        <v>126</v>
      </c>
      <c r="B3517" t="s">
        <v>258</v>
      </c>
      <c r="C3517">
        <v>7</v>
      </c>
      <c r="D3517">
        <v>0</v>
      </c>
      <c r="E3517">
        <v>0</v>
      </c>
      <c r="F3517">
        <v>111.87</v>
      </c>
      <c r="G3517">
        <v>58134.080000000002</v>
      </c>
      <c r="H3517" s="14">
        <v>43768.833333333336</v>
      </c>
    </row>
    <row r="3518" spans="1:8" x14ac:dyDescent="0.25">
      <c r="A3518">
        <v>126</v>
      </c>
      <c r="B3518" t="s">
        <v>258</v>
      </c>
      <c r="C3518">
        <v>8</v>
      </c>
      <c r="D3518">
        <v>0</v>
      </c>
      <c r="E3518">
        <v>0</v>
      </c>
      <c r="F3518">
        <v>112.8</v>
      </c>
      <c r="G3518">
        <v>57059.99</v>
      </c>
      <c r="H3518" s="14">
        <v>43768.833333333336</v>
      </c>
    </row>
    <row r="3519" spans="1:8" x14ac:dyDescent="0.25">
      <c r="A3519">
        <v>126</v>
      </c>
      <c r="B3519" t="s">
        <v>258</v>
      </c>
      <c r="C3519">
        <v>9</v>
      </c>
      <c r="D3519">
        <v>0</v>
      </c>
      <c r="E3519">
        <v>0</v>
      </c>
      <c r="F3519">
        <v>76.16</v>
      </c>
      <c r="G3519">
        <v>50128.41</v>
      </c>
      <c r="H3519" s="14">
        <v>43768.833333333336</v>
      </c>
    </row>
    <row r="3520" spans="1:8" x14ac:dyDescent="0.25">
      <c r="A3520">
        <v>126</v>
      </c>
      <c r="B3520" t="s">
        <v>258</v>
      </c>
      <c r="C3520">
        <v>10</v>
      </c>
      <c r="D3520">
        <v>0</v>
      </c>
      <c r="E3520">
        <v>0</v>
      </c>
      <c r="F3520">
        <v>83.54</v>
      </c>
      <c r="G3520">
        <v>51947.7</v>
      </c>
      <c r="H3520" s="14">
        <v>43768.833333333336</v>
      </c>
    </row>
    <row r="3521" spans="1:8" x14ac:dyDescent="0.25">
      <c r="A3521">
        <v>126</v>
      </c>
      <c r="B3521" t="s">
        <v>258</v>
      </c>
      <c r="C3521">
        <v>11</v>
      </c>
      <c r="D3521">
        <v>0</v>
      </c>
      <c r="E3521">
        <v>0</v>
      </c>
      <c r="F3521">
        <v>103.51</v>
      </c>
      <c r="G3521">
        <v>55958.48</v>
      </c>
      <c r="H3521" s="14">
        <v>43768.833333333336</v>
      </c>
    </row>
    <row r="3522" spans="1:8" x14ac:dyDescent="0.25">
      <c r="A3522">
        <v>126</v>
      </c>
      <c r="B3522" t="s">
        <v>258</v>
      </c>
      <c r="C3522">
        <v>12</v>
      </c>
      <c r="D3522">
        <v>0</v>
      </c>
      <c r="E3522">
        <v>0</v>
      </c>
      <c r="F3522">
        <v>119.22</v>
      </c>
      <c r="G3522">
        <v>63194.03</v>
      </c>
      <c r="H3522" s="14">
        <v>43768.833333333336</v>
      </c>
    </row>
    <row r="3523" spans="1:8" x14ac:dyDescent="0.25">
      <c r="A3523">
        <v>126</v>
      </c>
      <c r="B3523" t="s">
        <v>258</v>
      </c>
      <c r="C3523">
        <v>13</v>
      </c>
      <c r="D3523">
        <v>0</v>
      </c>
      <c r="E3523">
        <v>0</v>
      </c>
      <c r="F3523">
        <v>111.6</v>
      </c>
      <c r="G3523">
        <v>54923.75</v>
      </c>
      <c r="H3523" s="14">
        <v>43768.833333333336</v>
      </c>
    </row>
    <row r="3524" spans="1:8" x14ac:dyDescent="0.25">
      <c r="A3524">
        <v>126</v>
      </c>
      <c r="B3524" t="s">
        <v>258</v>
      </c>
      <c r="C3524">
        <v>14</v>
      </c>
      <c r="D3524">
        <v>0</v>
      </c>
      <c r="E3524">
        <v>0</v>
      </c>
      <c r="F3524">
        <v>83.23</v>
      </c>
      <c r="G3524">
        <v>40704.870000000003</v>
      </c>
      <c r="H3524" s="14">
        <v>43768.833333333336</v>
      </c>
    </row>
    <row r="3525" spans="1:8" x14ac:dyDescent="0.25">
      <c r="A3525">
        <v>126</v>
      </c>
      <c r="B3525" t="s">
        <v>258</v>
      </c>
      <c r="C3525">
        <v>15</v>
      </c>
      <c r="D3525">
        <v>0</v>
      </c>
      <c r="E3525">
        <v>0</v>
      </c>
      <c r="F3525">
        <v>70.87</v>
      </c>
      <c r="G3525">
        <v>32544.240000000002</v>
      </c>
      <c r="H3525" s="14">
        <v>43768.833333333336</v>
      </c>
    </row>
    <row r="3526" spans="1:8" x14ac:dyDescent="0.25">
      <c r="A3526">
        <v>127</v>
      </c>
      <c r="B3526" t="s">
        <v>259</v>
      </c>
      <c r="C3526">
        <v>1</v>
      </c>
      <c r="D3526">
        <v>0</v>
      </c>
      <c r="E3526">
        <v>0</v>
      </c>
      <c r="F3526">
        <v>95.64</v>
      </c>
      <c r="G3526">
        <v>66316.42</v>
      </c>
      <c r="H3526" s="14">
        <v>43768.833333333336</v>
      </c>
    </row>
    <row r="3527" spans="1:8" x14ac:dyDescent="0.25">
      <c r="A3527">
        <v>127</v>
      </c>
      <c r="B3527" t="s">
        <v>259</v>
      </c>
      <c r="C3527">
        <v>2</v>
      </c>
      <c r="D3527">
        <v>0</v>
      </c>
      <c r="E3527">
        <v>0</v>
      </c>
      <c r="F3527">
        <v>98.04</v>
      </c>
      <c r="G3527">
        <v>16926.96</v>
      </c>
      <c r="H3527" s="14">
        <v>43768.833333333336</v>
      </c>
    </row>
    <row r="3528" spans="1:8" x14ac:dyDescent="0.25">
      <c r="A3528">
        <v>127</v>
      </c>
      <c r="B3528" t="s">
        <v>259</v>
      </c>
      <c r="C3528">
        <v>3</v>
      </c>
      <c r="D3528">
        <v>0</v>
      </c>
      <c r="E3528">
        <v>0</v>
      </c>
      <c r="F3528">
        <v>62.61</v>
      </c>
      <c r="G3528">
        <v>2880.33</v>
      </c>
      <c r="H3528" s="14">
        <v>43768.833333333336</v>
      </c>
    </row>
    <row r="3529" spans="1:8" x14ac:dyDescent="0.25">
      <c r="A3529">
        <v>127</v>
      </c>
      <c r="B3529" t="s">
        <v>259</v>
      </c>
      <c r="C3529">
        <v>4</v>
      </c>
      <c r="D3529">
        <v>0</v>
      </c>
      <c r="E3529">
        <v>0</v>
      </c>
      <c r="F3529">
        <v>82.92</v>
      </c>
      <c r="G3529">
        <v>60743.23</v>
      </c>
      <c r="H3529" s="14">
        <v>43768.833333333336</v>
      </c>
    </row>
    <row r="3530" spans="1:8" x14ac:dyDescent="0.25">
      <c r="A3530">
        <v>127</v>
      </c>
      <c r="B3530" t="s">
        <v>259</v>
      </c>
      <c r="C3530">
        <v>5</v>
      </c>
      <c r="D3530">
        <v>0</v>
      </c>
      <c r="E3530">
        <v>0</v>
      </c>
      <c r="F3530">
        <v>97.36</v>
      </c>
      <c r="G3530">
        <v>66408.259999999995</v>
      </c>
      <c r="H3530" s="14">
        <v>43768.833333333336</v>
      </c>
    </row>
    <row r="3531" spans="1:8" x14ac:dyDescent="0.25">
      <c r="A3531">
        <v>127</v>
      </c>
      <c r="B3531" t="s">
        <v>259</v>
      </c>
      <c r="C3531">
        <v>6</v>
      </c>
      <c r="D3531">
        <v>0</v>
      </c>
      <c r="E3531">
        <v>0</v>
      </c>
      <c r="F3531">
        <v>98.54</v>
      </c>
      <c r="G3531">
        <v>67416.11</v>
      </c>
      <c r="H3531" s="14">
        <v>43768.833333333336</v>
      </c>
    </row>
    <row r="3532" spans="1:8" x14ac:dyDescent="0.25">
      <c r="A3532">
        <v>127</v>
      </c>
      <c r="B3532" t="s">
        <v>259</v>
      </c>
      <c r="C3532">
        <v>7</v>
      </c>
      <c r="D3532">
        <v>0</v>
      </c>
      <c r="E3532">
        <v>0</v>
      </c>
      <c r="F3532">
        <v>79.56</v>
      </c>
      <c r="G3532">
        <v>59406.17</v>
      </c>
      <c r="H3532" s="14">
        <v>43768.833333333336</v>
      </c>
    </row>
    <row r="3533" spans="1:8" x14ac:dyDescent="0.25">
      <c r="A3533">
        <v>127</v>
      </c>
      <c r="B3533" t="s">
        <v>259</v>
      </c>
      <c r="C3533">
        <v>8</v>
      </c>
      <c r="D3533">
        <v>0</v>
      </c>
      <c r="E3533">
        <v>0</v>
      </c>
      <c r="F3533">
        <v>79.06</v>
      </c>
      <c r="G3533">
        <v>58638.27</v>
      </c>
      <c r="H3533" s="14">
        <v>43768.833333333336</v>
      </c>
    </row>
    <row r="3534" spans="1:8" x14ac:dyDescent="0.25">
      <c r="A3534">
        <v>127</v>
      </c>
      <c r="B3534" t="s">
        <v>259</v>
      </c>
      <c r="C3534">
        <v>9</v>
      </c>
      <c r="D3534">
        <v>0</v>
      </c>
      <c r="E3534">
        <v>0</v>
      </c>
      <c r="F3534">
        <v>96.08</v>
      </c>
      <c r="G3534">
        <v>65898.490000000005</v>
      </c>
      <c r="H3534" s="14">
        <v>43768.833333333336</v>
      </c>
    </row>
    <row r="3535" spans="1:8" x14ac:dyDescent="0.25">
      <c r="A3535">
        <v>127</v>
      </c>
      <c r="B3535" t="s">
        <v>259</v>
      </c>
      <c r="C3535">
        <v>10</v>
      </c>
      <c r="D3535">
        <v>0</v>
      </c>
      <c r="E3535">
        <v>0</v>
      </c>
      <c r="F3535">
        <v>95.26</v>
      </c>
      <c r="G3535">
        <v>65230.64</v>
      </c>
      <c r="H3535" s="14">
        <v>43768.833333333336</v>
      </c>
    </row>
    <row r="3536" spans="1:8" x14ac:dyDescent="0.25">
      <c r="A3536">
        <v>127</v>
      </c>
      <c r="B3536" t="s">
        <v>259</v>
      </c>
      <c r="C3536">
        <v>11</v>
      </c>
      <c r="D3536">
        <v>0</v>
      </c>
      <c r="E3536">
        <v>0</v>
      </c>
      <c r="F3536">
        <v>79.849999999999994</v>
      </c>
      <c r="G3536">
        <v>59162.06</v>
      </c>
      <c r="H3536" s="14">
        <v>43768.833333333336</v>
      </c>
    </row>
    <row r="3537" spans="1:8" x14ac:dyDescent="0.25">
      <c r="A3537">
        <v>127</v>
      </c>
      <c r="B3537" t="s">
        <v>259</v>
      </c>
      <c r="C3537">
        <v>12</v>
      </c>
      <c r="D3537">
        <v>0</v>
      </c>
      <c r="E3537">
        <v>0</v>
      </c>
      <c r="F3537">
        <v>72.59</v>
      </c>
      <c r="G3537">
        <v>53346.51</v>
      </c>
      <c r="H3537" s="14">
        <v>43768.833333333336</v>
      </c>
    </row>
    <row r="3538" spans="1:8" x14ac:dyDescent="0.25">
      <c r="A3538">
        <v>127</v>
      </c>
      <c r="B3538" t="s">
        <v>259</v>
      </c>
      <c r="C3538">
        <v>13</v>
      </c>
      <c r="D3538">
        <v>0</v>
      </c>
      <c r="E3538">
        <v>0</v>
      </c>
      <c r="F3538">
        <v>63.55</v>
      </c>
      <c r="G3538">
        <v>42285.15</v>
      </c>
      <c r="H3538" s="14">
        <v>43768.833333333336</v>
      </c>
    </row>
    <row r="3539" spans="1:8" x14ac:dyDescent="0.25">
      <c r="A3539">
        <v>127</v>
      </c>
      <c r="B3539" t="s">
        <v>259</v>
      </c>
      <c r="C3539">
        <v>14</v>
      </c>
      <c r="D3539">
        <v>0</v>
      </c>
      <c r="E3539">
        <v>0</v>
      </c>
      <c r="F3539">
        <v>51.67</v>
      </c>
      <c r="G3539">
        <v>37892.83</v>
      </c>
      <c r="H3539" s="14">
        <v>43768.833333333336</v>
      </c>
    </row>
    <row r="3540" spans="1:8" x14ac:dyDescent="0.25">
      <c r="A3540">
        <v>128</v>
      </c>
      <c r="B3540" t="s">
        <v>261</v>
      </c>
      <c r="C3540">
        <v>1</v>
      </c>
      <c r="D3540">
        <v>0</v>
      </c>
      <c r="E3540">
        <v>0</v>
      </c>
      <c r="F3540">
        <v>83.99</v>
      </c>
      <c r="G3540">
        <v>60924.34</v>
      </c>
      <c r="H3540" s="14">
        <v>43768.833333333336</v>
      </c>
    </row>
    <row r="3541" spans="1:8" x14ac:dyDescent="0.25">
      <c r="A3541">
        <v>128</v>
      </c>
      <c r="B3541" t="s">
        <v>261</v>
      </c>
      <c r="C3541">
        <v>2</v>
      </c>
      <c r="D3541">
        <v>0</v>
      </c>
      <c r="E3541">
        <v>0</v>
      </c>
      <c r="F3541">
        <v>85.8</v>
      </c>
      <c r="G3541">
        <v>62306.55</v>
      </c>
      <c r="H3541" s="14">
        <v>43768.833333333336</v>
      </c>
    </row>
    <row r="3542" spans="1:8" x14ac:dyDescent="0.25">
      <c r="A3542">
        <v>128</v>
      </c>
      <c r="B3542" t="s">
        <v>261</v>
      </c>
      <c r="C3542">
        <v>3</v>
      </c>
      <c r="D3542">
        <v>0</v>
      </c>
      <c r="E3542">
        <v>0</v>
      </c>
      <c r="F3542">
        <v>84</v>
      </c>
      <c r="G3542">
        <v>61598.09</v>
      </c>
      <c r="H3542" s="14">
        <v>43768.833333333336</v>
      </c>
    </row>
    <row r="3543" spans="1:8" x14ac:dyDescent="0.25">
      <c r="A3543">
        <v>128</v>
      </c>
      <c r="B3543" t="s">
        <v>261</v>
      </c>
      <c r="C3543">
        <v>4</v>
      </c>
      <c r="D3543">
        <v>0</v>
      </c>
      <c r="E3543">
        <v>0</v>
      </c>
      <c r="F3543">
        <v>91.51</v>
      </c>
      <c r="G3543">
        <v>66891.67</v>
      </c>
      <c r="H3543" s="14">
        <v>43768.833333333336</v>
      </c>
    </row>
    <row r="3544" spans="1:8" x14ac:dyDescent="0.25">
      <c r="A3544">
        <v>128</v>
      </c>
      <c r="B3544" t="s">
        <v>261</v>
      </c>
      <c r="C3544">
        <v>5</v>
      </c>
      <c r="D3544">
        <v>0</v>
      </c>
      <c r="E3544">
        <v>0</v>
      </c>
      <c r="F3544">
        <v>93.97</v>
      </c>
      <c r="G3544">
        <v>65774.19</v>
      </c>
      <c r="H3544" s="14">
        <v>43768.833333333336</v>
      </c>
    </row>
    <row r="3545" spans="1:8" x14ac:dyDescent="0.25">
      <c r="A3545">
        <v>128</v>
      </c>
      <c r="B3545" t="s">
        <v>261</v>
      </c>
      <c r="C3545">
        <v>6</v>
      </c>
      <c r="D3545">
        <v>0</v>
      </c>
      <c r="E3545">
        <v>0</v>
      </c>
      <c r="F3545">
        <v>93.95</v>
      </c>
      <c r="G3545">
        <v>66025.16</v>
      </c>
      <c r="H3545" s="14">
        <v>43768.833333333336</v>
      </c>
    </row>
    <row r="3546" spans="1:8" x14ac:dyDescent="0.25">
      <c r="A3546">
        <v>128</v>
      </c>
      <c r="B3546" t="s">
        <v>261</v>
      </c>
      <c r="C3546">
        <v>7</v>
      </c>
      <c r="D3546">
        <v>0</v>
      </c>
      <c r="E3546">
        <v>0</v>
      </c>
      <c r="F3546">
        <v>78.790000000000006</v>
      </c>
      <c r="G3546">
        <v>64135.77</v>
      </c>
      <c r="H3546" s="14">
        <v>43768.833333333336</v>
      </c>
    </row>
    <row r="3547" spans="1:8" x14ac:dyDescent="0.25">
      <c r="A3547">
        <v>128</v>
      </c>
      <c r="B3547" t="s">
        <v>261</v>
      </c>
      <c r="C3547">
        <v>8</v>
      </c>
      <c r="D3547">
        <v>0</v>
      </c>
      <c r="E3547">
        <v>0</v>
      </c>
      <c r="F3547">
        <v>85.71</v>
      </c>
      <c r="G3547">
        <v>60461.69</v>
      </c>
      <c r="H3547" s="14">
        <v>43768.833333333336</v>
      </c>
    </row>
    <row r="3548" spans="1:8" x14ac:dyDescent="0.25">
      <c r="A3548">
        <v>128</v>
      </c>
      <c r="B3548" t="s">
        <v>261</v>
      </c>
      <c r="C3548">
        <v>9</v>
      </c>
      <c r="D3548">
        <v>0</v>
      </c>
      <c r="E3548">
        <v>0</v>
      </c>
      <c r="F3548">
        <v>50.18</v>
      </c>
      <c r="G3548">
        <v>35471.300000000003</v>
      </c>
      <c r="H3548" s="14">
        <v>43768.833333333336</v>
      </c>
    </row>
    <row r="3549" spans="1:8" x14ac:dyDescent="0.25">
      <c r="A3549">
        <v>128</v>
      </c>
      <c r="B3549" t="s">
        <v>261</v>
      </c>
      <c r="C3549">
        <v>10</v>
      </c>
      <c r="D3549">
        <v>0</v>
      </c>
      <c r="E3549">
        <v>0</v>
      </c>
      <c r="F3549">
        <v>47.34</v>
      </c>
      <c r="G3549">
        <v>35168.19</v>
      </c>
      <c r="H3549" s="14">
        <v>43768.833333333336</v>
      </c>
    </row>
    <row r="3550" spans="1:8" x14ac:dyDescent="0.25">
      <c r="A3550">
        <v>128</v>
      </c>
      <c r="B3550" t="s">
        <v>261</v>
      </c>
      <c r="C3550">
        <v>11</v>
      </c>
      <c r="D3550">
        <v>0</v>
      </c>
      <c r="E3550">
        <v>0</v>
      </c>
      <c r="F3550">
        <v>48.73</v>
      </c>
      <c r="G3550">
        <v>35902.1</v>
      </c>
      <c r="H3550" s="14">
        <v>43768.833333333336</v>
      </c>
    </row>
    <row r="3551" spans="1:8" x14ac:dyDescent="0.25">
      <c r="A3551">
        <v>128</v>
      </c>
      <c r="B3551" t="s">
        <v>261</v>
      </c>
      <c r="C3551">
        <v>12</v>
      </c>
      <c r="D3551">
        <v>0</v>
      </c>
      <c r="E3551">
        <v>0</v>
      </c>
      <c r="F3551">
        <v>44.63</v>
      </c>
      <c r="G3551">
        <v>32978.230000000003</v>
      </c>
      <c r="H3551" s="14">
        <v>43768.833333333336</v>
      </c>
    </row>
    <row r="3552" spans="1:8" x14ac:dyDescent="0.25">
      <c r="A3552">
        <v>128</v>
      </c>
      <c r="B3552" t="s">
        <v>261</v>
      </c>
      <c r="C3552">
        <v>13</v>
      </c>
      <c r="D3552">
        <v>0</v>
      </c>
      <c r="E3552">
        <v>0</v>
      </c>
      <c r="F3552">
        <v>74.209999999999994</v>
      </c>
      <c r="G3552">
        <v>54499.76</v>
      </c>
      <c r="H3552" s="14">
        <v>43768.833333333336</v>
      </c>
    </row>
    <row r="3553" spans="1:8" x14ac:dyDescent="0.25">
      <c r="A3553">
        <v>128</v>
      </c>
      <c r="B3553" t="s">
        <v>261</v>
      </c>
      <c r="C3553">
        <v>14</v>
      </c>
      <c r="D3553">
        <v>0</v>
      </c>
      <c r="E3553">
        <v>0</v>
      </c>
      <c r="F3553">
        <v>85.83</v>
      </c>
      <c r="G3553">
        <v>59738.86</v>
      </c>
      <c r="H3553" s="14">
        <v>43768.833333333336</v>
      </c>
    </row>
    <row r="3554" spans="1:8" x14ac:dyDescent="0.25">
      <c r="A3554">
        <v>128</v>
      </c>
      <c r="B3554" t="s">
        <v>261</v>
      </c>
      <c r="C3554">
        <v>15</v>
      </c>
      <c r="D3554">
        <v>0</v>
      </c>
      <c r="E3554">
        <v>0</v>
      </c>
      <c r="F3554">
        <v>89.59</v>
      </c>
      <c r="G3554">
        <v>62411.55</v>
      </c>
      <c r="H3554" s="14">
        <v>43768.833333333336</v>
      </c>
    </row>
    <row r="3555" spans="1:8" x14ac:dyDescent="0.25">
      <c r="A3555">
        <v>128</v>
      </c>
      <c r="B3555" t="s">
        <v>261</v>
      </c>
      <c r="C3555">
        <v>16</v>
      </c>
      <c r="D3555">
        <v>0</v>
      </c>
      <c r="E3555">
        <v>0</v>
      </c>
      <c r="F3555">
        <v>54.64</v>
      </c>
      <c r="G3555">
        <v>39894.089999999997</v>
      </c>
      <c r="H3555" s="14">
        <v>43768.833333333336</v>
      </c>
    </row>
    <row r="3556" spans="1:8" x14ac:dyDescent="0.25">
      <c r="A3556">
        <v>129</v>
      </c>
      <c r="B3556" t="s">
        <v>262</v>
      </c>
      <c r="C3556">
        <v>1</v>
      </c>
      <c r="D3556">
        <v>0</v>
      </c>
      <c r="E3556">
        <v>0</v>
      </c>
      <c r="F3556">
        <v>22.03</v>
      </c>
      <c r="G3556">
        <v>10970.34</v>
      </c>
      <c r="H3556" s="14">
        <v>43768.833333333336</v>
      </c>
    </row>
    <row r="3557" spans="1:8" x14ac:dyDescent="0.25">
      <c r="A3557">
        <v>129</v>
      </c>
      <c r="B3557" t="s">
        <v>262</v>
      </c>
      <c r="C3557">
        <v>2</v>
      </c>
      <c r="D3557">
        <v>0</v>
      </c>
      <c r="E3557">
        <v>0</v>
      </c>
      <c r="F3557">
        <v>23.94</v>
      </c>
      <c r="G3557">
        <v>11563.85</v>
      </c>
      <c r="H3557" s="14">
        <v>43768.833333333336</v>
      </c>
    </row>
    <row r="3558" spans="1:8" x14ac:dyDescent="0.25">
      <c r="A3558">
        <v>129</v>
      </c>
      <c r="B3558" t="s">
        <v>262</v>
      </c>
      <c r="C3558">
        <v>3</v>
      </c>
      <c r="D3558">
        <v>0</v>
      </c>
      <c r="E3558">
        <v>0</v>
      </c>
      <c r="F3558">
        <v>22.04</v>
      </c>
      <c r="G3558">
        <v>11469.26</v>
      </c>
      <c r="H3558" s="14">
        <v>43768.833333333336</v>
      </c>
    </row>
    <row r="3559" spans="1:8" x14ac:dyDescent="0.25">
      <c r="A3559">
        <v>130</v>
      </c>
      <c r="B3559" t="s">
        <v>263</v>
      </c>
      <c r="C3559">
        <v>1</v>
      </c>
      <c r="D3559">
        <v>0</v>
      </c>
      <c r="E3559">
        <v>0</v>
      </c>
      <c r="F3559">
        <v>14.46</v>
      </c>
      <c r="G3559">
        <v>7896.13</v>
      </c>
      <c r="H3559" s="14">
        <v>43768.833333333336</v>
      </c>
    </row>
    <row r="3560" spans="1:8" x14ac:dyDescent="0.25">
      <c r="A3560">
        <v>130</v>
      </c>
      <c r="B3560" t="s">
        <v>263</v>
      </c>
      <c r="C3560">
        <v>2</v>
      </c>
      <c r="D3560">
        <v>0</v>
      </c>
      <c r="E3560">
        <v>0</v>
      </c>
      <c r="F3560">
        <v>15.28</v>
      </c>
      <c r="G3560">
        <v>8289.41</v>
      </c>
      <c r="H3560" s="14">
        <v>43768.833333333336</v>
      </c>
    </row>
    <row r="3561" spans="1:8" x14ac:dyDescent="0.25">
      <c r="A3561">
        <v>130</v>
      </c>
      <c r="B3561" t="s">
        <v>263</v>
      </c>
      <c r="C3561">
        <v>3</v>
      </c>
      <c r="D3561">
        <v>0</v>
      </c>
      <c r="E3561">
        <v>0</v>
      </c>
      <c r="F3561">
        <v>15.17</v>
      </c>
      <c r="G3561">
        <v>8318.51</v>
      </c>
      <c r="H3561" s="14">
        <v>43768.833333333336</v>
      </c>
    </row>
    <row r="3562" spans="1:8" x14ac:dyDescent="0.25">
      <c r="A3562">
        <v>132</v>
      </c>
      <c r="B3562" t="s">
        <v>264</v>
      </c>
      <c r="C3562">
        <v>1</v>
      </c>
      <c r="D3562">
        <v>0</v>
      </c>
      <c r="E3562">
        <v>0</v>
      </c>
      <c r="F3562">
        <v>86.99</v>
      </c>
      <c r="G3562">
        <v>45519.3</v>
      </c>
      <c r="H3562" s="14">
        <v>43768.833333333336</v>
      </c>
    </row>
    <row r="3563" spans="1:8" x14ac:dyDescent="0.25">
      <c r="A3563">
        <v>132</v>
      </c>
      <c r="B3563" t="s">
        <v>264</v>
      </c>
      <c r="C3563">
        <v>2</v>
      </c>
      <c r="D3563">
        <v>0</v>
      </c>
      <c r="E3563">
        <v>0</v>
      </c>
      <c r="F3563">
        <v>87.26</v>
      </c>
      <c r="G3563">
        <v>42031.98</v>
      </c>
      <c r="H3563" s="14">
        <v>43768.833333333336</v>
      </c>
    </row>
    <row r="3564" spans="1:8" x14ac:dyDescent="0.25">
      <c r="A3564">
        <v>133</v>
      </c>
      <c r="B3564" t="s">
        <v>266</v>
      </c>
      <c r="C3564">
        <v>1</v>
      </c>
      <c r="D3564">
        <v>0</v>
      </c>
      <c r="E3564">
        <v>0</v>
      </c>
      <c r="F3564">
        <v>19.440000000000001</v>
      </c>
      <c r="G3564">
        <v>10164.200000000001</v>
      </c>
      <c r="H3564" s="14">
        <v>43768.833333333336</v>
      </c>
    </row>
    <row r="3565" spans="1:8" x14ac:dyDescent="0.25">
      <c r="A3565">
        <v>133</v>
      </c>
      <c r="B3565" t="s">
        <v>266</v>
      </c>
      <c r="C3565">
        <v>2</v>
      </c>
      <c r="D3565">
        <v>0</v>
      </c>
      <c r="E3565">
        <v>0</v>
      </c>
      <c r="F3565">
        <v>18.690000000000001</v>
      </c>
      <c r="G3565">
        <v>10374.379999999999</v>
      </c>
      <c r="H3565" s="14">
        <v>43768.833333333336</v>
      </c>
    </row>
    <row r="3566" spans="1:8" x14ac:dyDescent="0.25">
      <c r="A3566">
        <v>133</v>
      </c>
      <c r="B3566" t="s">
        <v>266</v>
      </c>
      <c r="C3566">
        <v>3</v>
      </c>
      <c r="D3566">
        <v>0</v>
      </c>
      <c r="E3566">
        <v>0</v>
      </c>
      <c r="F3566">
        <v>21.6</v>
      </c>
      <c r="G3566">
        <v>10925.14</v>
      </c>
      <c r="H3566" s="14">
        <v>43768.833333333336</v>
      </c>
    </row>
    <row r="3567" spans="1:8" x14ac:dyDescent="0.25">
      <c r="A3567">
        <v>133</v>
      </c>
      <c r="B3567" t="s">
        <v>266</v>
      </c>
      <c r="C3567">
        <v>4</v>
      </c>
      <c r="D3567">
        <v>0</v>
      </c>
      <c r="E3567">
        <v>0</v>
      </c>
      <c r="F3567">
        <v>19.53</v>
      </c>
      <c r="G3567">
        <v>11002.43</v>
      </c>
      <c r="H3567" s="14">
        <v>43768.833333333336</v>
      </c>
    </row>
    <row r="3568" spans="1:8" x14ac:dyDescent="0.25">
      <c r="A3568">
        <v>133</v>
      </c>
      <c r="B3568" t="s">
        <v>266</v>
      </c>
      <c r="C3568">
        <v>5</v>
      </c>
      <c r="D3568">
        <v>0</v>
      </c>
      <c r="E3568">
        <v>0</v>
      </c>
      <c r="F3568">
        <v>21.56</v>
      </c>
      <c r="G3568">
        <v>10939.28</v>
      </c>
      <c r="H3568" s="14">
        <v>43768.833333333336</v>
      </c>
    </row>
    <row r="3569" spans="1:8" x14ac:dyDescent="0.25">
      <c r="A3569">
        <v>133</v>
      </c>
      <c r="B3569" t="s">
        <v>266</v>
      </c>
      <c r="C3569">
        <v>6</v>
      </c>
      <c r="D3569">
        <v>0</v>
      </c>
      <c r="E3569">
        <v>0</v>
      </c>
      <c r="F3569">
        <v>20.03</v>
      </c>
      <c r="G3569">
        <v>11181.35</v>
      </c>
      <c r="H3569" s="14">
        <v>43768.833333333336</v>
      </c>
    </row>
    <row r="3570" spans="1:8" x14ac:dyDescent="0.25">
      <c r="A3570">
        <v>133</v>
      </c>
      <c r="B3570" t="s">
        <v>266</v>
      </c>
      <c r="C3570">
        <v>7</v>
      </c>
      <c r="D3570">
        <v>0</v>
      </c>
      <c r="E3570">
        <v>0</v>
      </c>
      <c r="F3570">
        <v>22.12</v>
      </c>
      <c r="G3570">
        <v>11302.71</v>
      </c>
      <c r="H3570" s="14">
        <v>43768.833333333336</v>
      </c>
    </row>
    <row r="3571" spans="1:8" x14ac:dyDescent="0.25">
      <c r="A3571">
        <v>133</v>
      </c>
      <c r="B3571" t="s">
        <v>266</v>
      </c>
      <c r="C3571">
        <v>8</v>
      </c>
      <c r="D3571">
        <v>0</v>
      </c>
      <c r="E3571">
        <v>0</v>
      </c>
      <c r="F3571">
        <v>22.48</v>
      </c>
      <c r="G3571">
        <v>11445.19</v>
      </c>
      <c r="H3571" s="14">
        <v>43768.833333333336</v>
      </c>
    </row>
    <row r="3572" spans="1:8" x14ac:dyDescent="0.25">
      <c r="A3572">
        <v>133</v>
      </c>
      <c r="B3572" t="s">
        <v>266</v>
      </c>
      <c r="C3572">
        <v>9</v>
      </c>
      <c r="D3572">
        <v>0</v>
      </c>
      <c r="E3572">
        <v>0</v>
      </c>
      <c r="F3572">
        <v>19.82</v>
      </c>
      <c r="G3572">
        <v>10887.65</v>
      </c>
      <c r="H3572" s="14">
        <v>43768.833333333336</v>
      </c>
    </row>
    <row r="3573" spans="1:8" x14ac:dyDescent="0.25">
      <c r="A3573">
        <v>133</v>
      </c>
      <c r="B3573" t="s">
        <v>266</v>
      </c>
      <c r="C3573">
        <v>10</v>
      </c>
      <c r="D3573">
        <v>0</v>
      </c>
      <c r="E3573">
        <v>0</v>
      </c>
      <c r="F3573">
        <v>22.09</v>
      </c>
      <c r="G3573">
        <v>11046.9</v>
      </c>
      <c r="H3573" s="14">
        <v>43768.833333333336</v>
      </c>
    </row>
    <row r="3574" spans="1:8" x14ac:dyDescent="0.25">
      <c r="A3574">
        <v>133</v>
      </c>
      <c r="B3574" t="s">
        <v>266</v>
      </c>
      <c r="C3574">
        <v>11</v>
      </c>
      <c r="D3574">
        <v>0</v>
      </c>
      <c r="E3574">
        <v>0</v>
      </c>
      <c r="F3574">
        <v>19.38</v>
      </c>
      <c r="G3574">
        <v>10861.46</v>
      </c>
      <c r="H3574" s="14">
        <v>43768.833333333336</v>
      </c>
    </row>
    <row r="3575" spans="1:8" x14ac:dyDescent="0.25">
      <c r="A3575">
        <v>133</v>
      </c>
      <c r="B3575" t="s">
        <v>266</v>
      </c>
      <c r="C3575">
        <v>12</v>
      </c>
      <c r="D3575">
        <v>0</v>
      </c>
      <c r="E3575">
        <v>0</v>
      </c>
      <c r="F3575">
        <v>21.51</v>
      </c>
      <c r="G3575">
        <v>10904.04</v>
      </c>
      <c r="H3575" s="14">
        <v>43768.833333333336</v>
      </c>
    </row>
    <row r="3576" spans="1:8" x14ac:dyDescent="0.25">
      <c r="A3576">
        <v>134</v>
      </c>
      <c r="B3576" t="s">
        <v>267</v>
      </c>
      <c r="C3576">
        <v>1</v>
      </c>
      <c r="D3576">
        <v>0</v>
      </c>
      <c r="E3576">
        <v>0</v>
      </c>
      <c r="F3576">
        <v>23.41</v>
      </c>
      <c r="G3576">
        <v>11284.78</v>
      </c>
      <c r="H3576" s="14">
        <v>43768.833333333336</v>
      </c>
    </row>
    <row r="3577" spans="1:8" x14ac:dyDescent="0.25">
      <c r="A3577">
        <v>134</v>
      </c>
      <c r="B3577" t="s">
        <v>267</v>
      </c>
      <c r="C3577">
        <v>2</v>
      </c>
      <c r="D3577">
        <v>0</v>
      </c>
      <c r="E3577">
        <v>0</v>
      </c>
      <c r="F3577">
        <v>23.35</v>
      </c>
      <c r="G3577">
        <v>11273.73</v>
      </c>
      <c r="H3577" s="14">
        <v>43768.833333333336</v>
      </c>
    </row>
    <row r="3578" spans="1:8" x14ac:dyDescent="0.25">
      <c r="A3578">
        <v>134</v>
      </c>
      <c r="B3578" t="s">
        <v>267</v>
      </c>
      <c r="C3578">
        <v>3</v>
      </c>
      <c r="D3578">
        <v>0</v>
      </c>
      <c r="E3578">
        <v>0</v>
      </c>
      <c r="F3578">
        <v>23.33</v>
      </c>
      <c r="G3578">
        <v>11196.08</v>
      </c>
      <c r="H3578" s="14">
        <v>43768.833333333336</v>
      </c>
    </row>
    <row r="3579" spans="1:8" x14ac:dyDescent="0.25">
      <c r="A3579">
        <v>134</v>
      </c>
      <c r="B3579" t="s">
        <v>267</v>
      </c>
      <c r="C3579">
        <v>4</v>
      </c>
      <c r="D3579">
        <v>0</v>
      </c>
      <c r="E3579">
        <v>0</v>
      </c>
      <c r="F3579">
        <v>9.7100000000000009</v>
      </c>
      <c r="G3579">
        <v>7034.28</v>
      </c>
      <c r="H3579" s="14">
        <v>43768.833333333336</v>
      </c>
    </row>
    <row r="3580" spans="1:8" x14ac:dyDescent="0.25">
      <c r="A3580">
        <v>134</v>
      </c>
      <c r="B3580" t="s">
        <v>267</v>
      </c>
      <c r="C3580">
        <v>5</v>
      </c>
      <c r="D3580">
        <v>0</v>
      </c>
      <c r="E3580">
        <v>0</v>
      </c>
      <c r="F3580">
        <v>8.8699999999999992</v>
      </c>
      <c r="G3580">
        <v>6888.98</v>
      </c>
      <c r="H3580" s="14">
        <v>43768.833333333336</v>
      </c>
    </row>
    <row r="3581" spans="1:8" x14ac:dyDescent="0.25">
      <c r="A3581">
        <v>134</v>
      </c>
      <c r="B3581" t="s">
        <v>267</v>
      </c>
      <c r="C3581">
        <v>6</v>
      </c>
      <c r="D3581">
        <v>0</v>
      </c>
      <c r="E3581">
        <v>0</v>
      </c>
      <c r="F3581">
        <v>9.5299999999999994</v>
      </c>
      <c r="G3581">
        <v>6973.98</v>
      </c>
      <c r="H3581" s="14">
        <v>43768.833333333336</v>
      </c>
    </row>
    <row r="3582" spans="1:8" x14ac:dyDescent="0.25">
      <c r="A3582">
        <v>135</v>
      </c>
      <c r="B3582" t="s">
        <v>268</v>
      </c>
      <c r="C3582">
        <v>1</v>
      </c>
      <c r="D3582">
        <v>0</v>
      </c>
      <c r="E3582">
        <v>0</v>
      </c>
      <c r="F3582">
        <v>111.73</v>
      </c>
      <c r="G3582">
        <v>66830.58</v>
      </c>
      <c r="H3582" s="14">
        <v>43768.833333333336</v>
      </c>
    </row>
    <row r="3583" spans="1:8" x14ac:dyDescent="0.25">
      <c r="A3583">
        <v>135</v>
      </c>
      <c r="B3583" t="s">
        <v>268</v>
      </c>
      <c r="C3583">
        <v>2</v>
      </c>
      <c r="D3583">
        <v>0</v>
      </c>
      <c r="E3583">
        <v>0</v>
      </c>
      <c r="F3583">
        <v>129.93</v>
      </c>
      <c r="G3583">
        <v>67521.58</v>
      </c>
      <c r="H3583" s="14">
        <v>43768.833333333336</v>
      </c>
    </row>
    <row r="3584" spans="1:8" x14ac:dyDescent="0.25">
      <c r="A3584">
        <v>135</v>
      </c>
      <c r="B3584" t="s">
        <v>268</v>
      </c>
      <c r="C3584">
        <v>3</v>
      </c>
      <c r="D3584">
        <v>0</v>
      </c>
      <c r="E3584">
        <v>0</v>
      </c>
      <c r="F3584">
        <v>74.930000000000007</v>
      </c>
      <c r="G3584">
        <v>41511.83</v>
      </c>
      <c r="H3584" s="14">
        <v>43768.833333333336</v>
      </c>
    </row>
    <row r="3585" spans="1:8" x14ac:dyDescent="0.25">
      <c r="A3585">
        <v>135</v>
      </c>
      <c r="B3585" t="s">
        <v>268</v>
      </c>
      <c r="C3585">
        <v>4</v>
      </c>
      <c r="D3585">
        <v>0</v>
      </c>
      <c r="E3585">
        <v>0</v>
      </c>
      <c r="F3585">
        <v>81.05</v>
      </c>
      <c r="G3585">
        <v>42913.46</v>
      </c>
      <c r="H3585" s="14">
        <v>43768.833333333336</v>
      </c>
    </row>
    <row r="3586" spans="1:8" x14ac:dyDescent="0.25">
      <c r="A3586">
        <v>135</v>
      </c>
      <c r="B3586" t="s">
        <v>268</v>
      </c>
      <c r="C3586">
        <v>5</v>
      </c>
      <c r="D3586">
        <v>0</v>
      </c>
      <c r="E3586">
        <v>0</v>
      </c>
      <c r="F3586">
        <v>77.31</v>
      </c>
      <c r="G3586">
        <v>40218.019999999997</v>
      </c>
      <c r="H3586" s="14">
        <v>43768.833333333336</v>
      </c>
    </row>
    <row r="3587" spans="1:8" x14ac:dyDescent="0.25">
      <c r="A3587">
        <v>136</v>
      </c>
      <c r="B3587" t="s">
        <v>269</v>
      </c>
      <c r="C3587">
        <v>1</v>
      </c>
      <c r="D3587">
        <v>0</v>
      </c>
      <c r="E3587">
        <v>0</v>
      </c>
      <c r="F3587">
        <v>19.66</v>
      </c>
      <c r="G3587">
        <v>9272.82</v>
      </c>
      <c r="H3587" s="14">
        <v>43768.833333333336</v>
      </c>
    </row>
    <row r="3588" spans="1:8" x14ac:dyDescent="0.25">
      <c r="A3588">
        <v>136</v>
      </c>
      <c r="B3588" t="s">
        <v>269</v>
      </c>
      <c r="C3588">
        <v>2</v>
      </c>
      <c r="D3588">
        <v>0</v>
      </c>
      <c r="E3588">
        <v>0</v>
      </c>
      <c r="F3588">
        <v>19.440000000000001</v>
      </c>
      <c r="G3588">
        <v>9182.9699999999993</v>
      </c>
      <c r="H3588" s="14">
        <v>43768.833333333336</v>
      </c>
    </row>
    <row r="3589" spans="1:8" x14ac:dyDescent="0.25">
      <c r="A3589">
        <v>136</v>
      </c>
      <c r="B3589" t="s">
        <v>269</v>
      </c>
      <c r="C3589">
        <v>3</v>
      </c>
      <c r="D3589">
        <v>0</v>
      </c>
      <c r="E3589">
        <v>0</v>
      </c>
      <c r="F3589">
        <v>19.53</v>
      </c>
      <c r="G3589">
        <v>9192.8700000000008</v>
      </c>
      <c r="H3589" s="14">
        <v>43768.833333333336</v>
      </c>
    </row>
    <row r="3590" spans="1:8" x14ac:dyDescent="0.25">
      <c r="A3590">
        <v>136</v>
      </c>
      <c r="B3590" t="s">
        <v>269</v>
      </c>
      <c r="C3590">
        <v>4</v>
      </c>
      <c r="D3590">
        <v>0</v>
      </c>
      <c r="E3590">
        <v>0</v>
      </c>
      <c r="F3590">
        <v>19.55</v>
      </c>
      <c r="G3590">
        <v>9202.43</v>
      </c>
      <c r="H3590" s="14">
        <v>43768.833333333336</v>
      </c>
    </row>
    <row r="3591" spans="1:8" x14ac:dyDescent="0.25">
      <c r="A3591">
        <v>136</v>
      </c>
      <c r="B3591" t="s">
        <v>269</v>
      </c>
      <c r="C3591">
        <v>5</v>
      </c>
      <c r="D3591">
        <v>0</v>
      </c>
      <c r="E3591">
        <v>0</v>
      </c>
      <c r="F3591">
        <v>19.37</v>
      </c>
      <c r="G3591">
        <v>9120.59</v>
      </c>
      <c r="H3591" s="14">
        <v>43768.833333333336</v>
      </c>
    </row>
    <row r="3592" spans="1:8" x14ac:dyDescent="0.25">
      <c r="A3592">
        <v>136</v>
      </c>
      <c r="B3592" t="s">
        <v>269</v>
      </c>
      <c r="C3592">
        <v>6</v>
      </c>
      <c r="D3592">
        <v>0</v>
      </c>
      <c r="E3592">
        <v>0</v>
      </c>
      <c r="F3592">
        <v>19.46</v>
      </c>
      <c r="G3592">
        <v>9175.5300000000007</v>
      </c>
      <c r="H3592" s="14">
        <v>43768.833333333336</v>
      </c>
    </row>
    <row r="3593" spans="1:8" x14ac:dyDescent="0.25">
      <c r="A3593">
        <v>136</v>
      </c>
      <c r="B3593" t="s">
        <v>269</v>
      </c>
      <c r="C3593">
        <v>7</v>
      </c>
      <c r="D3593">
        <v>0</v>
      </c>
      <c r="E3593">
        <v>0</v>
      </c>
      <c r="F3593">
        <v>19.47</v>
      </c>
      <c r="G3593">
        <v>9181.18</v>
      </c>
      <c r="H3593" s="14">
        <v>43768.833333333336</v>
      </c>
    </row>
    <row r="3594" spans="1:8" x14ac:dyDescent="0.25">
      <c r="A3594">
        <v>136</v>
      </c>
      <c r="B3594" t="s">
        <v>269</v>
      </c>
      <c r="C3594">
        <v>8</v>
      </c>
      <c r="D3594">
        <v>0</v>
      </c>
      <c r="E3594">
        <v>0</v>
      </c>
      <c r="F3594">
        <v>19.3</v>
      </c>
      <c r="G3594">
        <v>9050.84</v>
      </c>
      <c r="H3594" s="14">
        <v>43768.833333333336</v>
      </c>
    </row>
    <row r="3595" spans="1:8" x14ac:dyDescent="0.25">
      <c r="A3595">
        <v>136</v>
      </c>
      <c r="B3595" t="s">
        <v>269</v>
      </c>
      <c r="C3595">
        <v>9</v>
      </c>
      <c r="D3595">
        <v>0</v>
      </c>
      <c r="E3595">
        <v>0</v>
      </c>
      <c r="F3595">
        <v>19.29</v>
      </c>
      <c r="G3595">
        <v>9031.7099999999991</v>
      </c>
      <c r="H3595" s="14">
        <v>43768.833333333336</v>
      </c>
    </row>
    <row r="3596" spans="1:8" x14ac:dyDescent="0.25">
      <c r="A3596">
        <v>136</v>
      </c>
      <c r="B3596" t="s">
        <v>269</v>
      </c>
      <c r="C3596">
        <v>10</v>
      </c>
      <c r="D3596">
        <v>0</v>
      </c>
      <c r="E3596">
        <v>0</v>
      </c>
      <c r="F3596">
        <v>16.96</v>
      </c>
      <c r="G3596">
        <v>8165.58</v>
      </c>
      <c r="H3596" s="14">
        <v>43768.833333333336</v>
      </c>
    </row>
    <row r="3597" spans="1:8" x14ac:dyDescent="0.25">
      <c r="A3597">
        <v>136</v>
      </c>
      <c r="B3597" t="s">
        <v>269</v>
      </c>
      <c r="C3597">
        <v>11</v>
      </c>
      <c r="D3597">
        <v>0</v>
      </c>
      <c r="E3597">
        <v>0</v>
      </c>
      <c r="F3597">
        <v>16.96</v>
      </c>
      <c r="G3597">
        <v>8211.1</v>
      </c>
      <c r="H3597" s="14">
        <v>43768.833333333336</v>
      </c>
    </row>
    <row r="3598" spans="1:8" x14ac:dyDescent="0.25">
      <c r="A3598">
        <v>136</v>
      </c>
      <c r="B3598" t="s">
        <v>269</v>
      </c>
      <c r="C3598">
        <v>12</v>
      </c>
      <c r="D3598">
        <v>0</v>
      </c>
      <c r="E3598">
        <v>0</v>
      </c>
      <c r="F3598">
        <v>16.920000000000002</v>
      </c>
      <c r="G3598">
        <v>8227.34</v>
      </c>
      <c r="H3598" s="14">
        <v>43768.833333333336</v>
      </c>
    </row>
    <row r="3599" spans="1:8" x14ac:dyDescent="0.25">
      <c r="A3599">
        <v>136</v>
      </c>
      <c r="B3599" t="s">
        <v>269</v>
      </c>
      <c r="C3599">
        <v>13</v>
      </c>
      <c r="D3599">
        <v>0</v>
      </c>
      <c r="E3599">
        <v>0</v>
      </c>
      <c r="F3599">
        <v>16.98</v>
      </c>
      <c r="G3599">
        <v>8155.32</v>
      </c>
      <c r="H3599" s="14">
        <v>43768.833333333336</v>
      </c>
    </row>
    <row r="3600" spans="1:8" x14ac:dyDescent="0.25">
      <c r="A3600">
        <v>136</v>
      </c>
      <c r="B3600" t="s">
        <v>269</v>
      </c>
      <c r="C3600">
        <v>14</v>
      </c>
      <c r="D3600">
        <v>0</v>
      </c>
      <c r="E3600">
        <v>0</v>
      </c>
      <c r="F3600">
        <v>17.13</v>
      </c>
      <c r="G3600">
        <v>8279.49</v>
      </c>
      <c r="H3600" s="14">
        <v>43768.833333333336</v>
      </c>
    </row>
    <row r="3601" spans="1:8" x14ac:dyDescent="0.25">
      <c r="A3601">
        <v>136</v>
      </c>
      <c r="B3601" t="s">
        <v>269</v>
      </c>
      <c r="C3601">
        <v>15</v>
      </c>
      <c r="D3601">
        <v>0</v>
      </c>
      <c r="E3601">
        <v>0</v>
      </c>
      <c r="F3601">
        <v>17.14</v>
      </c>
      <c r="G3601">
        <v>8310.4699999999993</v>
      </c>
      <c r="H3601" s="14">
        <v>43768.833333333336</v>
      </c>
    </row>
    <row r="3602" spans="1:8" x14ac:dyDescent="0.25">
      <c r="A3602">
        <v>136</v>
      </c>
      <c r="B3602" t="s">
        <v>269</v>
      </c>
      <c r="C3602">
        <v>16</v>
      </c>
      <c r="D3602">
        <v>0</v>
      </c>
      <c r="E3602">
        <v>0</v>
      </c>
      <c r="F3602">
        <v>17.149999999999999</v>
      </c>
      <c r="G3602">
        <v>8229.51</v>
      </c>
      <c r="H3602" s="14">
        <v>43768.833333333336</v>
      </c>
    </row>
    <row r="3603" spans="1:8" x14ac:dyDescent="0.25">
      <c r="A3603">
        <v>136</v>
      </c>
      <c r="B3603" t="s">
        <v>269</v>
      </c>
      <c r="C3603">
        <v>17</v>
      </c>
      <c r="D3603">
        <v>0</v>
      </c>
      <c r="E3603">
        <v>0</v>
      </c>
      <c r="F3603">
        <v>17.05</v>
      </c>
      <c r="G3603">
        <v>8273.67</v>
      </c>
      <c r="H3603" s="14">
        <v>43768.833333333336</v>
      </c>
    </row>
    <row r="3604" spans="1:8" x14ac:dyDescent="0.25">
      <c r="A3604">
        <v>136</v>
      </c>
      <c r="B3604" t="s">
        <v>269</v>
      </c>
      <c r="C3604">
        <v>18</v>
      </c>
      <c r="D3604">
        <v>0</v>
      </c>
      <c r="E3604">
        <v>0</v>
      </c>
      <c r="F3604">
        <v>17.05</v>
      </c>
      <c r="G3604">
        <v>8317.9</v>
      </c>
      <c r="H3604" s="14">
        <v>43768.833333333336</v>
      </c>
    </row>
    <row r="3605" spans="1:8" x14ac:dyDescent="0.25">
      <c r="A3605">
        <v>137</v>
      </c>
      <c r="B3605" t="s">
        <v>270</v>
      </c>
      <c r="C3605">
        <v>1</v>
      </c>
      <c r="D3605">
        <v>0</v>
      </c>
      <c r="E3605">
        <v>0</v>
      </c>
      <c r="F3605">
        <v>102.97</v>
      </c>
      <c r="G3605">
        <v>57323.03</v>
      </c>
      <c r="H3605" s="14">
        <v>43768.833333333336</v>
      </c>
    </row>
    <row r="3606" spans="1:8" x14ac:dyDescent="0.25">
      <c r="A3606">
        <v>137</v>
      </c>
      <c r="B3606" t="s">
        <v>270</v>
      </c>
      <c r="C3606">
        <v>2</v>
      </c>
      <c r="D3606">
        <v>0</v>
      </c>
      <c r="E3606">
        <v>0</v>
      </c>
      <c r="F3606">
        <v>92.7</v>
      </c>
      <c r="G3606">
        <v>61357.93</v>
      </c>
      <c r="H3606" s="14">
        <v>43768.833333333336</v>
      </c>
    </row>
    <row r="3607" spans="1:8" x14ac:dyDescent="0.25">
      <c r="A3607">
        <v>137</v>
      </c>
      <c r="B3607" t="s">
        <v>270</v>
      </c>
      <c r="C3607">
        <v>3</v>
      </c>
      <c r="D3607">
        <v>0</v>
      </c>
      <c r="E3607">
        <v>0</v>
      </c>
      <c r="F3607">
        <v>144.75</v>
      </c>
      <c r="G3607">
        <v>72367.259999999995</v>
      </c>
      <c r="H3607" s="14">
        <v>43768.833333333336</v>
      </c>
    </row>
    <row r="3608" spans="1:8" x14ac:dyDescent="0.25">
      <c r="A3608">
        <v>137</v>
      </c>
      <c r="B3608" t="s">
        <v>270</v>
      </c>
      <c r="C3608">
        <v>4</v>
      </c>
      <c r="D3608">
        <v>0</v>
      </c>
      <c r="E3608">
        <v>0</v>
      </c>
      <c r="F3608">
        <v>122.73</v>
      </c>
      <c r="G3608">
        <v>67198.53</v>
      </c>
      <c r="H3608" s="14">
        <v>43768.833333333336</v>
      </c>
    </row>
    <row r="3609" spans="1:8" x14ac:dyDescent="0.25">
      <c r="A3609">
        <v>137</v>
      </c>
      <c r="B3609" t="s">
        <v>270</v>
      </c>
      <c r="C3609">
        <v>5</v>
      </c>
      <c r="D3609">
        <v>0</v>
      </c>
      <c r="E3609">
        <v>0</v>
      </c>
      <c r="F3609">
        <v>105.35</v>
      </c>
      <c r="G3609">
        <v>63661</v>
      </c>
      <c r="H3609" s="14">
        <v>43768.833333333336</v>
      </c>
    </row>
    <row r="3610" spans="1:8" x14ac:dyDescent="0.25">
      <c r="A3610">
        <v>137</v>
      </c>
      <c r="B3610" t="s">
        <v>270</v>
      </c>
      <c r="C3610">
        <v>6</v>
      </c>
      <c r="D3610">
        <v>0</v>
      </c>
      <c r="E3610">
        <v>0</v>
      </c>
      <c r="F3610">
        <v>80.98</v>
      </c>
      <c r="G3610">
        <v>34941.980000000003</v>
      </c>
      <c r="H3610" s="14">
        <v>43768.833333333336</v>
      </c>
    </row>
    <row r="3611" spans="1:8" x14ac:dyDescent="0.25">
      <c r="A3611">
        <v>137</v>
      </c>
      <c r="B3611" t="s">
        <v>270</v>
      </c>
      <c r="C3611">
        <v>7</v>
      </c>
      <c r="D3611">
        <v>0</v>
      </c>
      <c r="E3611">
        <v>0</v>
      </c>
      <c r="F3611">
        <v>121.52</v>
      </c>
      <c r="G3611">
        <v>68544.320000000007</v>
      </c>
      <c r="H3611" s="14">
        <v>43768.833333333336</v>
      </c>
    </row>
    <row r="3612" spans="1:8" x14ac:dyDescent="0.25">
      <c r="A3612">
        <v>137</v>
      </c>
      <c r="B3612" t="s">
        <v>270</v>
      </c>
      <c r="C3612">
        <v>8</v>
      </c>
      <c r="D3612">
        <v>0</v>
      </c>
      <c r="E3612">
        <v>0</v>
      </c>
      <c r="F3612">
        <v>96.88</v>
      </c>
      <c r="G3612">
        <v>54685.29</v>
      </c>
      <c r="H3612" s="14">
        <v>43768.833333333336</v>
      </c>
    </row>
    <row r="3613" spans="1:8" x14ac:dyDescent="0.25">
      <c r="A3613">
        <v>137</v>
      </c>
      <c r="B3613" t="s">
        <v>270</v>
      </c>
      <c r="C3613">
        <v>9</v>
      </c>
      <c r="D3613">
        <v>0</v>
      </c>
      <c r="E3613">
        <v>0</v>
      </c>
      <c r="F3613">
        <v>108.85</v>
      </c>
      <c r="G3613">
        <v>60791.21</v>
      </c>
      <c r="H3613" s="14">
        <v>43768.833333333336</v>
      </c>
    </row>
    <row r="3614" spans="1:8" x14ac:dyDescent="0.25">
      <c r="A3614">
        <v>138</v>
      </c>
      <c r="B3614" t="s">
        <v>271</v>
      </c>
      <c r="C3614">
        <v>1</v>
      </c>
      <c r="D3614">
        <v>0</v>
      </c>
      <c r="E3614">
        <v>0</v>
      </c>
      <c r="F3614">
        <v>150.34</v>
      </c>
      <c r="G3614">
        <v>80704.02</v>
      </c>
      <c r="H3614" s="14">
        <v>43768.833333333336</v>
      </c>
    </row>
    <row r="3615" spans="1:8" x14ac:dyDescent="0.25">
      <c r="A3615">
        <v>138</v>
      </c>
      <c r="B3615" t="s">
        <v>271</v>
      </c>
      <c r="C3615">
        <v>2</v>
      </c>
      <c r="D3615">
        <v>0</v>
      </c>
      <c r="E3615">
        <v>0</v>
      </c>
      <c r="F3615">
        <v>148.65</v>
      </c>
      <c r="G3615">
        <v>79965.77</v>
      </c>
      <c r="H3615" s="14">
        <v>43768.833333333336</v>
      </c>
    </row>
    <row r="3616" spans="1:8" x14ac:dyDescent="0.25">
      <c r="A3616">
        <v>138</v>
      </c>
      <c r="B3616" t="s">
        <v>271</v>
      </c>
      <c r="C3616">
        <v>3</v>
      </c>
      <c r="D3616">
        <v>0</v>
      </c>
      <c r="E3616">
        <v>0</v>
      </c>
      <c r="F3616">
        <v>148</v>
      </c>
      <c r="G3616">
        <v>80337.600000000006</v>
      </c>
      <c r="H3616" s="14">
        <v>43768.833333333336</v>
      </c>
    </row>
    <row r="3617" spans="1:8" x14ac:dyDescent="0.25">
      <c r="A3617">
        <v>138</v>
      </c>
      <c r="B3617" t="s">
        <v>271</v>
      </c>
      <c r="C3617">
        <v>4</v>
      </c>
      <c r="D3617">
        <v>0</v>
      </c>
      <c r="E3617">
        <v>0</v>
      </c>
      <c r="F3617">
        <v>150.47</v>
      </c>
      <c r="G3617">
        <v>81399.25</v>
      </c>
      <c r="H3617" s="14">
        <v>43768.833333333336</v>
      </c>
    </row>
    <row r="3618" spans="1:8" x14ac:dyDescent="0.25">
      <c r="A3618">
        <v>138</v>
      </c>
      <c r="B3618" t="s">
        <v>271</v>
      </c>
      <c r="C3618">
        <v>5</v>
      </c>
      <c r="D3618">
        <v>0</v>
      </c>
      <c r="E3618">
        <v>0</v>
      </c>
      <c r="F3618">
        <v>145.11000000000001</v>
      </c>
      <c r="G3618">
        <v>79958.91</v>
      </c>
      <c r="H3618" s="14">
        <v>43768.833333333336</v>
      </c>
    </row>
    <row r="3619" spans="1:8" x14ac:dyDescent="0.25">
      <c r="A3619">
        <v>138</v>
      </c>
      <c r="B3619" t="s">
        <v>271</v>
      </c>
      <c r="C3619">
        <v>6</v>
      </c>
      <c r="D3619">
        <v>0</v>
      </c>
      <c r="E3619">
        <v>0</v>
      </c>
      <c r="F3619">
        <v>147.62</v>
      </c>
      <c r="G3619">
        <v>71068.800000000003</v>
      </c>
      <c r="H3619" s="14">
        <v>43768.833333333336</v>
      </c>
    </row>
    <row r="3620" spans="1:8" x14ac:dyDescent="0.25">
      <c r="A3620">
        <v>138</v>
      </c>
      <c r="B3620" t="s">
        <v>271</v>
      </c>
      <c r="C3620">
        <v>7</v>
      </c>
      <c r="D3620">
        <v>0</v>
      </c>
      <c r="E3620">
        <v>0</v>
      </c>
      <c r="F3620">
        <v>125.63</v>
      </c>
      <c r="G3620">
        <v>67616.100000000006</v>
      </c>
      <c r="H3620" s="14">
        <v>43768.833333333336</v>
      </c>
    </row>
    <row r="3621" spans="1:8" x14ac:dyDescent="0.25">
      <c r="A3621">
        <v>138</v>
      </c>
      <c r="B3621" t="s">
        <v>271</v>
      </c>
      <c r="C3621">
        <v>8</v>
      </c>
      <c r="D3621">
        <v>0</v>
      </c>
      <c r="E3621">
        <v>0</v>
      </c>
      <c r="F3621">
        <v>108.79</v>
      </c>
      <c r="G3621">
        <v>61592.93</v>
      </c>
      <c r="H3621" s="14">
        <v>43768.833333333336</v>
      </c>
    </row>
    <row r="3622" spans="1:8" x14ac:dyDescent="0.25">
      <c r="A3622">
        <v>138</v>
      </c>
      <c r="B3622" t="s">
        <v>271</v>
      </c>
      <c r="C3622">
        <v>9</v>
      </c>
      <c r="D3622">
        <v>0</v>
      </c>
      <c r="E3622">
        <v>0</v>
      </c>
      <c r="F3622">
        <v>122.98</v>
      </c>
      <c r="G3622">
        <v>68629.08</v>
      </c>
      <c r="H3622" s="14">
        <v>43768.833333333336</v>
      </c>
    </row>
    <row r="3623" spans="1:8" x14ac:dyDescent="0.25">
      <c r="A3623">
        <v>138</v>
      </c>
      <c r="B3623" t="s">
        <v>271</v>
      </c>
      <c r="C3623">
        <v>10</v>
      </c>
      <c r="D3623">
        <v>0</v>
      </c>
      <c r="E3623">
        <v>0</v>
      </c>
      <c r="F3623">
        <v>127.05</v>
      </c>
      <c r="G3623">
        <v>70154.52</v>
      </c>
      <c r="H3623" s="14">
        <v>43768.833333333336</v>
      </c>
    </row>
    <row r="3624" spans="1:8" x14ac:dyDescent="0.25">
      <c r="A3624">
        <v>138</v>
      </c>
      <c r="B3624" t="s">
        <v>271</v>
      </c>
      <c r="C3624">
        <v>11</v>
      </c>
      <c r="D3624">
        <v>0</v>
      </c>
      <c r="E3624">
        <v>0</v>
      </c>
      <c r="F3624">
        <v>128.1</v>
      </c>
      <c r="G3624">
        <v>70266.75</v>
      </c>
      <c r="H3624" s="14">
        <v>43768.833333333336</v>
      </c>
    </row>
    <row r="3625" spans="1:8" x14ac:dyDescent="0.25">
      <c r="A3625">
        <v>138</v>
      </c>
      <c r="B3625" t="s">
        <v>271</v>
      </c>
      <c r="C3625">
        <v>12</v>
      </c>
      <c r="D3625">
        <v>0</v>
      </c>
      <c r="E3625">
        <v>0</v>
      </c>
      <c r="F3625">
        <v>136.07</v>
      </c>
      <c r="G3625">
        <v>75240.19</v>
      </c>
      <c r="H3625" s="14">
        <v>43768.833333333336</v>
      </c>
    </row>
    <row r="3626" spans="1:8" x14ac:dyDescent="0.25">
      <c r="A3626">
        <v>138</v>
      </c>
      <c r="B3626" t="s">
        <v>271</v>
      </c>
      <c r="C3626">
        <v>13</v>
      </c>
      <c r="D3626">
        <v>0</v>
      </c>
      <c r="E3626">
        <v>0</v>
      </c>
      <c r="F3626">
        <v>54.63</v>
      </c>
      <c r="G3626">
        <v>19101.27</v>
      </c>
      <c r="H3626" s="14">
        <v>43768.833333333336</v>
      </c>
    </row>
    <row r="3627" spans="1:8" x14ac:dyDescent="0.25">
      <c r="A3627">
        <v>139</v>
      </c>
      <c r="B3627" t="s">
        <v>272</v>
      </c>
      <c r="C3627">
        <v>1</v>
      </c>
      <c r="D3627">
        <v>0</v>
      </c>
      <c r="E3627">
        <v>0</v>
      </c>
      <c r="F3627">
        <v>120.94</v>
      </c>
      <c r="G3627">
        <v>65557.320000000007</v>
      </c>
      <c r="H3627" s="14">
        <v>43768.833333333336</v>
      </c>
    </row>
    <row r="3628" spans="1:8" x14ac:dyDescent="0.25">
      <c r="A3628">
        <v>139</v>
      </c>
      <c r="B3628" t="s">
        <v>272</v>
      </c>
      <c r="C3628">
        <v>2</v>
      </c>
      <c r="D3628">
        <v>0</v>
      </c>
      <c r="E3628">
        <v>0</v>
      </c>
      <c r="F3628">
        <v>140.61000000000001</v>
      </c>
      <c r="G3628">
        <v>75987.27</v>
      </c>
      <c r="H3628" s="14">
        <v>43768.833333333336</v>
      </c>
    </row>
    <row r="3629" spans="1:8" x14ac:dyDescent="0.25">
      <c r="A3629">
        <v>139</v>
      </c>
      <c r="B3629" t="s">
        <v>272</v>
      </c>
      <c r="C3629">
        <v>3</v>
      </c>
      <c r="D3629">
        <v>0</v>
      </c>
      <c r="E3629">
        <v>0</v>
      </c>
      <c r="F3629">
        <v>125.56</v>
      </c>
      <c r="G3629">
        <v>71791.39</v>
      </c>
      <c r="H3629" s="14">
        <v>43768.833333333336</v>
      </c>
    </row>
    <row r="3630" spans="1:8" x14ac:dyDescent="0.25">
      <c r="A3630">
        <v>139</v>
      </c>
      <c r="B3630" t="s">
        <v>272</v>
      </c>
      <c r="C3630">
        <v>4</v>
      </c>
      <c r="D3630">
        <v>0</v>
      </c>
      <c r="E3630">
        <v>0</v>
      </c>
      <c r="F3630">
        <v>134.9</v>
      </c>
      <c r="G3630">
        <v>74921.070000000007</v>
      </c>
      <c r="H3630" s="14">
        <v>43768.833333333336</v>
      </c>
    </row>
    <row r="3631" spans="1:8" x14ac:dyDescent="0.25">
      <c r="A3631">
        <v>139</v>
      </c>
      <c r="B3631" t="s">
        <v>272</v>
      </c>
      <c r="C3631">
        <v>5</v>
      </c>
      <c r="D3631">
        <v>0</v>
      </c>
      <c r="E3631">
        <v>0</v>
      </c>
      <c r="F3631">
        <v>131.52000000000001</v>
      </c>
      <c r="G3631">
        <v>75602.880000000005</v>
      </c>
      <c r="H3631" s="14">
        <v>43768.833333333336</v>
      </c>
    </row>
    <row r="3632" spans="1:8" x14ac:dyDescent="0.25">
      <c r="A3632">
        <v>139</v>
      </c>
      <c r="B3632" t="s">
        <v>272</v>
      </c>
      <c r="C3632">
        <v>6</v>
      </c>
      <c r="D3632">
        <v>0</v>
      </c>
      <c r="E3632">
        <v>0</v>
      </c>
      <c r="F3632">
        <v>95.46</v>
      </c>
      <c r="G3632">
        <v>64436.7</v>
      </c>
      <c r="H3632" s="14">
        <v>43768.833333333336</v>
      </c>
    </row>
    <row r="3633" spans="1:8" x14ac:dyDescent="0.25">
      <c r="A3633">
        <v>139</v>
      </c>
      <c r="B3633" t="s">
        <v>272</v>
      </c>
      <c r="C3633">
        <v>7</v>
      </c>
      <c r="D3633">
        <v>0</v>
      </c>
      <c r="E3633">
        <v>0</v>
      </c>
      <c r="F3633">
        <v>127.59</v>
      </c>
      <c r="G3633">
        <v>73499.98</v>
      </c>
      <c r="H3633" s="14">
        <v>43768.833333333336</v>
      </c>
    </row>
    <row r="3634" spans="1:8" x14ac:dyDescent="0.25">
      <c r="A3634">
        <v>139</v>
      </c>
      <c r="B3634" t="s">
        <v>272</v>
      </c>
      <c r="C3634">
        <v>8</v>
      </c>
      <c r="D3634">
        <v>0</v>
      </c>
      <c r="E3634">
        <v>0</v>
      </c>
      <c r="F3634">
        <v>120.3</v>
      </c>
      <c r="G3634">
        <v>71412.94</v>
      </c>
      <c r="H3634" s="14">
        <v>43768.833333333336</v>
      </c>
    </row>
    <row r="3635" spans="1:8" x14ac:dyDescent="0.25">
      <c r="A3635">
        <v>139</v>
      </c>
      <c r="B3635" t="s">
        <v>272</v>
      </c>
      <c r="C3635">
        <v>9</v>
      </c>
      <c r="D3635">
        <v>0</v>
      </c>
      <c r="E3635">
        <v>0</v>
      </c>
      <c r="F3635">
        <v>141.47</v>
      </c>
      <c r="G3635">
        <v>78692.33</v>
      </c>
      <c r="H3635" s="14">
        <v>43768.833333333336</v>
      </c>
    </row>
    <row r="3636" spans="1:8" x14ac:dyDescent="0.25">
      <c r="A3636">
        <v>140</v>
      </c>
      <c r="B3636" t="s">
        <v>273</v>
      </c>
      <c r="C3636">
        <v>1</v>
      </c>
      <c r="D3636">
        <v>0</v>
      </c>
      <c r="E3636">
        <v>0</v>
      </c>
      <c r="F3636">
        <v>52.34</v>
      </c>
      <c r="G3636">
        <v>131609.56</v>
      </c>
      <c r="H3636" s="14">
        <v>43768.833333333336</v>
      </c>
    </row>
    <row r="3637" spans="1:8" x14ac:dyDescent="0.25">
      <c r="A3637">
        <v>140</v>
      </c>
      <c r="B3637" t="s">
        <v>273</v>
      </c>
      <c r="C3637">
        <v>2</v>
      </c>
      <c r="D3637">
        <v>0</v>
      </c>
      <c r="E3637">
        <v>0</v>
      </c>
      <c r="F3637">
        <v>37.299999999999997</v>
      </c>
      <c r="G3637">
        <v>81558.06</v>
      </c>
      <c r="H3637" s="14">
        <v>43768.833333333336</v>
      </c>
    </row>
    <row r="3638" spans="1:8" x14ac:dyDescent="0.25">
      <c r="A3638">
        <v>140</v>
      </c>
      <c r="B3638" t="s">
        <v>273</v>
      </c>
      <c r="C3638">
        <v>3</v>
      </c>
      <c r="D3638">
        <v>0</v>
      </c>
      <c r="E3638">
        <v>0</v>
      </c>
      <c r="F3638">
        <v>116.37</v>
      </c>
      <c r="G3638">
        <v>160078.87</v>
      </c>
      <c r="H3638" s="14">
        <v>43768.833333333336</v>
      </c>
    </row>
    <row r="3639" spans="1:8" x14ac:dyDescent="0.25">
      <c r="A3639">
        <v>140</v>
      </c>
      <c r="B3639" t="s">
        <v>273</v>
      </c>
      <c r="C3639">
        <v>4</v>
      </c>
      <c r="D3639">
        <v>0</v>
      </c>
      <c r="E3639">
        <v>0</v>
      </c>
      <c r="F3639">
        <v>80.69</v>
      </c>
      <c r="G3639">
        <v>30631.98</v>
      </c>
      <c r="H3639" s="14">
        <v>43768.833333333336</v>
      </c>
    </row>
    <row r="3640" spans="1:8" x14ac:dyDescent="0.25">
      <c r="A3640">
        <v>140</v>
      </c>
      <c r="B3640" t="s">
        <v>273</v>
      </c>
      <c r="C3640">
        <v>5</v>
      </c>
      <c r="D3640">
        <v>0</v>
      </c>
      <c r="E3640">
        <v>0</v>
      </c>
      <c r="F3640">
        <v>42.84</v>
      </c>
      <c r="G3640">
        <v>115034.02</v>
      </c>
      <c r="H3640" s="14">
        <v>43768.833333333336</v>
      </c>
    </row>
    <row r="3641" spans="1:8" x14ac:dyDescent="0.25">
      <c r="A3641">
        <v>140</v>
      </c>
      <c r="B3641" t="s">
        <v>273</v>
      </c>
      <c r="C3641">
        <v>6</v>
      </c>
      <c r="D3641">
        <v>0</v>
      </c>
      <c r="E3641">
        <v>0</v>
      </c>
      <c r="F3641">
        <v>103.23</v>
      </c>
      <c r="G3641">
        <v>144032.38</v>
      </c>
      <c r="H3641" s="14">
        <v>43768.833333333336</v>
      </c>
    </row>
    <row r="3642" spans="1:8" x14ac:dyDescent="0.25">
      <c r="A3642">
        <v>140</v>
      </c>
      <c r="B3642" t="s">
        <v>273</v>
      </c>
      <c r="C3642">
        <v>7</v>
      </c>
      <c r="D3642">
        <v>0</v>
      </c>
      <c r="E3642">
        <v>0</v>
      </c>
      <c r="F3642">
        <v>33.96</v>
      </c>
      <c r="G3642">
        <v>7599.98</v>
      </c>
      <c r="H3642" s="14">
        <v>43768.833333333336</v>
      </c>
    </row>
    <row r="3643" spans="1:8" x14ac:dyDescent="0.25">
      <c r="A3643">
        <v>140</v>
      </c>
      <c r="B3643" t="s">
        <v>273</v>
      </c>
      <c r="C3643">
        <v>8</v>
      </c>
      <c r="D3643">
        <v>0</v>
      </c>
      <c r="E3643">
        <v>0</v>
      </c>
      <c r="F3643">
        <v>53.64</v>
      </c>
      <c r="G3643">
        <v>68824.5</v>
      </c>
      <c r="H3643" s="14">
        <v>43768.833333333336</v>
      </c>
    </row>
    <row r="3644" spans="1:8" x14ac:dyDescent="0.25">
      <c r="A3644">
        <v>140</v>
      </c>
      <c r="B3644" t="s">
        <v>273</v>
      </c>
      <c r="C3644">
        <v>9</v>
      </c>
      <c r="D3644">
        <v>0</v>
      </c>
      <c r="E3644">
        <v>0</v>
      </c>
      <c r="F3644">
        <v>31.13</v>
      </c>
      <c r="G3644">
        <v>3456.49</v>
      </c>
      <c r="H3644" s="14">
        <v>43768.833333333336</v>
      </c>
    </row>
    <row r="3645" spans="1:8" x14ac:dyDescent="0.25">
      <c r="A3645">
        <v>141</v>
      </c>
      <c r="B3645" t="s">
        <v>274</v>
      </c>
      <c r="C3645">
        <v>1</v>
      </c>
      <c r="D3645">
        <v>0</v>
      </c>
      <c r="E3645">
        <v>0</v>
      </c>
      <c r="F3645">
        <v>62</v>
      </c>
      <c r="G3645">
        <v>61009.34</v>
      </c>
      <c r="H3645" s="14">
        <v>43768.833333333336</v>
      </c>
    </row>
    <row r="3646" spans="1:8" x14ac:dyDescent="0.25">
      <c r="A3646">
        <v>141</v>
      </c>
      <c r="B3646" t="s">
        <v>274</v>
      </c>
      <c r="C3646">
        <v>2</v>
      </c>
      <c r="D3646">
        <v>0</v>
      </c>
      <c r="E3646">
        <v>0</v>
      </c>
      <c r="F3646">
        <v>61.29</v>
      </c>
      <c r="G3646">
        <v>100597.72</v>
      </c>
      <c r="H3646" s="14">
        <v>43768.833333333336</v>
      </c>
    </row>
    <row r="3647" spans="1:8" x14ac:dyDescent="0.25">
      <c r="A3647">
        <v>141</v>
      </c>
      <c r="B3647" t="s">
        <v>274</v>
      </c>
      <c r="C3647">
        <v>3</v>
      </c>
      <c r="D3647">
        <v>0</v>
      </c>
      <c r="E3647">
        <v>0</v>
      </c>
      <c r="F3647">
        <v>61.91</v>
      </c>
      <c r="G3647">
        <v>27934.86</v>
      </c>
      <c r="H3647" s="14">
        <v>43768.833333333336</v>
      </c>
    </row>
    <row r="3648" spans="1:8" x14ac:dyDescent="0.25">
      <c r="A3648">
        <v>141</v>
      </c>
      <c r="B3648" t="s">
        <v>274</v>
      </c>
      <c r="C3648">
        <v>4</v>
      </c>
      <c r="D3648">
        <v>0</v>
      </c>
      <c r="E3648">
        <v>0</v>
      </c>
      <c r="F3648">
        <v>62</v>
      </c>
      <c r="G3648">
        <v>73173.490000000005</v>
      </c>
      <c r="H3648" s="14">
        <v>43768.833333333336</v>
      </c>
    </row>
    <row r="3649" spans="1:8" x14ac:dyDescent="0.25">
      <c r="A3649">
        <v>141</v>
      </c>
      <c r="B3649" t="s">
        <v>274</v>
      </c>
      <c r="C3649">
        <v>5</v>
      </c>
      <c r="D3649">
        <v>0</v>
      </c>
      <c r="E3649">
        <v>0</v>
      </c>
      <c r="F3649">
        <v>64.34</v>
      </c>
      <c r="G3649">
        <v>4491.8599999999997</v>
      </c>
      <c r="H3649" s="14">
        <v>43768.833333333336</v>
      </c>
    </row>
    <row r="3650" spans="1:8" x14ac:dyDescent="0.25">
      <c r="A3650">
        <v>141</v>
      </c>
      <c r="B3650" t="s">
        <v>274</v>
      </c>
      <c r="C3650">
        <v>6</v>
      </c>
      <c r="D3650">
        <v>0</v>
      </c>
      <c r="E3650">
        <v>0</v>
      </c>
      <c r="F3650">
        <v>62.46</v>
      </c>
      <c r="G3650">
        <v>84635.85</v>
      </c>
      <c r="H3650" s="14">
        <v>43768.833333333336</v>
      </c>
    </row>
    <row r="3651" spans="1:8" x14ac:dyDescent="0.25">
      <c r="A3651">
        <v>141</v>
      </c>
      <c r="B3651" t="s">
        <v>274</v>
      </c>
      <c r="C3651">
        <v>7</v>
      </c>
      <c r="D3651">
        <v>0</v>
      </c>
      <c r="E3651">
        <v>0</v>
      </c>
      <c r="F3651">
        <v>47.16</v>
      </c>
      <c r="G3651">
        <v>97746.41</v>
      </c>
      <c r="H3651" s="14">
        <v>43768.833333333336</v>
      </c>
    </row>
    <row r="3652" spans="1:8" x14ac:dyDescent="0.25">
      <c r="A3652">
        <v>141</v>
      </c>
      <c r="B3652" t="s">
        <v>274</v>
      </c>
      <c r="C3652">
        <v>8</v>
      </c>
      <c r="D3652">
        <v>0</v>
      </c>
      <c r="E3652">
        <v>0</v>
      </c>
      <c r="F3652">
        <v>60.25</v>
      </c>
      <c r="G3652">
        <v>99387.5</v>
      </c>
      <c r="H3652" s="14">
        <v>43768.833333333336</v>
      </c>
    </row>
    <row r="3653" spans="1:8" x14ac:dyDescent="0.25">
      <c r="A3653">
        <v>141</v>
      </c>
      <c r="B3653" t="s">
        <v>274</v>
      </c>
      <c r="C3653">
        <v>9</v>
      </c>
      <c r="D3653">
        <v>0</v>
      </c>
      <c r="E3653">
        <v>0</v>
      </c>
      <c r="F3653">
        <v>61.17</v>
      </c>
      <c r="G3653">
        <v>100564.69</v>
      </c>
      <c r="H3653" s="14">
        <v>43768.833333333336</v>
      </c>
    </row>
    <row r="3654" spans="1:8" x14ac:dyDescent="0.25">
      <c r="A3654">
        <v>141</v>
      </c>
      <c r="B3654" t="s">
        <v>274</v>
      </c>
      <c r="C3654">
        <v>10</v>
      </c>
      <c r="D3654">
        <v>0</v>
      </c>
      <c r="E3654">
        <v>0</v>
      </c>
      <c r="F3654">
        <v>42.5</v>
      </c>
      <c r="G3654">
        <v>94484.31</v>
      </c>
      <c r="H3654" s="14">
        <v>43768.833333333336</v>
      </c>
    </row>
    <row r="3655" spans="1:8" x14ac:dyDescent="0.25">
      <c r="A3655">
        <v>141</v>
      </c>
      <c r="B3655" t="s">
        <v>274</v>
      </c>
      <c r="C3655">
        <v>11</v>
      </c>
      <c r="D3655">
        <v>0</v>
      </c>
      <c r="E3655">
        <v>0</v>
      </c>
      <c r="F3655">
        <v>60.75</v>
      </c>
      <c r="G3655">
        <v>97745.43</v>
      </c>
      <c r="H3655" s="14">
        <v>43768.833333333336</v>
      </c>
    </row>
    <row r="3656" spans="1:8" x14ac:dyDescent="0.25">
      <c r="A3656">
        <v>141</v>
      </c>
      <c r="B3656" t="s">
        <v>274</v>
      </c>
      <c r="C3656">
        <v>12</v>
      </c>
      <c r="D3656">
        <v>0</v>
      </c>
      <c r="E3656">
        <v>0</v>
      </c>
      <c r="F3656">
        <v>61.2</v>
      </c>
      <c r="G3656">
        <v>94706.46</v>
      </c>
      <c r="H3656" s="14">
        <v>43768.833333333336</v>
      </c>
    </row>
    <row r="3657" spans="1:8" x14ac:dyDescent="0.25">
      <c r="A3657">
        <v>142</v>
      </c>
      <c r="B3657" t="s">
        <v>275</v>
      </c>
      <c r="C3657">
        <v>1</v>
      </c>
      <c r="D3657">
        <v>0</v>
      </c>
      <c r="E3657">
        <v>0</v>
      </c>
      <c r="F3657">
        <v>130</v>
      </c>
      <c r="G3657">
        <v>17149.02</v>
      </c>
      <c r="H3657" s="14">
        <v>43768.833333333336</v>
      </c>
    </row>
    <row r="3658" spans="1:8" x14ac:dyDescent="0.25">
      <c r="A3658">
        <v>142</v>
      </c>
      <c r="B3658" t="s">
        <v>275</v>
      </c>
      <c r="C3658">
        <v>2</v>
      </c>
      <c r="D3658">
        <v>0</v>
      </c>
      <c r="E3658">
        <v>0</v>
      </c>
      <c r="F3658">
        <v>124.72</v>
      </c>
      <c r="G3658">
        <v>149942.76999999999</v>
      </c>
      <c r="H3658" s="14">
        <v>43768.833333333336</v>
      </c>
    </row>
    <row r="3659" spans="1:8" x14ac:dyDescent="0.25">
      <c r="A3659">
        <v>142</v>
      </c>
      <c r="B3659" t="s">
        <v>275</v>
      </c>
      <c r="C3659">
        <v>3</v>
      </c>
      <c r="D3659">
        <v>0</v>
      </c>
      <c r="E3659">
        <v>0</v>
      </c>
      <c r="F3659">
        <v>70.48</v>
      </c>
      <c r="G3659">
        <v>98540.69</v>
      </c>
      <c r="H3659" s="14">
        <v>43768.833333333336</v>
      </c>
    </row>
    <row r="3660" spans="1:8" x14ac:dyDescent="0.25">
      <c r="A3660">
        <v>142</v>
      </c>
      <c r="B3660" t="s">
        <v>275</v>
      </c>
      <c r="C3660">
        <v>4</v>
      </c>
      <c r="D3660">
        <v>0</v>
      </c>
      <c r="E3660">
        <v>0</v>
      </c>
      <c r="F3660">
        <v>62.94</v>
      </c>
      <c r="G3660">
        <v>95433.33</v>
      </c>
      <c r="H3660" s="14">
        <v>43768.833333333336</v>
      </c>
    </row>
    <row r="3661" spans="1:8" x14ac:dyDescent="0.25">
      <c r="A3661">
        <v>142</v>
      </c>
      <c r="B3661" t="s">
        <v>275</v>
      </c>
      <c r="C3661">
        <v>5</v>
      </c>
      <c r="D3661">
        <v>0</v>
      </c>
      <c r="E3661">
        <v>0</v>
      </c>
      <c r="F3661">
        <v>109.64</v>
      </c>
      <c r="G3661">
        <v>138514.62</v>
      </c>
      <c r="H3661" s="14">
        <v>43768.833333333336</v>
      </c>
    </row>
    <row r="3662" spans="1:8" x14ac:dyDescent="0.25">
      <c r="A3662">
        <v>142</v>
      </c>
      <c r="B3662" t="s">
        <v>275</v>
      </c>
      <c r="C3662">
        <v>6</v>
      </c>
      <c r="D3662">
        <v>0</v>
      </c>
      <c r="E3662">
        <v>0</v>
      </c>
      <c r="F3662">
        <v>119.9</v>
      </c>
      <c r="G3662">
        <v>158409.17000000001</v>
      </c>
      <c r="H3662" s="14">
        <v>43768.833333333336</v>
      </c>
    </row>
    <row r="3663" spans="1:8" x14ac:dyDescent="0.25">
      <c r="A3663">
        <v>142</v>
      </c>
      <c r="B3663" t="s">
        <v>275</v>
      </c>
      <c r="C3663">
        <v>7</v>
      </c>
      <c r="D3663">
        <v>0</v>
      </c>
      <c r="E3663">
        <v>0</v>
      </c>
      <c r="F3663">
        <v>113.29</v>
      </c>
      <c r="G3663">
        <v>155712.60999999999</v>
      </c>
      <c r="H3663" s="14">
        <v>43768.833333333336</v>
      </c>
    </row>
    <row r="3664" spans="1:8" x14ac:dyDescent="0.25">
      <c r="A3664">
        <v>142</v>
      </c>
      <c r="B3664" t="s">
        <v>275</v>
      </c>
      <c r="C3664">
        <v>8</v>
      </c>
      <c r="D3664">
        <v>0</v>
      </c>
      <c r="E3664">
        <v>0</v>
      </c>
      <c r="F3664">
        <v>100.77</v>
      </c>
      <c r="G3664">
        <v>151672.41</v>
      </c>
      <c r="H3664" s="14">
        <v>43768.833333333336</v>
      </c>
    </row>
    <row r="3665" spans="1:8" x14ac:dyDescent="0.25">
      <c r="A3665">
        <v>142</v>
      </c>
      <c r="B3665" t="s">
        <v>275</v>
      </c>
      <c r="C3665">
        <v>9</v>
      </c>
      <c r="D3665">
        <v>0</v>
      </c>
      <c r="E3665">
        <v>0</v>
      </c>
      <c r="F3665">
        <v>106.3</v>
      </c>
      <c r="G3665">
        <v>150874.95000000001</v>
      </c>
      <c r="H3665" s="14">
        <v>43768.833333333336</v>
      </c>
    </row>
    <row r="3666" spans="1:8" x14ac:dyDescent="0.25">
      <c r="A3666">
        <v>142</v>
      </c>
      <c r="B3666" t="s">
        <v>275</v>
      </c>
      <c r="C3666">
        <v>10</v>
      </c>
      <c r="D3666">
        <v>0</v>
      </c>
      <c r="E3666">
        <v>0</v>
      </c>
      <c r="F3666">
        <v>118.4</v>
      </c>
      <c r="G3666">
        <v>151524.49</v>
      </c>
      <c r="H3666" s="14">
        <v>43768.833333333336</v>
      </c>
    </row>
    <row r="3667" spans="1:8" x14ac:dyDescent="0.25">
      <c r="A3667">
        <v>142</v>
      </c>
      <c r="B3667" t="s">
        <v>275</v>
      </c>
      <c r="C3667">
        <v>11</v>
      </c>
      <c r="D3667">
        <v>0</v>
      </c>
      <c r="E3667">
        <v>0</v>
      </c>
      <c r="F3667">
        <v>121.77</v>
      </c>
      <c r="G3667">
        <v>168375.08</v>
      </c>
      <c r="H3667" s="14">
        <v>43768.833333333336</v>
      </c>
    </row>
    <row r="3668" spans="1:8" x14ac:dyDescent="0.25">
      <c r="A3668">
        <v>142</v>
      </c>
      <c r="B3668" t="s">
        <v>275</v>
      </c>
      <c r="C3668">
        <v>12</v>
      </c>
      <c r="D3668">
        <v>0</v>
      </c>
      <c r="E3668">
        <v>0</v>
      </c>
      <c r="F3668">
        <v>121.76</v>
      </c>
      <c r="G3668">
        <v>26743.17</v>
      </c>
      <c r="H3668" s="14">
        <v>43768.833333333336</v>
      </c>
    </row>
    <row r="3669" spans="1:8" x14ac:dyDescent="0.25">
      <c r="A3669">
        <v>142</v>
      </c>
      <c r="B3669" t="s">
        <v>275</v>
      </c>
      <c r="C3669">
        <v>13</v>
      </c>
      <c r="D3669">
        <v>0</v>
      </c>
      <c r="E3669">
        <v>0</v>
      </c>
      <c r="F3669">
        <v>120.93</v>
      </c>
      <c r="G3669">
        <v>25535</v>
      </c>
      <c r="H3669" s="14">
        <v>43768.833333333336</v>
      </c>
    </row>
    <row r="3670" spans="1:8" x14ac:dyDescent="0.25">
      <c r="A3670">
        <v>142</v>
      </c>
      <c r="B3670" t="s">
        <v>275</v>
      </c>
      <c r="C3670">
        <v>14</v>
      </c>
      <c r="D3670">
        <v>0</v>
      </c>
      <c r="E3670">
        <v>0</v>
      </c>
      <c r="F3670">
        <v>109.03</v>
      </c>
      <c r="G3670">
        <v>153795.04</v>
      </c>
      <c r="H3670" s="14">
        <v>43768.833333333336</v>
      </c>
    </row>
    <row r="3671" spans="1:8" x14ac:dyDescent="0.25">
      <c r="A3671">
        <v>142</v>
      </c>
      <c r="B3671" t="s">
        <v>275</v>
      </c>
      <c r="C3671">
        <v>15</v>
      </c>
      <c r="D3671">
        <v>0</v>
      </c>
      <c r="E3671">
        <v>0</v>
      </c>
      <c r="F3671">
        <v>118.48</v>
      </c>
      <c r="G3671">
        <v>146163.32999999999</v>
      </c>
      <c r="H3671" s="14">
        <v>43768.833333333336</v>
      </c>
    </row>
    <row r="3672" spans="1:8" x14ac:dyDescent="0.25">
      <c r="A3672">
        <v>143</v>
      </c>
      <c r="B3672" t="s">
        <v>276</v>
      </c>
      <c r="C3672">
        <v>1</v>
      </c>
      <c r="D3672">
        <v>0</v>
      </c>
      <c r="E3672">
        <v>0</v>
      </c>
      <c r="F3672">
        <v>118.12</v>
      </c>
      <c r="G3672">
        <v>188587.41</v>
      </c>
      <c r="H3672" s="14">
        <v>43768.833333333336</v>
      </c>
    </row>
    <row r="3673" spans="1:8" x14ac:dyDescent="0.25">
      <c r="A3673">
        <v>143</v>
      </c>
      <c r="B3673" t="s">
        <v>276</v>
      </c>
      <c r="C3673">
        <v>2</v>
      </c>
      <c r="D3673">
        <v>0</v>
      </c>
      <c r="E3673">
        <v>0</v>
      </c>
      <c r="F3673">
        <v>125.37</v>
      </c>
      <c r="G3673">
        <v>190816.9</v>
      </c>
      <c r="H3673" s="14">
        <v>43768.833333333336</v>
      </c>
    </row>
    <row r="3674" spans="1:8" x14ac:dyDescent="0.25">
      <c r="A3674">
        <v>143</v>
      </c>
      <c r="B3674" t="s">
        <v>276</v>
      </c>
      <c r="C3674">
        <v>3</v>
      </c>
      <c r="D3674">
        <v>0</v>
      </c>
      <c r="E3674">
        <v>0</v>
      </c>
      <c r="F3674">
        <v>130.62</v>
      </c>
      <c r="G3674">
        <v>189127.9</v>
      </c>
      <c r="H3674" s="14">
        <v>43768.833333333336</v>
      </c>
    </row>
    <row r="3675" spans="1:8" x14ac:dyDescent="0.25">
      <c r="A3675">
        <v>143</v>
      </c>
      <c r="B3675" t="s">
        <v>276</v>
      </c>
      <c r="C3675">
        <v>4</v>
      </c>
      <c r="D3675">
        <v>0</v>
      </c>
      <c r="E3675">
        <v>0</v>
      </c>
      <c r="F3675">
        <v>127.89</v>
      </c>
      <c r="G3675">
        <v>176480.41</v>
      </c>
      <c r="H3675" s="14">
        <v>43768.833333333336</v>
      </c>
    </row>
    <row r="3676" spans="1:8" x14ac:dyDescent="0.25">
      <c r="A3676">
        <v>143</v>
      </c>
      <c r="B3676" t="s">
        <v>276</v>
      </c>
      <c r="C3676">
        <v>5</v>
      </c>
      <c r="D3676">
        <v>0</v>
      </c>
      <c r="E3676">
        <v>0</v>
      </c>
      <c r="F3676">
        <v>105.52</v>
      </c>
      <c r="G3676">
        <v>163778.20000000001</v>
      </c>
      <c r="H3676" s="14">
        <v>43768.833333333336</v>
      </c>
    </row>
    <row r="3677" spans="1:8" x14ac:dyDescent="0.25">
      <c r="A3677">
        <v>143</v>
      </c>
      <c r="B3677" t="s">
        <v>276</v>
      </c>
      <c r="C3677">
        <v>6</v>
      </c>
      <c r="D3677">
        <v>0</v>
      </c>
      <c r="E3677">
        <v>0</v>
      </c>
      <c r="F3677">
        <v>117.46</v>
      </c>
      <c r="G3677">
        <v>185957.41</v>
      </c>
      <c r="H3677" s="14">
        <v>43768.833333333336</v>
      </c>
    </row>
    <row r="3678" spans="1:8" x14ac:dyDescent="0.25">
      <c r="A3678">
        <v>143</v>
      </c>
      <c r="B3678" t="s">
        <v>276</v>
      </c>
      <c r="C3678">
        <v>7</v>
      </c>
      <c r="D3678">
        <v>0</v>
      </c>
      <c r="E3678">
        <v>0</v>
      </c>
      <c r="F3678">
        <v>131.59</v>
      </c>
      <c r="G3678">
        <v>188666.02</v>
      </c>
      <c r="H3678" s="14">
        <v>43768.833333333336</v>
      </c>
    </row>
    <row r="3679" spans="1:8" x14ac:dyDescent="0.25">
      <c r="A3679">
        <v>143</v>
      </c>
      <c r="B3679" t="s">
        <v>276</v>
      </c>
      <c r="C3679">
        <v>8</v>
      </c>
      <c r="D3679">
        <v>0</v>
      </c>
      <c r="E3679">
        <v>0</v>
      </c>
      <c r="F3679">
        <v>131.38999999999999</v>
      </c>
      <c r="G3679">
        <v>188045</v>
      </c>
      <c r="H3679" s="14">
        <v>43768.833333333336</v>
      </c>
    </row>
    <row r="3680" spans="1:8" x14ac:dyDescent="0.25">
      <c r="A3680">
        <v>143</v>
      </c>
      <c r="B3680" t="s">
        <v>276</v>
      </c>
      <c r="C3680">
        <v>9</v>
      </c>
      <c r="D3680">
        <v>0</v>
      </c>
      <c r="E3680">
        <v>0</v>
      </c>
      <c r="F3680">
        <v>132.27000000000001</v>
      </c>
      <c r="G3680">
        <v>188280.62</v>
      </c>
      <c r="H3680" s="14">
        <v>43768.833333333336</v>
      </c>
    </row>
    <row r="3681" spans="1:8" x14ac:dyDescent="0.25">
      <c r="A3681">
        <v>143</v>
      </c>
      <c r="B3681" t="s">
        <v>276</v>
      </c>
      <c r="C3681">
        <v>10</v>
      </c>
      <c r="D3681">
        <v>0</v>
      </c>
      <c r="E3681">
        <v>0</v>
      </c>
      <c r="F3681">
        <v>133.9</v>
      </c>
      <c r="G3681">
        <v>187755.81</v>
      </c>
      <c r="H3681" s="14">
        <v>43768.833333333336</v>
      </c>
    </row>
    <row r="3682" spans="1:8" x14ac:dyDescent="0.25">
      <c r="A3682">
        <v>143</v>
      </c>
      <c r="B3682" t="s">
        <v>276</v>
      </c>
      <c r="C3682">
        <v>11</v>
      </c>
      <c r="D3682">
        <v>0</v>
      </c>
      <c r="E3682">
        <v>0</v>
      </c>
      <c r="F3682">
        <v>127.69</v>
      </c>
      <c r="G3682">
        <v>187272.48</v>
      </c>
      <c r="H3682" s="14">
        <v>43768.833333333336</v>
      </c>
    </row>
    <row r="3683" spans="1:8" x14ac:dyDescent="0.25">
      <c r="A3683">
        <v>143</v>
      </c>
      <c r="B3683" t="s">
        <v>276</v>
      </c>
      <c r="C3683">
        <v>12</v>
      </c>
      <c r="D3683">
        <v>0</v>
      </c>
      <c r="E3683">
        <v>0</v>
      </c>
      <c r="F3683">
        <v>116.18</v>
      </c>
      <c r="G3683">
        <v>183293.8</v>
      </c>
      <c r="H3683" s="14">
        <v>43768.833333333336</v>
      </c>
    </row>
    <row r="3684" spans="1:8" x14ac:dyDescent="0.25">
      <c r="A3684">
        <v>143</v>
      </c>
      <c r="B3684" t="s">
        <v>276</v>
      </c>
      <c r="C3684">
        <v>13</v>
      </c>
      <c r="D3684">
        <v>0</v>
      </c>
      <c r="E3684">
        <v>0</v>
      </c>
      <c r="F3684">
        <v>137.71</v>
      </c>
      <c r="G3684">
        <v>193153.29</v>
      </c>
      <c r="H3684" s="14">
        <v>43768.833333333336</v>
      </c>
    </row>
    <row r="3685" spans="1:8" x14ac:dyDescent="0.25">
      <c r="A3685">
        <v>143</v>
      </c>
      <c r="B3685" t="s">
        <v>276</v>
      </c>
      <c r="C3685">
        <v>14</v>
      </c>
      <c r="D3685">
        <v>0</v>
      </c>
      <c r="E3685">
        <v>0</v>
      </c>
      <c r="F3685">
        <v>115.44</v>
      </c>
      <c r="G3685">
        <v>189375.92</v>
      </c>
      <c r="H3685" s="14">
        <v>43768.833333333336</v>
      </c>
    </row>
    <row r="3686" spans="1:8" x14ac:dyDescent="0.25">
      <c r="A3686">
        <v>143</v>
      </c>
      <c r="B3686" t="s">
        <v>276</v>
      </c>
      <c r="C3686">
        <v>15</v>
      </c>
      <c r="D3686">
        <v>0</v>
      </c>
      <c r="E3686">
        <v>0</v>
      </c>
      <c r="F3686">
        <v>137.37</v>
      </c>
      <c r="G3686">
        <v>196018.63</v>
      </c>
      <c r="H3686" s="14">
        <v>43768.833333333336</v>
      </c>
    </row>
    <row r="3687" spans="1:8" x14ac:dyDescent="0.25">
      <c r="A3687">
        <v>144</v>
      </c>
      <c r="B3687" t="s">
        <v>277</v>
      </c>
      <c r="C3687">
        <v>1</v>
      </c>
      <c r="D3687">
        <v>0</v>
      </c>
      <c r="E3687">
        <v>0</v>
      </c>
      <c r="F3687">
        <v>137.65</v>
      </c>
      <c r="G3687">
        <v>175298.04</v>
      </c>
      <c r="H3687" s="14">
        <v>43768.833333333336</v>
      </c>
    </row>
    <row r="3688" spans="1:8" x14ac:dyDescent="0.25">
      <c r="A3688">
        <v>144</v>
      </c>
      <c r="B3688" t="s">
        <v>277</v>
      </c>
      <c r="C3688">
        <v>2</v>
      </c>
      <c r="D3688">
        <v>0</v>
      </c>
      <c r="E3688">
        <v>0</v>
      </c>
      <c r="F3688">
        <v>134.43</v>
      </c>
      <c r="G3688">
        <v>173872.18</v>
      </c>
      <c r="H3688" s="14">
        <v>43768.833333333336</v>
      </c>
    </row>
    <row r="3689" spans="1:8" x14ac:dyDescent="0.25">
      <c r="A3689">
        <v>144</v>
      </c>
      <c r="B3689" t="s">
        <v>277</v>
      </c>
      <c r="C3689">
        <v>3</v>
      </c>
      <c r="D3689">
        <v>0</v>
      </c>
      <c r="E3689">
        <v>0</v>
      </c>
      <c r="F3689">
        <v>137.31</v>
      </c>
      <c r="G3689">
        <v>177997.17</v>
      </c>
      <c r="H3689" s="14">
        <v>43768.833333333336</v>
      </c>
    </row>
    <row r="3690" spans="1:8" x14ac:dyDescent="0.25">
      <c r="A3690">
        <v>144</v>
      </c>
      <c r="B3690" t="s">
        <v>277</v>
      </c>
      <c r="C3690">
        <v>4</v>
      </c>
      <c r="D3690">
        <v>0</v>
      </c>
      <c r="E3690">
        <v>0</v>
      </c>
      <c r="F3690">
        <v>137.94</v>
      </c>
      <c r="G3690">
        <v>156014.01</v>
      </c>
      <c r="H3690" s="14">
        <v>43768.833333333336</v>
      </c>
    </row>
    <row r="3691" spans="1:8" x14ac:dyDescent="0.25">
      <c r="A3691">
        <v>144</v>
      </c>
      <c r="B3691" t="s">
        <v>277</v>
      </c>
      <c r="C3691">
        <v>5</v>
      </c>
      <c r="D3691">
        <v>0</v>
      </c>
      <c r="E3691">
        <v>0</v>
      </c>
      <c r="F3691">
        <v>135.1</v>
      </c>
      <c r="G3691">
        <v>176585.58</v>
      </c>
      <c r="H3691" s="14">
        <v>43768.833333333336</v>
      </c>
    </row>
    <row r="3692" spans="1:8" x14ac:dyDescent="0.25">
      <c r="A3692">
        <v>144</v>
      </c>
      <c r="B3692" t="s">
        <v>277</v>
      </c>
      <c r="C3692">
        <v>6</v>
      </c>
      <c r="D3692">
        <v>0</v>
      </c>
      <c r="E3692">
        <v>0</v>
      </c>
      <c r="F3692">
        <v>135.63999999999999</v>
      </c>
      <c r="G3692">
        <v>173968.91</v>
      </c>
      <c r="H3692" s="14">
        <v>43768.833333333336</v>
      </c>
    </row>
    <row r="3693" spans="1:8" x14ac:dyDescent="0.25">
      <c r="A3693">
        <v>144</v>
      </c>
      <c r="B3693" t="s">
        <v>277</v>
      </c>
      <c r="C3693">
        <v>7</v>
      </c>
      <c r="D3693">
        <v>0</v>
      </c>
      <c r="E3693">
        <v>0</v>
      </c>
      <c r="F3693">
        <v>137.88999999999999</v>
      </c>
      <c r="G3693">
        <v>178310.15</v>
      </c>
      <c r="H3693" s="14">
        <v>43768.833333333336</v>
      </c>
    </row>
    <row r="3694" spans="1:8" x14ac:dyDescent="0.25">
      <c r="A3694">
        <v>144</v>
      </c>
      <c r="B3694" t="s">
        <v>277</v>
      </c>
      <c r="C3694">
        <v>8</v>
      </c>
      <c r="D3694">
        <v>0</v>
      </c>
      <c r="E3694">
        <v>0</v>
      </c>
      <c r="F3694">
        <v>134.36000000000001</v>
      </c>
      <c r="G3694">
        <v>171369.79</v>
      </c>
      <c r="H3694" s="14">
        <v>43768.833333333336</v>
      </c>
    </row>
    <row r="3695" spans="1:8" x14ac:dyDescent="0.25">
      <c r="A3695">
        <v>144</v>
      </c>
      <c r="B3695" t="s">
        <v>277</v>
      </c>
      <c r="C3695">
        <v>9</v>
      </c>
      <c r="D3695">
        <v>0</v>
      </c>
      <c r="E3695">
        <v>0</v>
      </c>
      <c r="F3695">
        <v>138.61000000000001</v>
      </c>
      <c r="G3695">
        <v>169513.04</v>
      </c>
      <c r="H3695" s="14">
        <v>43768.833333333336</v>
      </c>
    </row>
    <row r="3696" spans="1:8" x14ac:dyDescent="0.25">
      <c r="A3696">
        <v>144</v>
      </c>
      <c r="B3696" t="s">
        <v>277</v>
      </c>
      <c r="C3696">
        <v>10</v>
      </c>
      <c r="D3696">
        <v>0</v>
      </c>
      <c r="E3696">
        <v>0</v>
      </c>
      <c r="F3696">
        <v>135.38999999999999</v>
      </c>
      <c r="G3696">
        <v>176108.76</v>
      </c>
      <c r="H3696" s="14">
        <v>43768.833333333336</v>
      </c>
    </row>
    <row r="3697" spans="1:8" x14ac:dyDescent="0.25">
      <c r="A3697">
        <v>144</v>
      </c>
      <c r="B3697" t="s">
        <v>277</v>
      </c>
      <c r="C3697">
        <v>11</v>
      </c>
      <c r="D3697">
        <v>0</v>
      </c>
      <c r="E3697">
        <v>0</v>
      </c>
      <c r="F3697">
        <v>141.94</v>
      </c>
      <c r="G3697">
        <v>183222.17</v>
      </c>
      <c r="H3697" s="14">
        <v>43768.833333333336</v>
      </c>
    </row>
    <row r="3698" spans="1:8" x14ac:dyDescent="0.25">
      <c r="A3698">
        <v>144</v>
      </c>
      <c r="B3698" t="s">
        <v>277</v>
      </c>
      <c r="C3698">
        <v>12</v>
      </c>
      <c r="D3698">
        <v>0</v>
      </c>
      <c r="E3698">
        <v>0</v>
      </c>
      <c r="F3698">
        <v>140.6</v>
      </c>
      <c r="G3698">
        <v>176552.79</v>
      </c>
      <c r="H3698" s="14">
        <v>43768.833333333336</v>
      </c>
    </row>
    <row r="3699" spans="1:8" x14ac:dyDescent="0.25">
      <c r="A3699">
        <v>144</v>
      </c>
      <c r="B3699" t="s">
        <v>277</v>
      </c>
      <c r="C3699">
        <v>13</v>
      </c>
      <c r="D3699">
        <v>0</v>
      </c>
      <c r="E3699">
        <v>0</v>
      </c>
      <c r="F3699">
        <v>142.55000000000001</v>
      </c>
      <c r="G3699">
        <v>186604.31</v>
      </c>
      <c r="H3699" s="14">
        <v>43768.833333333336</v>
      </c>
    </row>
    <row r="3700" spans="1:8" x14ac:dyDescent="0.25">
      <c r="A3700">
        <v>144</v>
      </c>
      <c r="B3700" t="s">
        <v>277</v>
      </c>
      <c r="C3700">
        <v>14</v>
      </c>
      <c r="D3700">
        <v>0</v>
      </c>
      <c r="E3700">
        <v>0</v>
      </c>
      <c r="F3700">
        <v>140.6</v>
      </c>
      <c r="G3700">
        <v>184942.4</v>
      </c>
      <c r="H3700" s="14">
        <v>43768.833333333336</v>
      </c>
    </row>
    <row r="3701" spans="1:8" x14ac:dyDescent="0.25">
      <c r="A3701">
        <v>145</v>
      </c>
      <c r="B3701" t="s">
        <v>278</v>
      </c>
      <c r="C3701">
        <v>1</v>
      </c>
      <c r="D3701">
        <v>0</v>
      </c>
      <c r="E3701">
        <v>0</v>
      </c>
      <c r="F3701">
        <v>144.38999999999999</v>
      </c>
      <c r="G3701">
        <v>189365.67</v>
      </c>
      <c r="H3701" s="14">
        <v>43768.833333333336</v>
      </c>
    </row>
    <row r="3702" spans="1:8" x14ac:dyDescent="0.25">
      <c r="A3702">
        <v>145</v>
      </c>
      <c r="B3702" t="s">
        <v>278</v>
      </c>
      <c r="C3702">
        <v>2</v>
      </c>
      <c r="D3702">
        <v>0</v>
      </c>
      <c r="E3702">
        <v>0</v>
      </c>
      <c r="F3702">
        <v>138.34</v>
      </c>
      <c r="G3702">
        <v>182324.16</v>
      </c>
      <c r="H3702" s="14">
        <v>43768.833333333336</v>
      </c>
    </row>
    <row r="3703" spans="1:8" x14ac:dyDescent="0.25">
      <c r="A3703">
        <v>145</v>
      </c>
      <c r="B3703" t="s">
        <v>278</v>
      </c>
      <c r="C3703">
        <v>3</v>
      </c>
      <c r="D3703">
        <v>0</v>
      </c>
      <c r="E3703">
        <v>0</v>
      </c>
      <c r="F3703">
        <v>134.31</v>
      </c>
      <c r="G3703">
        <v>172315.3</v>
      </c>
      <c r="H3703" s="14">
        <v>43768.833333333336</v>
      </c>
    </row>
    <row r="3704" spans="1:8" x14ac:dyDescent="0.25">
      <c r="A3704">
        <v>145</v>
      </c>
      <c r="B3704" t="s">
        <v>278</v>
      </c>
      <c r="C3704">
        <v>4</v>
      </c>
      <c r="D3704">
        <v>0</v>
      </c>
      <c r="E3704">
        <v>0</v>
      </c>
      <c r="F3704">
        <v>136.08000000000001</v>
      </c>
      <c r="G3704">
        <v>181504.63</v>
      </c>
      <c r="H3704" s="14">
        <v>43768.833333333336</v>
      </c>
    </row>
    <row r="3705" spans="1:8" x14ac:dyDescent="0.25">
      <c r="A3705">
        <v>145</v>
      </c>
      <c r="B3705" t="s">
        <v>278</v>
      </c>
      <c r="C3705">
        <v>5</v>
      </c>
      <c r="D3705">
        <v>0</v>
      </c>
      <c r="E3705">
        <v>0</v>
      </c>
      <c r="F3705">
        <v>138.63999999999999</v>
      </c>
      <c r="G3705">
        <v>182218.15</v>
      </c>
      <c r="H3705" s="14">
        <v>43768.833333333336</v>
      </c>
    </row>
    <row r="3706" spans="1:8" x14ac:dyDescent="0.25">
      <c r="A3706">
        <v>145</v>
      </c>
      <c r="B3706" t="s">
        <v>278</v>
      </c>
      <c r="C3706">
        <v>6</v>
      </c>
      <c r="D3706">
        <v>0</v>
      </c>
      <c r="E3706">
        <v>0</v>
      </c>
      <c r="F3706">
        <v>127.54</v>
      </c>
      <c r="G3706">
        <v>167470.19</v>
      </c>
      <c r="H3706" s="14">
        <v>43768.833333333336</v>
      </c>
    </row>
    <row r="3707" spans="1:8" x14ac:dyDescent="0.25">
      <c r="A3707">
        <v>145</v>
      </c>
      <c r="B3707" t="s">
        <v>278</v>
      </c>
      <c r="C3707">
        <v>7</v>
      </c>
      <c r="D3707">
        <v>0</v>
      </c>
      <c r="E3707">
        <v>0</v>
      </c>
      <c r="F3707">
        <v>137.59</v>
      </c>
      <c r="G3707">
        <v>181219.82</v>
      </c>
      <c r="H3707" s="14">
        <v>43768.833333333336</v>
      </c>
    </row>
    <row r="3708" spans="1:8" x14ac:dyDescent="0.25">
      <c r="A3708">
        <v>145</v>
      </c>
      <c r="B3708" t="s">
        <v>278</v>
      </c>
      <c r="C3708">
        <v>8</v>
      </c>
      <c r="D3708">
        <v>0</v>
      </c>
      <c r="E3708">
        <v>0</v>
      </c>
      <c r="F3708">
        <v>136.29</v>
      </c>
      <c r="G3708">
        <v>178768.17</v>
      </c>
      <c r="H3708" s="14">
        <v>43768.833333333336</v>
      </c>
    </row>
    <row r="3709" spans="1:8" x14ac:dyDescent="0.25">
      <c r="A3709">
        <v>145</v>
      </c>
      <c r="B3709" t="s">
        <v>278</v>
      </c>
      <c r="C3709">
        <v>9</v>
      </c>
      <c r="D3709">
        <v>0</v>
      </c>
      <c r="E3709">
        <v>0</v>
      </c>
      <c r="F3709">
        <v>137.51</v>
      </c>
      <c r="G3709">
        <v>181026.94</v>
      </c>
      <c r="H3709" s="14">
        <v>43768.833333333336</v>
      </c>
    </row>
    <row r="3710" spans="1:8" x14ac:dyDescent="0.25">
      <c r="A3710">
        <v>145</v>
      </c>
      <c r="B3710" t="s">
        <v>278</v>
      </c>
      <c r="C3710">
        <v>10</v>
      </c>
      <c r="D3710">
        <v>0</v>
      </c>
      <c r="E3710">
        <v>0</v>
      </c>
      <c r="F3710">
        <v>132.97999999999999</v>
      </c>
      <c r="G3710">
        <v>164850.29</v>
      </c>
      <c r="H3710" s="14">
        <v>43768.833333333336</v>
      </c>
    </row>
    <row r="3711" spans="1:8" x14ac:dyDescent="0.25">
      <c r="A3711">
        <v>145</v>
      </c>
      <c r="B3711" t="s">
        <v>278</v>
      </c>
      <c r="C3711">
        <v>11</v>
      </c>
      <c r="D3711">
        <v>0</v>
      </c>
      <c r="E3711">
        <v>0</v>
      </c>
      <c r="F3711">
        <v>135.4</v>
      </c>
      <c r="G3711">
        <v>178609.14</v>
      </c>
      <c r="H3711" s="14">
        <v>43768.833333333336</v>
      </c>
    </row>
    <row r="3712" spans="1:8" x14ac:dyDescent="0.25">
      <c r="A3712">
        <v>145</v>
      </c>
      <c r="B3712" t="s">
        <v>278</v>
      </c>
      <c r="C3712">
        <v>12</v>
      </c>
      <c r="D3712">
        <v>0</v>
      </c>
      <c r="E3712">
        <v>0</v>
      </c>
      <c r="F3712">
        <v>136.86000000000001</v>
      </c>
      <c r="G3712">
        <v>178814.46</v>
      </c>
      <c r="H3712" s="14">
        <v>43768.833333333336</v>
      </c>
    </row>
    <row r="3713" spans="1:8" x14ac:dyDescent="0.25">
      <c r="A3713">
        <v>145</v>
      </c>
      <c r="B3713" t="s">
        <v>278</v>
      </c>
      <c r="C3713">
        <v>13</v>
      </c>
      <c r="D3713">
        <v>0</v>
      </c>
      <c r="E3713">
        <v>0</v>
      </c>
      <c r="F3713">
        <v>143.27000000000001</v>
      </c>
      <c r="G3713">
        <v>188023.34</v>
      </c>
      <c r="H3713" s="14">
        <v>43768.833333333336</v>
      </c>
    </row>
    <row r="3714" spans="1:8" x14ac:dyDescent="0.25">
      <c r="A3714">
        <v>145</v>
      </c>
      <c r="B3714" t="s">
        <v>278</v>
      </c>
      <c r="C3714">
        <v>14</v>
      </c>
      <c r="D3714">
        <v>0</v>
      </c>
      <c r="E3714">
        <v>0</v>
      </c>
      <c r="F3714">
        <v>118.14</v>
      </c>
      <c r="G3714">
        <v>148177.68</v>
      </c>
      <c r="H3714" s="14">
        <v>43768.833333333336</v>
      </c>
    </row>
    <row r="3715" spans="1:8" x14ac:dyDescent="0.25">
      <c r="A3715">
        <v>145</v>
      </c>
      <c r="B3715" t="s">
        <v>278</v>
      </c>
      <c r="C3715">
        <v>15</v>
      </c>
      <c r="D3715">
        <v>0</v>
      </c>
      <c r="E3715">
        <v>0</v>
      </c>
      <c r="F3715">
        <v>128.22</v>
      </c>
      <c r="G3715">
        <v>179302.04</v>
      </c>
      <c r="H3715" s="14">
        <v>43768.833333333336</v>
      </c>
    </row>
    <row r="3716" spans="1:8" x14ac:dyDescent="0.25">
      <c r="A3716">
        <v>146</v>
      </c>
      <c r="B3716" t="s">
        <v>279</v>
      </c>
      <c r="C3716">
        <v>1</v>
      </c>
      <c r="D3716">
        <v>0</v>
      </c>
      <c r="E3716">
        <v>0</v>
      </c>
      <c r="F3716">
        <v>137.30000000000001</v>
      </c>
      <c r="G3716">
        <v>177048.43</v>
      </c>
      <c r="H3716" s="14">
        <v>43768.833333333336</v>
      </c>
    </row>
    <row r="3717" spans="1:8" x14ac:dyDescent="0.25">
      <c r="A3717">
        <v>146</v>
      </c>
      <c r="B3717" t="s">
        <v>279</v>
      </c>
      <c r="C3717">
        <v>2</v>
      </c>
      <c r="D3717">
        <v>0</v>
      </c>
      <c r="E3717">
        <v>0</v>
      </c>
      <c r="F3717">
        <v>138.38999999999999</v>
      </c>
      <c r="G3717">
        <v>181845.73</v>
      </c>
      <c r="H3717" s="14">
        <v>43768.833333333336</v>
      </c>
    </row>
    <row r="3718" spans="1:8" x14ac:dyDescent="0.25">
      <c r="A3718">
        <v>146</v>
      </c>
      <c r="B3718" t="s">
        <v>279</v>
      </c>
      <c r="C3718">
        <v>3</v>
      </c>
      <c r="D3718">
        <v>0</v>
      </c>
      <c r="E3718">
        <v>0</v>
      </c>
      <c r="F3718">
        <v>135.84</v>
      </c>
      <c r="G3718">
        <v>177572.56</v>
      </c>
      <c r="H3718" s="14">
        <v>43768.833333333336</v>
      </c>
    </row>
    <row r="3719" spans="1:8" x14ac:dyDescent="0.25">
      <c r="A3719">
        <v>146</v>
      </c>
      <c r="B3719" t="s">
        <v>279</v>
      </c>
      <c r="C3719">
        <v>4</v>
      </c>
      <c r="D3719">
        <v>0</v>
      </c>
      <c r="E3719">
        <v>0</v>
      </c>
      <c r="F3719">
        <v>134.87</v>
      </c>
      <c r="G3719">
        <v>176375.64</v>
      </c>
      <c r="H3719" s="14">
        <v>43768.833333333336</v>
      </c>
    </row>
    <row r="3720" spans="1:8" x14ac:dyDescent="0.25">
      <c r="A3720">
        <v>146</v>
      </c>
      <c r="B3720" t="s">
        <v>279</v>
      </c>
      <c r="C3720">
        <v>5</v>
      </c>
      <c r="D3720">
        <v>0</v>
      </c>
      <c r="E3720">
        <v>0</v>
      </c>
      <c r="F3720">
        <v>138.6</v>
      </c>
      <c r="G3720">
        <v>179236.02</v>
      </c>
      <c r="H3720" s="14">
        <v>43768.833333333336</v>
      </c>
    </row>
    <row r="3721" spans="1:8" x14ac:dyDescent="0.25">
      <c r="A3721">
        <v>146</v>
      </c>
      <c r="B3721" t="s">
        <v>279</v>
      </c>
      <c r="C3721">
        <v>6</v>
      </c>
      <c r="D3721">
        <v>0</v>
      </c>
      <c r="E3721">
        <v>0</v>
      </c>
      <c r="F3721">
        <v>135.13</v>
      </c>
      <c r="G3721">
        <v>176631.06</v>
      </c>
      <c r="H3721" s="14">
        <v>43768.833333333336</v>
      </c>
    </row>
    <row r="3722" spans="1:8" x14ac:dyDescent="0.25">
      <c r="A3722">
        <v>146</v>
      </c>
      <c r="B3722" t="s">
        <v>279</v>
      </c>
      <c r="C3722">
        <v>7</v>
      </c>
      <c r="D3722">
        <v>0</v>
      </c>
      <c r="E3722">
        <v>0</v>
      </c>
      <c r="F3722">
        <v>134.91</v>
      </c>
      <c r="G3722">
        <v>177310.61</v>
      </c>
      <c r="H3722" s="14">
        <v>43768.833333333336</v>
      </c>
    </row>
    <row r="3723" spans="1:8" x14ac:dyDescent="0.25">
      <c r="A3723">
        <v>146</v>
      </c>
      <c r="B3723" t="s">
        <v>279</v>
      </c>
      <c r="C3723">
        <v>8</v>
      </c>
      <c r="D3723">
        <v>0</v>
      </c>
      <c r="E3723">
        <v>0</v>
      </c>
      <c r="F3723">
        <v>139.44</v>
      </c>
      <c r="G3723">
        <v>185094.86</v>
      </c>
      <c r="H3723" s="14">
        <v>43768.833333333336</v>
      </c>
    </row>
    <row r="3724" spans="1:8" x14ac:dyDescent="0.25">
      <c r="A3724">
        <v>146</v>
      </c>
      <c r="B3724" t="s">
        <v>279</v>
      </c>
      <c r="C3724">
        <v>9</v>
      </c>
      <c r="D3724">
        <v>0</v>
      </c>
      <c r="E3724">
        <v>0</v>
      </c>
      <c r="F3724">
        <v>139.29</v>
      </c>
      <c r="G3724">
        <v>183205.5</v>
      </c>
      <c r="H3724" s="14">
        <v>43768.833333333336</v>
      </c>
    </row>
    <row r="3725" spans="1:8" x14ac:dyDescent="0.25">
      <c r="A3725">
        <v>147</v>
      </c>
      <c r="B3725" t="s">
        <v>280</v>
      </c>
      <c r="C3725">
        <v>1</v>
      </c>
      <c r="D3725">
        <v>0</v>
      </c>
      <c r="E3725">
        <v>0</v>
      </c>
      <c r="F3725">
        <v>116.99</v>
      </c>
      <c r="G3725">
        <v>176057.96</v>
      </c>
      <c r="H3725" s="14">
        <v>43768.833333333336</v>
      </c>
    </row>
    <row r="3726" spans="1:8" x14ac:dyDescent="0.25">
      <c r="A3726">
        <v>147</v>
      </c>
      <c r="B3726" t="s">
        <v>280</v>
      </c>
      <c r="C3726">
        <v>2</v>
      </c>
      <c r="D3726">
        <v>0</v>
      </c>
      <c r="E3726">
        <v>0</v>
      </c>
      <c r="F3726">
        <v>117.49</v>
      </c>
      <c r="G3726">
        <v>26662.69</v>
      </c>
      <c r="H3726" s="14">
        <v>43768.833333333336</v>
      </c>
    </row>
    <row r="3727" spans="1:8" x14ac:dyDescent="0.25">
      <c r="A3727">
        <v>147</v>
      </c>
      <c r="B3727" t="s">
        <v>280</v>
      </c>
      <c r="C3727">
        <v>3</v>
      </c>
      <c r="D3727">
        <v>0</v>
      </c>
      <c r="E3727">
        <v>0</v>
      </c>
      <c r="F3727">
        <v>109.54</v>
      </c>
      <c r="G3727">
        <v>170907.54</v>
      </c>
      <c r="H3727" s="14">
        <v>43768.833333333336</v>
      </c>
    </row>
    <row r="3728" spans="1:8" x14ac:dyDescent="0.25">
      <c r="A3728">
        <v>147</v>
      </c>
      <c r="B3728" t="s">
        <v>280</v>
      </c>
      <c r="C3728">
        <v>4</v>
      </c>
      <c r="D3728">
        <v>0</v>
      </c>
      <c r="E3728">
        <v>0</v>
      </c>
      <c r="F3728">
        <v>108.04</v>
      </c>
      <c r="G3728">
        <v>169827.43</v>
      </c>
      <c r="H3728" s="14">
        <v>43768.833333333336</v>
      </c>
    </row>
    <row r="3729" spans="1:8" x14ac:dyDescent="0.25">
      <c r="A3729">
        <v>147</v>
      </c>
      <c r="B3729" t="s">
        <v>280</v>
      </c>
      <c r="C3729">
        <v>5</v>
      </c>
      <c r="D3729">
        <v>0</v>
      </c>
      <c r="E3729">
        <v>0</v>
      </c>
      <c r="F3729">
        <v>120.6</v>
      </c>
      <c r="G3729">
        <v>173083.91</v>
      </c>
      <c r="H3729" s="14">
        <v>43768.833333333336</v>
      </c>
    </row>
    <row r="3730" spans="1:8" x14ac:dyDescent="0.25">
      <c r="A3730">
        <v>147</v>
      </c>
      <c r="B3730" t="s">
        <v>280</v>
      </c>
      <c r="C3730">
        <v>6</v>
      </c>
      <c r="D3730">
        <v>0</v>
      </c>
      <c r="E3730">
        <v>0</v>
      </c>
      <c r="F3730">
        <v>110.36</v>
      </c>
      <c r="G3730">
        <v>164493.91</v>
      </c>
      <c r="H3730" s="14">
        <v>43768.833333333336</v>
      </c>
    </row>
    <row r="3731" spans="1:8" x14ac:dyDescent="0.25">
      <c r="A3731">
        <v>147</v>
      </c>
      <c r="B3731" t="s">
        <v>280</v>
      </c>
      <c r="C3731">
        <v>7</v>
      </c>
      <c r="D3731">
        <v>0</v>
      </c>
      <c r="E3731">
        <v>0</v>
      </c>
      <c r="F3731">
        <v>111.39</v>
      </c>
      <c r="G3731">
        <v>154989.9</v>
      </c>
      <c r="H3731" s="14">
        <v>43768.833333333336</v>
      </c>
    </row>
    <row r="3732" spans="1:8" x14ac:dyDescent="0.25">
      <c r="A3732">
        <v>147</v>
      </c>
      <c r="B3732" t="s">
        <v>280</v>
      </c>
      <c r="C3732">
        <v>8</v>
      </c>
      <c r="D3732">
        <v>0</v>
      </c>
      <c r="E3732">
        <v>0</v>
      </c>
      <c r="F3732">
        <v>121.64</v>
      </c>
      <c r="G3732">
        <v>173969.24</v>
      </c>
      <c r="H3732" s="14">
        <v>43768.833333333336</v>
      </c>
    </row>
    <row r="3733" spans="1:8" x14ac:dyDescent="0.25">
      <c r="A3733">
        <v>147</v>
      </c>
      <c r="B3733" t="s">
        <v>280</v>
      </c>
      <c r="C3733">
        <v>9</v>
      </c>
      <c r="D3733">
        <v>0</v>
      </c>
      <c r="E3733">
        <v>0</v>
      </c>
      <c r="F3733">
        <v>116.46</v>
      </c>
      <c r="G3733">
        <v>166628.92000000001</v>
      </c>
      <c r="H3733" s="14">
        <v>43768.833333333336</v>
      </c>
    </row>
    <row r="3734" spans="1:8" x14ac:dyDescent="0.25">
      <c r="A3734">
        <v>148</v>
      </c>
      <c r="B3734" t="s">
        <v>281</v>
      </c>
      <c r="C3734">
        <v>1</v>
      </c>
      <c r="D3734">
        <v>0</v>
      </c>
      <c r="E3734">
        <v>0</v>
      </c>
      <c r="F3734">
        <v>138.19999999999999</v>
      </c>
      <c r="G3734">
        <v>34610.400000000001</v>
      </c>
      <c r="H3734" s="14">
        <v>43768.833333333336</v>
      </c>
    </row>
    <row r="3735" spans="1:8" x14ac:dyDescent="0.25">
      <c r="A3735">
        <v>148</v>
      </c>
      <c r="B3735" t="s">
        <v>281</v>
      </c>
      <c r="C3735">
        <v>2</v>
      </c>
      <c r="D3735">
        <v>0</v>
      </c>
      <c r="E3735">
        <v>0</v>
      </c>
      <c r="F3735">
        <v>119.4</v>
      </c>
      <c r="G3735">
        <v>12123.4</v>
      </c>
      <c r="H3735" s="14">
        <v>43768.833333333336</v>
      </c>
    </row>
    <row r="3736" spans="1:8" x14ac:dyDescent="0.25">
      <c r="A3736">
        <v>148</v>
      </c>
      <c r="B3736" t="s">
        <v>281</v>
      </c>
      <c r="C3736">
        <v>3</v>
      </c>
      <c r="D3736">
        <v>0</v>
      </c>
      <c r="E3736">
        <v>0</v>
      </c>
      <c r="F3736">
        <v>109.9</v>
      </c>
      <c r="G3736">
        <v>40102.400000000001</v>
      </c>
      <c r="H3736" s="14">
        <v>43768.833333333336</v>
      </c>
    </row>
    <row r="3737" spans="1:8" x14ac:dyDescent="0.25">
      <c r="A3737">
        <v>148</v>
      </c>
      <c r="B3737" t="s">
        <v>281</v>
      </c>
      <c r="C3737">
        <v>4</v>
      </c>
      <c r="D3737">
        <v>0</v>
      </c>
      <c r="E3737">
        <v>0</v>
      </c>
      <c r="F3737">
        <v>126.8</v>
      </c>
      <c r="G3737">
        <v>50736.3</v>
      </c>
      <c r="H3737" s="14">
        <v>43768.833333333336</v>
      </c>
    </row>
    <row r="3738" spans="1:8" x14ac:dyDescent="0.25">
      <c r="A3738">
        <v>148</v>
      </c>
      <c r="B3738" t="s">
        <v>281</v>
      </c>
      <c r="C3738">
        <v>5</v>
      </c>
      <c r="D3738">
        <v>0</v>
      </c>
      <c r="E3738">
        <v>0</v>
      </c>
      <c r="F3738">
        <v>116.2</v>
      </c>
      <c r="G3738">
        <v>58654.5</v>
      </c>
      <c r="H3738" s="14">
        <v>43768.833333333336</v>
      </c>
    </row>
    <row r="3739" spans="1:8" x14ac:dyDescent="0.25">
      <c r="A3739">
        <v>148</v>
      </c>
      <c r="B3739" t="s">
        <v>281</v>
      </c>
      <c r="C3739">
        <v>6</v>
      </c>
      <c r="D3739">
        <v>0</v>
      </c>
      <c r="E3739">
        <v>0</v>
      </c>
      <c r="F3739">
        <v>103</v>
      </c>
      <c r="G3739">
        <v>53741.4</v>
      </c>
      <c r="H3739" s="14">
        <v>43768.833333333336</v>
      </c>
    </row>
    <row r="3740" spans="1:8" x14ac:dyDescent="0.25">
      <c r="A3740">
        <v>148</v>
      </c>
      <c r="B3740" t="s">
        <v>281</v>
      </c>
      <c r="C3740">
        <v>7</v>
      </c>
      <c r="D3740">
        <v>0</v>
      </c>
      <c r="E3740">
        <v>0</v>
      </c>
      <c r="F3740">
        <v>132.19999999999999</v>
      </c>
      <c r="G3740">
        <v>64529.9</v>
      </c>
      <c r="H3740" s="14">
        <v>43768.833333333336</v>
      </c>
    </row>
    <row r="3741" spans="1:8" x14ac:dyDescent="0.25">
      <c r="A3741">
        <v>148</v>
      </c>
      <c r="B3741" t="s">
        <v>281</v>
      </c>
      <c r="C3741">
        <v>8</v>
      </c>
      <c r="D3741">
        <v>0</v>
      </c>
      <c r="E3741">
        <v>0</v>
      </c>
      <c r="F3741">
        <v>129.69999999999999</v>
      </c>
      <c r="G3741">
        <v>64005.599999999999</v>
      </c>
      <c r="H3741" s="14">
        <v>43768.833333333336</v>
      </c>
    </row>
    <row r="3742" spans="1:8" x14ac:dyDescent="0.25">
      <c r="A3742">
        <v>148</v>
      </c>
      <c r="B3742" t="s">
        <v>281</v>
      </c>
      <c r="C3742">
        <v>9</v>
      </c>
      <c r="D3742">
        <v>0</v>
      </c>
      <c r="E3742">
        <v>0</v>
      </c>
      <c r="F3742">
        <v>141.1</v>
      </c>
      <c r="G3742">
        <v>71982</v>
      </c>
      <c r="H3742" s="14">
        <v>43768.833333333336</v>
      </c>
    </row>
    <row r="3743" spans="1:8" x14ac:dyDescent="0.25">
      <c r="A3743">
        <v>148</v>
      </c>
      <c r="B3743" t="s">
        <v>281</v>
      </c>
      <c r="C3743">
        <v>10</v>
      </c>
      <c r="D3743">
        <v>0</v>
      </c>
      <c r="E3743">
        <v>0</v>
      </c>
      <c r="F3743">
        <v>114.3</v>
      </c>
      <c r="G3743">
        <v>66534.7</v>
      </c>
      <c r="H3743" s="14">
        <v>43768.833333333336</v>
      </c>
    </row>
    <row r="3744" spans="1:8" x14ac:dyDescent="0.25">
      <c r="A3744">
        <v>149</v>
      </c>
      <c r="B3744" t="s">
        <v>282</v>
      </c>
      <c r="C3744">
        <v>1</v>
      </c>
      <c r="D3744">
        <v>0</v>
      </c>
      <c r="E3744">
        <v>0</v>
      </c>
      <c r="F3744">
        <v>111.28</v>
      </c>
      <c r="G3744">
        <v>54959.87</v>
      </c>
      <c r="H3744" s="14">
        <v>43768.833333333336</v>
      </c>
    </row>
    <row r="3745" spans="1:8" x14ac:dyDescent="0.25">
      <c r="A3745">
        <v>149</v>
      </c>
      <c r="B3745" t="s">
        <v>282</v>
      </c>
      <c r="C3745">
        <v>2</v>
      </c>
      <c r="D3745">
        <v>0</v>
      </c>
      <c r="E3745">
        <v>0</v>
      </c>
      <c r="F3745">
        <v>111.74</v>
      </c>
      <c r="G3745">
        <v>56420.03</v>
      </c>
      <c r="H3745" s="14">
        <v>43768.833333333336</v>
      </c>
    </row>
    <row r="3746" spans="1:8" x14ac:dyDescent="0.25">
      <c r="A3746">
        <v>149</v>
      </c>
      <c r="B3746" t="s">
        <v>282</v>
      </c>
      <c r="C3746">
        <v>3</v>
      </c>
      <c r="D3746">
        <v>0</v>
      </c>
      <c r="E3746">
        <v>0</v>
      </c>
      <c r="F3746">
        <v>108.92</v>
      </c>
      <c r="G3746">
        <v>55249.8</v>
      </c>
      <c r="H3746" s="14">
        <v>43768.833333333336</v>
      </c>
    </row>
    <row r="3747" spans="1:8" x14ac:dyDescent="0.25">
      <c r="A3747">
        <v>149</v>
      </c>
      <c r="B3747" t="s">
        <v>282</v>
      </c>
      <c r="C3747">
        <v>4</v>
      </c>
      <c r="D3747">
        <v>0</v>
      </c>
      <c r="E3747">
        <v>0</v>
      </c>
      <c r="F3747">
        <v>79.989999999999995</v>
      </c>
      <c r="G3747">
        <v>48643.71</v>
      </c>
      <c r="H3747" s="14">
        <v>43768.833333333336</v>
      </c>
    </row>
    <row r="3748" spans="1:8" x14ac:dyDescent="0.25">
      <c r="A3748">
        <v>149</v>
      </c>
      <c r="B3748" t="s">
        <v>282</v>
      </c>
      <c r="C3748">
        <v>5</v>
      </c>
      <c r="D3748">
        <v>0</v>
      </c>
      <c r="E3748">
        <v>0</v>
      </c>
      <c r="F3748">
        <v>129.9</v>
      </c>
      <c r="G3748">
        <v>56798.85</v>
      </c>
      <c r="H3748" s="14">
        <v>43768.833333333336</v>
      </c>
    </row>
    <row r="3749" spans="1:8" x14ac:dyDescent="0.25">
      <c r="A3749">
        <v>149</v>
      </c>
      <c r="B3749" t="s">
        <v>282</v>
      </c>
      <c r="C3749">
        <v>6</v>
      </c>
      <c r="D3749">
        <v>0</v>
      </c>
      <c r="E3749">
        <v>0</v>
      </c>
      <c r="F3749">
        <v>43.22</v>
      </c>
      <c r="G3749">
        <v>27175.29</v>
      </c>
      <c r="H3749" s="14">
        <v>43768.833333333336</v>
      </c>
    </row>
    <row r="3750" spans="1:8" x14ac:dyDescent="0.25">
      <c r="A3750">
        <v>149</v>
      </c>
      <c r="B3750" t="s">
        <v>282</v>
      </c>
      <c r="C3750">
        <v>7</v>
      </c>
      <c r="D3750">
        <v>0</v>
      </c>
      <c r="E3750">
        <v>0</v>
      </c>
      <c r="F3750">
        <v>42.82</v>
      </c>
      <c r="G3750">
        <v>26849.69</v>
      </c>
      <c r="H3750" s="14">
        <v>43768.833333333336</v>
      </c>
    </row>
    <row r="3751" spans="1:8" x14ac:dyDescent="0.25">
      <c r="A3751">
        <v>150</v>
      </c>
      <c r="B3751" t="s">
        <v>283</v>
      </c>
      <c r="C3751">
        <v>1</v>
      </c>
      <c r="D3751">
        <v>0</v>
      </c>
      <c r="E3751">
        <v>0</v>
      </c>
      <c r="F3751">
        <v>118.37</v>
      </c>
      <c r="G3751">
        <v>58042.9</v>
      </c>
      <c r="H3751" s="14">
        <v>43768.833333333336</v>
      </c>
    </row>
    <row r="3752" spans="1:8" x14ac:dyDescent="0.25">
      <c r="A3752">
        <v>150</v>
      </c>
      <c r="B3752" t="s">
        <v>283</v>
      </c>
      <c r="C3752">
        <v>2</v>
      </c>
      <c r="D3752">
        <v>0</v>
      </c>
      <c r="E3752">
        <v>0</v>
      </c>
      <c r="F3752">
        <v>119.8</v>
      </c>
      <c r="G3752">
        <v>58777.73</v>
      </c>
      <c r="H3752" s="14">
        <v>43768.833333333336</v>
      </c>
    </row>
    <row r="3753" spans="1:8" x14ac:dyDescent="0.25">
      <c r="A3753">
        <v>150</v>
      </c>
      <c r="B3753" t="s">
        <v>283</v>
      </c>
      <c r="C3753">
        <v>3</v>
      </c>
      <c r="D3753">
        <v>0</v>
      </c>
      <c r="E3753">
        <v>0</v>
      </c>
      <c r="F3753">
        <v>125.58</v>
      </c>
      <c r="G3753">
        <v>61793.04</v>
      </c>
      <c r="H3753" s="14">
        <v>43768.833333333336</v>
      </c>
    </row>
    <row r="3754" spans="1:8" x14ac:dyDescent="0.25">
      <c r="A3754">
        <v>150</v>
      </c>
      <c r="B3754" t="s">
        <v>283</v>
      </c>
      <c r="C3754">
        <v>4</v>
      </c>
      <c r="D3754">
        <v>0</v>
      </c>
      <c r="E3754">
        <v>0</v>
      </c>
      <c r="F3754">
        <v>94.62</v>
      </c>
      <c r="G3754">
        <v>55955.03</v>
      </c>
      <c r="H3754" s="14">
        <v>43768.833333333336</v>
      </c>
    </row>
    <row r="3755" spans="1:8" x14ac:dyDescent="0.25">
      <c r="A3755">
        <v>150</v>
      </c>
      <c r="B3755" t="s">
        <v>283</v>
      </c>
      <c r="C3755">
        <v>5</v>
      </c>
      <c r="D3755">
        <v>0</v>
      </c>
      <c r="E3755">
        <v>0</v>
      </c>
      <c r="F3755">
        <v>139.13999999999999</v>
      </c>
      <c r="G3755">
        <v>60131.71</v>
      </c>
      <c r="H3755" s="14">
        <v>43768.833333333336</v>
      </c>
    </row>
    <row r="3756" spans="1:8" x14ac:dyDescent="0.25">
      <c r="A3756">
        <v>151</v>
      </c>
      <c r="B3756" t="s">
        <v>284</v>
      </c>
      <c r="C3756">
        <v>1</v>
      </c>
      <c r="D3756">
        <v>0</v>
      </c>
      <c r="E3756">
        <v>0</v>
      </c>
      <c r="F3756">
        <v>141.5</v>
      </c>
      <c r="G3756">
        <v>51594.1</v>
      </c>
      <c r="H3756" s="14">
        <v>43768.833333333336</v>
      </c>
    </row>
    <row r="3757" spans="1:8" x14ac:dyDescent="0.25">
      <c r="A3757">
        <v>151</v>
      </c>
      <c r="B3757" t="s">
        <v>284</v>
      </c>
      <c r="C3757">
        <v>2</v>
      </c>
      <c r="D3757">
        <v>0</v>
      </c>
      <c r="E3757">
        <v>0</v>
      </c>
      <c r="F3757">
        <v>137.80000000000001</v>
      </c>
      <c r="G3757">
        <v>48787.8</v>
      </c>
      <c r="H3757" s="14">
        <v>43768.833333333336</v>
      </c>
    </row>
    <row r="3758" spans="1:8" x14ac:dyDescent="0.25">
      <c r="A3758">
        <v>151</v>
      </c>
      <c r="B3758" t="s">
        <v>284</v>
      </c>
      <c r="C3758">
        <v>3</v>
      </c>
      <c r="D3758">
        <v>0</v>
      </c>
      <c r="E3758">
        <v>0</v>
      </c>
      <c r="F3758">
        <v>134.9</v>
      </c>
      <c r="G3758">
        <v>36683</v>
      </c>
      <c r="H3758" s="14">
        <v>43768.833333333336</v>
      </c>
    </row>
    <row r="3759" spans="1:8" x14ac:dyDescent="0.25">
      <c r="A3759">
        <v>151</v>
      </c>
      <c r="B3759" t="s">
        <v>284</v>
      </c>
      <c r="C3759">
        <v>4</v>
      </c>
      <c r="D3759">
        <v>0</v>
      </c>
      <c r="E3759">
        <v>0</v>
      </c>
      <c r="F3759">
        <v>151.80000000000001</v>
      </c>
      <c r="G3759">
        <v>51376</v>
      </c>
      <c r="H3759" s="14">
        <v>43768.833333333336</v>
      </c>
    </row>
    <row r="3760" spans="1:8" x14ac:dyDescent="0.25">
      <c r="A3760">
        <v>151</v>
      </c>
      <c r="B3760" t="s">
        <v>284</v>
      </c>
      <c r="C3760">
        <v>5</v>
      </c>
      <c r="D3760">
        <v>0</v>
      </c>
      <c r="E3760">
        <v>0</v>
      </c>
      <c r="F3760">
        <v>153.80000000000001</v>
      </c>
      <c r="G3760">
        <v>53073.3</v>
      </c>
      <c r="H3760" s="14">
        <v>43768.833333333336</v>
      </c>
    </row>
    <row r="3761" spans="1:8" x14ac:dyDescent="0.25">
      <c r="A3761">
        <v>151</v>
      </c>
      <c r="B3761" t="s">
        <v>284</v>
      </c>
      <c r="C3761">
        <v>6</v>
      </c>
      <c r="D3761">
        <v>0</v>
      </c>
      <c r="E3761">
        <v>0</v>
      </c>
      <c r="F3761">
        <v>107.9</v>
      </c>
      <c r="G3761">
        <v>36810.6</v>
      </c>
      <c r="H3761" s="14">
        <v>43768.833333333336</v>
      </c>
    </row>
    <row r="3762" spans="1:8" x14ac:dyDescent="0.25">
      <c r="A3762">
        <v>152</v>
      </c>
      <c r="B3762" t="s">
        <v>285</v>
      </c>
      <c r="C3762">
        <v>1</v>
      </c>
      <c r="D3762">
        <v>0</v>
      </c>
      <c r="E3762">
        <v>0</v>
      </c>
      <c r="F3762">
        <v>124.81</v>
      </c>
      <c r="G3762">
        <v>52075.47</v>
      </c>
      <c r="H3762" s="14">
        <v>43768.833333333336</v>
      </c>
    </row>
    <row r="3763" spans="1:8" x14ac:dyDescent="0.25">
      <c r="A3763">
        <v>152</v>
      </c>
      <c r="B3763" t="s">
        <v>285</v>
      </c>
      <c r="C3763">
        <v>2</v>
      </c>
      <c r="D3763">
        <v>0</v>
      </c>
      <c r="E3763">
        <v>0</v>
      </c>
      <c r="F3763">
        <v>129.13</v>
      </c>
      <c r="G3763">
        <v>53785.3</v>
      </c>
      <c r="H3763" s="14">
        <v>43768.833333333336</v>
      </c>
    </row>
    <row r="3764" spans="1:8" x14ac:dyDescent="0.25">
      <c r="A3764">
        <v>152</v>
      </c>
      <c r="B3764" t="s">
        <v>285</v>
      </c>
      <c r="C3764">
        <v>3</v>
      </c>
      <c r="D3764">
        <v>0</v>
      </c>
      <c r="E3764">
        <v>0</v>
      </c>
      <c r="F3764">
        <v>128.44999999999999</v>
      </c>
      <c r="G3764">
        <v>53737.39</v>
      </c>
      <c r="H3764" s="14">
        <v>43768.833333333336</v>
      </c>
    </row>
    <row r="3765" spans="1:8" x14ac:dyDescent="0.25">
      <c r="A3765">
        <v>152</v>
      </c>
      <c r="B3765" t="s">
        <v>285</v>
      </c>
      <c r="C3765">
        <v>4</v>
      </c>
      <c r="D3765">
        <v>0</v>
      </c>
      <c r="E3765">
        <v>0</v>
      </c>
      <c r="F3765">
        <v>126.37</v>
      </c>
      <c r="G3765">
        <v>53127.74</v>
      </c>
      <c r="H3765" s="14">
        <v>43768.833333333336</v>
      </c>
    </row>
    <row r="3766" spans="1:8" x14ac:dyDescent="0.25">
      <c r="A3766">
        <v>152</v>
      </c>
      <c r="B3766" t="s">
        <v>285</v>
      </c>
      <c r="C3766">
        <v>5</v>
      </c>
      <c r="D3766">
        <v>0</v>
      </c>
      <c r="E3766">
        <v>0</v>
      </c>
      <c r="F3766">
        <v>120.18</v>
      </c>
      <c r="G3766">
        <v>50495.46</v>
      </c>
      <c r="H3766" s="14">
        <v>43768.833333333336</v>
      </c>
    </row>
    <row r="3767" spans="1:8" x14ac:dyDescent="0.25">
      <c r="A3767">
        <v>152</v>
      </c>
      <c r="B3767" t="s">
        <v>285</v>
      </c>
      <c r="C3767">
        <v>6</v>
      </c>
      <c r="D3767">
        <v>0</v>
      </c>
      <c r="E3767">
        <v>0</v>
      </c>
      <c r="F3767">
        <v>123.27</v>
      </c>
      <c r="G3767">
        <v>51393.82</v>
      </c>
      <c r="H3767" s="14">
        <v>43768.833333333336</v>
      </c>
    </row>
    <row r="3768" spans="1:8" x14ac:dyDescent="0.25">
      <c r="A3768">
        <v>152</v>
      </c>
      <c r="B3768" t="s">
        <v>285</v>
      </c>
      <c r="C3768">
        <v>7</v>
      </c>
      <c r="D3768">
        <v>0</v>
      </c>
      <c r="E3768">
        <v>0</v>
      </c>
      <c r="F3768">
        <v>128.72999999999999</v>
      </c>
      <c r="G3768">
        <v>54069.54</v>
      </c>
      <c r="H3768" s="14">
        <v>43768.833333333336</v>
      </c>
    </row>
    <row r="3769" spans="1:8" x14ac:dyDescent="0.25">
      <c r="A3769">
        <v>152</v>
      </c>
      <c r="B3769" t="s">
        <v>285</v>
      </c>
      <c r="C3769">
        <v>8</v>
      </c>
      <c r="D3769">
        <v>0</v>
      </c>
      <c r="E3769">
        <v>0</v>
      </c>
      <c r="F3769">
        <v>124.93</v>
      </c>
      <c r="G3769">
        <v>51707.51</v>
      </c>
      <c r="H3769" s="14">
        <v>43768.833333333336</v>
      </c>
    </row>
    <row r="3770" spans="1:8" x14ac:dyDescent="0.25">
      <c r="A3770">
        <v>152</v>
      </c>
      <c r="B3770" t="s">
        <v>285</v>
      </c>
      <c r="C3770">
        <v>9</v>
      </c>
      <c r="D3770">
        <v>0</v>
      </c>
      <c r="E3770">
        <v>0</v>
      </c>
      <c r="F3770">
        <v>119.98</v>
      </c>
      <c r="G3770">
        <v>49715.53</v>
      </c>
      <c r="H3770" s="14">
        <v>43768.833333333336</v>
      </c>
    </row>
    <row r="3771" spans="1:8" x14ac:dyDescent="0.25">
      <c r="A3771">
        <v>152</v>
      </c>
      <c r="B3771" t="s">
        <v>285</v>
      </c>
      <c r="C3771">
        <v>10</v>
      </c>
      <c r="D3771">
        <v>0</v>
      </c>
      <c r="E3771">
        <v>0</v>
      </c>
      <c r="F3771">
        <v>125.2</v>
      </c>
      <c r="G3771">
        <v>52028.800000000003</v>
      </c>
      <c r="H3771" s="14">
        <v>43768.833333333336</v>
      </c>
    </row>
    <row r="3772" spans="1:8" x14ac:dyDescent="0.25">
      <c r="A3772">
        <v>153</v>
      </c>
      <c r="B3772" t="s">
        <v>286</v>
      </c>
      <c r="C3772">
        <v>1</v>
      </c>
      <c r="D3772">
        <v>0</v>
      </c>
      <c r="E3772">
        <v>0</v>
      </c>
      <c r="F3772">
        <v>128.93</v>
      </c>
      <c r="G3772">
        <v>51647.58</v>
      </c>
      <c r="H3772" s="14">
        <v>43768.833333333336</v>
      </c>
    </row>
    <row r="3773" spans="1:8" x14ac:dyDescent="0.25">
      <c r="A3773">
        <v>153</v>
      </c>
      <c r="B3773" t="s">
        <v>286</v>
      </c>
      <c r="C3773">
        <v>2</v>
      </c>
      <c r="D3773">
        <v>0</v>
      </c>
      <c r="E3773">
        <v>0</v>
      </c>
      <c r="F3773">
        <v>126.04</v>
      </c>
      <c r="G3773">
        <v>51282.46</v>
      </c>
      <c r="H3773" s="14">
        <v>43768.833333333336</v>
      </c>
    </row>
    <row r="3774" spans="1:8" x14ac:dyDescent="0.25">
      <c r="A3774">
        <v>153</v>
      </c>
      <c r="B3774" t="s">
        <v>286</v>
      </c>
      <c r="C3774">
        <v>3</v>
      </c>
      <c r="D3774">
        <v>0</v>
      </c>
      <c r="E3774">
        <v>0</v>
      </c>
      <c r="F3774">
        <v>135.33000000000001</v>
      </c>
      <c r="G3774">
        <v>56929.18</v>
      </c>
      <c r="H3774" s="14">
        <v>43768.833333333336</v>
      </c>
    </row>
    <row r="3775" spans="1:8" x14ac:dyDescent="0.25">
      <c r="A3775">
        <v>153</v>
      </c>
      <c r="B3775" t="s">
        <v>286</v>
      </c>
      <c r="C3775">
        <v>4</v>
      </c>
      <c r="D3775">
        <v>0</v>
      </c>
      <c r="E3775">
        <v>0</v>
      </c>
      <c r="F3775">
        <v>130.13</v>
      </c>
      <c r="G3775">
        <v>54829.22</v>
      </c>
      <c r="H3775" s="14">
        <v>43768.833333333336</v>
      </c>
    </row>
    <row r="3776" spans="1:8" x14ac:dyDescent="0.25">
      <c r="A3776">
        <v>153</v>
      </c>
      <c r="B3776" t="s">
        <v>286</v>
      </c>
      <c r="C3776">
        <v>5</v>
      </c>
      <c r="D3776">
        <v>0</v>
      </c>
      <c r="E3776">
        <v>0</v>
      </c>
      <c r="F3776">
        <v>133.43</v>
      </c>
      <c r="G3776">
        <v>53356.75</v>
      </c>
      <c r="H3776" s="14">
        <v>43768.833333333336</v>
      </c>
    </row>
    <row r="3777" spans="1:8" x14ac:dyDescent="0.25">
      <c r="A3777">
        <v>153</v>
      </c>
      <c r="B3777" t="s">
        <v>286</v>
      </c>
      <c r="C3777">
        <v>6</v>
      </c>
      <c r="D3777">
        <v>0</v>
      </c>
      <c r="E3777">
        <v>0</v>
      </c>
      <c r="F3777">
        <v>143.27000000000001</v>
      </c>
      <c r="G3777">
        <v>54679.07</v>
      </c>
      <c r="H3777" s="14">
        <v>43768.833333333336</v>
      </c>
    </row>
    <row r="3778" spans="1:8" x14ac:dyDescent="0.25">
      <c r="A3778">
        <v>154</v>
      </c>
      <c r="B3778" t="s">
        <v>287</v>
      </c>
      <c r="C3778">
        <v>1</v>
      </c>
      <c r="D3778">
        <v>0</v>
      </c>
      <c r="E3778">
        <v>0</v>
      </c>
      <c r="F3778">
        <v>14.1</v>
      </c>
      <c r="G3778">
        <v>6594</v>
      </c>
      <c r="H3778" s="14">
        <v>43768.833333333336</v>
      </c>
    </row>
    <row r="3779" spans="1:8" x14ac:dyDescent="0.25">
      <c r="A3779">
        <v>154</v>
      </c>
      <c r="B3779" t="s">
        <v>287</v>
      </c>
      <c r="C3779">
        <v>2</v>
      </c>
      <c r="D3779">
        <v>0</v>
      </c>
      <c r="E3779">
        <v>0</v>
      </c>
      <c r="F3779">
        <v>14.19</v>
      </c>
      <c r="G3779">
        <v>6599</v>
      </c>
      <c r="H3779" s="14">
        <v>43768.833333333336</v>
      </c>
    </row>
    <row r="3780" spans="1:8" x14ac:dyDescent="0.25">
      <c r="A3780">
        <v>154</v>
      </c>
      <c r="B3780" t="s">
        <v>287</v>
      </c>
      <c r="C3780">
        <v>3</v>
      </c>
      <c r="D3780">
        <v>0</v>
      </c>
      <c r="E3780">
        <v>0</v>
      </c>
      <c r="F3780">
        <v>14.08</v>
      </c>
      <c r="G3780">
        <v>6474.72</v>
      </c>
      <c r="H3780" s="14">
        <v>43768.833333333336</v>
      </c>
    </row>
    <row r="3781" spans="1:8" x14ac:dyDescent="0.25">
      <c r="A3781">
        <v>154</v>
      </c>
      <c r="B3781" t="s">
        <v>287</v>
      </c>
      <c r="C3781">
        <v>4</v>
      </c>
      <c r="D3781">
        <v>0</v>
      </c>
      <c r="E3781">
        <v>0</v>
      </c>
      <c r="F3781">
        <v>0</v>
      </c>
      <c r="G3781">
        <v>6228.49</v>
      </c>
      <c r="H3781" s="14">
        <v>43768.833333333336</v>
      </c>
    </row>
    <row r="3782" spans="1:8" x14ac:dyDescent="0.25">
      <c r="A3782">
        <v>154</v>
      </c>
      <c r="B3782" t="s">
        <v>287</v>
      </c>
      <c r="C3782">
        <v>5</v>
      </c>
      <c r="D3782">
        <v>0</v>
      </c>
      <c r="E3782">
        <v>0</v>
      </c>
      <c r="F3782">
        <v>14.33</v>
      </c>
      <c r="G3782">
        <v>6894.28</v>
      </c>
      <c r="H3782" s="14">
        <v>43768.833333333336</v>
      </c>
    </row>
    <row r="3783" spans="1:8" x14ac:dyDescent="0.25">
      <c r="A3783">
        <v>154</v>
      </c>
      <c r="B3783" t="s">
        <v>287</v>
      </c>
      <c r="C3783">
        <v>6</v>
      </c>
      <c r="D3783">
        <v>0</v>
      </c>
      <c r="E3783">
        <v>0</v>
      </c>
      <c r="F3783">
        <v>14.19</v>
      </c>
      <c r="G3783">
        <v>6813.66</v>
      </c>
      <c r="H3783" s="14">
        <v>43768.833333333336</v>
      </c>
    </row>
    <row r="3784" spans="1:8" x14ac:dyDescent="0.25">
      <c r="A3784">
        <v>154</v>
      </c>
      <c r="B3784" t="s">
        <v>287</v>
      </c>
      <c r="C3784">
        <v>7</v>
      </c>
      <c r="D3784">
        <v>0</v>
      </c>
      <c r="E3784">
        <v>0</v>
      </c>
      <c r="F3784">
        <v>15.24</v>
      </c>
      <c r="G3784">
        <v>7291.26</v>
      </c>
      <c r="H3784" s="14">
        <v>43768.833333333336</v>
      </c>
    </row>
    <row r="3785" spans="1:8" x14ac:dyDescent="0.25">
      <c r="A3785">
        <v>154</v>
      </c>
      <c r="B3785" t="s">
        <v>287</v>
      </c>
      <c r="C3785">
        <v>8</v>
      </c>
      <c r="D3785">
        <v>0</v>
      </c>
      <c r="E3785">
        <v>0</v>
      </c>
      <c r="F3785">
        <v>15.26</v>
      </c>
      <c r="G3785">
        <v>7295.83</v>
      </c>
      <c r="H3785" s="14">
        <v>43768.833333333336</v>
      </c>
    </row>
    <row r="3786" spans="1:8" x14ac:dyDescent="0.25">
      <c r="A3786">
        <v>154</v>
      </c>
      <c r="B3786" t="s">
        <v>287</v>
      </c>
      <c r="C3786">
        <v>9</v>
      </c>
      <c r="D3786">
        <v>0</v>
      </c>
      <c r="E3786">
        <v>0</v>
      </c>
      <c r="F3786">
        <v>16.27</v>
      </c>
      <c r="G3786">
        <v>7551.36</v>
      </c>
      <c r="H3786" s="14">
        <v>43768.833333333336</v>
      </c>
    </row>
    <row r="3787" spans="1:8" x14ac:dyDescent="0.25">
      <c r="A3787">
        <v>154</v>
      </c>
      <c r="B3787" t="s">
        <v>287</v>
      </c>
      <c r="C3787">
        <v>10</v>
      </c>
      <c r="D3787">
        <v>0</v>
      </c>
      <c r="E3787">
        <v>0</v>
      </c>
      <c r="F3787">
        <v>14.8</v>
      </c>
      <c r="G3787">
        <v>7083.46</v>
      </c>
      <c r="H3787" s="14">
        <v>43768.833333333336</v>
      </c>
    </row>
    <row r="3788" spans="1:8" x14ac:dyDescent="0.25">
      <c r="A3788">
        <v>154</v>
      </c>
      <c r="B3788" t="s">
        <v>287</v>
      </c>
      <c r="C3788">
        <v>11</v>
      </c>
      <c r="D3788">
        <v>0</v>
      </c>
      <c r="E3788">
        <v>0</v>
      </c>
      <c r="F3788">
        <v>14.91</v>
      </c>
      <c r="G3788">
        <v>7164.98</v>
      </c>
      <c r="H3788" s="14">
        <v>43768.833333333336</v>
      </c>
    </row>
    <row r="3789" spans="1:8" x14ac:dyDescent="0.25">
      <c r="A3789">
        <v>154</v>
      </c>
      <c r="B3789" t="s">
        <v>287</v>
      </c>
      <c r="C3789">
        <v>12</v>
      </c>
      <c r="D3789">
        <v>0</v>
      </c>
      <c r="E3789">
        <v>0</v>
      </c>
      <c r="F3789">
        <v>14.86</v>
      </c>
      <c r="G3789">
        <v>7120.57</v>
      </c>
      <c r="H3789" s="14">
        <v>43768.833333333336</v>
      </c>
    </row>
    <row r="3790" spans="1:8" x14ac:dyDescent="0.25">
      <c r="A3790">
        <v>154</v>
      </c>
      <c r="B3790" t="s">
        <v>287</v>
      </c>
      <c r="C3790">
        <v>13</v>
      </c>
      <c r="D3790">
        <v>0</v>
      </c>
      <c r="E3790">
        <v>0</v>
      </c>
      <c r="F3790">
        <v>14.47</v>
      </c>
      <c r="G3790">
        <v>6738.08</v>
      </c>
      <c r="H3790" s="14">
        <v>43768.833333333336</v>
      </c>
    </row>
    <row r="3791" spans="1:8" x14ac:dyDescent="0.25">
      <c r="A3791">
        <v>154</v>
      </c>
      <c r="B3791" t="s">
        <v>287</v>
      </c>
      <c r="C3791">
        <v>14</v>
      </c>
      <c r="D3791">
        <v>0</v>
      </c>
      <c r="E3791">
        <v>0</v>
      </c>
      <c r="F3791">
        <v>15.13</v>
      </c>
      <c r="G3791">
        <v>7020.06</v>
      </c>
      <c r="H3791" s="14">
        <v>43768.833333333336</v>
      </c>
    </row>
    <row r="3792" spans="1:8" x14ac:dyDescent="0.25">
      <c r="A3792">
        <v>154</v>
      </c>
      <c r="B3792" t="s">
        <v>287</v>
      </c>
      <c r="C3792">
        <v>15</v>
      </c>
      <c r="D3792">
        <v>0</v>
      </c>
      <c r="E3792">
        <v>0</v>
      </c>
      <c r="F3792">
        <v>15.07</v>
      </c>
      <c r="G3792">
        <v>7000.86</v>
      </c>
      <c r="H3792" s="14">
        <v>43768.833333333336</v>
      </c>
    </row>
    <row r="3793" spans="1:8" x14ac:dyDescent="0.25">
      <c r="A3793">
        <v>154</v>
      </c>
      <c r="B3793" t="s">
        <v>287</v>
      </c>
      <c r="C3793">
        <v>16</v>
      </c>
      <c r="D3793">
        <v>0</v>
      </c>
      <c r="E3793">
        <v>0</v>
      </c>
      <c r="F3793">
        <v>14.59</v>
      </c>
      <c r="G3793">
        <v>6863.03</v>
      </c>
      <c r="H3793" s="14">
        <v>43768.833333333336</v>
      </c>
    </row>
    <row r="3794" spans="1:8" x14ac:dyDescent="0.25">
      <c r="A3794">
        <v>154</v>
      </c>
      <c r="B3794" t="s">
        <v>287</v>
      </c>
      <c r="C3794">
        <v>17</v>
      </c>
      <c r="D3794">
        <v>0</v>
      </c>
      <c r="E3794">
        <v>0</v>
      </c>
      <c r="F3794">
        <v>16.18</v>
      </c>
      <c r="G3794">
        <v>7531.16</v>
      </c>
      <c r="H3794" s="14">
        <v>43768.833333333336</v>
      </c>
    </row>
    <row r="3795" spans="1:8" x14ac:dyDescent="0.25">
      <c r="A3795">
        <v>154</v>
      </c>
      <c r="B3795" t="s">
        <v>287</v>
      </c>
      <c r="C3795">
        <v>18</v>
      </c>
      <c r="D3795">
        <v>0</v>
      </c>
      <c r="E3795">
        <v>0</v>
      </c>
      <c r="F3795">
        <v>15.7</v>
      </c>
      <c r="G3795">
        <v>7431.25</v>
      </c>
      <c r="H3795" s="14">
        <v>43768.833333333336</v>
      </c>
    </row>
    <row r="3796" spans="1:8" x14ac:dyDescent="0.25">
      <c r="A3796">
        <v>155</v>
      </c>
      <c r="B3796" t="s">
        <v>288</v>
      </c>
      <c r="C3796">
        <v>1</v>
      </c>
      <c r="D3796">
        <v>0</v>
      </c>
      <c r="E3796">
        <v>0</v>
      </c>
      <c r="F3796">
        <v>98.07</v>
      </c>
      <c r="G3796">
        <v>52942.53</v>
      </c>
      <c r="H3796" s="14">
        <v>43768.833333333336</v>
      </c>
    </row>
    <row r="3797" spans="1:8" x14ac:dyDescent="0.25">
      <c r="A3797">
        <v>155</v>
      </c>
      <c r="B3797" t="s">
        <v>288</v>
      </c>
      <c r="C3797">
        <v>2</v>
      </c>
      <c r="D3797">
        <v>0</v>
      </c>
      <c r="E3797">
        <v>0</v>
      </c>
      <c r="F3797">
        <v>91.38</v>
      </c>
      <c r="G3797">
        <v>54213.61</v>
      </c>
      <c r="H3797" s="14">
        <v>43768.833333333336</v>
      </c>
    </row>
    <row r="3798" spans="1:8" x14ac:dyDescent="0.25">
      <c r="A3798">
        <v>155</v>
      </c>
      <c r="B3798" t="s">
        <v>288</v>
      </c>
      <c r="C3798">
        <v>3</v>
      </c>
      <c r="D3798">
        <v>0</v>
      </c>
      <c r="E3798">
        <v>0</v>
      </c>
      <c r="F3798">
        <v>84.17</v>
      </c>
      <c r="G3798">
        <v>48638.400000000001</v>
      </c>
      <c r="H3798" s="14">
        <v>43768.833333333336</v>
      </c>
    </row>
    <row r="3799" spans="1:8" x14ac:dyDescent="0.25">
      <c r="A3799">
        <v>155</v>
      </c>
      <c r="B3799" t="s">
        <v>288</v>
      </c>
      <c r="C3799">
        <v>4</v>
      </c>
      <c r="D3799">
        <v>0</v>
      </c>
      <c r="E3799">
        <v>0</v>
      </c>
      <c r="F3799">
        <v>88.01</v>
      </c>
      <c r="G3799">
        <v>47271.64</v>
      </c>
      <c r="H3799" s="14">
        <v>43768.833333333336</v>
      </c>
    </row>
    <row r="3800" spans="1:8" x14ac:dyDescent="0.25">
      <c r="A3800">
        <v>155</v>
      </c>
      <c r="B3800" t="s">
        <v>288</v>
      </c>
      <c r="C3800">
        <v>5</v>
      </c>
      <c r="D3800">
        <v>0</v>
      </c>
      <c r="E3800">
        <v>0</v>
      </c>
      <c r="F3800">
        <v>61.29</v>
      </c>
      <c r="G3800">
        <v>34304.25</v>
      </c>
      <c r="H3800" s="14">
        <v>43768.833333333336</v>
      </c>
    </row>
    <row r="3801" spans="1:8" x14ac:dyDescent="0.25">
      <c r="A3801">
        <v>156</v>
      </c>
      <c r="B3801" t="s">
        <v>289</v>
      </c>
      <c r="C3801">
        <v>1</v>
      </c>
      <c r="D3801">
        <v>0</v>
      </c>
      <c r="E3801">
        <v>0</v>
      </c>
      <c r="F3801">
        <v>102.06</v>
      </c>
      <c r="G3801">
        <v>51217.59</v>
      </c>
      <c r="H3801" s="14">
        <v>43768.833333333336</v>
      </c>
    </row>
    <row r="3802" spans="1:8" x14ac:dyDescent="0.25">
      <c r="A3802">
        <v>156</v>
      </c>
      <c r="B3802" t="s">
        <v>289</v>
      </c>
      <c r="C3802">
        <v>2</v>
      </c>
      <c r="D3802">
        <v>0</v>
      </c>
      <c r="E3802">
        <v>0</v>
      </c>
      <c r="F3802">
        <v>76.09</v>
      </c>
      <c r="G3802">
        <v>34312.089999999997</v>
      </c>
      <c r="H3802" s="14">
        <v>43768.833333333336</v>
      </c>
    </row>
    <row r="3803" spans="1:8" x14ac:dyDescent="0.25">
      <c r="A3803">
        <v>156</v>
      </c>
      <c r="B3803" t="s">
        <v>289</v>
      </c>
      <c r="C3803">
        <v>3</v>
      </c>
      <c r="D3803">
        <v>0</v>
      </c>
      <c r="E3803">
        <v>0</v>
      </c>
      <c r="F3803">
        <v>67.66</v>
      </c>
      <c r="G3803">
        <v>30562.36</v>
      </c>
      <c r="H3803" s="14">
        <v>43768.833333333336</v>
      </c>
    </row>
    <row r="3804" spans="1:8" x14ac:dyDescent="0.25">
      <c r="A3804">
        <v>156</v>
      </c>
      <c r="B3804" t="s">
        <v>289</v>
      </c>
      <c r="C3804">
        <v>4</v>
      </c>
      <c r="D3804">
        <v>0</v>
      </c>
      <c r="E3804">
        <v>0</v>
      </c>
      <c r="F3804">
        <v>70.650000000000006</v>
      </c>
      <c r="G3804">
        <v>33411.21</v>
      </c>
      <c r="H3804" s="14">
        <v>43768.833333333336</v>
      </c>
    </row>
    <row r="3805" spans="1:8" x14ac:dyDescent="0.25">
      <c r="A3805">
        <v>156</v>
      </c>
      <c r="B3805" t="s">
        <v>289</v>
      </c>
      <c r="C3805">
        <v>5</v>
      </c>
      <c r="D3805">
        <v>0</v>
      </c>
      <c r="E3805">
        <v>0</v>
      </c>
      <c r="F3805">
        <v>56.08</v>
      </c>
      <c r="G3805">
        <v>32257.02</v>
      </c>
      <c r="H3805" s="14">
        <v>43768.833333333336</v>
      </c>
    </row>
    <row r="3806" spans="1:8" x14ac:dyDescent="0.25">
      <c r="A3806">
        <v>156</v>
      </c>
      <c r="B3806" t="s">
        <v>289</v>
      </c>
      <c r="C3806">
        <v>6</v>
      </c>
      <c r="D3806">
        <v>0</v>
      </c>
      <c r="E3806">
        <v>0</v>
      </c>
      <c r="F3806">
        <v>99.27</v>
      </c>
      <c r="G3806">
        <v>48881.58</v>
      </c>
      <c r="H3806" s="14">
        <v>43768.833333333336</v>
      </c>
    </row>
    <row r="3807" spans="1:8" x14ac:dyDescent="0.25">
      <c r="A3807">
        <v>157</v>
      </c>
      <c r="B3807" t="s">
        <v>290</v>
      </c>
      <c r="C3807">
        <v>1</v>
      </c>
      <c r="D3807">
        <v>0</v>
      </c>
      <c r="E3807">
        <v>0</v>
      </c>
      <c r="F3807">
        <v>122.17</v>
      </c>
      <c r="G3807">
        <v>54587.75</v>
      </c>
      <c r="H3807" s="14">
        <v>43768.833333333336</v>
      </c>
    </row>
    <row r="3808" spans="1:8" x14ac:dyDescent="0.25">
      <c r="A3808">
        <v>157</v>
      </c>
      <c r="B3808" t="s">
        <v>290</v>
      </c>
      <c r="C3808">
        <v>2</v>
      </c>
      <c r="D3808">
        <v>0</v>
      </c>
      <c r="E3808">
        <v>0</v>
      </c>
      <c r="F3808">
        <v>122.19</v>
      </c>
      <c r="G3808">
        <v>54655.44</v>
      </c>
      <c r="H3808" s="14">
        <v>43768.833333333336</v>
      </c>
    </row>
    <row r="3809" spans="1:8" x14ac:dyDescent="0.25">
      <c r="A3809">
        <v>157</v>
      </c>
      <c r="B3809" t="s">
        <v>290</v>
      </c>
      <c r="C3809">
        <v>3</v>
      </c>
      <c r="D3809">
        <v>0</v>
      </c>
      <c r="E3809">
        <v>0</v>
      </c>
      <c r="F3809">
        <v>126.33</v>
      </c>
      <c r="G3809">
        <v>56425.68</v>
      </c>
      <c r="H3809" s="14">
        <v>43768.833333333336</v>
      </c>
    </row>
    <row r="3810" spans="1:8" x14ac:dyDescent="0.25">
      <c r="A3810">
        <v>157</v>
      </c>
      <c r="B3810" t="s">
        <v>290</v>
      </c>
      <c r="C3810">
        <v>4</v>
      </c>
      <c r="D3810">
        <v>0</v>
      </c>
      <c r="E3810">
        <v>0</v>
      </c>
      <c r="F3810">
        <v>75.400000000000006</v>
      </c>
      <c r="G3810">
        <v>32861.870000000003</v>
      </c>
      <c r="H3810" s="14">
        <v>43768.833333333336</v>
      </c>
    </row>
    <row r="3811" spans="1:8" x14ac:dyDescent="0.25">
      <c r="A3811">
        <v>157</v>
      </c>
      <c r="B3811" t="s">
        <v>290</v>
      </c>
      <c r="C3811">
        <v>5</v>
      </c>
      <c r="D3811">
        <v>0</v>
      </c>
      <c r="E3811">
        <v>0</v>
      </c>
      <c r="F3811">
        <v>121.93</v>
      </c>
      <c r="G3811">
        <v>54580.03</v>
      </c>
      <c r="H3811" s="14">
        <v>43768.833333333336</v>
      </c>
    </row>
    <row r="3812" spans="1:8" x14ac:dyDescent="0.25">
      <c r="A3812">
        <v>157</v>
      </c>
      <c r="B3812" t="s">
        <v>290</v>
      </c>
      <c r="C3812">
        <v>6</v>
      </c>
      <c r="D3812">
        <v>0</v>
      </c>
      <c r="E3812">
        <v>0</v>
      </c>
      <c r="F3812">
        <v>67.760000000000005</v>
      </c>
      <c r="G3812">
        <v>29539.43</v>
      </c>
      <c r="H3812" s="14">
        <v>43768.833333333336</v>
      </c>
    </row>
    <row r="3813" spans="1:8" x14ac:dyDescent="0.25">
      <c r="A3813">
        <v>157</v>
      </c>
      <c r="B3813" t="s">
        <v>290</v>
      </c>
      <c r="C3813">
        <v>7</v>
      </c>
      <c r="D3813">
        <v>0</v>
      </c>
      <c r="E3813">
        <v>0</v>
      </c>
      <c r="F3813">
        <v>42.02</v>
      </c>
      <c r="G3813">
        <v>18266.349999999999</v>
      </c>
      <c r="H3813" s="14">
        <v>43768.833333333336</v>
      </c>
    </row>
    <row r="3814" spans="1:8" x14ac:dyDescent="0.25">
      <c r="A3814">
        <v>158</v>
      </c>
      <c r="B3814" t="s">
        <v>291</v>
      </c>
      <c r="C3814">
        <v>1</v>
      </c>
      <c r="D3814">
        <v>0</v>
      </c>
      <c r="E3814">
        <v>0</v>
      </c>
      <c r="F3814">
        <v>101.78</v>
      </c>
      <c r="G3814">
        <v>43032.39</v>
      </c>
      <c r="H3814" s="14">
        <v>43768.833333333336</v>
      </c>
    </row>
    <row r="3815" spans="1:8" x14ac:dyDescent="0.25">
      <c r="A3815">
        <v>158</v>
      </c>
      <c r="B3815" t="s">
        <v>291</v>
      </c>
      <c r="C3815">
        <v>2</v>
      </c>
      <c r="D3815">
        <v>0</v>
      </c>
      <c r="E3815">
        <v>0</v>
      </c>
      <c r="F3815">
        <v>103.71</v>
      </c>
      <c r="G3815">
        <v>43321.440000000002</v>
      </c>
      <c r="H3815" s="14">
        <v>43768.833333333336</v>
      </c>
    </row>
    <row r="3816" spans="1:8" x14ac:dyDescent="0.25">
      <c r="A3816">
        <v>158</v>
      </c>
      <c r="B3816" t="s">
        <v>291</v>
      </c>
      <c r="C3816">
        <v>3</v>
      </c>
      <c r="D3816">
        <v>0</v>
      </c>
      <c r="E3816">
        <v>0</v>
      </c>
      <c r="F3816">
        <v>133.5</v>
      </c>
      <c r="G3816">
        <v>52010.879999999997</v>
      </c>
      <c r="H3816" s="14">
        <v>43768.833333333336</v>
      </c>
    </row>
    <row r="3817" spans="1:8" x14ac:dyDescent="0.25">
      <c r="A3817">
        <v>158</v>
      </c>
      <c r="B3817" t="s">
        <v>291</v>
      </c>
      <c r="C3817">
        <v>4</v>
      </c>
      <c r="D3817">
        <v>0</v>
      </c>
      <c r="E3817">
        <v>0</v>
      </c>
      <c r="F3817">
        <v>114.41</v>
      </c>
      <c r="G3817">
        <v>48177.36</v>
      </c>
      <c r="H3817" s="14">
        <v>43768.833333333336</v>
      </c>
    </row>
    <row r="3818" spans="1:8" x14ac:dyDescent="0.25">
      <c r="A3818">
        <v>158</v>
      </c>
      <c r="B3818" t="s">
        <v>291</v>
      </c>
      <c r="C3818">
        <v>5</v>
      </c>
      <c r="D3818">
        <v>0</v>
      </c>
      <c r="E3818">
        <v>0</v>
      </c>
      <c r="F3818">
        <v>137.69</v>
      </c>
      <c r="G3818">
        <v>53187.85</v>
      </c>
      <c r="H3818" s="14">
        <v>43768.833333333336</v>
      </c>
    </row>
    <row r="3819" spans="1:8" x14ac:dyDescent="0.25">
      <c r="A3819">
        <v>158</v>
      </c>
      <c r="B3819" t="s">
        <v>291</v>
      </c>
      <c r="C3819">
        <v>6</v>
      </c>
      <c r="D3819">
        <v>0</v>
      </c>
      <c r="E3819">
        <v>0</v>
      </c>
      <c r="F3819">
        <v>132.88999999999999</v>
      </c>
      <c r="G3819">
        <v>51758.83</v>
      </c>
      <c r="H3819" s="14">
        <v>43768.833333333336</v>
      </c>
    </row>
    <row r="3820" spans="1:8" x14ac:dyDescent="0.25">
      <c r="A3820">
        <v>158</v>
      </c>
      <c r="B3820" t="s">
        <v>291</v>
      </c>
      <c r="C3820">
        <v>7</v>
      </c>
      <c r="D3820">
        <v>0</v>
      </c>
      <c r="E3820">
        <v>0</v>
      </c>
      <c r="F3820">
        <v>113.08</v>
      </c>
      <c r="G3820">
        <v>47911.12</v>
      </c>
      <c r="H3820" s="14">
        <v>43768.833333333336</v>
      </c>
    </row>
    <row r="3821" spans="1:8" x14ac:dyDescent="0.25">
      <c r="A3821">
        <v>158</v>
      </c>
      <c r="B3821" t="s">
        <v>291</v>
      </c>
      <c r="C3821">
        <v>8</v>
      </c>
      <c r="D3821">
        <v>0</v>
      </c>
      <c r="E3821">
        <v>0</v>
      </c>
      <c r="F3821">
        <v>137.86000000000001</v>
      </c>
      <c r="G3821">
        <v>53232.33</v>
      </c>
      <c r="H3821" s="14">
        <v>43768.833333333336</v>
      </c>
    </row>
    <row r="3822" spans="1:8" x14ac:dyDescent="0.25">
      <c r="A3822">
        <v>158</v>
      </c>
      <c r="B3822" t="s">
        <v>291</v>
      </c>
      <c r="C3822">
        <v>9</v>
      </c>
      <c r="D3822">
        <v>0</v>
      </c>
      <c r="E3822">
        <v>0</v>
      </c>
      <c r="F3822">
        <v>113.02</v>
      </c>
      <c r="G3822">
        <v>48186.65</v>
      </c>
      <c r="H3822" s="14">
        <v>43768.833333333336</v>
      </c>
    </row>
    <row r="3823" spans="1:8" x14ac:dyDescent="0.25">
      <c r="A3823">
        <v>158</v>
      </c>
      <c r="B3823" t="s">
        <v>291</v>
      </c>
      <c r="C3823">
        <v>10</v>
      </c>
      <c r="D3823">
        <v>0</v>
      </c>
      <c r="E3823">
        <v>0</v>
      </c>
      <c r="F3823">
        <v>114.02</v>
      </c>
      <c r="G3823">
        <v>48423.97</v>
      </c>
      <c r="H3823" s="14">
        <v>43768.833333333336</v>
      </c>
    </row>
    <row r="3824" spans="1:8" x14ac:dyDescent="0.25">
      <c r="A3824">
        <v>158</v>
      </c>
      <c r="B3824" t="s">
        <v>291</v>
      </c>
      <c r="C3824">
        <v>11</v>
      </c>
      <c r="D3824">
        <v>0</v>
      </c>
      <c r="E3824">
        <v>0</v>
      </c>
      <c r="F3824">
        <v>122.65</v>
      </c>
      <c r="G3824">
        <v>47288.54</v>
      </c>
      <c r="H3824" s="14">
        <v>43768.833333333336</v>
      </c>
    </row>
    <row r="3825" spans="1:8" x14ac:dyDescent="0.25">
      <c r="A3825">
        <v>158</v>
      </c>
      <c r="B3825" t="s">
        <v>291</v>
      </c>
      <c r="C3825">
        <v>12</v>
      </c>
      <c r="D3825">
        <v>0</v>
      </c>
      <c r="E3825">
        <v>0</v>
      </c>
      <c r="F3825">
        <v>78.52</v>
      </c>
      <c r="G3825">
        <v>30496.65</v>
      </c>
      <c r="H3825" s="14">
        <v>43768.833333333336</v>
      </c>
    </row>
    <row r="3826" spans="1:8" x14ac:dyDescent="0.25">
      <c r="A3826">
        <v>158</v>
      </c>
      <c r="B3826" t="s">
        <v>291</v>
      </c>
      <c r="C3826">
        <v>13</v>
      </c>
      <c r="D3826">
        <v>0</v>
      </c>
      <c r="E3826">
        <v>0</v>
      </c>
      <c r="F3826">
        <v>123.45</v>
      </c>
      <c r="G3826">
        <v>49971.64</v>
      </c>
      <c r="H3826" s="14">
        <v>43768.833333333336</v>
      </c>
    </row>
    <row r="3827" spans="1:8" x14ac:dyDescent="0.25">
      <c r="A3827">
        <v>158</v>
      </c>
      <c r="B3827" t="s">
        <v>291</v>
      </c>
      <c r="C3827">
        <v>14</v>
      </c>
      <c r="D3827">
        <v>0</v>
      </c>
      <c r="E3827">
        <v>0</v>
      </c>
      <c r="F3827">
        <v>90.27</v>
      </c>
      <c r="G3827">
        <v>34857.480000000003</v>
      </c>
      <c r="H3827" s="14">
        <v>43768.833333333336</v>
      </c>
    </row>
    <row r="3828" spans="1:8" x14ac:dyDescent="0.25">
      <c r="A3828">
        <v>158</v>
      </c>
      <c r="B3828" t="s">
        <v>291</v>
      </c>
      <c r="C3828">
        <v>15</v>
      </c>
      <c r="D3828">
        <v>0</v>
      </c>
      <c r="E3828">
        <v>0</v>
      </c>
      <c r="F3828">
        <v>111.37</v>
      </c>
      <c r="G3828">
        <v>44794.3</v>
      </c>
      <c r="H3828" s="14">
        <v>43768.833333333336</v>
      </c>
    </row>
    <row r="3829" spans="1:8" x14ac:dyDescent="0.25">
      <c r="A3829">
        <v>159</v>
      </c>
      <c r="B3829">
        <v>2508</v>
      </c>
      <c r="C3829">
        <v>1</v>
      </c>
      <c r="D3829">
        <v>0</v>
      </c>
      <c r="E3829">
        <v>0</v>
      </c>
      <c r="F3829">
        <v>150.16999999999999</v>
      </c>
      <c r="G3829">
        <v>53553.14</v>
      </c>
      <c r="H3829" s="14">
        <v>43768.833333333336</v>
      </c>
    </row>
    <row r="3830" spans="1:8" x14ac:dyDescent="0.25">
      <c r="A3830">
        <v>159</v>
      </c>
      <c r="B3830">
        <v>2508</v>
      </c>
      <c r="C3830">
        <v>2</v>
      </c>
      <c r="D3830">
        <v>0</v>
      </c>
      <c r="E3830">
        <v>0</v>
      </c>
      <c r="F3830">
        <v>124.3</v>
      </c>
      <c r="G3830">
        <v>48643.82</v>
      </c>
      <c r="H3830" s="14">
        <v>43768.833333333336</v>
      </c>
    </row>
    <row r="3831" spans="1:8" x14ac:dyDescent="0.25">
      <c r="A3831">
        <v>159</v>
      </c>
      <c r="B3831">
        <v>2508</v>
      </c>
      <c r="C3831">
        <v>3</v>
      </c>
      <c r="D3831">
        <v>0</v>
      </c>
      <c r="E3831">
        <v>0</v>
      </c>
      <c r="F3831">
        <v>150.55000000000001</v>
      </c>
      <c r="G3831">
        <v>53704.22</v>
      </c>
      <c r="H3831" s="14">
        <v>43768.833333333336</v>
      </c>
    </row>
    <row r="3832" spans="1:8" x14ac:dyDescent="0.25">
      <c r="A3832">
        <v>159</v>
      </c>
      <c r="B3832">
        <v>2508</v>
      </c>
      <c r="C3832">
        <v>4</v>
      </c>
      <c r="D3832">
        <v>0</v>
      </c>
      <c r="E3832">
        <v>0</v>
      </c>
      <c r="F3832">
        <v>151.15</v>
      </c>
      <c r="G3832">
        <v>53916.78</v>
      </c>
      <c r="H3832" s="14">
        <v>43768.833333333336</v>
      </c>
    </row>
    <row r="3833" spans="1:8" x14ac:dyDescent="0.25">
      <c r="A3833">
        <v>159</v>
      </c>
      <c r="B3833">
        <v>2508</v>
      </c>
      <c r="C3833">
        <v>5</v>
      </c>
      <c r="D3833">
        <v>0</v>
      </c>
      <c r="E3833">
        <v>0</v>
      </c>
      <c r="F3833">
        <v>87.9</v>
      </c>
      <c r="G3833">
        <v>30356.21</v>
      </c>
      <c r="H3833" s="14">
        <v>43768.833333333336</v>
      </c>
    </row>
    <row r="3834" spans="1:8" x14ac:dyDescent="0.25">
      <c r="A3834">
        <v>159</v>
      </c>
      <c r="B3834">
        <v>2508</v>
      </c>
      <c r="C3834">
        <v>6</v>
      </c>
      <c r="D3834">
        <v>0</v>
      </c>
      <c r="E3834">
        <v>0</v>
      </c>
      <c r="F3834">
        <v>48.9</v>
      </c>
      <c r="G3834">
        <v>17042.82</v>
      </c>
      <c r="H3834" s="14">
        <v>43768.833333333336</v>
      </c>
    </row>
    <row r="3835" spans="1:8" x14ac:dyDescent="0.25">
      <c r="A3835">
        <v>160</v>
      </c>
      <c r="B3835">
        <v>2509</v>
      </c>
      <c r="C3835">
        <v>1</v>
      </c>
      <c r="D3835">
        <v>0</v>
      </c>
      <c r="E3835">
        <v>0</v>
      </c>
      <c r="F3835">
        <v>135.88999999999999</v>
      </c>
      <c r="G3835">
        <v>48079.89</v>
      </c>
      <c r="H3835" s="14">
        <v>43768.833333333336</v>
      </c>
    </row>
    <row r="3836" spans="1:8" x14ac:dyDescent="0.25">
      <c r="A3836">
        <v>160</v>
      </c>
      <c r="B3836">
        <v>2509</v>
      </c>
      <c r="C3836">
        <v>2</v>
      </c>
      <c r="D3836">
        <v>0</v>
      </c>
      <c r="E3836">
        <v>0</v>
      </c>
      <c r="F3836">
        <v>152.19</v>
      </c>
      <c r="G3836">
        <v>53860.86</v>
      </c>
      <c r="H3836" s="14">
        <v>43768.833333333336</v>
      </c>
    </row>
    <row r="3837" spans="1:8" x14ac:dyDescent="0.25">
      <c r="A3837">
        <v>160</v>
      </c>
      <c r="B3837">
        <v>2509</v>
      </c>
      <c r="C3837">
        <v>3</v>
      </c>
      <c r="D3837">
        <v>0</v>
      </c>
      <c r="E3837">
        <v>0</v>
      </c>
      <c r="F3837">
        <v>152.34</v>
      </c>
      <c r="G3837">
        <v>53831.73</v>
      </c>
      <c r="H3837" s="14">
        <v>43768.833333333336</v>
      </c>
    </row>
    <row r="3838" spans="1:8" x14ac:dyDescent="0.25">
      <c r="A3838">
        <v>160</v>
      </c>
      <c r="B3838">
        <v>2509</v>
      </c>
      <c r="C3838">
        <v>4</v>
      </c>
      <c r="D3838">
        <v>0</v>
      </c>
      <c r="E3838">
        <v>0</v>
      </c>
      <c r="F3838">
        <v>152.13999999999999</v>
      </c>
      <c r="G3838">
        <v>53837.73</v>
      </c>
      <c r="H3838" s="14">
        <v>43768.833333333336</v>
      </c>
    </row>
    <row r="3839" spans="1:8" x14ac:dyDescent="0.25">
      <c r="A3839">
        <v>160</v>
      </c>
      <c r="B3839">
        <v>2509</v>
      </c>
      <c r="C3839">
        <v>5</v>
      </c>
      <c r="D3839">
        <v>0</v>
      </c>
      <c r="E3839">
        <v>0</v>
      </c>
      <c r="F3839">
        <v>151.24</v>
      </c>
      <c r="G3839">
        <v>53634.59</v>
      </c>
      <c r="H3839" s="14">
        <v>43768.833333333336</v>
      </c>
    </row>
    <row r="3840" spans="1:8" x14ac:dyDescent="0.25">
      <c r="A3840">
        <v>160</v>
      </c>
      <c r="B3840">
        <v>2509</v>
      </c>
      <c r="C3840">
        <v>6</v>
      </c>
      <c r="D3840">
        <v>0</v>
      </c>
      <c r="E3840">
        <v>0</v>
      </c>
      <c r="F3840">
        <v>151.68</v>
      </c>
      <c r="G3840">
        <v>52796.71</v>
      </c>
      <c r="H3840" s="14">
        <v>43768.833333333336</v>
      </c>
    </row>
    <row r="3841" spans="1:8" x14ac:dyDescent="0.25">
      <c r="A3841">
        <v>161</v>
      </c>
      <c r="B3841">
        <v>2510</v>
      </c>
      <c r="C3841">
        <v>1</v>
      </c>
      <c r="D3841">
        <v>0</v>
      </c>
      <c r="E3841">
        <v>0</v>
      </c>
      <c r="F3841">
        <v>152.30000000000001</v>
      </c>
      <c r="G3841">
        <v>53941.01</v>
      </c>
      <c r="H3841" s="14">
        <v>43768.833333333336</v>
      </c>
    </row>
    <row r="3842" spans="1:8" x14ac:dyDescent="0.25">
      <c r="A3842">
        <v>161</v>
      </c>
      <c r="B3842">
        <v>2510</v>
      </c>
      <c r="C3842">
        <v>2</v>
      </c>
      <c r="D3842">
        <v>0</v>
      </c>
      <c r="E3842">
        <v>0</v>
      </c>
      <c r="F3842">
        <v>149.78</v>
      </c>
      <c r="G3842">
        <v>53772</v>
      </c>
      <c r="H3842" s="14">
        <v>43768.833333333336</v>
      </c>
    </row>
    <row r="3843" spans="1:8" x14ac:dyDescent="0.25">
      <c r="A3843">
        <v>161</v>
      </c>
      <c r="B3843">
        <v>2510</v>
      </c>
      <c r="C3843">
        <v>3</v>
      </c>
      <c r="D3843">
        <v>0</v>
      </c>
      <c r="E3843">
        <v>0</v>
      </c>
      <c r="F3843">
        <v>151.09</v>
      </c>
      <c r="G3843">
        <v>54003.78</v>
      </c>
      <c r="H3843" s="14">
        <v>43768.833333333336</v>
      </c>
    </row>
    <row r="3844" spans="1:8" x14ac:dyDescent="0.25">
      <c r="A3844">
        <v>161</v>
      </c>
      <c r="B3844">
        <v>2510</v>
      </c>
      <c r="C3844">
        <v>4</v>
      </c>
      <c r="D3844">
        <v>0</v>
      </c>
      <c r="E3844">
        <v>0</v>
      </c>
      <c r="F3844">
        <v>42.34</v>
      </c>
      <c r="G3844">
        <v>15148.6</v>
      </c>
      <c r="H3844" s="14">
        <v>43768.833333333336</v>
      </c>
    </row>
    <row r="3845" spans="1:8" x14ac:dyDescent="0.25">
      <c r="A3845">
        <v>162</v>
      </c>
      <c r="B3845" t="s">
        <v>292</v>
      </c>
      <c r="C3845">
        <v>1</v>
      </c>
      <c r="D3845">
        <v>0</v>
      </c>
      <c r="E3845">
        <v>0</v>
      </c>
      <c r="F3845">
        <v>125.73</v>
      </c>
      <c r="G3845">
        <v>49583.47</v>
      </c>
      <c r="H3845" s="14">
        <v>43768.833333333336</v>
      </c>
    </row>
    <row r="3846" spans="1:8" x14ac:dyDescent="0.25">
      <c r="A3846">
        <v>162</v>
      </c>
      <c r="B3846" t="s">
        <v>292</v>
      </c>
      <c r="C3846">
        <v>2</v>
      </c>
      <c r="D3846">
        <v>0</v>
      </c>
      <c r="E3846">
        <v>0</v>
      </c>
      <c r="F3846">
        <v>122.64</v>
      </c>
      <c r="G3846">
        <v>49217.43</v>
      </c>
      <c r="H3846" s="14">
        <v>43768.833333333336</v>
      </c>
    </row>
    <row r="3847" spans="1:8" x14ac:dyDescent="0.25">
      <c r="A3847">
        <v>162</v>
      </c>
      <c r="B3847" t="s">
        <v>292</v>
      </c>
      <c r="C3847">
        <v>3</v>
      </c>
      <c r="D3847">
        <v>0</v>
      </c>
      <c r="E3847">
        <v>0</v>
      </c>
      <c r="F3847">
        <v>122.39</v>
      </c>
      <c r="G3847">
        <v>49791.4</v>
      </c>
      <c r="H3847" s="14">
        <v>43768.833333333336</v>
      </c>
    </row>
    <row r="3848" spans="1:8" x14ac:dyDescent="0.25">
      <c r="A3848">
        <v>162</v>
      </c>
      <c r="B3848" t="s">
        <v>292</v>
      </c>
      <c r="C3848">
        <v>4</v>
      </c>
      <c r="D3848">
        <v>0</v>
      </c>
      <c r="E3848">
        <v>0</v>
      </c>
      <c r="F3848">
        <v>122.46</v>
      </c>
      <c r="G3848">
        <v>48495.58</v>
      </c>
      <c r="H3848" s="14">
        <v>43768.833333333336</v>
      </c>
    </row>
    <row r="3849" spans="1:8" x14ac:dyDescent="0.25">
      <c r="A3849">
        <v>162</v>
      </c>
      <c r="B3849" t="s">
        <v>292</v>
      </c>
      <c r="C3849">
        <v>5</v>
      </c>
      <c r="D3849">
        <v>0</v>
      </c>
      <c r="E3849">
        <v>0</v>
      </c>
      <c r="F3849">
        <v>122.65</v>
      </c>
      <c r="G3849">
        <v>49567.93</v>
      </c>
      <c r="H3849" s="14">
        <v>43768.833333333336</v>
      </c>
    </row>
    <row r="3850" spans="1:8" x14ac:dyDescent="0.25">
      <c r="A3850">
        <v>162</v>
      </c>
      <c r="B3850" t="s">
        <v>292</v>
      </c>
      <c r="C3850">
        <v>6</v>
      </c>
      <c r="D3850">
        <v>0</v>
      </c>
      <c r="E3850">
        <v>0</v>
      </c>
      <c r="F3850">
        <v>129.63</v>
      </c>
      <c r="G3850">
        <v>51994.47</v>
      </c>
      <c r="H3850" s="14">
        <v>43768.833333333336</v>
      </c>
    </row>
    <row r="3851" spans="1:8" x14ac:dyDescent="0.25">
      <c r="A3851">
        <v>162</v>
      </c>
      <c r="B3851" t="s">
        <v>292</v>
      </c>
      <c r="C3851">
        <v>7</v>
      </c>
      <c r="D3851">
        <v>0</v>
      </c>
      <c r="E3851">
        <v>0</v>
      </c>
      <c r="F3851">
        <v>87.77</v>
      </c>
      <c r="G3851">
        <v>40032.629999999997</v>
      </c>
      <c r="H3851" s="14">
        <v>43768.833333333336</v>
      </c>
    </row>
    <row r="3852" spans="1:8" x14ac:dyDescent="0.25">
      <c r="A3852">
        <v>162</v>
      </c>
      <c r="B3852" t="s">
        <v>292</v>
      </c>
      <c r="C3852">
        <v>8</v>
      </c>
      <c r="D3852">
        <v>0</v>
      </c>
      <c r="E3852">
        <v>0</v>
      </c>
      <c r="F3852">
        <v>84.29</v>
      </c>
      <c r="G3852">
        <v>37974.800000000003</v>
      </c>
      <c r="H3852" s="14">
        <v>43768.833333333336</v>
      </c>
    </row>
    <row r="3853" spans="1:8" x14ac:dyDescent="0.25">
      <c r="A3853">
        <v>162</v>
      </c>
      <c r="B3853" t="s">
        <v>292</v>
      </c>
      <c r="C3853">
        <v>9</v>
      </c>
      <c r="D3853">
        <v>0</v>
      </c>
      <c r="E3853">
        <v>0</v>
      </c>
      <c r="F3853">
        <v>93.4</v>
      </c>
      <c r="G3853">
        <v>42731.43</v>
      </c>
      <c r="H3853" s="14">
        <v>43768.833333333336</v>
      </c>
    </row>
    <row r="3854" spans="1:8" x14ac:dyDescent="0.25">
      <c r="A3854">
        <v>162</v>
      </c>
      <c r="B3854" t="s">
        <v>292</v>
      </c>
      <c r="C3854">
        <v>10</v>
      </c>
      <c r="D3854">
        <v>0</v>
      </c>
      <c r="E3854">
        <v>0</v>
      </c>
      <c r="F3854">
        <v>90.38</v>
      </c>
      <c r="G3854">
        <v>41390.300000000003</v>
      </c>
      <c r="H3854" s="14">
        <v>43768.833333333336</v>
      </c>
    </row>
    <row r="3855" spans="1:8" x14ac:dyDescent="0.25">
      <c r="A3855">
        <v>162</v>
      </c>
      <c r="B3855" t="s">
        <v>292</v>
      </c>
      <c r="C3855">
        <v>11</v>
      </c>
      <c r="D3855">
        <v>0</v>
      </c>
      <c r="E3855">
        <v>0</v>
      </c>
      <c r="F3855">
        <v>121.62</v>
      </c>
      <c r="G3855">
        <v>40603.29</v>
      </c>
      <c r="H3855" s="14">
        <v>43768.833333333336</v>
      </c>
    </row>
    <row r="3856" spans="1:8" x14ac:dyDescent="0.25">
      <c r="A3856">
        <v>162</v>
      </c>
      <c r="B3856" t="s">
        <v>292</v>
      </c>
      <c r="C3856">
        <v>12</v>
      </c>
      <c r="D3856">
        <v>0</v>
      </c>
      <c r="E3856">
        <v>0</v>
      </c>
      <c r="F3856">
        <v>124.21</v>
      </c>
      <c r="G3856">
        <v>49640.12</v>
      </c>
      <c r="H3856" s="14">
        <v>43768.833333333336</v>
      </c>
    </row>
    <row r="3857" spans="1:8" x14ac:dyDescent="0.25">
      <c r="A3857">
        <v>162</v>
      </c>
      <c r="B3857" t="s">
        <v>292</v>
      </c>
      <c r="C3857">
        <v>13</v>
      </c>
      <c r="D3857">
        <v>0</v>
      </c>
      <c r="E3857">
        <v>0</v>
      </c>
      <c r="F3857">
        <v>123.95</v>
      </c>
      <c r="G3857">
        <v>49280.04</v>
      </c>
      <c r="H3857" s="14">
        <v>43768.833333333336</v>
      </c>
    </row>
    <row r="3858" spans="1:8" x14ac:dyDescent="0.25">
      <c r="A3858">
        <v>162</v>
      </c>
      <c r="B3858" t="s">
        <v>292</v>
      </c>
      <c r="C3858">
        <v>14</v>
      </c>
      <c r="D3858">
        <v>0</v>
      </c>
      <c r="E3858">
        <v>0</v>
      </c>
      <c r="F3858">
        <v>26.22</v>
      </c>
      <c r="G3858">
        <v>12919.81</v>
      </c>
      <c r="H3858" s="14">
        <v>43768.833333333336</v>
      </c>
    </row>
    <row r="3859" spans="1:8" x14ac:dyDescent="0.25">
      <c r="A3859">
        <v>162</v>
      </c>
      <c r="B3859" t="s">
        <v>292</v>
      </c>
      <c r="C3859">
        <v>15</v>
      </c>
      <c r="D3859">
        <v>0</v>
      </c>
      <c r="E3859">
        <v>0</v>
      </c>
      <c r="F3859">
        <v>85.02</v>
      </c>
      <c r="G3859">
        <v>41625.769999999997</v>
      </c>
      <c r="H3859" s="14">
        <v>43768.833333333336</v>
      </c>
    </row>
    <row r="3860" spans="1:8" x14ac:dyDescent="0.25">
      <c r="A3860">
        <v>162</v>
      </c>
      <c r="B3860" t="s">
        <v>292</v>
      </c>
      <c r="C3860">
        <v>16</v>
      </c>
      <c r="D3860">
        <v>0</v>
      </c>
      <c r="E3860">
        <v>0</v>
      </c>
      <c r="F3860">
        <v>79.78</v>
      </c>
      <c r="G3860">
        <v>38333.96</v>
      </c>
      <c r="H3860" s="14">
        <v>43768.833333333336</v>
      </c>
    </row>
    <row r="3861" spans="1:8" x14ac:dyDescent="0.25">
      <c r="A3861">
        <v>163</v>
      </c>
      <c r="B3861" t="s">
        <v>293</v>
      </c>
      <c r="C3861">
        <v>1</v>
      </c>
      <c r="D3861">
        <v>0</v>
      </c>
      <c r="E3861">
        <v>0</v>
      </c>
      <c r="F3861">
        <v>92.17</v>
      </c>
      <c r="G3861">
        <v>45903</v>
      </c>
      <c r="H3861" s="14">
        <v>43768.833333333336</v>
      </c>
    </row>
    <row r="3862" spans="1:8" x14ac:dyDescent="0.25">
      <c r="A3862">
        <v>163</v>
      </c>
      <c r="B3862" t="s">
        <v>293</v>
      </c>
      <c r="C3862">
        <v>2</v>
      </c>
      <c r="D3862">
        <v>0</v>
      </c>
      <c r="E3862">
        <v>0</v>
      </c>
      <c r="F3862">
        <v>48.21</v>
      </c>
      <c r="G3862">
        <v>44235.98</v>
      </c>
      <c r="H3862" s="14">
        <v>43768.833333333336</v>
      </c>
    </row>
    <row r="3863" spans="1:8" x14ac:dyDescent="0.25">
      <c r="A3863">
        <v>163</v>
      </c>
      <c r="B3863" t="s">
        <v>293</v>
      </c>
      <c r="C3863">
        <v>3</v>
      </c>
      <c r="D3863">
        <v>0</v>
      </c>
      <c r="E3863">
        <v>0</v>
      </c>
      <c r="F3863">
        <v>99.58</v>
      </c>
      <c r="G3863">
        <v>44967.98</v>
      </c>
      <c r="H3863" s="14">
        <v>43768.833333333336</v>
      </c>
    </row>
    <row r="3864" spans="1:8" x14ac:dyDescent="0.25">
      <c r="A3864">
        <v>163</v>
      </c>
      <c r="B3864" t="s">
        <v>293</v>
      </c>
      <c r="C3864">
        <v>4</v>
      </c>
      <c r="D3864">
        <v>0</v>
      </c>
      <c r="E3864">
        <v>0</v>
      </c>
      <c r="F3864">
        <v>88.5</v>
      </c>
      <c r="G3864">
        <v>37748.800000000003</v>
      </c>
      <c r="H3864" s="14">
        <v>43768.833333333336</v>
      </c>
    </row>
    <row r="3865" spans="1:8" x14ac:dyDescent="0.25">
      <c r="A3865">
        <v>163</v>
      </c>
      <c r="B3865" t="s">
        <v>293</v>
      </c>
      <c r="C3865">
        <v>5</v>
      </c>
      <c r="D3865">
        <v>0</v>
      </c>
      <c r="E3865">
        <v>0</v>
      </c>
      <c r="F3865">
        <v>64.489999999999995</v>
      </c>
      <c r="G3865">
        <v>28828.6</v>
      </c>
      <c r="H3865" s="14">
        <v>43768.833333333336</v>
      </c>
    </row>
    <row r="3866" spans="1:8" x14ac:dyDescent="0.25">
      <c r="A3866">
        <v>164</v>
      </c>
      <c r="B3866" t="s">
        <v>294</v>
      </c>
      <c r="C3866">
        <v>1</v>
      </c>
      <c r="D3866">
        <v>0</v>
      </c>
      <c r="E3866">
        <v>0</v>
      </c>
      <c r="F3866">
        <v>99.09</v>
      </c>
      <c r="G3866">
        <v>33953.07</v>
      </c>
      <c r="H3866" s="14">
        <v>43768.833333333336</v>
      </c>
    </row>
    <row r="3867" spans="1:8" x14ac:dyDescent="0.25">
      <c r="A3867">
        <v>164</v>
      </c>
      <c r="B3867" t="s">
        <v>294</v>
      </c>
      <c r="C3867">
        <v>2</v>
      </c>
      <c r="D3867">
        <v>0</v>
      </c>
      <c r="E3867">
        <v>0</v>
      </c>
      <c r="F3867">
        <v>139.32</v>
      </c>
      <c r="G3867">
        <v>47833.279999999999</v>
      </c>
      <c r="H3867" s="14">
        <v>43768.833333333336</v>
      </c>
    </row>
    <row r="3868" spans="1:8" x14ac:dyDescent="0.25">
      <c r="A3868">
        <v>164</v>
      </c>
      <c r="B3868" t="s">
        <v>294</v>
      </c>
      <c r="C3868">
        <v>3</v>
      </c>
      <c r="D3868">
        <v>0</v>
      </c>
      <c r="E3868">
        <v>0</v>
      </c>
      <c r="F3868">
        <v>138.25</v>
      </c>
      <c r="G3868">
        <v>47863.28</v>
      </c>
      <c r="H3868" s="14">
        <v>43768.833333333336</v>
      </c>
    </row>
    <row r="3869" spans="1:8" x14ac:dyDescent="0.25">
      <c r="A3869">
        <v>164</v>
      </c>
      <c r="B3869" t="s">
        <v>294</v>
      </c>
      <c r="C3869">
        <v>4</v>
      </c>
      <c r="D3869">
        <v>0</v>
      </c>
      <c r="E3869">
        <v>0</v>
      </c>
      <c r="F3869">
        <v>135.53</v>
      </c>
      <c r="G3869">
        <v>46638.5</v>
      </c>
      <c r="H3869" s="14">
        <v>43768.833333333336</v>
      </c>
    </row>
    <row r="3870" spans="1:8" x14ac:dyDescent="0.25">
      <c r="A3870">
        <v>164</v>
      </c>
      <c r="B3870" t="s">
        <v>294</v>
      </c>
      <c r="C3870">
        <v>5</v>
      </c>
      <c r="D3870">
        <v>0</v>
      </c>
      <c r="E3870">
        <v>0</v>
      </c>
      <c r="F3870">
        <v>133.78</v>
      </c>
      <c r="G3870">
        <v>45165.69</v>
      </c>
      <c r="H3870" s="14">
        <v>43768.833333333336</v>
      </c>
    </row>
    <row r="3871" spans="1:8" x14ac:dyDescent="0.25">
      <c r="A3871">
        <v>164</v>
      </c>
      <c r="B3871" t="s">
        <v>294</v>
      </c>
      <c r="C3871">
        <v>6</v>
      </c>
      <c r="D3871">
        <v>0</v>
      </c>
      <c r="E3871">
        <v>0</v>
      </c>
      <c r="F3871">
        <v>128.44999999999999</v>
      </c>
      <c r="G3871">
        <v>42397.599999999999</v>
      </c>
      <c r="H3871" s="14">
        <v>43768.833333333336</v>
      </c>
    </row>
    <row r="3872" spans="1:8" x14ac:dyDescent="0.25">
      <c r="A3872">
        <v>164</v>
      </c>
      <c r="B3872" t="s">
        <v>294</v>
      </c>
      <c r="C3872">
        <v>7</v>
      </c>
      <c r="D3872">
        <v>0</v>
      </c>
      <c r="E3872">
        <v>0</v>
      </c>
      <c r="F3872">
        <v>138.36000000000001</v>
      </c>
      <c r="G3872">
        <v>45327.85</v>
      </c>
      <c r="H3872" s="14">
        <v>43768.833333333336</v>
      </c>
    </row>
    <row r="3873" spans="1:8" x14ac:dyDescent="0.25">
      <c r="A3873">
        <v>164</v>
      </c>
      <c r="B3873" t="s">
        <v>294</v>
      </c>
      <c r="C3873">
        <v>8</v>
      </c>
      <c r="D3873">
        <v>0</v>
      </c>
      <c r="E3873">
        <v>0</v>
      </c>
      <c r="F3873">
        <v>140.5</v>
      </c>
      <c r="G3873">
        <v>45673.66</v>
      </c>
      <c r="H3873" s="14">
        <v>43768.833333333336</v>
      </c>
    </row>
    <row r="3874" spans="1:8" x14ac:dyDescent="0.25">
      <c r="A3874">
        <v>164</v>
      </c>
      <c r="B3874" t="s">
        <v>294</v>
      </c>
      <c r="C3874">
        <v>9</v>
      </c>
      <c r="D3874">
        <v>0</v>
      </c>
      <c r="E3874">
        <v>0</v>
      </c>
      <c r="F3874">
        <v>140.01</v>
      </c>
      <c r="G3874">
        <v>45780.1</v>
      </c>
      <c r="H3874" s="14">
        <v>43768.833333333336</v>
      </c>
    </row>
    <row r="3875" spans="1:8" x14ac:dyDescent="0.25">
      <c r="A3875">
        <v>164</v>
      </c>
      <c r="B3875" t="s">
        <v>294</v>
      </c>
      <c r="C3875">
        <v>10</v>
      </c>
      <c r="D3875">
        <v>0</v>
      </c>
      <c r="E3875">
        <v>0</v>
      </c>
      <c r="F3875">
        <v>139.85</v>
      </c>
      <c r="G3875">
        <v>47082.84</v>
      </c>
      <c r="H3875" s="14">
        <v>43768.833333333336</v>
      </c>
    </row>
    <row r="3876" spans="1:8" x14ac:dyDescent="0.25">
      <c r="A3876">
        <v>164</v>
      </c>
      <c r="B3876" t="s">
        <v>294</v>
      </c>
      <c r="C3876">
        <v>11</v>
      </c>
      <c r="D3876">
        <v>0</v>
      </c>
      <c r="E3876">
        <v>0</v>
      </c>
      <c r="F3876">
        <v>141.02000000000001</v>
      </c>
      <c r="G3876">
        <v>46795.03</v>
      </c>
      <c r="H3876" s="14">
        <v>43768.833333333336</v>
      </c>
    </row>
    <row r="3877" spans="1:8" x14ac:dyDescent="0.25">
      <c r="A3877">
        <v>164</v>
      </c>
      <c r="B3877" t="s">
        <v>294</v>
      </c>
      <c r="C3877">
        <v>12</v>
      </c>
      <c r="D3877">
        <v>0</v>
      </c>
      <c r="E3877">
        <v>0</v>
      </c>
      <c r="F3877">
        <v>136.62</v>
      </c>
      <c r="G3877">
        <v>44621.9</v>
      </c>
      <c r="H3877" s="14">
        <v>43768.833333333336</v>
      </c>
    </row>
    <row r="3878" spans="1:8" x14ac:dyDescent="0.25">
      <c r="A3878">
        <v>165</v>
      </c>
      <c r="B3878" t="s">
        <v>295</v>
      </c>
      <c r="C3878">
        <v>1</v>
      </c>
      <c r="D3878">
        <v>0</v>
      </c>
      <c r="E3878">
        <v>0</v>
      </c>
      <c r="F3878">
        <v>0</v>
      </c>
      <c r="G3878">
        <v>0</v>
      </c>
      <c r="H3878" s="14">
        <v>43755.260416666664</v>
      </c>
    </row>
    <row r="3879" spans="1:8" x14ac:dyDescent="0.25">
      <c r="A3879">
        <v>165</v>
      </c>
      <c r="B3879" t="s">
        <v>295</v>
      </c>
      <c r="C3879">
        <v>2</v>
      </c>
      <c r="D3879">
        <v>0</v>
      </c>
      <c r="E3879">
        <v>0</v>
      </c>
      <c r="F3879">
        <v>0</v>
      </c>
      <c r="G3879">
        <v>0</v>
      </c>
      <c r="H3879" s="14">
        <v>43755.260416666664</v>
      </c>
    </row>
    <row r="3880" spans="1:8" x14ac:dyDescent="0.25">
      <c r="A3880">
        <v>165</v>
      </c>
      <c r="B3880" t="s">
        <v>295</v>
      </c>
      <c r="C3880">
        <v>3</v>
      </c>
      <c r="D3880">
        <v>0</v>
      </c>
      <c r="E3880">
        <v>0</v>
      </c>
      <c r="F3880">
        <v>0</v>
      </c>
      <c r="G3880">
        <v>0</v>
      </c>
      <c r="H3880" s="14">
        <v>43755.260416666664</v>
      </c>
    </row>
    <row r="3881" spans="1:8" x14ac:dyDescent="0.25">
      <c r="A3881">
        <v>165</v>
      </c>
      <c r="B3881" t="s">
        <v>295</v>
      </c>
      <c r="C3881">
        <v>4</v>
      </c>
      <c r="D3881">
        <v>0</v>
      </c>
      <c r="E3881">
        <v>0</v>
      </c>
      <c r="F3881">
        <v>0</v>
      </c>
      <c r="G3881">
        <v>0</v>
      </c>
      <c r="H3881" s="14">
        <v>43755.260416666664</v>
      </c>
    </row>
    <row r="3882" spans="1:8" x14ac:dyDescent="0.25">
      <c r="A3882">
        <v>165</v>
      </c>
      <c r="B3882" t="s">
        <v>295</v>
      </c>
      <c r="C3882">
        <v>5</v>
      </c>
      <c r="D3882">
        <v>0</v>
      </c>
      <c r="E3882">
        <v>0</v>
      </c>
      <c r="F3882">
        <v>0</v>
      </c>
      <c r="G3882">
        <v>0</v>
      </c>
      <c r="H3882" s="14">
        <v>43755.260416666664</v>
      </c>
    </row>
    <row r="3883" spans="1:8" x14ac:dyDescent="0.25">
      <c r="A3883">
        <v>165</v>
      </c>
      <c r="B3883" t="s">
        <v>295</v>
      </c>
      <c r="C3883">
        <v>6</v>
      </c>
      <c r="D3883">
        <v>0</v>
      </c>
      <c r="E3883">
        <v>0</v>
      </c>
      <c r="F3883">
        <v>0</v>
      </c>
      <c r="G3883">
        <v>0</v>
      </c>
      <c r="H3883" s="14">
        <v>43755.260416666664</v>
      </c>
    </row>
    <row r="3884" spans="1:8" x14ac:dyDescent="0.25">
      <c r="A3884">
        <v>165</v>
      </c>
      <c r="B3884" t="s">
        <v>295</v>
      </c>
      <c r="C3884">
        <v>7</v>
      </c>
      <c r="D3884">
        <v>0</v>
      </c>
      <c r="E3884">
        <v>0</v>
      </c>
      <c r="F3884">
        <v>0</v>
      </c>
      <c r="G3884">
        <v>0</v>
      </c>
      <c r="H3884" s="14">
        <v>43755.260416666664</v>
      </c>
    </row>
    <row r="3885" spans="1:8" x14ac:dyDescent="0.25">
      <c r="A3885">
        <v>166</v>
      </c>
      <c r="B3885" t="s">
        <v>297</v>
      </c>
      <c r="C3885">
        <v>1</v>
      </c>
      <c r="D3885">
        <v>0</v>
      </c>
      <c r="E3885">
        <v>0</v>
      </c>
      <c r="F3885">
        <v>141.4</v>
      </c>
      <c r="G3885">
        <v>46026.26</v>
      </c>
      <c r="H3885" s="14">
        <v>43768.833333333336</v>
      </c>
    </row>
    <row r="3886" spans="1:8" x14ac:dyDescent="0.25">
      <c r="A3886">
        <v>166</v>
      </c>
      <c r="B3886" t="s">
        <v>297</v>
      </c>
      <c r="C3886">
        <v>2</v>
      </c>
      <c r="D3886">
        <v>0</v>
      </c>
      <c r="E3886">
        <v>0</v>
      </c>
      <c r="F3886">
        <v>139.72999999999999</v>
      </c>
      <c r="G3886">
        <v>45261.32</v>
      </c>
      <c r="H3886" s="14">
        <v>43768.833333333336</v>
      </c>
    </row>
    <row r="3887" spans="1:8" x14ac:dyDescent="0.25">
      <c r="A3887">
        <v>166</v>
      </c>
      <c r="B3887" t="s">
        <v>297</v>
      </c>
      <c r="C3887">
        <v>3</v>
      </c>
      <c r="D3887">
        <v>0</v>
      </c>
      <c r="E3887">
        <v>0</v>
      </c>
      <c r="F3887">
        <v>140.34</v>
      </c>
      <c r="G3887">
        <v>44815.72</v>
      </c>
      <c r="H3887" s="14">
        <v>43768.833333333336</v>
      </c>
    </row>
    <row r="3888" spans="1:8" x14ac:dyDescent="0.25">
      <c r="A3888">
        <v>166</v>
      </c>
      <c r="B3888" t="s">
        <v>297</v>
      </c>
      <c r="C3888">
        <v>4</v>
      </c>
      <c r="D3888">
        <v>0</v>
      </c>
      <c r="E3888">
        <v>0</v>
      </c>
      <c r="F3888">
        <v>140.12</v>
      </c>
      <c r="G3888">
        <v>44947.88</v>
      </c>
      <c r="H3888" s="14">
        <v>43768.833333333336</v>
      </c>
    </row>
    <row r="3889" spans="1:8" x14ac:dyDescent="0.25">
      <c r="A3889">
        <v>166</v>
      </c>
      <c r="B3889" t="s">
        <v>297</v>
      </c>
      <c r="C3889">
        <v>5</v>
      </c>
      <c r="D3889">
        <v>0</v>
      </c>
      <c r="E3889">
        <v>0</v>
      </c>
      <c r="F3889">
        <v>142.29</v>
      </c>
      <c r="G3889">
        <v>45561.2</v>
      </c>
      <c r="H3889" s="14">
        <v>43768.833333333336</v>
      </c>
    </row>
    <row r="3890" spans="1:8" x14ac:dyDescent="0.25">
      <c r="A3890">
        <v>166</v>
      </c>
      <c r="B3890" t="s">
        <v>297</v>
      </c>
      <c r="C3890">
        <v>6</v>
      </c>
      <c r="D3890">
        <v>0</v>
      </c>
      <c r="E3890">
        <v>0</v>
      </c>
      <c r="F3890">
        <v>141.32</v>
      </c>
      <c r="G3890">
        <v>45612.68</v>
      </c>
      <c r="H3890" s="14">
        <v>43768.833333333336</v>
      </c>
    </row>
    <row r="3891" spans="1:8" x14ac:dyDescent="0.25">
      <c r="A3891">
        <v>166</v>
      </c>
      <c r="B3891" t="s">
        <v>297</v>
      </c>
      <c r="C3891">
        <v>7</v>
      </c>
      <c r="D3891">
        <v>0</v>
      </c>
      <c r="E3891">
        <v>0</v>
      </c>
      <c r="F3891">
        <v>141.56</v>
      </c>
      <c r="G3891">
        <v>45227.64</v>
      </c>
      <c r="H3891" s="14">
        <v>43768.833333333336</v>
      </c>
    </row>
    <row r="3892" spans="1:8" x14ac:dyDescent="0.25">
      <c r="A3892">
        <v>166</v>
      </c>
      <c r="B3892" t="s">
        <v>297</v>
      </c>
      <c r="C3892">
        <v>8</v>
      </c>
      <c r="D3892">
        <v>0</v>
      </c>
      <c r="E3892">
        <v>0</v>
      </c>
      <c r="F3892">
        <v>140.80000000000001</v>
      </c>
      <c r="G3892">
        <v>44979.65</v>
      </c>
      <c r="H3892" s="14">
        <v>43768.833333333336</v>
      </c>
    </row>
    <row r="3893" spans="1:8" x14ac:dyDescent="0.25">
      <c r="A3893">
        <v>166</v>
      </c>
      <c r="B3893" t="s">
        <v>297</v>
      </c>
      <c r="C3893">
        <v>9</v>
      </c>
      <c r="D3893">
        <v>0</v>
      </c>
      <c r="E3893">
        <v>0</v>
      </c>
      <c r="F3893">
        <v>135.83000000000001</v>
      </c>
      <c r="G3893">
        <v>42864.15</v>
      </c>
      <c r="H3893" s="14">
        <v>43768.833333333336</v>
      </c>
    </row>
    <row r="3894" spans="1:8" x14ac:dyDescent="0.25">
      <c r="A3894">
        <v>166</v>
      </c>
      <c r="B3894" t="s">
        <v>297</v>
      </c>
      <c r="C3894">
        <v>10</v>
      </c>
      <c r="D3894">
        <v>0</v>
      </c>
      <c r="E3894">
        <v>0</v>
      </c>
      <c r="F3894">
        <v>136.47999999999999</v>
      </c>
      <c r="G3894">
        <v>42519.24</v>
      </c>
      <c r="H3894" s="14">
        <v>43768.833333333336</v>
      </c>
    </row>
    <row r="3895" spans="1:8" x14ac:dyDescent="0.25">
      <c r="A3895">
        <v>166</v>
      </c>
      <c r="B3895" t="s">
        <v>297</v>
      </c>
      <c r="C3895">
        <v>11</v>
      </c>
      <c r="D3895">
        <v>0</v>
      </c>
      <c r="E3895">
        <v>0</v>
      </c>
      <c r="F3895">
        <v>137.82</v>
      </c>
      <c r="G3895">
        <v>44052.91</v>
      </c>
      <c r="H3895" s="14">
        <v>43768.833333333336</v>
      </c>
    </row>
    <row r="3896" spans="1:8" x14ac:dyDescent="0.25">
      <c r="A3896">
        <v>166</v>
      </c>
      <c r="B3896" t="s">
        <v>297</v>
      </c>
      <c r="C3896">
        <v>12</v>
      </c>
      <c r="D3896">
        <v>0</v>
      </c>
      <c r="E3896">
        <v>0</v>
      </c>
      <c r="F3896">
        <v>131.56</v>
      </c>
      <c r="G3896">
        <v>39869.589999999997</v>
      </c>
      <c r="H3896" s="14">
        <v>43768.833333333336</v>
      </c>
    </row>
    <row r="3897" spans="1:8" x14ac:dyDescent="0.25">
      <c r="A3897">
        <v>167</v>
      </c>
      <c r="B3897" t="s">
        <v>298</v>
      </c>
      <c r="C3897">
        <v>1</v>
      </c>
      <c r="D3897">
        <v>0</v>
      </c>
      <c r="E3897">
        <v>0</v>
      </c>
      <c r="F3897">
        <v>86.32</v>
      </c>
      <c r="G3897">
        <v>28643.42</v>
      </c>
      <c r="H3897" s="14">
        <v>43768.833333333336</v>
      </c>
    </row>
    <row r="3898" spans="1:8" x14ac:dyDescent="0.25">
      <c r="A3898">
        <v>167</v>
      </c>
      <c r="B3898" t="s">
        <v>298</v>
      </c>
      <c r="C3898">
        <v>2</v>
      </c>
      <c r="D3898">
        <v>0</v>
      </c>
      <c r="E3898">
        <v>0</v>
      </c>
      <c r="F3898">
        <v>121.47</v>
      </c>
      <c r="G3898">
        <v>31220.54</v>
      </c>
      <c r="H3898" s="14">
        <v>43768.833333333336</v>
      </c>
    </row>
    <row r="3899" spans="1:8" x14ac:dyDescent="0.25">
      <c r="A3899">
        <v>167</v>
      </c>
      <c r="B3899" t="s">
        <v>298</v>
      </c>
      <c r="C3899">
        <v>3</v>
      </c>
      <c r="D3899">
        <v>0</v>
      </c>
      <c r="E3899">
        <v>0</v>
      </c>
      <c r="F3899">
        <v>81.16</v>
      </c>
      <c r="G3899">
        <v>28691.33</v>
      </c>
      <c r="H3899" s="14">
        <v>43768.833333333336</v>
      </c>
    </row>
    <row r="3900" spans="1:8" x14ac:dyDescent="0.25">
      <c r="A3900">
        <v>167</v>
      </c>
      <c r="B3900" t="s">
        <v>298</v>
      </c>
      <c r="C3900">
        <v>4</v>
      </c>
      <c r="D3900">
        <v>0</v>
      </c>
      <c r="E3900">
        <v>0</v>
      </c>
      <c r="F3900">
        <v>131.32</v>
      </c>
      <c r="G3900">
        <v>32000.53</v>
      </c>
      <c r="H3900" s="14">
        <v>43768.833333333336</v>
      </c>
    </row>
    <row r="3901" spans="1:8" x14ac:dyDescent="0.25">
      <c r="A3901">
        <v>167</v>
      </c>
      <c r="B3901" t="s">
        <v>298</v>
      </c>
      <c r="C3901">
        <v>5</v>
      </c>
      <c r="D3901">
        <v>0</v>
      </c>
      <c r="E3901">
        <v>0</v>
      </c>
      <c r="F3901">
        <v>111.91</v>
      </c>
      <c r="G3901">
        <v>31043.47</v>
      </c>
      <c r="H3901" s="14">
        <v>43768.833333333336</v>
      </c>
    </row>
    <row r="3902" spans="1:8" x14ac:dyDescent="0.25">
      <c r="A3902">
        <v>167</v>
      </c>
      <c r="B3902" t="s">
        <v>298</v>
      </c>
      <c r="C3902">
        <v>6</v>
      </c>
      <c r="D3902">
        <v>0</v>
      </c>
      <c r="E3902">
        <v>0</v>
      </c>
      <c r="F3902">
        <v>89.16</v>
      </c>
      <c r="G3902">
        <v>26272.14</v>
      </c>
      <c r="H3902" s="14">
        <v>43768.833333333336</v>
      </c>
    </row>
    <row r="3903" spans="1:8" x14ac:dyDescent="0.25">
      <c r="A3903">
        <v>167</v>
      </c>
      <c r="B3903" t="s">
        <v>298</v>
      </c>
      <c r="C3903">
        <v>7</v>
      </c>
      <c r="D3903">
        <v>0</v>
      </c>
      <c r="E3903">
        <v>0</v>
      </c>
      <c r="F3903">
        <v>93.81</v>
      </c>
      <c r="G3903">
        <v>31635.38</v>
      </c>
      <c r="H3903" s="14">
        <v>43768.833333333336</v>
      </c>
    </row>
    <row r="3904" spans="1:8" x14ac:dyDescent="0.25">
      <c r="A3904">
        <v>167</v>
      </c>
      <c r="B3904" t="s">
        <v>298</v>
      </c>
      <c r="C3904">
        <v>8</v>
      </c>
      <c r="D3904">
        <v>0</v>
      </c>
      <c r="E3904">
        <v>0</v>
      </c>
      <c r="F3904">
        <v>120.01</v>
      </c>
      <c r="G3904">
        <v>32749.55</v>
      </c>
      <c r="H3904" s="14">
        <v>43768.833333333336</v>
      </c>
    </row>
    <row r="3905" spans="1:8" x14ac:dyDescent="0.25">
      <c r="A3905">
        <v>167</v>
      </c>
      <c r="B3905" t="s">
        <v>298</v>
      </c>
      <c r="C3905">
        <v>9</v>
      </c>
      <c r="D3905">
        <v>0</v>
      </c>
      <c r="E3905">
        <v>0</v>
      </c>
      <c r="F3905">
        <v>103.77</v>
      </c>
      <c r="G3905">
        <v>33041.08</v>
      </c>
      <c r="H3905" s="14">
        <v>43768.833333333336</v>
      </c>
    </row>
    <row r="3906" spans="1:8" x14ac:dyDescent="0.25">
      <c r="A3906">
        <v>167</v>
      </c>
      <c r="B3906" t="s">
        <v>298</v>
      </c>
      <c r="C3906">
        <v>10</v>
      </c>
      <c r="D3906">
        <v>0</v>
      </c>
      <c r="E3906">
        <v>0</v>
      </c>
      <c r="F3906">
        <v>151.29</v>
      </c>
      <c r="G3906">
        <v>37666.129999999997</v>
      </c>
      <c r="H3906" s="14">
        <v>43768.833333333336</v>
      </c>
    </row>
    <row r="3907" spans="1:8" x14ac:dyDescent="0.25">
      <c r="A3907">
        <v>167</v>
      </c>
      <c r="B3907" t="s">
        <v>298</v>
      </c>
      <c r="C3907">
        <v>11</v>
      </c>
      <c r="D3907">
        <v>0</v>
      </c>
      <c r="E3907">
        <v>0</v>
      </c>
      <c r="F3907">
        <v>29.51</v>
      </c>
      <c r="G3907">
        <v>8118.98</v>
      </c>
      <c r="H3907" s="14">
        <v>43768.833333333336</v>
      </c>
    </row>
    <row r="3908" spans="1:8" x14ac:dyDescent="0.25">
      <c r="A3908">
        <v>167</v>
      </c>
      <c r="B3908" t="s">
        <v>298</v>
      </c>
      <c r="C3908">
        <v>12</v>
      </c>
      <c r="D3908">
        <v>0</v>
      </c>
      <c r="E3908">
        <v>0</v>
      </c>
      <c r="F3908">
        <v>124.73</v>
      </c>
      <c r="G3908">
        <v>33767.19</v>
      </c>
      <c r="H3908" s="14">
        <v>43768.833333333336</v>
      </c>
    </row>
    <row r="3909" spans="1:8" x14ac:dyDescent="0.25">
      <c r="A3909">
        <v>167</v>
      </c>
      <c r="B3909" t="s">
        <v>298</v>
      </c>
      <c r="C3909">
        <v>13</v>
      </c>
      <c r="D3909">
        <v>0</v>
      </c>
      <c r="E3909">
        <v>0</v>
      </c>
      <c r="F3909">
        <v>69.55</v>
      </c>
      <c r="G3909">
        <v>19476.87</v>
      </c>
      <c r="H3909" s="14">
        <v>43768.833333333336</v>
      </c>
    </row>
    <row r="3910" spans="1:8" x14ac:dyDescent="0.25">
      <c r="A3910">
        <v>167</v>
      </c>
      <c r="B3910" t="s">
        <v>298</v>
      </c>
      <c r="C3910">
        <v>14</v>
      </c>
      <c r="D3910">
        <v>0</v>
      </c>
      <c r="E3910">
        <v>0</v>
      </c>
      <c r="F3910">
        <v>62.22</v>
      </c>
      <c r="G3910">
        <v>19541.490000000002</v>
      </c>
      <c r="H3910" s="14">
        <v>43768.833333333336</v>
      </c>
    </row>
    <row r="3911" spans="1:8" x14ac:dyDescent="0.25">
      <c r="A3911">
        <v>167</v>
      </c>
      <c r="B3911" t="s">
        <v>298</v>
      </c>
      <c r="C3911">
        <v>15</v>
      </c>
      <c r="D3911">
        <v>0</v>
      </c>
      <c r="E3911">
        <v>0</v>
      </c>
      <c r="F3911">
        <v>82.3</v>
      </c>
      <c r="G3911">
        <v>26382.49</v>
      </c>
      <c r="H3911" s="14">
        <v>43768.833333333336</v>
      </c>
    </row>
    <row r="3912" spans="1:8" x14ac:dyDescent="0.25">
      <c r="A3912">
        <v>167</v>
      </c>
      <c r="B3912" t="s">
        <v>298</v>
      </c>
      <c r="C3912">
        <v>16</v>
      </c>
      <c r="D3912">
        <v>0</v>
      </c>
      <c r="E3912">
        <v>0</v>
      </c>
      <c r="F3912">
        <v>147.22</v>
      </c>
      <c r="G3912">
        <v>35729.15</v>
      </c>
      <c r="H3912" s="14">
        <v>43768.833333333336</v>
      </c>
    </row>
    <row r="3913" spans="1:8" x14ac:dyDescent="0.25">
      <c r="A3913">
        <v>167</v>
      </c>
      <c r="B3913" t="s">
        <v>298</v>
      </c>
      <c r="C3913">
        <v>17</v>
      </c>
      <c r="D3913">
        <v>0</v>
      </c>
      <c r="E3913">
        <v>0</v>
      </c>
      <c r="F3913">
        <v>22.37</v>
      </c>
      <c r="G3913">
        <v>7253.82</v>
      </c>
      <c r="H3913" s="14">
        <v>43768.833333333336</v>
      </c>
    </row>
    <row r="3914" spans="1:8" x14ac:dyDescent="0.25">
      <c r="A3914">
        <v>168</v>
      </c>
      <c r="B3914" t="s">
        <v>299</v>
      </c>
      <c r="C3914">
        <v>1</v>
      </c>
      <c r="D3914">
        <v>0</v>
      </c>
      <c r="E3914">
        <v>0</v>
      </c>
      <c r="F3914">
        <v>77.92</v>
      </c>
      <c r="G3914">
        <v>33390.43</v>
      </c>
      <c r="H3914" s="14">
        <v>43768.833333333336</v>
      </c>
    </row>
    <row r="3915" spans="1:8" x14ac:dyDescent="0.25">
      <c r="A3915">
        <v>168</v>
      </c>
      <c r="B3915" t="s">
        <v>299</v>
      </c>
      <c r="C3915">
        <v>2</v>
      </c>
      <c r="D3915">
        <v>0</v>
      </c>
      <c r="E3915">
        <v>0</v>
      </c>
      <c r="F3915">
        <v>78.38</v>
      </c>
      <c r="G3915">
        <v>33368.629999999997</v>
      </c>
      <c r="H3915" s="14">
        <v>43768.833333333336</v>
      </c>
    </row>
    <row r="3916" spans="1:8" x14ac:dyDescent="0.25">
      <c r="A3916">
        <v>168</v>
      </c>
      <c r="B3916" t="s">
        <v>299</v>
      </c>
      <c r="C3916">
        <v>3</v>
      </c>
      <c r="D3916">
        <v>0</v>
      </c>
      <c r="E3916">
        <v>0</v>
      </c>
      <c r="F3916">
        <v>78.2</v>
      </c>
      <c r="G3916">
        <v>32478.83</v>
      </c>
      <c r="H3916" s="14">
        <v>43768.833333333336</v>
      </c>
    </row>
    <row r="3917" spans="1:8" x14ac:dyDescent="0.25">
      <c r="A3917">
        <v>168</v>
      </c>
      <c r="B3917" t="s">
        <v>299</v>
      </c>
      <c r="C3917">
        <v>4</v>
      </c>
      <c r="D3917">
        <v>0</v>
      </c>
      <c r="E3917">
        <v>0</v>
      </c>
      <c r="F3917">
        <v>78.61</v>
      </c>
      <c r="G3917">
        <v>30320.37</v>
      </c>
      <c r="H3917" s="14">
        <v>43768.833333333336</v>
      </c>
    </row>
    <row r="3918" spans="1:8" x14ac:dyDescent="0.25">
      <c r="A3918">
        <v>168</v>
      </c>
      <c r="B3918" t="s">
        <v>299</v>
      </c>
      <c r="C3918">
        <v>5</v>
      </c>
      <c r="D3918">
        <v>0</v>
      </c>
      <c r="E3918">
        <v>0</v>
      </c>
      <c r="F3918">
        <v>78.81</v>
      </c>
      <c r="G3918">
        <v>28751.32</v>
      </c>
      <c r="H3918" s="14">
        <v>43768.833333333336</v>
      </c>
    </row>
    <row r="3919" spans="1:8" x14ac:dyDescent="0.25">
      <c r="A3919">
        <v>168</v>
      </c>
      <c r="B3919" t="s">
        <v>299</v>
      </c>
      <c r="C3919">
        <v>6</v>
      </c>
      <c r="D3919">
        <v>0</v>
      </c>
      <c r="E3919">
        <v>0</v>
      </c>
      <c r="F3919">
        <v>78.97</v>
      </c>
      <c r="G3919">
        <v>30091.63</v>
      </c>
      <c r="H3919" s="14">
        <v>43768.833333333336</v>
      </c>
    </row>
    <row r="3920" spans="1:8" x14ac:dyDescent="0.25">
      <c r="A3920">
        <v>168</v>
      </c>
      <c r="B3920" t="s">
        <v>299</v>
      </c>
      <c r="C3920">
        <v>7</v>
      </c>
      <c r="D3920">
        <v>0</v>
      </c>
      <c r="E3920">
        <v>0</v>
      </c>
      <c r="F3920">
        <v>79.19</v>
      </c>
      <c r="G3920">
        <v>30590.84</v>
      </c>
      <c r="H3920" s="14">
        <v>43768.833333333336</v>
      </c>
    </row>
    <row r="3921" spans="1:8" x14ac:dyDescent="0.25">
      <c r="A3921">
        <v>168</v>
      </c>
      <c r="B3921" t="s">
        <v>299</v>
      </c>
      <c r="C3921">
        <v>8</v>
      </c>
      <c r="D3921">
        <v>0</v>
      </c>
      <c r="E3921">
        <v>0</v>
      </c>
      <c r="F3921">
        <v>77.94</v>
      </c>
      <c r="G3921">
        <v>29377.77</v>
      </c>
      <c r="H3921" s="14">
        <v>43768.833333333336</v>
      </c>
    </row>
    <row r="3922" spans="1:8" x14ac:dyDescent="0.25">
      <c r="A3922">
        <v>168</v>
      </c>
      <c r="B3922" t="s">
        <v>299</v>
      </c>
      <c r="C3922">
        <v>9</v>
      </c>
      <c r="D3922">
        <v>0</v>
      </c>
      <c r="E3922">
        <v>0</v>
      </c>
      <c r="F3922">
        <v>78.69</v>
      </c>
      <c r="G3922">
        <v>29389.21</v>
      </c>
      <c r="H3922" s="14">
        <v>43768.833333333336</v>
      </c>
    </row>
    <row r="3923" spans="1:8" x14ac:dyDescent="0.25">
      <c r="A3923">
        <v>168</v>
      </c>
      <c r="B3923" t="s">
        <v>299</v>
      </c>
      <c r="C3923">
        <v>10</v>
      </c>
      <c r="D3923">
        <v>0</v>
      </c>
      <c r="E3923">
        <v>0</v>
      </c>
      <c r="F3923">
        <v>77.540000000000006</v>
      </c>
      <c r="G3923">
        <v>29498.62</v>
      </c>
      <c r="H3923" s="14">
        <v>43768.833333333336</v>
      </c>
    </row>
    <row r="3924" spans="1:8" x14ac:dyDescent="0.25">
      <c r="A3924">
        <v>168</v>
      </c>
      <c r="B3924" t="s">
        <v>299</v>
      </c>
      <c r="C3924">
        <v>11</v>
      </c>
      <c r="D3924">
        <v>0</v>
      </c>
      <c r="E3924">
        <v>0</v>
      </c>
      <c r="F3924">
        <v>76.67</v>
      </c>
      <c r="G3924">
        <v>30525.18</v>
      </c>
      <c r="H3924" s="14">
        <v>43768.833333333336</v>
      </c>
    </row>
    <row r="3925" spans="1:8" x14ac:dyDescent="0.25">
      <c r="A3925">
        <v>168</v>
      </c>
      <c r="B3925" t="s">
        <v>299</v>
      </c>
      <c r="C3925">
        <v>12</v>
      </c>
      <c r="D3925">
        <v>0</v>
      </c>
      <c r="E3925">
        <v>0</v>
      </c>
      <c r="F3925">
        <v>76.56</v>
      </c>
      <c r="G3925">
        <v>30303.32</v>
      </c>
      <c r="H3925" s="14">
        <v>43768.833333333336</v>
      </c>
    </row>
    <row r="3926" spans="1:8" x14ac:dyDescent="0.25">
      <c r="A3926">
        <v>168</v>
      </c>
      <c r="B3926" t="s">
        <v>299</v>
      </c>
      <c r="C3926">
        <v>13</v>
      </c>
      <c r="D3926">
        <v>0</v>
      </c>
      <c r="E3926">
        <v>0</v>
      </c>
      <c r="F3926">
        <v>75.400000000000006</v>
      </c>
      <c r="G3926">
        <v>28382.61</v>
      </c>
      <c r="H3926" s="14">
        <v>43768.833333333336</v>
      </c>
    </row>
    <row r="3927" spans="1:8" x14ac:dyDescent="0.25">
      <c r="A3927">
        <v>168</v>
      </c>
      <c r="B3927" t="s">
        <v>299</v>
      </c>
      <c r="C3927">
        <v>14</v>
      </c>
      <c r="D3927">
        <v>0</v>
      </c>
      <c r="E3927">
        <v>0</v>
      </c>
      <c r="F3927">
        <v>74.849999999999994</v>
      </c>
      <c r="G3927">
        <v>29507.95</v>
      </c>
      <c r="H3927" s="14">
        <v>43768.833333333336</v>
      </c>
    </row>
    <row r="3928" spans="1:8" x14ac:dyDescent="0.25">
      <c r="A3928">
        <v>168</v>
      </c>
      <c r="B3928" t="s">
        <v>299</v>
      </c>
      <c r="C3928">
        <v>15</v>
      </c>
      <c r="D3928">
        <v>0</v>
      </c>
      <c r="E3928">
        <v>0</v>
      </c>
      <c r="F3928">
        <v>61.63</v>
      </c>
      <c r="G3928">
        <v>24034.54</v>
      </c>
      <c r="H3928" s="14">
        <v>43768.833333333336</v>
      </c>
    </row>
    <row r="3929" spans="1:8" x14ac:dyDescent="0.25">
      <c r="A3929">
        <v>168</v>
      </c>
      <c r="B3929" t="s">
        <v>299</v>
      </c>
      <c r="C3929">
        <v>16</v>
      </c>
      <c r="D3929">
        <v>0</v>
      </c>
      <c r="E3929">
        <v>0</v>
      </c>
      <c r="F3929">
        <v>40</v>
      </c>
      <c r="G3929">
        <v>15420.24</v>
      </c>
      <c r="H3929" s="14">
        <v>43768.833333333336</v>
      </c>
    </row>
    <row r="3930" spans="1:8" x14ac:dyDescent="0.25">
      <c r="A3930">
        <v>169</v>
      </c>
      <c r="B3930" t="s">
        <v>300</v>
      </c>
      <c r="C3930">
        <v>1</v>
      </c>
      <c r="D3930">
        <v>0</v>
      </c>
      <c r="E3930">
        <v>0</v>
      </c>
      <c r="F3930">
        <v>0</v>
      </c>
      <c r="G3930">
        <v>0</v>
      </c>
      <c r="H3930" s="14">
        <v>43767.833333333336</v>
      </c>
    </row>
    <row r="3931" spans="1:8" x14ac:dyDescent="0.25">
      <c r="A3931">
        <v>169</v>
      </c>
      <c r="B3931" t="s">
        <v>300</v>
      </c>
      <c r="C3931">
        <v>2</v>
      </c>
      <c r="D3931">
        <v>0</v>
      </c>
      <c r="E3931">
        <v>0</v>
      </c>
      <c r="F3931">
        <v>0</v>
      </c>
      <c r="G3931">
        <v>0</v>
      </c>
      <c r="H3931" s="14">
        <v>43767.833333333336</v>
      </c>
    </row>
    <row r="3932" spans="1:8" x14ac:dyDescent="0.25">
      <c r="A3932">
        <v>169</v>
      </c>
      <c r="B3932" t="s">
        <v>300</v>
      </c>
      <c r="C3932">
        <v>3</v>
      </c>
      <c r="D3932">
        <v>0</v>
      </c>
      <c r="E3932">
        <v>0</v>
      </c>
      <c r="F3932">
        <v>0</v>
      </c>
      <c r="G3932">
        <v>0</v>
      </c>
      <c r="H3932" s="14">
        <v>43767.833333333336</v>
      </c>
    </row>
    <row r="3933" spans="1:8" x14ac:dyDescent="0.25">
      <c r="A3933">
        <v>169</v>
      </c>
      <c r="B3933" t="s">
        <v>300</v>
      </c>
      <c r="C3933">
        <v>4</v>
      </c>
      <c r="D3933">
        <v>0</v>
      </c>
      <c r="E3933">
        <v>0</v>
      </c>
      <c r="F3933">
        <v>0</v>
      </c>
      <c r="G3933">
        <v>0</v>
      </c>
      <c r="H3933" s="14">
        <v>43767.833333333336</v>
      </c>
    </row>
    <row r="3934" spans="1:8" x14ac:dyDescent="0.25">
      <c r="A3934">
        <v>169</v>
      </c>
      <c r="B3934" t="s">
        <v>300</v>
      </c>
      <c r="C3934">
        <v>5</v>
      </c>
      <c r="D3934">
        <v>0</v>
      </c>
      <c r="E3934">
        <v>0</v>
      </c>
      <c r="F3934">
        <v>0</v>
      </c>
      <c r="G3934">
        <v>0</v>
      </c>
      <c r="H3934" s="14">
        <v>43767.833333333336</v>
      </c>
    </row>
    <row r="3935" spans="1:8" x14ac:dyDescent="0.25">
      <c r="A3935">
        <v>169</v>
      </c>
      <c r="B3935" t="s">
        <v>300</v>
      </c>
      <c r="C3935">
        <v>6</v>
      </c>
      <c r="D3935">
        <v>0</v>
      </c>
      <c r="E3935">
        <v>0</v>
      </c>
      <c r="F3935">
        <v>0</v>
      </c>
      <c r="G3935">
        <v>0</v>
      </c>
      <c r="H3935" s="14">
        <v>43767.833333333336</v>
      </c>
    </row>
    <row r="3936" spans="1:8" x14ac:dyDescent="0.25">
      <c r="A3936">
        <v>169</v>
      </c>
      <c r="B3936" t="s">
        <v>300</v>
      </c>
      <c r="C3936">
        <v>7</v>
      </c>
      <c r="D3936">
        <v>0</v>
      </c>
      <c r="E3936">
        <v>0</v>
      </c>
      <c r="F3936">
        <v>0</v>
      </c>
      <c r="G3936">
        <v>0</v>
      </c>
      <c r="H3936" s="14">
        <v>43767.833333333336</v>
      </c>
    </row>
    <row r="3937" spans="1:8" x14ac:dyDescent="0.25">
      <c r="A3937">
        <v>169</v>
      </c>
      <c r="B3937" t="s">
        <v>300</v>
      </c>
      <c r="C3937">
        <v>8</v>
      </c>
      <c r="D3937">
        <v>0</v>
      </c>
      <c r="E3937">
        <v>0</v>
      </c>
      <c r="F3937">
        <v>0</v>
      </c>
      <c r="G3937">
        <v>0</v>
      </c>
      <c r="H3937" s="14">
        <v>43767.833333333336</v>
      </c>
    </row>
    <row r="3938" spans="1:8" x14ac:dyDescent="0.25">
      <c r="A3938">
        <v>169</v>
      </c>
      <c r="B3938" t="s">
        <v>300</v>
      </c>
      <c r="C3938">
        <v>9</v>
      </c>
      <c r="D3938">
        <v>0</v>
      </c>
      <c r="E3938">
        <v>0</v>
      </c>
      <c r="F3938">
        <v>0</v>
      </c>
      <c r="G3938">
        <v>0</v>
      </c>
      <c r="H3938" s="14">
        <v>43767.833333333336</v>
      </c>
    </row>
    <row r="3939" spans="1:8" x14ac:dyDescent="0.25">
      <c r="A3939">
        <v>169</v>
      </c>
      <c r="B3939" t="s">
        <v>300</v>
      </c>
      <c r="C3939">
        <v>10</v>
      </c>
      <c r="D3939">
        <v>0</v>
      </c>
      <c r="E3939">
        <v>0</v>
      </c>
      <c r="F3939">
        <v>0</v>
      </c>
      <c r="G3939">
        <v>0</v>
      </c>
      <c r="H3939" s="14">
        <v>43767.833333333336</v>
      </c>
    </row>
    <row r="3940" spans="1:8" x14ac:dyDescent="0.25">
      <c r="A3940">
        <v>169</v>
      </c>
      <c r="B3940" t="s">
        <v>300</v>
      </c>
      <c r="C3940">
        <v>11</v>
      </c>
      <c r="D3940">
        <v>0</v>
      </c>
      <c r="E3940">
        <v>0</v>
      </c>
      <c r="F3940">
        <v>0</v>
      </c>
      <c r="G3940">
        <v>0</v>
      </c>
      <c r="H3940" s="14">
        <v>43767.833333333336</v>
      </c>
    </row>
    <row r="3941" spans="1:8" x14ac:dyDescent="0.25">
      <c r="A3941">
        <v>169</v>
      </c>
      <c r="B3941" t="s">
        <v>300</v>
      </c>
      <c r="C3941">
        <v>12</v>
      </c>
      <c r="D3941">
        <v>0</v>
      </c>
      <c r="E3941">
        <v>0</v>
      </c>
      <c r="F3941">
        <v>0</v>
      </c>
      <c r="G3941">
        <v>0</v>
      </c>
      <c r="H3941" s="14">
        <v>43767.833333333336</v>
      </c>
    </row>
    <row r="3942" spans="1:8" x14ac:dyDescent="0.25">
      <c r="A3942">
        <v>169</v>
      </c>
      <c r="B3942" t="s">
        <v>300</v>
      </c>
      <c r="C3942">
        <v>13</v>
      </c>
      <c r="D3942">
        <v>0</v>
      </c>
      <c r="E3942">
        <v>0</v>
      </c>
      <c r="F3942">
        <v>0</v>
      </c>
      <c r="G3942">
        <v>0</v>
      </c>
      <c r="H3942" s="14">
        <v>43767.833333333336</v>
      </c>
    </row>
    <row r="3943" spans="1:8" x14ac:dyDescent="0.25">
      <c r="A3943">
        <v>169</v>
      </c>
      <c r="B3943" t="s">
        <v>300</v>
      </c>
      <c r="C3943">
        <v>14</v>
      </c>
      <c r="D3943">
        <v>0</v>
      </c>
      <c r="E3943">
        <v>0</v>
      </c>
      <c r="F3943">
        <v>0</v>
      </c>
      <c r="G3943">
        <v>0</v>
      </c>
      <c r="H3943" s="14">
        <v>43767.833333333336</v>
      </c>
    </row>
    <row r="3944" spans="1:8" x14ac:dyDescent="0.25">
      <c r="A3944">
        <v>169</v>
      </c>
      <c r="B3944" t="s">
        <v>300</v>
      </c>
      <c r="C3944">
        <v>15</v>
      </c>
      <c r="D3944">
        <v>0</v>
      </c>
      <c r="E3944">
        <v>0</v>
      </c>
      <c r="F3944">
        <v>0</v>
      </c>
      <c r="G3944">
        <v>0</v>
      </c>
      <c r="H3944" s="14">
        <v>43767.833333333336</v>
      </c>
    </row>
    <row r="3945" spans="1:8" x14ac:dyDescent="0.25">
      <c r="A3945">
        <v>169</v>
      </c>
      <c r="B3945" t="s">
        <v>300</v>
      </c>
      <c r="C3945">
        <v>16</v>
      </c>
      <c r="D3945">
        <v>0</v>
      </c>
      <c r="E3945">
        <v>0</v>
      </c>
      <c r="F3945">
        <v>0</v>
      </c>
      <c r="G3945">
        <v>0</v>
      </c>
      <c r="H3945" s="14">
        <v>43767.833333333336</v>
      </c>
    </row>
    <row r="3946" spans="1:8" x14ac:dyDescent="0.25">
      <c r="A3946">
        <v>169</v>
      </c>
      <c r="B3946" t="s">
        <v>300</v>
      </c>
      <c r="C3946">
        <v>17</v>
      </c>
      <c r="D3946">
        <v>0</v>
      </c>
      <c r="E3946">
        <v>0</v>
      </c>
      <c r="F3946">
        <v>0</v>
      </c>
      <c r="G3946">
        <v>0</v>
      </c>
      <c r="H3946" s="14">
        <v>43767.833333333336</v>
      </c>
    </row>
    <row r="3947" spans="1:8" x14ac:dyDescent="0.25">
      <c r="A3947">
        <v>169</v>
      </c>
      <c r="B3947" t="s">
        <v>300</v>
      </c>
      <c r="C3947">
        <v>18</v>
      </c>
      <c r="D3947">
        <v>0</v>
      </c>
      <c r="E3947">
        <v>0</v>
      </c>
      <c r="F3947">
        <v>0</v>
      </c>
      <c r="G3947">
        <v>0</v>
      </c>
      <c r="H3947" s="14">
        <v>43767.833333333336</v>
      </c>
    </row>
    <row r="3948" spans="1:8" x14ac:dyDescent="0.25">
      <c r="A3948">
        <v>170</v>
      </c>
      <c r="B3948" t="s">
        <v>301</v>
      </c>
      <c r="C3948">
        <v>1</v>
      </c>
      <c r="D3948">
        <v>0</v>
      </c>
      <c r="E3948">
        <v>0</v>
      </c>
      <c r="F3948">
        <v>73.31</v>
      </c>
      <c r="G3948">
        <v>24356.21</v>
      </c>
      <c r="H3948" s="14">
        <v>43768.833333333336</v>
      </c>
    </row>
    <row r="3949" spans="1:8" x14ac:dyDescent="0.25">
      <c r="A3949">
        <v>170</v>
      </c>
      <c r="B3949" t="s">
        <v>301</v>
      </c>
      <c r="C3949">
        <v>2</v>
      </c>
      <c r="D3949">
        <v>0</v>
      </c>
      <c r="E3949">
        <v>0</v>
      </c>
      <c r="F3949">
        <v>76.459999999999994</v>
      </c>
      <c r="G3949">
        <v>23914.06</v>
      </c>
      <c r="H3949" s="14">
        <v>43768.833333333336</v>
      </c>
    </row>
    <row r="3950" spans="1:8" x14ac:dyDescent="0.25">
      <c r="A3950">
        <v>170</v>
      </c>
      <c r="B3950" t="s">
        <v>301</v>
      </c>
      <c r="C3950">
        <v>3</v>
      </c>
      <c r="D3950">
        <v>0</v>
      </c>
      <c r="E3950">
        <v>0</v>
      </c>
      <c r="F3950">
        <v>78.87</v>
      </c>
      <c r="G3950">
        <v>30197.02</v>
      </c>
      <c r="H3950" s="14">
        <v>43768.833333333336</v>
      </c>
    </row>
    <row r="3951" spans="1:8" x14ac:dyDescent="0.25">
      <c r="A3951">
        <v>170</v>
      </c>
      <c r="B3951" t="s">
        <v>301</v>
      </c>
      <c r="C3951">
        <v>4</v>
      </c>
      <c r="D3951">
        <v>0</v>
      </c>
      <c r="E3951">
        <v>0</v>
      </c>
      <c r="F3951">
        <v>72.3</v>
      </c>
      <c r="G3951">
        <v>20415.88</v>
      </c>
      <c r="H3951" s="14">
        <v>43768.833333333336</v>
      </c>
    </row>
    <row r="3952" spans="1:8" x14ac:dyDescent="0.25">
      <c r="A3952">
        <v>170</v>
      </c>
      <c r="B3952" t="s">
        <v>301</v>
      </c>
      <c r="C3952">
        <v>5</v>
      </c>
      <c r="D3952">
        <v>0</v>
      </c>
      <c r="E3952">
        <v>0</v>
      </c>
      <c r="F3952">
        <v>66.78</v>
      </c>
      <c r="G3952">
        <v>18333.13</v>
      </c>
      <c r="H3952" s="14">
        <v>43768.833333333336</v>
      </c>
    </row>
    <row r="3953" spans="1:8" x14ac:dyDescent="0.25">
      <c r="A3953">
        <v>171</v>
      </c>
      <c r="B3953" t="s">
        <v>302</v>
      </c>
      <c r="C3953">
        <v>1</v>
      </c>
      <c r="D3953">
        <v>0</v>
      </c>
      <c r="E3953">
        <v>0</v>
      </c>
      <c r="F3953">
        <v>123.21</v>
      </c>
      <c r="G3953">
        <v>44441.25</v>
      </c>
      <c r="H3953" s="14">
        <v>43768.833333333336</v>
      </c>
    </row>
    <row r="3954" spans="1:8" x14ac:dyDescent="0.25">
      <c r="A3954">
        <v>171</v>
      </c>
      <c r="B3954" t="s">
        <v>302</v>
      </c>
      <c r="C3954">
        <v>2</v>
      </c>
      <c r="D3954">
        <v>0</v>
      </c>
      <c r="E3954">
        <v>0</v>
      </c>
      <c r="F3954">
        <v>38.950000000000003</v>
      </c>
      <c r="G3954">
        <v>13015.63</v>
      </c>
      <c r="H3954" s="14">
        <v>43768.833333333336</v>
      </c>
    </row>
    <row r="3955" spans="1:8" x14ac:dyDescent="0.25">
      <c r="A3955">
        <v>172</v>
      </c>
      <c r="B3955" t="s">
        <v>303</v>
      </c>
      <c r="C3955">
        <v>1</v>
      </c>
      <c r="D3955">
        <v>0</v>
      </c>
      <c r="E3955">
        <v>0</v>
      </c>
      <c r="F3955">
        <v>36.56</v>
      </c>
      <c r="G3955">
        <v>11731.81</v>
      </c>
      <c r="H3955" s="14">
        <v>43768.833333333336</v>
      </c>
    </row>
    <row r="3956" spans="1:8" x14ac:dyDescent="0.25">
      <c r="A3956">
        <v>172</v>
      </c>
      <c r="B3956" t="s">
        <v>303</v>
      </c>
      <c r="C3956">
        <v>2</v>
      </c>
      <c r="D3956">
        <v>0</v>
      </c>
      <c r="E3956">
        <v>0</v>
      </c>
      <c r="F3956">
        <v>129.72</v>
      </c>
      <c r="G3956">
        <v>27575.21</v>
      </c>
      <c r="H3956" s="14">
        <v>43768.833333333336</v>
      </c>
    </row>
    <row r="3957" spans="1:8" x14ac:dyDescent="0.25">
      <c r="A3957">
        <v>172</v>
      </c>
      <c r="B3957" t="s">
        <v>303</v>
      </c>
      <c r="C3957">
        <v>3</v>
      </c>
      <c r="D3957">
        <v>0</v>
      </c>
      <c r="E3957">
        <v>0</v>
      </c>
      <c r="F3957">
        <v>43.77</v>
      </c>
      <c r="G3957">
        <v>13477.84</v>
      </c>
      <c r="H3957" s="14">
        <v>43768.833333333336</v>
      </c>
    </row>
    <row r="3958" spans="1:8" x14ac:dyDescent="0.25">
      <c r="A3958">
        <v>172</v>
      </c>
      <c r="B3958" t="s">
        <v>303</v>
      </c>
      <c r="C3958">
        <v>4</v>
      </c>
      <c r="D3958">
        <v>0</v>
      </c>
      <c r="E3958">
        <v>0</v>
      </c>
      <c r="F3958">
        <v>127.1</v>
      </c>
      <c r="G3958">
        <v>29415.03</v>
      </c>
      <c r="H3958" s="14">
        <v>43768.833333333336</v>
      </c>
    </row>
    <row r="3959" spans="1:8" x14ac:dyDescent="0.25">
      <c r="A3959">
        <v>173</v>
      </c>
      <c r="B3959" t="s">
        <v>304</v>
      </c>
      <c r="C3959">
        <v>1</v>
      </c>
      <c r="D3959">
        <v>0</v>
      </c>
      <c r="E3959">
        <v>0</v>
      </c>
      <c r="F3959">
        <v>92.03</v>
      </c>
      <c r="G3959">
        <v>29230.01</v>
      </c>
      <c r="H3959" s="14">
        <v>43768.833333333336</v>
      </c>
    </row>
    <row r="3960" spans="1:8" x14ac:dyDescent="0.25">
      <c r="A3960">
        <v>173</v>
      </c>
      <c r="B3960" t="s">
        <v>304</v>
      </c>
      <c r="C3960">
        <v>2</v>
      </c>
      <c r="D3960">
        <v>0</v>
      </c>
      <c r="E3960">
        <v>0</v>
      </c>
      <c r="F3960">
        <v>127.53</v>
      </c>
      <c r="G3960">
        <v>40517.5</v>
      </c>
      <c r="H3960" s="14">
        <v>43768.833333333336</v>
      </c>
    </row>
    <row r="3961" spans="1:8" x14ac:dyDescent="0.25">
      <c r="A3961">
        <v>173</v>
      </c>
      <c r="B3961" t="s">
        <v>304</v>
      </c>
      <c r="C3961">
        <v>3</v>
      </c>
      <c r="D3961">
        <v>0</v>
      </c>
      <c r="E3961">
        <v>0</v>
      </c>
      <c r="F3961">
        <v>130.06</v>
      </c>
      <c r="G3961">
        <v>41419.019999999997</v>
      </c>
      <c r="H3961" s="14">
        <v>43768.833333333336</v>
      </c>
    </row>
    <row r="3962" spans="1:8" x14ac:dyDescent="0.25">
      <c r="A3962">
        <v>174</v>
      </c>
      <c r="B3962" t="s">
        <v>305</v>
      </c>
      <c r="C3962">
        <v>1</v>
      </c>
      <c r="D3962">
        <v>0</v>
      </c>
      <c r="E3962">
        <v>0</v>
      </c>
      <c r="F3962">
        <v>143.49</v>
      </c>
      <c r="G3962">
        <v>45940.81</v>
      </c>
      <c r="H3962" s="14">
        <v>43768.833333333336</v>
      </c>
    </row>
    <row r="3963" spans="1:8" x14ac:dyDescent="0.25">
      <c r="A3963">
        <v>174</v>
      </c>
      <c r="B3963" t="s">
        <v>305</v>
      </c>
      <c r="C3963">
        <v>2</v>
      </c>
      <c r="D3963">
        <v>0</v>
      </c>
      <c r="E3963">
        <v>0</v>
      </c>
      <c r="F3963">
        <v>143.88</v>
      </c>
      <c r="G3963">
        <v>46454.6</v>
      </c>
      <c r="H3963" s="14">
        <v>43768.833333333336</v>
      </c>
    </row>
    <row r="3964" spans="1:8" x14ac:dyDescent="0.25">
      <c r="A3964">
        <v>174</v>
      </c>
      <c r="B3964" t="s">
        <v>305</v>
      </c>
      <c r="C3964">
        <v>3</v>
      </c>
      <c r="D3964">
        <v>0</v>
      </c>
      <c r="E3964">
        <v>0</v>
      </c>
      <c r="F3964">
        <v>42.62</v>
      </c>
      <c r="G3964">
        <v>13772.92</v>
      </c>
      <c r="H3964" s="14">
        <v>43768.833333333336</v>
      </c>
    </row>
    <row r="3965" spans="1:8" x14ac:dyDescent="0.25">
      <c r="A3965">
        <v>175</v>
      </c>
      <c r="B3965" t="s">
        <v>306</v>
      </c>
      <c r="C3965">
        <v>1</v>
      </c>
      <c r="D3965">
        <v>0</v>
      </c>
      <c r="E3965">
        <v>0</v>
      </c>
      <c r="F3965">
        <v>140.77000000000001</v>
      </c>
      <c r="G3965">
        <v>46334.79</v>
      </c>
      <c r="H3965" s="14">
        <v>43768.833333333336</v>
      </c>
    </row>
    <row r="3966" spans="1:8" x14ac:dyDescent="0.25">
      <c r="A3966">
        <v>175</v>
      </c>
      <c r="B3966" t="s">
        <v>306</v>
      </c>
      <c r="C3966">
        <v>2</v>
      </c>
      <c r="D3966">
        <v>0</v>
      </c>
      <c r="E3966">
        <v>0</v>
      </c>
      <c r="F3966">
        <v>95.69</v>
      </c>
      <c r="G3966">
        <v>30810.03</v>
      </c>
      <c r="H3966" s="14">
        <v>43768.833333333336</v>
      </c>
    </row>
    <row r="3967" spans="1:8" x14ac:dyDescent="0.25">
      <c r="A3967">
        <v>175</v>
      </c>
      <c r="B3967" t="s">
        <v>306</v>
      </c>
      <c r="C3967">
        <v>3</v>
      </c>
      <c r="D3967">
        <v>0</v>
      </c>
      <c r="E3967">
        <v>0</v>
      </c>
      <c r="F3967">
        <v>71.5</v>
      </c>
      <c r="G3967">
        <v>22996.62</v>
      </c>
      <c r="H3967" s="14">
        <v>43768.833333333336</v>
      </c>
    </row>
    <row r="3968" spans="1:8" x14ac:dyDescent="0.25">
      <c r="A3968">
        <v>175</v>
      </c>
      <c r="B3968" t="s">
        <v>306</v>
      </c>
      <c r="C3968">
        <v>4</v>
      </c>
      <c r="D3968">
        <v>0</v>
      </c>
      <c r="E3968">
        <v>0</v>
      </c>
      <c r="F3968">
        <v>30.35</v>
      </c>
      <c r="G3968">
        <v>9819.86</v>
      </c>
      <c r="H3968" s="14">
        <v>43768.833333333336</v>
      </c>
    </row>
    <row r="3969" spans="1:8" x14ac:dyDescent="0.25">
      <c r="A3969">
        <v>176</v>
      </c>
      <c r="B3969" t="s">
        <v>307</v>
      </c>
      <c r="C3969">
        <v>1</v>
      </c>
      <c r="D3969">
        <v>0</v>
      </c>
      <c r="E3969">
        <v>0</v>
      </c>
      <c r="F3969">
        <v>12.19</v>
      </c>
      <c r="G3969">
        <v>3379.03</v>
      </c>
      <c r="H3969" s="14">
        <v>43768.833333333336</v>
      </c>
    </row>
    <row r="3970" spans="1:8" x14ac:dyDescent="0.25">
      <c r="A3970">
        <v>176</v>
      </c>
      <c r="B3970" t="s">
        <v>307</v>
      </c>
      <c r="C3970">
        <v>2</v>
      </c>
      <c r="D3970">
        <v>0</v>
      </c>
      <c r="E3970">
        <v>0</v>
      </c>
      <c r="F3970">
        <v>12.26</v>
      </c>
      <c r="G3970">
        <v>3392.22</v>
      </c>
      <c r="H3970" s="14">
        <v>43768.833333333336</v>
      </c>
    </row>
    <row r="3971" spans="1:8" x14ac:dyDescent="0.25">
      <c r="A3971">
        <v>176</v>
      </c>
      <c r="B3971" t="s">
        <v>307</v>
      </c>
      <c r="C3971">
        <v>3</v>
      </c>
      <c r="D3971">
        <v>0</v>
      </c>
      <c r="E3971">
        <v>0</v>
      </c>
      <c r="F3971">
        <v>12.31</v>
      </c>
      <c r="G3971">
        <v>3406.34</v>
      </c>
      <c r="H3971" s="14">
        <v>43768.833333333336</v>
      </c>
    </row>
    <row r="3972" spans="1:8" x14ac:dyDescent="0.25">
      <c r="A3972">
        <v>176</v>
      </c>
      <c r="B3972" t="s">
        <v>307</v>
      </c>
      <c r="C3972">
        <v>4</v>
      </c>
      <c r="D3972">
        <v>0</v>
      </c>
      <c r="E3972">
        <v>0</v>
      </c>
      <c r="F3972">
        <v>12.78</v>
      </c>
      <c r="G3972">
        <v>4570.1000000000004</v>
      </c>
      <c r="H3972" s="14">
        <v>43768.833333333336</v>
      </c>
    </row>
    <row r="3973" spans="1:8" x14ac:dyDescent="0.25">
      <c r="A3973">
        <v>176</v>
      </c>
      <c r="B3973" t="s">
        <v>307</v>
      </c>
      <c r="C3973">
        <v>5</v>
      </c>
      <c r="D3973">
        <v>0</v>
      </c>
      <c r="E3973">
        <v>0</v>
      </c>
      <c r="F3973">
        <v>12.92</v>
      </c>
      <c r="G3973">
        <v>4606.05</v>
      </c>
      <c r="H3973" s="14">
        <v>43768.833333333336</v>
      </c>
    </row>
    <row r="3974" spans="1:8" x14ac:dyDescent="0.25">
      <c r="A3974">
        <v>177</v>
      </c>
      <c r="B3974" t="s">
        <v>308</v>
      </c>
      <c r="C3974">
        <v>1</v>
      </c>
      <c r="D3974">
        <v>0</v>
      </c>
      <c r="E3974">
        <v>0</v>
      </c>
      <c r="F3974">
        <v>168.01</v>
      </c>
      <c r="G3974">
        <v>10459.709999999999</v>
      </c>
      <c r="H3974" s="14">
        <v>43768.833333333336</v>
      </c>
    </row>
    <row r="3975" spans="1:8" x14ac:dyDescent="0.25">
      <c r="A3975">
        <v>177</v>
      </c>
      <c r="B3975" t="s">
        <v>308</v>
      </c>
      <c r="C3975">
        <v>2</v>
      </c>
      <c r="D3975">
        <v>0</v>
      </c>
      <c r="E3975">
        <v>0</v>
      </c>
      <c r="F3975">
        <v>166.14</v>
      </c>
      <c r="G3975">
        <v>10369.07</v>
      </c>
      <c r="H3975" s="14">
        <v>43768.833333333336</v>
      </c>
    </row>
    <row r="3976" spans="1:8" x14ac:dyDescent="0.25">
      <c r="A3976">
        <v>177</v>
      </c>
      <c r="B3976" t="s">
        <v>308</v>
      </c>
      <c r="C3976">
        <v>3</v>
      </c>
      <c r="D3976">
        <v>0</v>
      </c>
      <c r="E3976">
        <v>0</v>
      </c>
      <c r="F3976">
        <v>146.13</v>
      </c>
      <c r="G3976">
        <v>9057.76</v>
      </c>
      <c r="H3976" s="14">
        <v>43768.833333333336</v>
      </c>
    </row>
    <row r="3977" spans="1:8" x14ac:dyDescent="0.25">
      <c r="A3977">
        <v>177</v>
      </c>
      <c r="B3977" t="s">
        <v>308</v>
      </c>
      <c r="C3977">
        <v>4</v>
      </c>
      <c r="D3977">
        <v>0</v>
      </c>
      <c r="E3977">
        <v>0</v>
      </c>
      <c r="F3977">
        <v>169.98</v>
      </c>
      <c r="G3977">
        <v>10638.35</v>
      </c>
      <c r="H3977" s="14">
        <v>43768.833333333336</v>
      </c>
    </row>
    <row r="3978" spans="1:8" x14ac:dyDescent="0.25">
      <c r="A3978">
        <v>177</v>
      </c>
      <c r="B3978" t="s">
        <v>308</v>
      </c>
      <c r="C3978">
        <v>5</v>
      </c>
      <c r="D3978">
        <v>0</v>
      </c>
      <c r="E3978">
        <v>0</v>
      </c>
      <c r="F3978">
        <v>177.55</v>
      </c>
      <c r="G3978">
        <v>10631.98</v>
      </c>
      <c r="H3978" s="14">
        <v>43768.833333333336</v>
      </c>
    </row>
    <row r="3979" spans="1:8" x14ac:dyDescent="0.25">
      <c r="A3979">
        <v>177</v>
      </c>
      <c r="B3979" t="s">
        <v>308</v>
      </c>
      <c r="C3979">
        <v>6</v>
      </c>
      <c r="D3979">
        <v>0</v>
      </c>
      <c r="E3979">
        <v>0</v>
      </c>
      <c r="F3979">
        <v>145.47</v>
      </c>
      <c r="G3979">
        <v>9072.26</v>
      </c>
      <c r="H3979" s="14">
        <v>43768.833333333336</v>
      </c>
    </row>
    <row r="3980" spans="1:8" x14ac:dyDescent="0.25">
      <c r="A3980">
        <v>177</v>
      </c>
      <c r="B3980" t="s">
        <v>308</v>
      </c>
      <c r="C3980">
        <v>7</v>
      </c>
      <c r="D3980">
        <v>0</v>
      </c>
      <c r="E3980">
        <v>0</v>
      </c>
      <c r="F3980">
        <v>158.30000000000001</v>
      </c>
      <c r="G3980">
        <v>9626.1200000000008</v>
      </c>
      <c r="H3980" s="14">
        <v>43768.833333333336</v>
      </c>
    </row>
    <row r="3981" spans="1:8" x14ac:dyDescent="0.25">
      <c r="A3981">
        <v>177</v>
      </c>
      <c r="B3981" t="s">
        <v>308</v>
      </c>
      <c r="C3981">
        <v>8</v>
      </c>
      <c r="D3981">
        <v>0</v>
      </c>
      <c r="E3981">
        <v>0</v>
      </c>
      <c r="F3981">
        <v>159.47999999999999</v>
      </c>
      <c r="G3981">
        <v>9514.1</v>
      </c>
      <c r="H3981" s="14">
        <v>43768.833333333336</v>
      </c>
    </row>
    <row r="3982" spans="1:8" x14ac:dyDescent="0.25">
      <c r="A3982">
        <v>177</v>
      </c>
      <c r="B3982" t="s">
        <v>308</v>
      </c>
      <c r="C3982">
        <v>9</v>
      </c>
      <c r="D3982">
        <v>0</v>
      </c>
      <c r="E3982">
        <v>0</v>
      </c>
      <c r="F3982">
        <v>157.94999999999999</v>
      </c>
      <c r="G3982">
        <v>9356.34</v>
      </c>
      <c r="H3982" s="14">
        <v>43768.833333333336</v>
      </c>
    </row>
    <row r="3983" spans="1:8" x14ac:dyDescent="0.25">
      <c r="A3983">
        <v>177</v>
      </c>
      <c r="B3983" t="s">
        <v>308</v>
      </c>
      <c r="C3983">
        <v>10</v>
      </c>
      <c r="D3983">
        <v>0</v>
      </c>
      <c r="E3983">
        <v>0</v>
      </c>
      <c r="F3983">
        <v>160.11000000000001</v>
      </c>
      <c r="G3983">
        <v>9541.4500000000007</v>
      </c>
      <c r="H3983" s="14">
        <v>43768.833333333336</v>
      </c>
    </row>
    <row r="3984" spans="1:8" x14ac:dyDescent="0.25">
      <c r="A3984">
        <v>177</v>
      </c>
      <c r="B3984" t="s">
        <v>308</v>
      </c>
      <c r="C3984">
        <v>11</v>
      </c>
      <c r="D3984">
        <v>0</v>
      </c>
      <c r="E3984">
        <v>0</v>
      </c>
      <c r="F3984">
        <v>163.63999999999999</v>
      </c>
      <c r="G3984">
        <v>9653.31</v>
      </c>
      <c r="H3984" s="14">
        <v>43768.833333333336</v>
      </c>
    </row>
    <row r="3985" spans="1:8" x14ac:dyDescent="0.25">
      <c r="A3985">
        <v>178</v>
      </c>
      <c r="B3985" t="s">
        <v>309</v>
      </c>
      <c r="C3985">
        <v>1</v>
      </c>
      <c r="D3985">
        <v>0</v>
      </c>
      <c r="E3985">
        <v>0</v>
      </c>
      <c r="F3985">
        <v>150.38999999999999</v>
      </c>
      <c r="G3985">
        <v>50008.19</v>
      </c>
      <c r="H3985" s="14">
        <v>43768.833333333336</v>
      </c>
    </row>
    <row r="3986" spans="1:8" x14ac:dyDescent="0.25">
      <c r="A3986">
        <v>178</v>
      </c>
      <c r="B3986" t="s">
        <v>309</v>
      </c>
      <c r="C3986">
        <v>2</v>
      </c>
      <c r="D3986">
        <v>0</v>
      </c>
      <c r="E3986">
        <v>0</v>
      </c>
      <c r="F3986">
        <v>150.88</v>
      </c>
      <c r="G3986">
        <v>51174.36</v>
      </c>
      <c r="H3986" s="14">
        <v>43768.833333333336</v>
      </c>
    </row>
    <row r="3987" spans="1:8" x14ac:dyDescent="0.25">
      <c r="A3987">
        <v>178</v>
      </c>
      <c r="B3987" t="s">
        <v>309</v>
      </c>
      <c r="C3987">
        <v>3</v>
      </c>
      <c r="D3987">
        <v>0</v>
      </c>
      <c r="E3987">
        <v>0</v>
      </c>
      <c r="F3987">
        <v>147.1</v>
      </c>
      <c r="G3987">
        <v>49685.04</v>
      </c>
      <c r="H3987" s="14">
        <v>43768.833333333336</v>
      </c>
    </row>
    <row r="3988" spans="1:8" x14ac:dyDescent="0.25">
      <c r="A3988">
        <v>178</v>
      </c>
      <c r="B3988" t="s">
        <v>309</v>
      </c>
      <c r="C3988">
        <v>4</v>
      </c>
      <c r="D3988">
        <v>0</v>
      </c>
      <c r="E3988">
        <v>0</v>
      </c>
      <c r="F3988">
        <v>150.58000000000001</v>
      </c>
      <c r="G3988">
        <v>51190.5</v>
      </c>
      <c r="H3988" s="14">
        <v>43768.833333333336</v>
      </c>
    </row>
    <row r="3989" spans="1:8" x14ac:dyDescent="0.25">
      <c r="A3989">
        <v>178</v>
      </c>
      <c r="B3989" t="s">
        <v>309</v>
      </c>
      <c r="C3989">
        <v>5</v>
      </c>
      <c r="D3989">
        <v>0</v>
      </c>
      <c r="E3989">
        <v>0</v>
      </c>
      <c r="F3989">
        <v>150.49</v>
      </c>
      <c r="G3989">
        <v>51327.18</v>
      </c>
      <c r="H3989" s="14">
        <v>43768.833333333336</v>
      </c>
    </row>
    <row r="3990" spans="1:8" x14ac:dyDescent="0.25">
      <c r="A3990">
        <v>178</v>
      </c>
      <c r="B3990" t="s">
        <v>309</v>
      </c>
      <c r="C3990">
        <v>6</v>
      </c>
      <c r="D3990">
        <v>0</v>
      </c>
      <c r="E3990">
        <v>0</v>
      </c>
      <c r="F3990">
        <v>143.63</v>
      </c>
      <c r="G3990">
        <v>48500.92</v>
      </c>
      <c r="H3990" s="14">
        <v>43768.833333333336</v>
      </c>
    </row>
    <row r="3991" spans="1:8" x14ac:dyDescent="0.25">
      <c r="A3991">
        <v>178</v>
      </c>
      <c r="B3991" t="s">
        <v>309</v>
      </c>
      <c r="C3991">
        <v>7</v>
      </c>
      <c r="D3991">
        <v>0</v>
      </c>
      <c r="E3991">
        <v>0</v>
      </c>
      <c r="F3991">
        <v>149.24</v>
      </c>
      <c r="G3991">
        <v>50907.55</v>
      </c>
      <c r="H3991" s="14">
        <v>43768.833333333336</v>
      </c>
    </row>
    <row r="3992" spans="1:8" x14ac:dyDescent="0.25">
      <c r="A3992">
        <v>178</v>
      </c>
      <c r="B3992" t="s">
        <v>309</v>
      </c>
      <c r="C3992">
        <v>8</v>
      </c>
      <c r="D3992">
        <v>0</v>
      </c>
      <c r="E3992">
        <v>0</v>
      </c>
      <c r="F3992">
        <v>112.04</v>
      </c>
      <c r="G3992">
        <v>39681.550000000003</v>
      </c>
      <c r="H3992" s="14">
        <v>43768.833333333336</v>
      </c>
    </row>
    <row r="3993" spans="1:8" x14ac:dyDescent="0.25">
      <c r="A3993">
        <v>178</v>
      </c>
      <c r="B3993" t="s">
        <v>309</v>
      </c>
      <c r="C3993">
        <v>9</v>
      </c>
      <c r="D3993">
        <v>0</v>
      </c>
      <c r="E3993">
        <v>0</v>
      </c>
      <c r="F3993">
        <v>84.5</v>
      </c>
      <c r="G3993">
        <v>29012.3</v>
      </c>
      <c r="H3993" s="14">
        <v>43768.833333333336</v>
      </c>
    </row>
    <row r="3994" spans="1:8" x14ac:dyDescent="0.25">
      <c r="A3994">
        <v>179</v>
      </c>
      <c r="C3994">
        <v>1</v>
      </c>
      <c r="D3994">
        <v>0</v>
      </c>
      <c r="E3994">
        <v>0</v>
      </c>
      <c r="F3994">
        <v>0</v>
      </c>
      <c r="G3994">
        <v>0</v>
      </c>
      <c r="H3994" s="14">
        <v>36526</v>
      </c>
    </row>
    <row r="3995" spans="1:8" x14ac:dyDescent="0.25">
      <c r="A3995">
        <v>179</v>
      </c>
      <c r="C3995">
        <v>2</v>
      </c>
      <c r="D3995">
        <v>0</v>
      </c>
      <c r="E3995">
        <v>0</v>
      </c>
      <c r="F3995">
        <v>0</v>
      </c>
      <c r="G3995">
        <v>0</v>
      </c>
      <c r="H3995" s="14">
        <v>36526</v>
      </c>
    </row>
    <row r="3996" spans="1:8" x14ac:dyDescent="0.25">
      <c r="A3996">
        <v>180</v>
      </c>
      <c r="B3996" t="s">
        <v>312</v>
      </c>
      <c r="C3996">
        <v>1</v>
      </c>
      <c r="D3996">
        <v>0</v>
      </c>
      <c r="E3996">
        <v>0</v>
      </c>
      <c r="F3996">
        <v>58.74</v>
      </c>
      <c r="G3996">
        <v>8337.23</v>
      </c>
      <c r="H3996" s="14">
        <v>43768.833333333336</v>
      </c>
    </row>
    <row r="3997" spans="1:8" x14ac:dyDescent="0.25">
      <c r="A3997">
        <v>180</v>
      </c>
      <c r="B3997" t="s">
        <v>312</v>
      </c>
      <c r="C3997">
        <v>2</v>
      </c>
      <c r="D3997">
        <v>0</v>
      </c>
      <c r="E3997">
        <v>0</v>
      </c>
      <c r="F3997">
        <v>69.959999999999994</v>
      </c>
      <c r="G3997">
        <v>9991.08</v>
      </c>
      <c r="H3997" s="14">
        <v>43768.833333333336</v>
      </c>
    </row>
    <row r="3998" spans="1:8" x14ac:dyDescent="0.25">
      <c r="A3998">
        <v>180</v>
      </c>
      <c r="B3998" t="s">
        <v>312</v>
      </c>
      <c r="C3998">
        <v>3</v>
      </c>
      <c r="D3998">
        <v>0</v>
      </c>
      <c r="E3998">
        <v>0</v>
      </c>
      <c r="F3998">
        <v>70.11</v>
      </c>
      <c r="G3998">
        <v>9966.5300000000007</v>
      </c>
      <c r="H3998" s="14">
        <v>43768.833333333336</v>
      </c>
    </row>
    <row r="3999" spans="1:8" x14ac:dyDescent="0.25">
      <c r="A3999">
        <v>180</v>
      </c>
      <c r="B3999" t="s">
        <v>312</v>
      </c>
      <c r="C3999">
        <v>4</v>
      </c>
      <c r="D3999">
        <v>0</v>
      </c>
      <c r="E3999">
        <v>0</v>
      </c>
      <c r="F3999">
        <v>0</v>
      </c>
      <c r="G3999">
        <v>0</v>
      </c>
      <c r="H3999" s="14">
        <v>36526</v>
      </c>
    </row>
    <row r="4000" spans="1:8" x14ac:dyDescent="0.25">
      <c r="A4000">
        <v>180</v>
      </c>
      <c r="B4000" t="s">
        <v>312</v>
      </c>
      <c r="C4000">
        <v>5</v>
      </c>
      <c r="D4000">
        <v>0</v>
      </c>
      <c r="E4000">
        <v>0</v>
      </c>
      <c r="F4000">
        <v>0</v>
      </c>
      <c r="G4000">
        <v>0</v>
      </c>
      <c r="H4000" s="14">
        <v>36526</v>
      </c>
    </row>
    <row r="4001" spans="1:8" x14ac:dyDescent="0.25">
      <c r="A4001">
        <v>180</v>
      </c>
      <c r="B4001" t="s">
        <v>312</v>
      </c>
      <c r="C4001">
        <v>6</v>
      </c>
      <c r="D4001">
        <v>0</v>
      </c>
      <c r="E4001">
        <v>0</v>
      </c>
      <c r="F4001">
        <v>0</v>
      </c>
      <c r="G4001">
        <v>0</v>
      </c>
      <c r="H4001" s="14">
        <v>36526</v>
      </c>
    </row>
    <row r="4002" spans="1:8" x14ac:dyDescent="0.25">
      <c r="A4002">
        <v>180</v>
      </c>
      <c r="B4002" t="s">
        <v>312</v>
      </c>
      <c r="C4002">
        <v>7</v>
      </c>
      <c r="D4002">
        <v>0</v>
      </c>
      <c r="E4002">
        <v>0</v>
      </c>
      <c r="F4002">
        <v>0</v>
      </c>
      <c r="G4002">
        <v>0</v>
      </c>
      <c r="H4002" s="14">
        <v>36526</v>
      </c>
    </row>
    <row r="4003" spans="1:8" x14ac:dyDescent="0.25">
      <c r="A4003">
        <v>180</v>
      </c>
      <c r="B4003" t="s">
        <v>312</v>
      </c>
      <c r="C4003">
        <v>8</v>
      </c>
      <c r="D4003">
        <v>0</v>
      </c>
      <c r="E4003">
        <v>0</v>
      </c>
      <c r="F4003">
        <v>0</v>
      </c>
      <c r="G4003">
        <v>0</v>
      </c>
      <c r="H4003" s="14">
        <v>36526</v>
      </c>
    </row>
    <row r="4004" spans="1:8" x14ac:dyDescent="0.25">
      <c r="A4004">
        <v>180</v>
      </c>
      <c r="B4004" t="s">
        <v>312</v>
      </c>
      <c r="C4004">
        <v>9</v>
      </c>
      <c r="D4004">
        <v>0</v>
      </c>
      <c r="E4004">
        <v>0</v>
      </c>
      <c r="F4004">
        <v>0</v>
      </c>
      <c r="G4004">
        <v>0</v>
      </c>
      <c r="H4004" s="14">
        <v>36526</v>
      </c>
    </row>
    <row r="4005" spans="1:8" x14ac:dyDescent="0.25">
      <c r="A4005">
        <v>180</v>
      </c>
      <c r="B4005" t="s">
        <v>312</v>
      </c>
      <c r="C4005">
        <v>10</v>
      </c>
      <c r="D4005">
        <v>0</v>
      </c>
      <c r="E4005">
        <v>0</v>
      </c>
      <c r="F4005">
        <v>0</v>
      </c>
      <c r="G4005">
        <v>0</v>
      </c>
      <c r="H4005" s="14">
        <v>36526</v>
      </c>
    </row>
    <row r="4006" spans="1:8" x14ac:dyDescent="0.25">
      <c r="A4006">
        <v>180</v>
      </c>
      <c r="B4006" t="s">
        <v>312</v>
      </c>
      <c r="C4006">
        <v>11</v>
      </c>
      <c r="D4006">
        <v>0</v>
      </c>
      <c r="E4006">
        <v>0</v>
      </c>
      <c r="F4006">
        <v>0</v>
      </c>
      <c r="G4006">
        <v>0</v>
      </c>
      <c r="H4006" s="14">
        <v>36526</v>
      </c>
    </row>
    <row r="4007" spans="1:8" x14ac:dyDescent="0.25">
      <c r="A4007">
        <v>180</v>
      </c>
      <c r="B4007" t="s">
        <v>312</v>
      </c>
      <c r="C4007">
        <v>12</v>
      </c>
      <c r="D4007">
        <v>0</v>
      </c>
      <c r="E4007">
        <v>0</v>
      </c>
      <c r="F4007">
        <v>0</v>
      </c>
      <c r="G4007">
        <v>0</v>
      </c>
      <c r="H4007" s="14">
        <v>36526</v>
      </c>
    </row>
    <row r="4008" spans="1:8" x14ac:dyDescent="0.25">
      <c r="A4008">
        <v>181</v>
      </c>
      <c r="B4008" t="s">
        <v>313</v>
      </c>
      <c r="C4008">
        <v>1</v>
      </c>
      <c r="D4008">
        <v>0</v>
      </c>
      <c r="E4008">
        <v>0</v>
      </c>
      <c r="F4008">
        <v>145.46</v>
      </c>
      <c r="G4008">
        <v>41972.09</v>
      </c>
      <c r="H4008" s="14">
        <v>43768.833333333336</v>
      </c>
    </row>
    <row r="4009" spans="1:8" x14ac:dyDescent="0.25">
      <c r="A4009">
        <v>181</v>
      </c>
      <c r="B4009" t="s">
        <v>313</v>
      </c>
      <c r="C4009">
        <v>2</v>
      </c>
      <c r="D4009">
        <v>0</v>
      </c>
      <c r="E4009">
        <v>0</v>
      </c>
      <c r="F4009">
        <v>142.02000000000001</v>
      </c>
      <c r="G4009">
        <v>41879.440000000002</v>
      </c>
      <c r="H4009" s="14">
        <v>43768.833333333336</v>
      </c>
    </row>
    <row r="4010" spans="1:8" x14ac:dyDescent="0.25">
      <c r="A4010">
        <v>181</v>
      </c>
      <c r="B4010" t="s">
        <v>313</v>
      </c>
      <c r="C4010">
        <v>3</v>
      </c>
      <c r="D4010">
        <v>0</v>
      </c>
      <c r="E4010">
        <v>0</v>
      </c>
      <c r="F4010">
        <v>139.1</v>
      </c>
      <c r="G4010">
        <v>41689.75</v>
      </c>
      <c r="H4010" s="14">
        <v>43768.833333333336</v>
      </c>
    </row>
    <row r="4011" spans="1:8" x14ac:dyDescent="0.25">
      <c r="A4011">
        <v>181</v>
      </c>
      <c r="B4011" t="s">
        <v>313</v>
      </c>
      <c r="C4011">
        <v>4</v>
      </c>
      <c r="D4011">
        <v>0</v>
      </c>
      <c r="E4011">
        <v>0</v>
      </c>
      <c r="F4011">
        <v>139.13999999999999</v>
      </c>
      <c r="G4011">
        <v>33882.129999999997</v>
      </c>
      <c r="H4011" s="14">
        <v>43768.833333333336</v>
      </c>
    </row>
    <row r="4012" spans="1:8" x14ac:dyDescent="0.25">
      <c r="A4012">
        <v>181</v>
      </c>
      <c r="B4012" t="s">
        <v>313</v>
      </c>
      <c r="C4012">
        <v>5</v>
      </c>
      <c r="D4012">
        <v>0</v>
      </c>
      <c r="E4012">
        <v>0</v>
      </c>
      <c r="F4012">
        <v>136.30000000000001</v>
      </c>
      <c r="G4012">
        <v>39565.050000000003</v>
      </c>
      <c r="H4012" s="14">
        <v>43768.833333333336</v>
      </c>
    </row>
    <row r="4013" spans="1:8" x14ac:dyDescent="0.25">
      <c r="A4013">
        <v>181</v>
      </c>
      <c r="B4013" t="s">
        <v>313</v>
      </c>
      <c r="C4013">
        <v>6</v>
      </c>
      <c r="D4013">
        <v>0</v>
      </c>
      <c r="E4013">
        <v>0</v>
      </c>
      <c r="F4013">
        <v>130.91</v>
      </c>
      <c r="G4013">
        <v>39705.96</v>
      </c>
      <c r="H4013" s="14">
        <v>43768.833333333336</v>
      </c>
    </row>
    <row r="4014" spans="1:8" x14ac:dyDescent="0.25">
      <c r="A4014">
        <v>181</v>
      </c>
      <c r="B4014" t="s">
        <v>313</v>
      </c>
      <c r="C4014">
        <v>7</v>
      </c>
      <c r="D4014">
        <v>0</v>
      </c>
      <c r="E4014">
        <v>0</v>
      </c>
      <c r="F4014">
        <v>129.19</v>
      </c>
      <c r="G4014">
        <v>40235.65</v>
      </c>
      <c r="H4014" s="14">
        <v>43768.833333333336</v>
      </c>
    </row>
    <row r="4015" spans="1:8" x14ac:dyDescent="0.25">
      <c r="A4015">
        <v>181</v>
      </c>
      <c r="B4015" t="s">
        <v>313</v>
      </c>
      <c r="C4015">
        <v>8</v>
      </c>
      <c r="D4015">
        <v>0</v>
      </c>
      <c r="E4015">
        <v>0</v>
      </c>
      <c r="F4015">
        <v>131.53</v>
      </c>
      <c r="G4015">
        <v>40950.44</v>
      </c>
      <c r="H4015" s="14">
        <v>43768.833333333336</v>
      </c>
    </row>
    <row r="4016" spans="1:8" x14ac:dyDescent="0.25">
      <c r="A4016">
        <v>181</v>
      </c>
      <c r="B4016" t="s">
        <v>313</v>
      </c>
      <c r="C4016">
        <v>9</v>
      </c>
      <c r="D4016">
        <v>0</v>
      </c>
      <c r="E4016">
        <v>0</v>
      </c>
      <c r="F4016">
        <v>138.97</v>
      </c>
      <c r="G4016">
        <v>41731.379999999997</v>
      </c>
      <c r="H4016" s="14">
        <v>43768.833333333336</v>
      </c>
    </row>
    <row r="4017" spans="1:8" x14ac:dyDescent="0.25">
      <c r="A4017">
        <v>181</v>
      </c>
      <c r="B4017" t="s">
        <v>313</v>
      </c>
      <c r="C4017">
        <v>10</v>
      </c>
      <c r="D4017">
        <v>0</v>
      </c>
      <c r="E4017">
        <v>0</v>
      </c>
      <c r="F4017">
        <v>126.7</v>
      </c>
      <c r="G4017">
        <v>35285.49</v>
      </c>
      <c r="H4017" s="14">
        <v>43768.833333333336</v>
      </c>
    </row>
    <row r="4018" spans="1:8" x14ac:dyDescent="0.25">
      <c r="A4018">
        <v>181</v>
      </c>
      <c r="B4018" t="s">
        <v>313</v>
      </c>
      <c r="C4018">
        <v>11</v>
      </c>
      <c r="D4018">
        <v>0</v>
      </c>
      <c r="E4018">
        <v>0</v>
      </c>
      <c r="F4018">
        <v>120.44</v>
      </c>
      <c r="G4018">
        <v>38537.440000000002</v>
      </c>
      <c r="H4018" s="14">
        <v>43768.833333333336</v>
      </c>
    </row>
    <row r="4019" spans="1:8" x14ac:dyDescent="0.25">
      <c r="A4019">
        <v>181</v>
      </c>
      <c r="B4019" t="s">
        <v>313</v>
      </c>
      <c r="C4019">
        <v>12</v>
      </c>
      <c r="D4019">
        <v>0</v>
      </c>
      <c r="E4019">
        <v>0</v>
      </c>
      <c r="F4019">
        <v>128.04</v>
      </c>
      <c r="G4019">
        <v>40232.86</v>
      </c>
      <c r="H4019" s="14">
        <v>43768.833333333336</v>
      </c>
    </row>
    <row r="4020" spans="1:8" x14ac:dyDescent="0.25">
      <c r="A4020">
        <v>182</v>
      </c>
      <c r="B4020" t="s">
        <v>314</v>
      </c>
      <c r="C4020">
        <v>1</v>
      </c>
      <c r="D4020">
        <v>0</v>
      </c>
      <c r="E4020">
        <v>0</v>
      </c>
      <c r="F4020">
        <v>136.25</v>
      </c>
      <c r="G4020">
        <v>42930.720000000001</v>
      </c>
      <c r="H4020" s="14">
        <v>43768.833333333336</v>
      </c>
    </row>
    <row r="4021" spans="1:8" x14ac:dyDescent="0.25">
      <c r="A4021">
        <v>182</v>
      </c>
      <c r="B4021" t="s">
        <v>314</v>
      </c>
      <c r="C4021">
        <v>2</v>
      </c>
      <c r="D4021">
        <v>0</v>
      </c>
      <c r="E4021">
        <v>0</v>
      </c>
      <c r="F4021">
        <v>137.85</v>
      </c>
      <c r="G4021">
        <v>43103.9</v>
      </c>
      <c r="H4021" s="14">
        <v>43768.833333333336</v>
      </c>
    </row>
    <row r="4022" spans="1:8" x14ac:dyDescent="0.25">
      <c r="A4022">
        <v>182</v>
      </c>
      <c r="B4022" t="s">
        <v>314</v>
      </c>
      <c r="C4022">
        <v>3</v>
      </c>
      <c r="D4022">
        <v>0</v>
      </c>
      <c r="E4022">
        <v>0</v>
      </c>
      <c r="F4022">
        <v>121.17</v>
      </c>
      <c r="G4022">
        <v>39946.67</v>
      </c>
      <c r="H4022" s="14">
        <v>43768.833333333336</v>
      </c>
    </row>
    <row r="4023" spans="1:8" x14ac:dyDescent="0.25">
      <c r="A4023">
        <v>182</v>
      </c>
      <c r="B4023" t="s">
        <v>314</v>
      </c>
      <c r="C4023">
        <v>4</v>
      </c>
      <c r="D4023">
        <v>0</v>
      </c>
      <c r="E4023">
        <v>0</v>
      </c>
      <c r="F4023">
        <v>125.41</v>
      </c>
      <c r="G4023">
        <v>41410.370000000003</v>
      </c>
      <c r="H4023" s="14">
        <v>43768.833333333336</v>
      </c>
    </row>
    <row r="4024" spans="1:8" x14ac:dyDescent="0.25">
      <c r="A4024">
        <v>182</v>
      </c>
      <c r="B4024" t="s">
        <v>314</v>
      </c>
      <c r="C4024">
        <v>5</v>
      </c>
      <c r="D4024">
        <v>0</v>
      </c>
      <c r="E4024">
        <v>0</v>
      </c>
      <c r="F4024">
        <v>134.46</v>
      </c>
      <c r="G4024">
        <v>42879.199999999997</v>
      </c>
      <c r="H4024" s="14">
        <v>43768.833333333336</v>
      </c>
    </row>
    <row r="4025" spans="1:8" x14ac:dyDescent="0.25">
      <c r="A4025">
        <v>182</v>
      </c>
      <c r="B4025" t="s">
        <v>314</v>
      </c>
      <c r="C4025">
        <v>6</v>
      </c>
      <c r="D4025">
        <v>0</v>
      </c>
      <c r="E4025">
        <v>0</v>
      </c>
      <c r="F4025">
        <v>43.37</v>
      </c>
      <c r="G4025">
        <v>15807.24</v>
      </c>
      <c r="H4025" s="14">
        <v>43768.833333333336</v>
      </c>
    </row>
    <row r="4026" spans="1:8" x14ac:dyDescent="0.25">
      <c r="A4026">
        <v>182</v>
      </c>
      <c r="B4026" t="s">
        <v>314</v>
      </c>
      <c r="C4026">
        <v>7</v>
      </c>
      <c r="D4026">
        <v>0</v>
      </c>
      <c r="E4026">
        <v>0</v>
      </c>
      <c r="F4026">
        <v>102.87</v>
      </c>
      <c r="G4026">
        <v>34319.35</v>
      </c>
      <c r="H4026" s="14">
        <v>43768.833333333336</v>
      </c>
    </row>
    <row r="4027" spans="1:8" x14ac:dyDescent="0.25">
      <c r="A4027">
        <v>182</v>
      </c>
      <c r="B4027" t="s">
        <v>314</v>
      </c>
      <c r="C4027">
        <v>8</v>
      </c>
      <c r="D4027">
        <v>0</v>
      </c>
      <c r="E4027">
        <v>0</v>
      </c>
      <c r="F4027">
        <v>126.78</v>
      </c>
      <c r="G4027">
        <v>40824.71</v>
      </c>
      <c r="H4027" s="14">
        <v>43768.833333333336</v>
      </c>
    </row>
    <row r="4028" spans="1:8" x14ac:dyDescent="0.25">
      <c r="A4028">
        <v>182</v>
      </c>
      <c r="B4028" t="s">
        <v>314</v>
      </c>
      <c r="C4028">
        <v>9</v>
      </c>
      <c r="D4028">
        <v>0</v>
      </c>
      <c r="E4028">
        <v>0</v>
      </c>
      <c r="F4028">
        <v>133.86000000000001</v>
      </c>
      <c r="G4028">
        <v>42838.44</v>
      </c>
      <c r="H4028" s="14">
        <v>43768.833333333336</v>
      </c>
    </row>
    <row r="4029" spans="1:8" x14ac:dyDescent="0.25">
      <c r="A4029">
        <v>182</v>
      </c>
      <c r="B4029" t="s">
        <v>314</v>
      </c>
      <c r="C4029">
        <v>10</v>
      </c>
      <c r="D4029">
        <v>0</v>
      </c>
      <c r="E4029">
        <v>0</v>
      </c>
      <c r="F4029">
        <v>117.15</v>
      </c>
      <c r="G4029">
        <v>41101.839999999997</v>
      </c>
      <c r="H4029" s="14">
        <v>43768.833333333336</v>
      </c>
    </row>
    <row r="4030" spans="1:8" x14ac:dyDescent="0.25">
      <c r="A4030">
        <v>183</v>
      </c>
      <c r="B4030" t="s">
        <v>315</v>
      </c>
      <c r="C4030">
        <v>1</v>
      </c>
      <c r="D4030">
        <v>0</v>
      </c>
      <c r="E4030">
        <v>0</v>
      </c>
      <c r="F4030">
        <v>125.28</v>
      </c>
      <c r="G4030">
        <v>34469.82</v>
      </c>
      <c r="H4030" s="14">
        <v>43768.833333333336</v>
      </c>
    </row>
    <row r="4031" spans="1:8" x14ac:dyDescent="0.25">
      <c r="A4031">
        <v>183</v>
      </c>
      <c r="B4031" t="s">
        <v>315</v>
      </c>
      <c r="C4031">
        <v>2</v>
      </c>
      <c r="D4031">
        <v>0</v>
      </c>
      <c r="E4031">
        <v>0</v>
      </c>
      <c r="F4031">
        <v>36.520000000000003</v>
      </c>
      <c r="G4031">
        <v>8200.85</v>
      </c>
      <c r="H4031" s="14">
        <v>43768.833333333336</v>
      </c>
    </row>
    <row r="4032" spans="1:8" x14ac:dyDescent="0.25">
      <c r="A4032">
        <v>183</v>
      </c>
      <c r="B4032" t="s">
        <v>315</v>
      </c>
      <c r="C4032">
        <v>3</v>
      </c>
      <c r="D4032">
        <v>0</v>
      </c>
      <c r="E4032">
        <v>0</v>
      </c>
      <c r="F4032">
        <v>92.52</v>
      </c>
      <c r="G4032">
        <v>29841.86</v>
      </c>
      <c r="H4032" s="14">
        <v>43768.833333333336</v>
      </c>
    </row>
    <row r="4033" spans="1:8" x14ac:dyDescent="0.25">
      <c r="A4033">
        <v>183</v>
      </c>
      <c r="B4033" t="s">
        <v>315</v>
      </c>
      <c r="C4033">
        <v>4</v>
      </c>
      <c r="D4033">
        <v>0</v>
      </c>
      <c r="E4033">
        <v>0</v>
      </c>
      <c r="F4033">
        <v>135.16999999999999</v>
      </c>
      <c r="G4033">
        <v>32331.67</v>
      </c>
      <c r="H4033" s="14">
        <v>43768.833333333336</v>
      </c>
    </row>
    <row r="4034" spans="1:8" x14ac:dyDescent="0.25">
      <c r="A4034">
        <v>183</v>
      </c>
      <c r="B4034" t="s">
        <v>315</v>
      </c>
      <c r="C4034">
        <v>5</v>
      </c>
      <c r="D4034">
        <v>0</v>
      </c>
      <c r="E4034">
        <v>0</v>
      </c>
      <c r="F4034">
        <v>114.14</v>
      </c>
      <c r="G4034">
        <v>31145.66</v>
      </c>
      <c r="H4034" s="14">
        <v>43768.833333333336</v>
      </c>
    </row>
    <row r="4035" spans="1:8" x14ac:dyDescent="0.25">
      <c r="A4035">
        <v>183</v>
      </c>
      <c r="B4035" t="s">
        <v>315</v>
      </c>
      <c r="C4035">
        <v>6</v>
      </c>
      <c r="D4035">
        <v>0</v>
      </c>
      <c r="E4035">
        <v>0</v>
      </c>
      <c r="F4035">
        <v>89.5</v>
      </c>
      <c r="G4035">
        <v>29364.31</v>
      </c>
      <c r="H4035" s="14">
        <v>43768.833333333336</v>
      </c>
    </row>
    <row r="4036" spans="1:8" x14ac:dyDescent="0.25">
      <c r="A4036">
        <v>183</v>
      </c>
      <c r="B4036" t="s">
        <v>315</v>
      </c>
      <c r="C4036">
        <v>7</v>
      </c>
      <c r="D4036">
        <v>0</v>
      </c>
      <c r="E4036">
        <v>0</v>
      </c>
      <c r="F4036">
        <v>110.75</v>
      </c>
      <c r="G4036">
        <v>28808.99</v>
      </c>
      <c r="H4036" s="14">
        <v>43768.833333333336</v>
      </c>
    </row>
    <row r="4037" spans="1:8" x14ac:dyDescent="0.25">
      <c r="A4037">
        <v>183</v>
      </c>
      <c r="B4037" t="s">
        <v>315</v>
      </c>
      <c r="C4037">
        <v>8</v>
      </c>
      <c r="D4037">
        <v>0</v>
      </c>
      <c r="E4037">
        <v>0</v>
      </c>
      <c r="F4037">
        <v>109.15</v>
      </c>
      <c r="G4037">
        <v>30188.69</v>
      </c>
      <c r="H4037" s="14">
        <v>43768.833333333336</v>
      </c>
    </row>
    <row r="4038" spans="1:8" x14ac:dyDescent="0.25">
      <c r="A4038">
        <v>183</v>
      </c>
      <c r="B4038" t="s">
        <v>315</v>
      </c>
      <c r="C4038">
        <v>9</v>
      </c>
      <c r="D4038">
        <v>0</v>
      </c>
      <c r="E4038">
        <v>0</v>
      </c>
      <c r="F4038">
        <v>101.71</v>
      </c>
      <c r="G4038">
        <v>27610.32</v>
      </c>
      <c r="H4038" s="14">
        <v>43768.833333333336</v>
      </c>
    </row>
    <row r="4039" spans="1:8" x14ac:dyDescent="0.25">
      <c r="A4039">
        <v>183</v>
      </c>
      <c r="B4039" t="s">
        <v>315</v>
      </c>
      <c r="C4039">
        <v>10</v>
      </c>
      <c r="D4039">
        <v>0</v>
      </c>
      <c r="E4039">
        <v>0</v>
      </c>
      <c r="F4039">
        <v>35</v>
      </c>
      <c r="G4039">
        <v>8282.82</v>
      </c>
      <c r="H4039" s="14">
        <v>43768.833333333336</v>
      </c>
    </row>
    <row r="4040" spans="1:8" x14ac:dyDescent="0.25">
      <c r="A4040">
        <v>183</v>
      </c>
      <c r="B4040" t="s">
        <v>315</v>
      </c>
      <c r="C4040">
        <v>11</v>
      </c>
      <c r="D4040">
        <v>0</v>
      </c>
      <c r="E4040">
        <v>0</v>
      </c>
      <c r="F4040">
        <v>67.28</v>
      </c>
      <c r="G4040">
        <v>18187.990000000002</v>
      </c>
      <c r="H4040" s="14">
        <v>43768.833333333336</v>
      </c>
    </row>
    <row r="4041" spans="1:8" x14ac:dyDescent="0.25">
      <c r="A4041">
        <v>184</v>
      </c>
      <c r="B4041" t="s">
        <v>316</v>
      </c>
      <c r="C4041">
        <v>1</v>
      </c>
      <c r="D4041">
        <v>0</v>
      </c>
      <c r="E4041">
        <v>0</v>
      </c>
      <c r="F4041">
        <v>9.2799999999999994</v>
      </c>
      <c r="G4041">
        <v>4657.8900000000003</v>
      </c>
      <c r="H4041" s="14">
        <v>43768.833333333336</v>
      </c>
    </row>
    <row r="4042" spans="1:8" x14ac:dyDescent="0.25">
      <c r="A4042">
        <v>184</v>
      </c>
      <c r="B4042" t="s">
        <v>316</v>
      </c>
      <c r="C4042">
        <v>2</v>
      </c>
      <c r="D4042">
        <v>0</v>
      </c>
      <c r="E4042">
        <v>0</v>
      </c>
      <c r="F4042">
        <v>9.42</v>
      </c>
      <c r="G4042">
        <v>4691.58</v>
      </c>
      <c r="H4042" s="14">
        <v>43768.833333333336</v>
      </c>
    </row>
    <row r="4043" spans="1:8" x14ac:dyDescent="0.25">
      <c r="A4043">
        <v>184</v>
      </c>
      <c r="B4043" t="s">
        <v>316</v>
      </c>
      <c r="C4043">
        <v>3</v>
      </c>
      <c r="D4043">
        <v>0</v>
      </c>
      <c r="E4043">
        <v>0</v>
      </c>
      <c r="F4043">
        <v>9.25</v>
      </c>
      <c r="G4043">
        <v>4988.9799999999996</v>
      </c>
      <c r="H4043" s="14">
        <v>43768.833333333336</v>
      </c>
    </row>
    <row r="4044" spans="1:8" x14ac:dyDescent="0.25">
      <c r="A4044">
        <v>184</v>
      </c>
      <c r="B4044" t="s">
        <v>316</v>
      </c>
      <c r="C4044">
        <v>4</v>
      </c>
      <c r="D4044">
        <v>0</v>
      </c>
      <c r="E4044">
        <v>0</v>
      </c>
      <c r="F4044">
        <v>12.87</v>
      </c>
      <c r="G4044">
        <v>5919.63</v>
      </c>
      <c r="H4044" s="14">
        <v>43768.833333333336</v>
      </c>
    </row>
    <row r="4045" spans="1:8" x14ac:dyDescent="0.25">
      <c r="A4045">
        <v>184</v>
      </c>
      <c r="B4045" t="s">
        <v>316</v>
      </c>
      <c r="C4045">
        <v>5</v>
      </c>
      <c r="D4045">
        <v>0</v>
      </c>
      <c r="E4045">
        <v>0</v>
      </c>
      <c r="F4045">
        <v>13.63</v>
      </c>
      <c r="G4045">
        <v>6134.39</v>
      </c>
      <c r="H4045" s="14">
        <v>43768.833333333336</v>
      </c>
    </row>
    <row r="4046" spans="1:8" x14ac:dyDescent="0.25">
      <c r="A4046">
        <v>184</v>
      </c>
      <c r="B4046" t="s">
        <v>316</v>
      </c>
      <c r="C4046">
        <v>6</v>
      </c>
      <c r="D4046">
        <v>0</v>
      </c>
      <c r="E4046">
        <v>0</v>
      </c>
      <c r="F4046">
        <v>13.55</v>
      </c>
      <c r="G4046">
        <v>6146.5</v>
      </c>
      <c r="H4046" s="14">
        <v>43768.833333333336</v>
      </c>
    </row>
    <row r="4047" spans="1:8" x14ac:dyDescent="0.25">
      <c r="A4047">
        <v>184</v>
      </c>
      <c r="B4047" t="s">
        <v>316</v>
      </c>
      <c r="C4047">
        <v>7</v>
      </c>
      <c r="D4047">
        <v>0</v>
      </c>
      <c r="E4047">
        <v>0</v>
      </c>
      <c r="F4047">
        <v>10.86</v>
      </c>
      <c r="G4047">
        <v>5799.84</v>
      </c>
      <c r="H4047" s="14">
        <v>43768.833333333336</v>
      </c>
    </row>
    <row r="4048" spans="1:8" x14ac:dyDescent="0.25">
      <c r="A4048">
        <v>184</v>
      </c>
      <c r="B4048" t="s">
        <v>316</v>
      </c>
      <c r="C4048">
        <v>8</v>
      </c>
      <c r="D4048">
        <v>0</v>
      </c>
      <c r="E4048">
        <v>0</v>
      </c>
      <c r="F4048">
        <v>12.66</v>
      </c>
      <c r="G4048">
        <v>5996.85</v>
      </c>
      <c r="H4048" s="14">
        <v>43768.833333333336</v>
      </c>
    </row>
    <row r="4049" spans="1:8" x14ac:dyDescent="0.25">
      <c r="A4049">
        <v>185</v>
      </c>
      <c r="B4049" t="s">
        <v>317</v>
      </c>
      <c r="C4049">
        <v>1</v>
      </c>
      <c r="D4049">
        <v>0</v>
      </c>
      <c r="E4049">
        <v>0</v>
      </c>
      <c r="F4049">
        <v>21.3</v>
      </c>
      <c r="G4049">
        <v>6615.68</v>
      </c>
      <c r="H4049" s="14">
        <v>43768.833333333336</v>
      </c>
    </row>
    <row r="4050" spans="1:8" x14ac:dyDescent="0.25">
      <c r="A4050">
        <v>185</v>
      </c>
      <c r="B4050" t="s">
        <v>317</v>
      </c>
      <c r="C4050">
        <v>2</v>
      </c>
      <c r="D4050">
        <v>0</v>
      </c>
      <c r="E4050">
        <v>0</v>
      </c>
      <c r="F4050">
        <v>21.53</v>
      </c>
      <c r="G4050">
        <v>6660.55</v>
      </c>
      <c r="H4050" s="14">
        <v>43768.833333333336</v>
      </c>
    </row>
    <row r="4051" spans="1:8" x14ac:dyDescent="0.25">
      <c r="A4051">
        <v>185</v>
      </c>
      <c r="B4051" t="s">
        <v>317</v>
      </c>
      <c r="C4051">
        <v>3</v>
      </c>
      <c r="D4051">
        <v>0</v>
      </c>
      <c r="E4051">
        <v>0</v>
      </c>
      <c r="F4051">
        <v>21.93</v>
      </c>
      <c r="G4051">
        <v>6745.8</v>
      </c>
      <c r="H4051" s="14">
        <v>43768.833333333336</v>
      </c>
    </row>
    <row r="4052" spans="1:8" x14ac:dyDescent="0.25">
      <c r="A4052">
        <v>185</v>
      </c>
      <c r="B4052" t="s">
        <v>317</v>
      </c>
      <c r="C4052">
        <v>4</v>
      </c>
      <c r="D4052">
        <v>0</v>
      </c>
      <c r="E4052">
        <v>0</v>
      </c>
      <c r="F4052">
        <v>20.88</v>
      </c>
      <c r="G4052">
        <v>6672.45</v>
      </c>
      <c r="H4052" s="14">
        <v>43768.833333333336</v>
      </c>
    </row>
    <row r="4053" spans="1:8" x14ac:dyDescent="0.25">
      <c r="A4053">
        <v>185</v>
      </c>
      <c r="B4053" t="s">
        <v>317</v>
      </c>
      <c r="C4053">
        <v>5</v>
      </c>
      <c r="D4053">
        <v>0</v>
      </c>
      <c r="E4053">
        <v>0</v>
      </c>
      <c r="F4053">
        <v>20.329999999999998</v>
      </c>
      <c r="G4053">
        <v>6726.07</v>
      </c>
      <c r="H4053" s="14">
        <v>43768.833333333336</v>
      </c>
    </row>
    <row r="4054" spans="1:8" x14ac:dyDescent="0.25">
      <c r="A4054">
        <v>185</v>
      </c>
      <c r="B4054" t="s">
        <v>317</v>
      </c>
      <c r="C4054">
        <v>6</v>
      </c>
      <c r="D4054">
        <v>0</v>
      </c>
      <c r="E4054">
        <v>0</v>
      </c>
      <c r="F4054">
        <v>17.52</v>
      </c>
      <c r="G4054">
        <v>6403.25</v>
      </c>
      <c r="H4054" s="14">
        <v>43768.833333333336</v>
      </c>
    </row>
    <row r="4055" spans="1:8" x14ac:dyDescent="0.25">
      <c r="A4055">
        <v>185</v>
      </c>
      <c r="B4055" t="s">
        <v>317</v>
      </c>
      <c r="C4055">
        <v>7</v>
      </c>
      <c r="D4055">
        <v>0</v>
      </c>
      <c r="E4055">
        <v>0</v>
      </c>
      <c r="F4055">
        <v>21.05</v>
      </c>
      <c r="G4055">
        <v>6585.39</v>
      </c>
      <c r="H4055" s="14">
        <v>43768.833333333336</v>
      </c>
    </row>
    <row r="4056" spans="1:8" x14ac:dyDescent="0.25">
      <c r="A4056">
        <v>185</v>
      </c>
      <c r="B4056" t="s">
        <v>317</v>
      </c>
      <c r="C4056">
        <v>8</v>
      </c>
      <c r="D4056">
        <v>0</v>
      </c>
      <c r="E4056">
        <v>0</v>
      </c>
      <c r="F4056">
        <v>21.58</v>
      </c>
      <c r="G4056">
        <v>6708.69</v>
      </c>
      <c r="H4056" s="14">
        <v>43768.833333333336</v>
      </c>
    </row>
    <row r="4057" spans="1:8" x14ac:dyDescent="0.25">
      <c r="A4057">
        <v>185</v>
      </c>
      <c r="B4057" t="s">
        <v>317</v>
      </c>
      <c r="C4057">
        <v>9</v>
      </c>
      <c r="D4057">
        <v>0</v>
      </c>
      <c r="E4057">
        <v>0</v>
      </c>
      <c r="F4057">
        <v>21.75</v>
      </c>
      <c r="G4057">
        <v>6751.86</v>
      </c>
      <c r="H4057" s="14">
        <v>43768.833333333336</v>
      </c>
    </row>
    <row r="4058" spans="1:8" x14ac:dyDescent="0.25">
      <c r="A4058">
        <v>185</v>
      </c>
      <c r="B4058" t="s">
        <v>317</v>
      </c>
      <c r="C4058">
        <v>10</v>
      </c>
      <c r="D4058">
        <v>0</v>
      </c>
      <c r="E4058">
        <v>0</v>
      </c>
      <c r="F4058">
        <v>21.1</v>
      </c>
      <c r="G4058">
        <v>6658.49</v>
      </c>
      <c r="H4058" s="14">
        <v>43768.833333333336</v>
      </c>
    </row>
    <row r="4059" spans="1:8" x14ac:dyDescent="0.25">
      <c r="A4059">
        <v>185</v>
      </c>
      <c r="B4059" t="s">
        <v>317</v>
      </c>
      <c r="C4059">
        <v>11</v>
      </c>
      <c r="D4059">
        <v>0</v>
      </c>
      <c r="E4059">
        <v>0</v>
      </c>
      <c r="F4059">
        <v>20.8</v>
      </c>
      <c r="G4059">
        <v>6508.44</v>
      </c>
      <c r="H4059" s="14">
        <v>43768.833333333336</v>
      </c>
    </row>
    <row r="4060" spans="1:8" x14ac:dyDescent="0.25">
      <c r="A4060">
        <v>185</v>
      </c>
      <c r="B4060" t="s">
        <v>317</v>
      </c>
      <c r="C4060">
        <v>12</v>
      </c>
      <c r="D4060">
        <v>0</v>
      </c>
      <c r="E4060">
        <v>0</v>
      </c>
      <c r="F4060">
        <v>21.76</v>
      </c>
      <c r="G4060">
        <v>6734.54</v>
      </c>
      <c r="H4060" s="14">
        <v>43768.833333333336</v>
      </c>
    </row>
    <row r="4061" spans="1:8" x14ac:dyDescent="0.25">
      <c r="A4061">
        <v>185</v>
      </c>
      <c r="B4061" t="s">
        <v>317</v>
      </c>
      <c r="C4061">
        <v>13</v>
      </c>
      <c r="D4061">
        <v>0</v>
      </c>
      <c r="E4061">
        <v>0</v>
      </c>
      <c r="F4061">
        <v>20.92</v>
      </c>
      <c r="G4061">
        <v>6471.79</v>
      </c>
      <c r="H4061" s="14">
        <v>43768.833333333336</v>
      </c>
    </row>
    <row r="4062" spans="1:8" x14ac:dyDescent="0.25">
      <c r="A4062">
        <v>185</v>
      </c>
      <c r="B4062" t="s">
        <v>317</v>
      </c>
      <c r="C4062">
        <v>14</v>
      </c>
      <c r="D4062">
        <v>0</v>
      </c>
      <c r="E4062">
        <v>0</v>
      </c>
      <c r="F4062">
        <v>21.34</v>
      </c>
      <c r="G4062">
        <v>6589.53</v>
      </c>
      <c r="H4062" s="14">
        <v>43768.833333333336</v>
      </c>
    </row>
    <row r="4063" spans="1:8" x14ac:dyDescent="0.25">
      <c r="A4063">
        <v>185</v>
      </c>
      <c r="B4063" t="s">
        <v>317</v>
      </c>
      <c r="C4063">
        <v>15</v>
      </c>
      <c r="D4063">
        <v>0</v>
      </c>
      <c r="E4063">
        <v>0</v>
      </c>
      <c r="F4063">
        <v>22.19</v>
      </c>
      <c r="G4063">
        <v>6808.98</v>
      </c>
      <c r="H4063" s="14">
        <v>43768.833333333336</v>
      </c>
    </row>
    <row r="4064" spans="1:8" x14ac:dyDescent="0.25">
      <c r="A4064">
        <v>185</v>
      </c>
      <c r="B4064" t="s">
        <v>317</v>
      </c>
      <c r="C4064">
        <v>16</v>
      </c>
      <c r="D4064">
        <v>0</v>
      </c>
      <c r="E4064">
        <v>0</v>
      </c>
      <c r="F4064">
        <v>23.62</v>
      </c>
      <c r="G4064">
        <v>7375.1</v>
      </c>
      <c r="H4064" s="14">
        <v>43768.833333333336</v>
      </c>
    </row>
    <row r="4065" spans="1:8" x14ac:dyDescent="0.25">
      <c r="A4065">
        <v>185</v>
      </c>
      <c r="B4065" t="s">
        <v>317</v>
      </c>
      <c r="C4065">
        <v>17</v>
      </c>
      <c r="D4065">
        <v>0</v>
      </c>
      <c r="E4065">
        <v>0</v>
      </c>
      <c r="F4065">
        <v>24.17</v>
      </c>
      <c r="G4065">
        <v>7526.63</v>
      </c>
      <c r="H4065" s="14">
        <v>43768.833333333336</v>
      </c>
    </row>
    <row r="4066" spans="1:8" x14ac:dyDescent="0.25">
      <c r="A4066">
        <v>185</v>
      </c>
      <c r="B4066" t="s">
        <v>317</v>
      </c>
      <c r="C4066">
        <v>18</v>
      </c>
      <c r="D4066">
        <v>0</v>
      </c>
      <c r="E4066">
        <v>0</v>
      </c>
      <c r="F4066">
        <v>24.22</v>
      </c>
      <c r="G4066">
        <v>7514.34</v>
      </c>
      <c r="H4066" s="14">
        <v>43768.833333333336</v>
      </c>
    </row>
    <row r="4067" spans="1:8" x14ac:dyDescent="0.25">
      <c r="A4067">
        <v>186</v>
      </c>
      <c r="B4067" t="s">
        <v>319</v>
      </c>
      <c r="C4067">
        <v>1</v>
      </c>
      <c r="D4067">
        <v>0</v>
      </c>
      <c r="E4067">
        <v>0</v>
      </c>
      <c r="F4067">
        <v>22.49</v>
      </c>
      <c r="G4067">
        <v>6833.82</v>
      </c>
      <c r="H4067" s="14">
        <v>43768.833333333336</v>
      </c>
    </row>
    <row r="4068" spans="1:8" x14ac:dyDescent="0.25">
      <c r="A4068">
        <v>186</v>
      </c>
      <c r="B4068" t="s">
        <v>319</v>
      </c>
      <c r="C4068">
        <v>2</v>
      </c>
      <c r="D4068">
        <v>0</v>
      </c>
      <c r="E4068">
        <v>0</v>
      </c>
      <c r="F4068">
        <v>21.4</v>
      </c>
      <c r="G4068">
        <v>6510.09</v>
      </c>
      <c r="H4068" s="14">
        <v>43768.833333333336</v>
      </c>
    </row>
    <row r="4069" spans="1:8" x14ac:dyDescent="0.25">
      <c r="A4069">
        <v>186</v>
      </c>
      <c r="B4069" t="s">
        <v>319</v>
      </c>
      <c r="C4069">
        <v>3</v>
      </c>
      <c r="D4069">
        <v>0</v>
      </c>
      <c r="E4069">
        <v>0</v>
      </c>
      <c r="F4069">
        <v>21.99</v>
      </c>
      <c r="G4069">
        <v>6816.1</v>
      </c>
      <c r="H4069" s="14">
        <v>43768.833333333336</v>
      </c>
    </row>
    <row r="4070" spans="1:8" x14ac:dyDescent="0.25">
      <c r="A4070">
        <v>186</v>
      </c>
      <c r="B4070" t="s">
        <v>319</v>
      </c>
      <c r="C4070">
        <v>4</v>
      </c>
      <c r="D4070">
        <v>0</v>
      </c>
      <c r="E4070">
        <v>0</v>
      </c>
      <c r="F4070">
        <v>22.72</v>
      </c>
      <c r="G4070">
        <v>6892.02</v>
      </c>
      <c r="H4070" s="14">
        <v>43768.833333333336</v>
      </c>
    </row>
    <row r="4071" spans="1:8" x14ac:dyDescent="0.25">
      <c r="A4071">
        <v>186</v>
      </c>
      <c r="B4071" t="s">
        <v>319</v>
      </c>
      <c r="C4071">
        <v>5</v>
      </c>
      <c r="D4071">
        <v>0</v>
      </c>
      <c r="E4071">
        <v>0</v>
      </c>
      <c r="F4071">
        <v>22.17</v>
      </c>
      <c r="G4071">
        <v>6778.28</v>
      </c>
      <c r="H4071" s="14">
        <v>43768.833333333336</v>
      </c>
    </row>
    <row r="4072" spans="1:8" x14ac:dyDescent="0.25">
      <c r="A4072">
        <v>186</v>
      </c>
      <c r="B4072" t="s">
        <v>319</v>
      </c>
      <c r="C4072">
        <v>6</v>
      </c>
      <c r="D4072">
        <v>0</v>
      </c>
      <c r="E4072">
        <v>0</v>
      </c>
      <c r="F4072">
        <v>22.7</v>
      </c>
      <c r="G4072">
        <v>6867</v>
      </c>
      <c r="H4072" s="14">
        <v>43768.833333333336</v>
      </c>
    </row>
    <row r="4073" spans="1:8" x14ac:dyDescent="0.25">
      <c r="A4073">
        <v>186</v>
      </c>
      <c r="B4073" t="s">
        <v>319</v>
      </c>
      <c r="C4073">
        <v>7</v>
      </c>
      <c r="D4073">
        <v>0</v>
      </c>
      <c r="E4073">
        <v>0</v>
      </c>
      <c r="F4073">
        <v>21.68</v>
      </c>
      <c r="G4073">
        <v>6684.19</v>
      </c>
      <c r="H4073" s="14">
        <v>43768.833333333336</v>
      </c>
    </row>
    <row r="4074" spans="1:8" x14ac:dyDescent="0.25">
      <c r="A4074">
        <v>186</v>
      </c>
      <c r="B4074" t="s">
        <v>319</v>
      </c>
      <c r="C4074">
        <v>8</v>
      </c>
      <c r="D4074">
        <v>0</v>
      </c>
      <c r="E4074">
        <v>0</v>
      </c>
      <c r="F4074">
        <v>22.97</v>
      </c>
      <c r="G4074">
        <v>6875.03</v>
      </c>
      <c r="H4074" s="14">
        <v>43768.833333333336</v>
      </c>
    </row>
    <row r="4075" spans="1:8" x14ac:dyDescent="0.25">
      <c r="A4075">
        <v>186</v>
      </c>
      <c r="B4075" t="s">
        <v>319</v>
      </c>
      <c r="C4075">
        <v>9</v>
      </c>
      <c r="D4075">
        <v>0</v>
      </c>
      <c r="E4075">
        <v>0</v>
      </c>
      <c r="F4075">
        <v>20.74</v>
      </c>
      <c r="G4075">
        <v>6390.59</v>
      </c>
      <c r="H4075" s="14">
        <v>43768.833333333336</v>
      </c>
    </row>
    <row r="4076" spans="1:8" x14ac:dyDescent="0.25">
      <c r="A4076">
        <v>186</v>
      </c>
      <c r="B4076" t="s">
        <v>319</v>
      </c>
      <c r="C4076">
        <v>10</v>
      </c>
      <c r="D4076">
        <v>0</v>
      </c>
      <c r="E4076">
        <v>0</v>
      </c>
      <c r="F4076">
        <v>22.61</v>
      </c>
      <c r="G4076">
        <v>6840.22</v>
      </c>
      <c r="H4076" s="14">
        <v>43768.833333333336</v>
      </c>
    </row>
    <row r="4077" spans="1:8" x14ac:dyDescent="0.25">
      <c r="A4077">
        <v>186</v>
      </c>
      <c r="B4077" t="s">
        <v>319</v>
      </c>
      <c r="C4077">
        <v>11</v>
      </c>
      <c r="D4077">
        <v>0</v>
      </c>
      <c r="E4077">
        <v>0</v>
      </c>
      <c r="F4077">
        <v>13.56</v>
      </c>
      <c r="G4077">
        <v>1098.28</v>
      </c>
      <c r="H4077" s="14">
        <v>43768.833333333336</v>
      </c>
    </row>
    <row r="4078" spans="1:8" x14ac:dyDescent="0.25">
      <c r="A4078">
        <v>186</v>
      </c>
      <c r="B4078" t="s">
        <v>319</v>
      </c>
      <c r="C4078">
        <v>12</v>
      </c>
      <c r="D4078">
        <v>0</v>
      </c>
      <c r="E4078">
        <v>0</v>
      </c>
      <c r="F4078">
        <v>22.22</v>
      </c>
      <c r="G4078">
        <v>6743.84</v>
      </c>
      <c r="H4078" s="14">
        <v>43768.833333333336</v>
      </c>
    </row>
    <row r="4079" spans="1:8" x14ac:dyDescent="0.25">
      <c r="A4079">
        <v>186</v>
      </c>
      <c r="B4079" t="s">
        <v>319</v>
      </c>
      <c r="C4079">
        <v>13</v>
      </c>
      <c r="D4079">
        <v>0</v>
      </c>
      <c r="E4079">
        <v>0</v>
      </c>
      <c r="F4079">
        <v>22.63</v>
      </c>
      <c r="G4079">
        <v>6841.45</v>
      </c>
      <c r="H4079" s="14">
        <v>43768.833333333336</v>
      </c>
    </row>
    <row r="4080" spans="1:8" x14ac:dyDescent="0.25">
      <c r="A4080">
        <v>186</v>
      </c>
      <c r="B4080" t="s">
        <v>319</v>
      </c>
      <c r="C4080">
        <v>14</v>
      </c>
      <c r="D4080">
        <v>0</v>
      </c>
      <c r="E4080">
        <v>0</v>
      </c>
      <c r="F4080">
        <v>22.48</v>
      </c>
      <c r="G4080">
        <v>6825.89</v>
      </c>
      <c r="H4080" s="14">
        <v>43768.833333333336</v>
      </c>
    </row>
    <row r="4081" spans="1:8" x14ac:dyDescent="0.25">
      <c r="A4081">
        <v>186</v>
      </c>
      <c r="B4081" t="s">
        <v>319</v>
      </c>
      <c r="C4081">
        <v>15</v>
      </c>
      <c r="D4081">
        <v>0</v>
      </c>
      <c r="E4081">
        <v>0</v>
      </c>
      <c r="F4081">
        <v>22.43</v>
      </c>
      <c r="G4081">
        <v>6869.69</v>
      </c>
      <c r="H4081" s="14">
        <v>43768.833333333336</v>
      </c>
    </row>
    <row r="4082" spans="1:8" x14ac:dyDescent="0.25">
      <c r="A4082">
        <v>187</v>
      </c>
      <c r="B4082" t="s">
        <v>320</v>
      </c>
      <c r="C4082">
        <v>1</v>
      </c>
      <c r="D4082">
        <v>0</v>
      </c>
      <c r="E4082">
        <v>0</v>
      </c>
      <c r="F4082">
        <v>22.26</v>
      </c>
      <c r="G4082">
        <v>6745.77</v>
      </c>
      <c r="H4082" s="14">
        <v>43768.833333333336</v>
      </c>
    </row>
    <row r="4083" spans="1:8" x14ac:dyDescent="0.25">
      <c r="A4083">
        <v>187</v>
      </c>
      <c r="B4083" t="s">
        <v>320</v>
      </c>
      <c r="C4083">
        <v>2</v>
      </c>
      <c r="D4083">
        <v>0</v>
      </c>
      <c r="E4083">
        <v>0</v>
      </c>
      <c r="F4083">
        <v>22.87</v>
      </c>
      <c r="G4083">
        <v>6876.11</v>
      </c>
      <c r="H4083" s="14">
        <v>43768.833333333336</v>
      </c>
    </row>
    <row r="4084" spans="1:8" x14ac:dyDescent="0.25">
      <c r="A4084">
        <v>187</v>
      </c>
      <c r="B4084" t="s">
        <v>320</v>
      </c>
      <c r="C4084">
        <v>3</v>
      </c>
      <c r="D4084">
        <v>0</v>
      </c>
      <c r="E4084">
        <v>0</v>
      </c>
      <c r="F4084">
        <v>22.52</v>
      </c>
      <c r="G4084">
        <v>6776.73</v>
      </c>
      <c r="H4084" s="14">
        <v>43768.833333333336</v>
      </c>
    </row>
    <row r="4085" spans="1:8" x14ac:dyDescent="0.25">
      <c r="A4085">
        <v>187</v>
      </c>
      <c r="B4085" t="s">
        <v>320</v>
      </c>
      <c r="C4085">
        <v>4</v>
      </c>
      <c r="D4085">
        <v>0</v>
      </c>
      <c r="E4085">
        <v>0</v>
      </c>
      <c r="F4085">
        <v>22.46</v>
      </c>
      <c r="G4085">
        <v>6841.44</v>
      </c>
      <c r="H4085" s="14">
        <v>43768.833333333336</v>
      </c>
    </row>
    <row r="4086" spans="1:8" x14ac:dyDescent="0.25">
      <c r="A4086">
        <v>187</v>
      </c>
      <c r="B4086" t="s">
        <v>320</v>
      </c>
      <c r="C4086">
        <v>5</v>
      </c>
      <c r="D4086">
        <v>0</v>
      </c>
      <c r="E4086">
        <v>0</v>
      </c>
      <c r="F4086">
        <v>21.81</v>
      </c>
      <c r="G4086">
        <v>6694.38</v>
      </c>
      <c r="H4086" s="14">
        <v>43768.833333333336</v>
      </c>
    </row>
    <row r="4087" spans="1:8" x14ac:dyDescent="0.25">
      <c r="A4087">
        <v>187</v>
      </c>
      <c r="B4087" t="s">
        <v>320</v>
      </c>
      <c r="C4087">
        <v>6</v>
      </c>
      <c r="D4087">
        <v>0</v>
      </c>
      <c r="E4087">
        <v>0</v>
      </c>
      <c r="F4087">
        <v>22.76</v>
      </c>
      <c r="G4087">
        <v>6855.37</v>
      </c>
      <c r="H4087" s="14">
        <v>43768.833333333336</v>
      </c>
    </row>
    <row r="4088" spans="1:8" x14ac:dyDescent="0.25">
      <c r="A4088">
        <v>187</v>
      </c>
      <c r="B4088" t="s">
        <v>320</v>
      </c>
      <c r="C4088">
        <v>7</v>
      </c>
      <c r="D4088">
        <v>0</v>
      </c>
      <c r="E4088">
        <v>0</v>
      </c>
      <c r="F4088">
        <v>22.73</v>
      </c>
      <c r="G4088">
        <v>6877.95</v>
      </c>
      <c r="H4088" s="14">
        <v>43768.833333333336</v>
      </c>
    </row>
    <row r="4089" spans="1:8" x14ac:dyDescent="0.25">
      <c r="A4089">
        <v>187</v>
      </c>
      <c r="B4089" t="s">
        <v>320</v>
      </c>
      <c r="C4089">
        <v>8</v>
      </c>
      <c r="D4089">
        <v>0</v>
      </c>
      <c r="E4089">
        <v>0</v>
      </c>
      <c r="F4089">
        <v>22.98</v>
      </c>
      <c r="G4089">
        <v>6844.86</v>
      </c>
      <c r="H4089" s="14">
        <v>43768.833333333336</v>
      </c>
    </row>
    <row r="4090" spans="1:8" x14ac:dyDescent="0.25">
      <c r="A4090">
        <v>187</v>
      </c>
      <c r="B4090" t="s">
        <v>320</v>
      </c>
      <c r="C4090">
        <v>9</v>
      </c>
      <c r="D4090">
        <v>0</v>
      </c>
      <c r="E4090">
        <v>0</v>
      </c>
      <c r="F4090">
        <v>22.74</v>
      </c>
      <c r="G4090">
        <v>6800.71</v>
      </c>
      <c r="H4090" s="14">
        <v>43768.833333333336</v>
      </c>
    </row>
    <row r="4091" spans="1:8" x14ac:dyDescent="0.25">
      <c r="A4091">
        <v>187</v>
      </c>
      <c r="B4091" t="s">
        <v>320</v>
      </c>
      <c r="C4091">
        <v>10</v>
      </c>
      <c r="D4091">
        <v>0</v>
      </c>
      <c r="E4091">
        <v>0</v>
      </c>
      <c r="F4091">
        <v>21.7</v>
      </c>
      <c r="G4091">
        <v>6609.93</v>
      </c>
      <c r="H4091" s="14">
        <v>43768.833333333336</v>
      </c>
    </row>
    <row r="4092" spans="1:8" x14ac:dyDescent="0.25">
      <c r="A4092">
        <v>187</v>
      </c>
      <c r="B4092" t="s">
        <v>320</v>
      </c>
      <c r="C4092">
        <v>11</v>
      </c>
      <c r="D4092">
        <v>0</v>
      </c>
      <c r="E4092">
        <v>0</v>
      </c>
      <c r="F4092">
        <v>22.75</v>
      </c>
      <c r="G4092">
        <v>6845.58</v>
      </c>
      <c r="H4092" s="14">
        <v>43768.833333333336</v>
      </c>
    </row>
    <row r="4093" spans="1:8" x14ac:dyDescent="0.25">
      <c r="A4093">
        <v>187</v>
      </c>
      <c r="B4093" t="s">
        <v>320</v>
      </c>
      <c r="C4093">
        <v>12</v>
      </c>
      <c r="D4093">
        <v>0</v>
      </c>
      <c r="E4093">
        <v>0</v>
      </c>
      <c r="F4093">
        <v>22</v>
      </c>
      <c r="G4093">
        <v>6643.3</v>
      </c>
      <c r="H4093" s="14">
        <v>43768.833333333336</v>
      </c>
    </row>
    <row r="4094" spans="1:8" x14ac:dyDescent="0.25">
      <c r="A4094">
        <v>187</v>
      </c>
      <c r="B4094" t="s">
        <v>320</v>
      </c>
      <c r="C4094">
        <v>13</v>
      </c>
      <c r="D4094">
        <v>0</v>
      </c>
      <c r="E4094">
        <v>0</v>
      </c>
      <c r="F4094">
        <v>22.71</v>
      </c>
      <c r="G4094">
        <v>6782.88</v>
      </c>
      <c r="H4094" s="14">
        <v>43768.833333333336</v>
      </c>
    </row>
    <row r="4095" spans="1:8" x14ac:dyDescent="0.25">
      <c r="A4095">
        <v>187</v>
      </c>
      <c r="B4095" t="s">
        <v>320</v>
      </c>
      <c r="C4095">
        <v>14</v>
      </c>
      <c r="D4095">
        <v>0</v>
      </c>
      <c r="E4095">
        <v>0</v>
      </c>
      <c r="F4095">
        <v>22.72</v>
      </c>
      <c r="G4095">
        <v>6827.2</v>
      </c>
      <c r="H4095" s="14">
        <v>43768.833333333336</v>
      </c>
    </row>
    <row r="4096" spans="1:8" x14ac:dyDescent="0.25">
      <c r="A4096">
        <v>187</v>
      </c>
      <c r="B4096" t="s">
        <v>320</v>
      </c>
      <c r="C4096">
        <v>15</v>
      </c>
      <c r="D4096">
        <v>0</v>
      </c>
      <c r="E4096">
        <v>0</v>
      </c>
      <c r="F4096">
        <v>22.39</v>
      </c>
      <c r="G4096">
        <v>6750.5</v>
      </c>
      <c r="H4096" s="14">
        <v>43768.833333333336</v>
      </c>
    </row>
    <row r="4097" spans="1:8" x14ac:dyDescent="0.25">
      <c r="A4097">
        <v>187</v>
      </c>
      <c r="B4097" t="s">
        <v>320</v>
      </c>
      <c r="C4097">
        <v>16</v>
      </c>
      <c r="D4097">
        <v>0</v>
      </c>
      <c r="E4097">
        <v>0</v>
      </c>
      <c r="F4097">
        <v>25.89</v>
      </c>
      <c r="G4097">
        <v>7710.72</v>
      </c>
      <c r="H4097" s="14">
        <v>43768.833333333336</v>
      </c>
    </row>
    <row r="4098" spans="1:8" x14ac:dyDescent="0.25">
      <c r="A4098">
        <v>187</v>
      </c>
      <c r="B4098" t="s">
        <v>320</v>
      </c>
      <c r="C4098">
        <v>17</v>
      </c>
      <c r="D4098">
        <v>0</v>
      </c>
      <c r="E4098">
        <v>0</v>
      </c>
      <c r="F4098">
        <v>25.47</v>
      </c>
      <c r="G4098">
        <v>7627.99</v>
      </c>
      <c r="H4098" s="14">
        <v>43768.833333333336</v>
      </c>
    </row>
    <row r="4099" spans="1:8" x14ac:dyDescent="0.25">
      <c r="A4099">
        <v>187</v>
      </c>
      <c r="B4099" t="s">
        <v>320</v>
      </c>
      <c r="C4099">
        <v>18</v>
      </c>
      <c r="D4099">
        <v>0</v>
      </c>
      <c r="E4099">
        <v>0</v>
      </c>
      <c r="F4099">
        <v>24.79</v>
      </c>
      <c r="G4099">
        <v>7577.98</v>
      </c>
      <c r="H4099" s="14">
        <v>43768.833333333336</v>
      </c>
    </row>
    <row r="4100" spans="1:8" x14ac:dyDescent="0.25">
      <c r="A4100">
        <v>188</v>
      </c>
      <c r="B4100" t="s">
        <v>321</v>
      </c>
      <c r="C4100">
        <v>1</v>
      </c>
      <c r="D4100">
        <v>0</v>
      </c>
      <c r="E4100">
        <v>0</v>
      </c>
      <c r="F4100">
        <v>25.2</v>
      </c>
      <c r="G4100">
        <v>7605.52</v>
      </c>
      <c r="H4100" s="14">
        <v>43768.833333333336</v>
      </c>
    </row>
    <row r="4101" spans="1:8" x14ac:dyDescent="0.25">
      <c r="A4101">
        <v>188</v>
      </c>
      <c r="B4101" t="s">
        <v>321</v>
      </c>
      <c r="C4101">
        <v>2</v>
      </c>
      <c r="D4101">
        <v>0</v>
      </c>
      <c r="E4101">
        <v>0</v>
      </c>
      <c r="F4101">
        <v>23.16</v>
      </c>
      <c r="G4101">
        <v>6888.5</v>
      </c>
      <c r="H4101" s="14">
        <v>43768.833333333336</v>
      </c>
    </row>
    <row r="4102" spans="1:8" x14ac:dyDescent="0.25">
      <c r="A4102">
        <v>188</v>
      </c>
      <c r="B4102" t="s">
        <v>321</v>
      </c>
      <c r="C4102">
        <v>3</v>
      </c>
      <c r="D4102">
        <v>0</v>
      </c>
      <c r="E4102">
        <v>0</v>
      </c>
      <c r="F4102">
        <v>23.41</v>
      </c>
      <c r="G4102">
        <v>6950.69</v>
      </c>
      <c r="H4102" s="14">
        <v>43768.833333333336</v>
      </c>
    </row>
    <row r="4103" spans="1:8" x14ac:dyDescent="0.25">
      <c r="A4103">
        <v>188</v>
      </c>
      <c r="B4103" t="s">
        <v>321</v>
      </c>
      <c r="C4103">
        <v>4</v>
      </c>
      <c r="D4103">
        <v>0</v>
      </c>
      <c r="E4103">
        <v>0</v>
      </c>
      <c r="F4103">
        <v>23.21</v>
      </c>
      <c r="G4103">
        <v>6956.09</v>
      </c>
      <c r="H4103" s="14">
        <v>43768.833333333336</v>
      </c>
    </row>
    <row r="4104" spans="1:8" x14ac:dyDescent="0.25">
      <c r="A4104">
        <v>188</v>
      </c>
      <c r="B4104" t="s">
        <v>321</v>
      </c>
      <c r="C4104">
        <v>5</v>
      </c>
      <c r="D4104">
        <v>0</v>
      </c>
      <c r="E4104">
        <v>0</v>
      </c>
      <c r="F4104">
        <v>22.46</v>
      </c>
      <c r="G4104">
        <v>6871.78</v>
      </c>
      <c r="H4104" s="14">
        <v>43768.833333333336</v>
      </c>
    </row>
    <row r="4105" spans="1:8" x14ac:dyDescent="0.25">
      <c r="A4105">
        <v>188</v>
      </c>
      <c r="B4105" t="s">
        <v>321</v>
      </c>
      <c r="C4105">
        <v>6</v>
      </c>
      <c r="D4105">
        <v>0</v>
      </c>
      <c r="E4105">
        <v>0</v>
      </c>
      <c r="F4105">
        <v>23.07</v>
      </c>
      <c r="G4105">
        <v>6911.33</v>
      </c>
      <c r="H4105" s="14">
        <v>43768.833333333336</v>
      </c>
    </row>
    <row r="4106" spans="1:8" x14ac:dyDescent="0.25">
      <c r="A4106">
        <v>188</v>
      </c>
      <c r="B4106" t="s">
        <v>321</v>
      </c>
      <c r="C4106">
        <v>7</v>
      </c>
      <c r="D4106">
        <v>0</v>
      </c>
      <c r="E4106">
        <v>0</v>
      </c>
      <c r="F4106">
        <v>23.23</v>
      </c>
      <c r="G4106">
        <v>6953.96</v>
      </c>
      <c r="H4106" s="14">
        <v>43768.833333333336</v>
      </c>
    </row>
    <row r="4107" spans="1:8" x14ac:dyDescent="0.25">
      <c r="A4107">
        <v>188</v>
      </c>
      <c r="B4107" t="s">
        <v>321</v>
      </c>
      <c r="C4107">
        <v>8</v>
      </c>
      <c r="D4107">
        <v>0</v>
      </c>
      <c r="E4107">
        <v>0</v>
      </c>
      <c r="F4107">
        <v>23.31</v>
      </c>
      <c r="G4107">
        <v>6960.52</v>
      </c>
      <c r="H4107" s="14">
        <v>43768.833333333336</v>
      </c>
    </row>
    <row r="4108" spans="1:8" x14ac:dyDescent="0.25">
      <c r="A4108">
        <v>188</v>
      </c>
      <c r="B4108" t="s">
        <v>321</v>
      </c>
      <c r="C4108">
        <v>9</v>
      </c>
      <c r="D4108">
        <v>0</v>
      </c>
      <c r="E4108">
        <v>0</v>
      </c>
      <c r="F4108">
        <v>23.08</v>
      </c>
      <c r="G4108">
        <v>6900.05</v>
      </c>
      <c r="H4108" s="14">
        <v>43768.833333333336</v>
      </c>
    </row>
    <row r="4109" spans="1:8" x14ac:dyDescent="0.25">
      <c r="A4109">
        <v>188</v>
      </c>
      <c r="B4109" t="s">
        <v>321</v>
      </c>
      <c r="C4109">
        <v>10</v>
      </c>
      <c r="D4109">
        <v>0</v>
      </c>
      <c r="E4109">
        <v>0</v>
      </c>
      <c r="F4109">
        <v>21.7</v>
      </c>
      <c r="G4109">
        <v>6517.16</v>
      </c>
      <c r="H4109" s="14">
        <v>43768.833333333336</v>
      </c>
    </row>
    <row r="4110" spans="1:8" x14ac:dyDescent="0.25">
      <c r="A4110">
        <v>188</v>
      </c>
      <c r="B4110" t="s">
        <v>321</v>
      </c>
      <c r="C4110">
        <v>11</v>
      </c>
      <c r="D4110">
        <v>0</v>
      </c>
      <c r="E4110">
        <v>0</v>
      </c>
      <c r="F4110">
        <v>22.58</v>
      </c>
      <c r="G4110">
        <v>6765.01</v>
      </c>
      <c r="H4110" s="14">
        <v>43768.833333333336</v>
      </c>
    </row>
    <row r="4111" spans="1:8" x14ac:dyDescent="0.25">
      <c r="A4111">
        <v>188</v>
      </c>
      <c r="B4111" t="s">
        <v>321</v>
      </c>
      <c r="C4111">
        <v>12</v>
      </c>
      <c r="D4111">
        <v>0</v>
      </c>
      <c r="E4111">
        <v>0</v>
      </c>
      <c r="F4111">
        <v>22.24</v>
      </c>
      <c r="G4111">
        <v>6707.69</v>
      </c>
      <c r="H4111" s="14">
        <v>43768.833333333336</v>
      </c>
    </row>
    <row r="4112" spans="1:8" x14ac:dyDescent="0.25">
      <c r="A4112">
        <v>188</v>
      </c>
      <c r="B4112" t="s">
        <v>321</v>
      </c>
      <c r="C4112">
        <v>13</v>
      </c>
      <c r="D4112">
        <v>0</v>
      </c>
      <c r="E4112">
        <v>0</v>
      </c>
      <c r="F4112">
        <v>22.1</v>
      </c>
      <c r="G4112">
        <v>6688.18</v>
      </c>
      <c r="H4112" s="14">
        <v>43768.833333333336</v>
      </c>
    </row>
    <row r="4113" spans="1:8" x14ac:dyDescent="0.25">
      <c r="A4113">
        <v>188</v>
      </c>
      <c r="B4113" t="s">
        <v>321</v>
      </c>
      <c r="C4113">
        <v>14</v>
      </c>
      <c r="D4113">
        <v>0</v>
      </c>
      <c r="E4113">
        <v>0</v>
      </c>
      <c r="F4113">
        <v>23.13</v>
      </c>
      <c r="G4113">
        <v>6915.99</v>
      </c>
      <c r="H4113" s="14">
        <v>43768.833333333336</v>
      </c>
    </row>
    <row r="4114" spans="1:8" x14ac:dyDescent="0.25">
      <c r="A4114">
        <v>188</v>
      </c>
      <c r="B4114" t="s">
        <v>321</v>
      </c>
      <c r="C4114">
        <v>15</v>
      </c>
      <c r="D4114">
        <v>0</v>
      </c>
      <c r="E4114">
        <v>0</v>
      </c>
      <c r="F4114">
        <v>23.07</v>
      </c>
      <c r="G4114">
        <v>6884.46</v>
      </c>
      <c r="H4114" s="14">
        <v>43768.833333333336</v>
      </c>
    </row>
    <row r="4115" spans="1:8" x14ac:dyDescent="0.25">
      <c r="A4115">
        <v>188</v>
      </c>
      <c r="B4115" t="s">
        <v>321</v>
      </c>
      <c r="C4115">
        <v>16</v>
      </c>
      <c r="D4115">
        <v>0</v>
      </c>
      <c r="E4115">
        <v>0</v>
      </c>
      <c r="F4115">
        <v>25.08</v>
      </c>
      <c r="G4115">
        <v>7553.84</v>
      </c>
      <c r="H4115" s="14">
        <v>43768.833333333336</v>
      </c>
    </row>
    <row r="4116" spans="1:8" x14ac:dyDescent="0.25">
      <c r="A4116">
        <v>188</v>
      </c>
      <c r="B4116" t="s">
        <v>321</v>
      </c>
      <c r="C4116">
        <v>17</v>
      </c>
      <c r="D4116">
        <v>0</v>
      </c>
      <c r="E4116">
        <v>0</v>
      </c>
      <c r="F4116">
        <v>24.87</v>
      </c>
      <c r="G4116">
        <v>7524.57</v>
      </c>
      <c r="H4116" s="14">
        <v>43768.833333333336</v>
      </c>
    </row>
    <row r="4117" spans="1:8" x14ac:dyDescent="0.25">
      <c r="A4117">
        <v>188</v>
      </c>
      <c r="B4117" t="s">
        <v>321</v>
      </c>
      <c r="C4117">
        <v>18</v>
      </c>
      <c r="D4117">
        <v>0</v>
      </c>
      <c r="E4117">
        <v>0</v>
      </c>
      <c r="F4117">
        <v>23.84</v>
      </c>
      <c r="G4117">
        <v>7030.72</v>
      </c>
      <c r="H4117" s="14">
        <v>43768.833333333336</v>
      </c>
    </row>
    <row r="4118" spans="1:8" x14ac:dyDescent="0.25">
      <c r="A4118">
        <v>189</v>
      </c>
      <c r="B4118" t="s">
        <v>322</v>
      </c>
      <c r="C4118">
        <v>1</v>
      </c>
      <c r="D4118">
        <v>0</v>
      </c>
      <c r="E4118">
        <v>0</v>
      </c>
      <c r="F4118">
        <v>129.96</v>
      </c>
      <c r="G4118">
        <v>33016.54</v>
      </c>
      <c r="H4118" s="14">
        <v>43768.833333333336</v>
      </c>
    </row>
    <row r="4119" spans="1:8" x14ac:dyDescent="0.25">
      <c r="A4119">
        <v>189</v>
      </c>
      <c r="B4119" t="s">
        <v>322</v>
      </c>
      <c r="C4119">
        <v>2</v>
      </c>
      <c r="D4119">
        <v>0</v>
      </c>
      <c r="E4119">
        <v>0</v>
      </c>
      <c r="F4119">
        <v>126.97</v>
      </c>
      <c r="G4119">
        <v>32747.15</v>
      </c>
      <c r="H4119" s="14">
        <v>43768.833333333336</v>
      </c>
    </row>
    <row r="4120" spans="1:8" x14ac:dyDescent="0.25">
      <c r="A4120">
        <v>189</v>
      </c>
      <c r="B4120" t="s">
        <v>322</v>
      </c>
      <c r="C4120">
        <v>3</v>
      </c>
      <c r="D4120">
        <v>0</v>
      </c>
      <c r="E4120">
        <v>0</v>
      </c>
      <c r="F4120">
        <v>71.55</v>
      </c>
      <c r="G4120">
        <v>16559.87</v>
      </c>
      <c r="H4120" s="14">
        <v>43768.833333333336</v>
      </c>
    </row>
    <row r="4121" spans="1:8" x14ac:dyDescent="0.25">
      <c r="A4121">
        <v>189</v>
      </c>
      <c r="B4121" t="s">
        <v>322</v>
      </c>
      <c r="C4121">
        <v>4</v>
      </c>
      <c r="D4121">
        <v>0</v>
      </c>
      <c r="E4121">
        <v>0</v>
      </c>
      <c r="F4121">
        <v>30.36</v>
      </c>
      <c r="G4121">
        <v>8820.2199999999993</v>
      </c>
      <c r="H4121" s="14">
        <v>43768.833333333336</v>
      </c>
    </row>
    <row r="4122" spans="1:8" x14ac:dyDescent="0.25">
      <c r="A4122">
        <v>190</v>
      </c>
      <c r="B4122" t="s">
        <v>323</v>
      </c>
      <c r="C4122">
        <v>1</v>
      </c>
      <c r="D4122">
        <v>0</v>
      </c>
      <c r="E4122">
        <v>0</v>
      </c>
      <c r="F4122">
        <v>127.13</v>
      </c>
      <c r="G4122">
        <v>42809.09</v>
      </c>
      <c r="H4122" s="14">
        <v>43768.833333333336</v>
      </c>
    </row>
    <row r="4123" spans="1:8" x14ac:dyDescent="0.25">
      <c r="A4123">
        <v>190</v>
      </c>
      <c r="B4123" t="s">
        <v>323</v>
      </c>
      <c r="C4123">
        <v>2</v>
      </c>
      <c r="D4123">
        <v>0</v>
      </c>
      <c r="E4123">
        <v>0</v>
      </c>
      <c r="F4123">
        <v>128.66999999999999</v>
      </c>
      <c r="G4123">
        <v>43028.95</v>
      </c>
      <c r="H4123" s="14">
        <v>43768.833333333336</v>
      </c>
    </row>
    <row r="4124" spans="1:8" x14ac:dyDescent="0.25">
      <c r="A4124">
        <v>190</v>
      </c>
      <c r="B4124" t="s">
        <v>323</v>
      </c>
      <c r="C4124">
        <v>3</v>
      </c>
      <c r="D4124">
        <v>0</v>
      </c>
      <c r="E4124">
        <v>0</v>
      </c>
      <c r="F4124">
        <v>60.42</v>
      </c>
      <c r="G4124">
        <v>25683.51</v>
      </c>
      <c r="H4124" s="14">
        <v>43768.833333333336</v>
      </c>
    </row>
    <row r="4125" spans="1:8" x14ac:dyDescent="0.25">
      <c r="A4125">
        <v>191</v>
      </c>
      <c r="B4125" t="s">
        <v>324</v>
      </c>
      <c r="C4125">
        <v>1</v>
      </c>
      <c r="D4125">
        <v>0</v>
      </c>
      <c r="E4125">
        <v>0</v>
      </c>
      <c r="F4125">
        <v>124.38</v>
      </c>
      <c r="G4125">
        <v>40731.5</v>
      </c>
      <c r="H4125" s="14">
        <v>43768.833333333336</v>
      </c>
    </row>
    <row r="4126" spans="1:8" x14ac:dyDescent="0.25">
      <c r="A4126">
        <v>191</v>
      </c>
      <c r="B4126" t="s">
        <v>324</v>
      </c>
      <c r="C4126">
        <v>2</v>
      </c>
      <c r="D4126">
        <v>0</v>
      </c>
      <c r="E4126">
        <v>0</v>
      </c>
      <c r="F4126">
        <v>123.94</v>
      </c>
      <c r="G4126">
        <v>40768.19</v>
      </c>
      <c r="H4126" s="14">
        <v>43768.833333333336</v>
      </c>
    </row>
    <row r="4127" spans="1:8" x14ac:dyDescent="0.25">
      <c r="A4127">
        <v>191</v>
      </c>
      <c r="B4127" t="s">
        <v>324</v>
      </c>
      <c r="C4127">
        <v>3</v>
      </c>
      <c r="D4127">
        <v>0</v>
      </c>
      <c r="E4127">
        <v>0</v>
      </c>
      <c r="F4127">
        <v>122.6</v>
      </c>
      <c r="G4127">
        <v>40849.949999999997</v>
      </c>
      <c r="H4127" s="14">
        <v>43768.833333333336</v>
      </c>
    </row>
    <row r="4128" spans="1:8" x14ac:dyDescent="0.25">
      <c r="A4128">
        <v>191</v>
      </c>
      <c r="B4128" t="s">
        <v>324</v>
      </c>
      <c r="C4128">
        <v>4</v>
      </c>
      <c r="D4128">
        <v>0</v>
      </c>
      <c r="E4128">
        <v>0</v>
      </c>
      <c r="F4128">
        <v>124.75</v>
      </c>
      <c r="G4128">
        <v>40815.99</v>
      </c>
      <c r="H4128" s="14">
        <v>43768.833333333336</v>
      </c>
    </row>
    <row r="4129" spans="1:8" x14ac:dyDescent="0.25">
      <c r="A4129">
        <v>191</v>
      </c>
      <c r="B4129" t="s">
        <v>324</v>
      </c>
      <c r="C4129">
        <v>5</v>
      </c>
      <c r="D4129">
        <v>0</v>
      </c>
      <c r="E4129">
        <v>0</v>
      </c>
      <c r="F4129">
        <v>125.01</v>
      </c>
      <c r="G4129">
        <v>41103.96</v>
      </c>
      <c r="H4129" s="14">
        <v>43768.833333333336</v>
      </c>
    </row>
    <row r="4130" spans="1:8" x14ac:dyDescent="0.25">
      <c r="A4130">
        <v>191</v>
      </c>
      <c r="B4130" t="s">
        <v>324</v>
      </c>
      <c r="C4130">
        <v>6</v>
      </c>
      <c r="D4130">
        <v>0</v>
      </c>
      <c r="E4130">
        <v>0</v>
      </c>
      <c r="F4130">
        <v>82.78</v>
      </c>
      <c r="G4130">
        <v>27134.5</v>
      </c>
      <c r="H4130" s="14">
        <v>43768.833333333336</v>
      </c>
    </row>
    <row r="4131" spans="1:8" x14ac:dyDescent="0.25">
      <c r="A4131">
        <v>191</v>
      </c>
      <c r="B4131" t="s">
        <v>324</v>
      </c>
      <c r="C4131">
        <v>7</v>
      </c>
      <c r="D4131">
        <v>0</v>
      </c>
      <c r="E4131">
        <v>0</v>
      </c>
      <c r="F4131">
        <v>140.15</v>
      </c>
      <c r="G4131">
        <v>46148.09</v>
      </c>
      <c r="H4131" s="14">
        <v>43768.833333333336</v>
      </c>
    </row>
    <row r="4132" spans="1:8" x14ac:dyDescent="0.25">
      <c r="A4132">
        <v>192</v>
      </c>
      <c r="B4132" t="s">
        <v>325</v>
      </c>
      <c r="C4132">
        <v>1</v>
      </c>
      <c r="D4132">
        <v>0</v>
      </c>
      <c r="E4132">
        <v>0</v>
      </c>
      <c r="F4132">
        <v>126.66</v>
      </c>
      <c r="G4132">
        <v>45062.720000000001</v>
      </c>
      <c r="H4132" s="14">
        <v>43768.833333333336</v>
      </c>
    </row>
    <row r="4133" spans="1:8" x14ac:dyDescent="0.25">
      <c r="A4133">
        <v>192</v>
      </c>
      <c r="B4133" t="s">
        <v>325</v>
      </c>
      <c r="C4133">
        <v>2</v>
      </c>
      <c r="D4133">
        <v>0</v>
      </c>
      <c r="E4133">
        <v>0</v>
      </c>
      <c r="F4133">
        <v>133.78</v>
      </c>
      <c r="G4133">
        <v>1310.85</v>
      </c>
      <c r="H4133" s="14">
        <v>43768.833333333336</v>
      </c>
    </row>
    <row r="4134" spans="1:8" x14ac:dyDescent="0.25">
      <c r="A4134">
        <v>192</v>
      </c>
      <c r="B4134" t="s">
        <v>325</v>
      </c>
      <c r="C4134">
        <v>3</v>
      </c>
      <c r="D4134">
        <v>0</v>
      </c>
      <c r="E4134">
        <v>0</v>
      </c>
      <c r="F4134">
        <v>94.41</v>
      </c>
      <c r="G4134">
        <v>31515.83</v>
      </c>
      <c r="H4134" s="14">
        <v>43768.833333333336</v>
      </c>
    </row>
    <row r="4135" spans="1:8" x14ac:dyDescent="0.25">
      <c r="A4135">
        <v>193</v>
      </c>
      <c r="B4135" t="s">
        <v>326</v>
      </c>
      <c r="C4135">
        <v>1</v>
      </c>
      <c r="D4135">
        <v>0</v>
      </c>
      <c r="E4135">
        <v>0</v>
      </c>
      <c r="F4135">
        <v>104.23</v>
      </c>
      <c r="G4135">
        <v>40604.879999999997</v>
      </c>
      <c r="H4135" s="14">
        <v>43768.833333333336</v>
      </c>
    </row>
    <row r="4136" spans="1:8" x14ac:dyDescent="0.25">
      <c r="A4136">
        <v>193</v>
      </c>
      <c r="B4136" t="s">
        <v>326</v>
      </c>
      <c r="C4136">
        <v>2</v>
      </c>
      <c r="D4136">
        <v>0</v>
      </c>
      <c r="E4136">
        <v>0</v>
      </c>
      <c r="F4136">
        <v>112.29</v>
      </c>
      <c r="G4136">
        <v>41523.18</v>
      </c>
      <c r="H4136" s="14">
        <v>43768.833333333336</v>
      </c>
    </row>
    <row r="4137" spans="1:8" x14ac:dyDescent="0.25">
      <c r="A4137">
        <v>193</v>
      </c>
      <c r="B4137" t="s">
        <v>326</v>
      </c>
      <c r="C4137">
        <v>3</v>
      </c>
      <c r="D4137">
        <v>0</v>
      </c>
      <c r="E4137">
        <v>0</v>
      </c>
      <c r="F4137">
        <v>49.96</v>
      </c>
      <c r="G4137">
        <v>18796.78</v>
      </c>
      <c r="H4137" s="14">
        <v>43768.833333333336</v>
      </c>
    </row>
    <row r="4138" spans="1:8" x14ac:dyDescent="0.25">
      <c r="A4138">
        <v>194</v>
      </c>
      <c r="B4138" t="s">
        <v>327</v>
      </c>
      <c r="C4138">
        <v>1</v>
      </c>
      <c r="D4138">
        <v>0</v>
      </c>
      <c r="E4138">
        <v>0</v>
      </c>
      <c r="F4138">
        <v>121.23</v>
      </c>
      <c r="G4138">
        <v>33823.550000000003</v>
      </c>
      <c r="H4138" s="14">
        <v>43768.833333333336</v>
      </c>
    </row>
    <row r="4139" spans="1:8" x14ac:dyDescent="0.25">
      <c r="A4139">
        <v>194</v>
      </c>
      <c r="B4139" t="s">
        <v>327</v>
      </c>
      <c r="C4139">
        <v>2</v>
      </c>
      <c r="D4139">
        <v>0</v>
      </c>
      <c r="E4139">
        <v>0</v>
      </c>
      <c r="F4139">
        <v>134.80000000000001</v>
      </c>
      <c r="G4139">
        <v>5249.42</v>
      </c>
      <c r="H4139" s="14">
        <v>43768.833333333336</v>
      </c>
    </row>
    <row r="4140" spans="1:8" x14ac:dyDescent="0.25">
      <c r="A4140">
        <v>194</v>
      </c>
      <c r="B4140" t="s">
        <v>327</v>
      </c>
      <c r="C4140">
        <v>3</v>
      </c>
      <c r="D4140">
        <v>0</v>
      </c>
      <c r="E4140">
        <v>0</v>
      </c>
      <c r="F4140">
        <v>133.78</v>
      </c>
      <c r="G4140">
        <v>37088.14</v>
      </c>
      <c r="H4140" s="14">
        <v>43768.833333333336</v>
      </c>
    </row>
    <row r="4141" spans="1:8" x14ac:dyDescent="0.25">
      <c r="A4141">
        <v>194</v>
      </c>
      <c r="B4141" t="s">
        <v>327</v>
      </c>
      <c r="C4141">
        <v>4</v>
      </c>
      <c r="D4141">
        <v>0</v>
      </c>
      <c r="E4141">
        <v>0</v>
      </c>
      <c r="F4141">
        <v>129.03</v>
      </c>
      <c r="G4141">
        <v>36035.21</v>
      </c>
      <c r="H4141" s="14">
        <v>43768.833333333336</v>
      </c>
    </row>
    <row r="4142" spans="1:8" x14ac:dyDescent="0.25">
      <c r="A4142">
        <v>194</v>
      </c>
      <c r="B4142" t="s">
        <v>327</v>
      </c>
      <c r="C4142">
        <v>5</v>
      </c>
      <c r="D4142">
        <v>0</v>
      </c>
      <c r="E4142">
        <v>0</v>
      </c>
      <c r="F4142">
        <v>133.38999999999999</v>
      </c>
      <c r="G4142">
        <v>36723.61</v>
      </c>
      <c r="H4142" s="14">
        <v>43768.833333333336</v>
      </c>
    </row>
    <row r="4143" spans="1:8" x14ac:dyDescent="0.25">
      <c r="A4143">
        <v>194</v>
      </c>
      <c r="B4143" t="s">
        <v>327</v>
      </c>
      <c r="C4143">
        <v>6</v>
      </c>
      <c r="D4143">
        <v>0</v>
      </c>
      <c r="E4143">
        <v>0</v>
      </c>
      <c r="F4143">
        <v>129.65</v>
      </c>
      <c r="G4143">
        <v>35764.449999999997</v>
      </c>
      <c r="H4143" s="14">
        <v>43768.833333333336</v>
      </c>
    </row>
    <row r="4144" spans="1:8" x14ac:dyDescent="0.25">
      <c r="A4144">
        <v>194</v>
      </c>
      <c r="B4144" t="s">
        <v>327</v>
      </c>
      <c r="C4144">
        <v>7</v>
      </c>
      <c r="D4144">
        <v>0</v>
      </c>
      <c r="E4144">
        <v>0</v>
      </c>
      <c r="F4144">
        <v>74.150000000000006</v>
      </c>
      <c r="G4144">
        <v>20945.05</v>
      </c>
      <c r="H4144" s="14">
        <v>43768.833333333336</v>
      </c>
    </row>
    <row r="4145" spans="1:8" x14ac:dyDescent="0.25">
      <c r="A4145">
        <v>195</v>
      </c>
      <c r="B4145" t="s">
        <v>328</v>
      </c>
      <c r="C4145">
        <v>1</v>
      </c>
      <c r="D4145">
        <v>0</v>
      </c>
      <c r="E4145">
        <v>0</v>
      </c>
      <c r="F4145">
        <v>135.09</v>
      </c>
      <c r="G4145">
        <v>36320.559999999998</v>
      </c>
      <c r="H4145" s="14">
        <v>43768.833333333336</v>
      </c>
    </row>
    <row r="4146" spans="1:8" x14ac:dyDescent="0.25">
      <c r="A4146">
        <v>195</v>
      </c>
      <c r="B4146" t="s">
        <v>328</v>
      </c>
      <c r="C4146">
        <v>2</v>
      </c>
      <c r="D4146">
        <v>0</v>
      </c>
      <c r="E4146">
        <v>0</v>
      </c>
      <c r="F4146">
        <v>134.29</v>
      </c>
      <c r="G4146">
        <v>37268.1</v>
      </c>
      <c r="H4146" s="14">
        <v>43768.833333333336</v>
      </c>
    </row>
    <row r="4147" spans="1:8" x14ac:dyDescent="0.25">
      <c r="A4147">
        <v>195</v>
      </c>
      <c r="B4147" t="s">
        <v>328</v>
      </c>
      <c r="C4147">
        <v>3</v>
      </c>
      <c r="D4147">
        <v>0</v>
      </c>
      <c r="E4147">
        <v>0</v>
      </c>
      <c r="F4147">
        <v>134.79</v>
      </c>
      <c r="G4147">
        <v>37361.440000000002</v>
      </c>
      <c r="H4147" s="14">
        <v>43768.833333333336</v>
      </c>
    </row>
    <row r="4148" spans="1:8" x14ac:dyDescent="0.25">
      <c r="A4148">
        <v>195</v>
      </c>
      <c r="B4148" t="s">
        <v>328</v>
      </c>
      <c r="C4148">
        <v>4</v>
      </c>
      <c r="D4148">
        <v>0</v>
      </c>
      <c r="E4148">
        <v>0</v>
      </c>
      <c r="F4148">
        <v>135.03</v>
      </c>
      <c r="G4148">
        <v>37483.550000000003</v>
      </c>
      <c r="H4148" s="14">
        <v>43768.833333333336</v>
      </c>
    </row>
    <row r="4149" spans="1:8" x14ac:dyDescent="0.25">
      <c r="A4149">
        <v>195</v>
      </c>
      <c r="B4149" t="s">
        <v>328</v>
      </c>
      <c r="C4149">
        <v>5</v>
      </c>
      <c r="D4149">
        <v>0</v>
      </c>
      <c r="E4149">
        <v>0</v>
      </c>
      <c r="F4149">
        <v>66.09</v>
      </c>
      <c r="G4149">
        <v>18237.34</v>
      </c>
      <c r="H4149" s="14">
        <v>43768.833333333336</v>
      </c>
    </row>
    <row r="4150" spans="1:8" x14ac:dyDescent="0.25">
      <c r="A4150">
        <v>196</v>
      </c>
      <c r="B4150" t="s">
        <v>329</v>
      </c>
      <c r="C4150">
        <v>1</v>
      </c>
      <c r="D4150">
        <v>0</v>
      </c>
      <c r="E4150">
        <v>0</v>
      </c>
      <c r="F4150">
        <v>117.55</v>
      </c>
      <c r="G4150">
        <v>40428.68</v>
      </c>
      <c r="H4150" s="14">
        <v>43768.833333333336</v>
      </c>
    </row>
    <row r="4151" spans="1:8" x14ac:dyDescent="0.25">
      <c r="A4151">
        <v>196</v>
      </c>
      <c r="B4151" t="s">
        <v>329</v>
      </c>
      <c r="C4151">
        <v>2</v>
      </c>
      <c r="D4151">
        <v>0</v>
      </c>
      <c r="E4151">
        <v>0</v>
      </c>
      <c r="F4151">
        <v>117.46</v>
      </c>
      <c r="G4151">
        <v>40179.26</v>
      </c>
      <c r="H4151" s="14">
        <v>43768.833333333336</v>
      </c>
    </row>
    <row r="4152" spans="1:8" x14ac:dyDescent="0.25">
      <c r="A4152">
        <v>196</v>
      </c>
      <c r="B4152" t="s">
        <v>329</v>
      </c>
      <c r="C4152">
        <v>3</v>
      </c>
      <c r="D4152">
        <v>0</v>
      </c>
      <c r="E4152">
        <v>0</v>
      </c>
      <c r="F4152">
        <v>118.2</v>
      </c>
      <c r="G4152">
        <v>40556.79</v>
      </c>
      <c r="H4152" s="14">
        <v>43768.833333333336</v>
      </c>
    </row>
    <row r="4153" spans="1:8" x14ac:dyDescent="0.25">
      <c r="A4153">
        <v>196</v>
      </c>
      <c r="B4153" t="s">
        <v>329</v>
      </c>
      <c r="C4153">
        <v>4</v>
      </c>
      <c r="D4153">
        <v>0</v>
      </c>
      <c r="E4153">
        <v>0</v>
      </c>
      <c r="F4153">
        <v>118.16</v>
      </c>
      <c r="G4153">
        <v>40917.49</v>
      </c>
      <c r="H4153" s="14">
        <v>43768.833333333336</v>
      </c>
    </row>
    <row r="4154" spans="1:8" x14ac:dyDescent="0.25">
      <c r="A4154">
        <v>196</v>
      </c>
      <c r="B4154" t="s">
        <v>329</v>
      </c>
      <c r="C4154">
        <v>5</v>
      </c>
      <c r="D4154">
        <v>0</v>
      </c>
      <c r="E4154">
        <v>0</v>
      </c>
      <c r="F4154">
        <v>120.72</v>
      </c>
      <c r="G4154">
        <v>41646.97</v>
      </c>
      <c r="H4154" s="14">
        <v>43768.833333333336</v>
      </c>
    </row>
    <row r="4155" spans="1:8" x14ac:dyDescent="0.25">
      <c r="A4155">
        <v>196</v>
      </c>
      <c r="B4155" t="s">
        <v>329</v>
      </c>
      <c r="C4155">
        <v>6</v>
      </c>
      <c r="D4155">
        <v>0</v>
      </c>
      <c r="E4155">
        <v>0</v>
      </c>
      <c r="F4155">
        <v>114.8</v>
      </c>
      <c r="G4155">
        <v>41043.620000000003</v>
      </c>
      <c r="H4155" s="14">
        <v>43768.833333333336</v>
      </c>
    </row>
    <row r="4156" spans="1:8" x14ac:dyDescent="0.25">
      <c r="A4156">
        <v>196</v>
      </c>
      <c r="B4156" t="s">
        <v>329</v>
      </c>
      <c r="C4156">
        <v>7</v>
      </c>
      <c r="D4156">
        <v>0</v>
      </c>
      <c r="E4156">
        <v>0</v>
      </c>
      <c r="F4156">
        <v>82.19</v>
      </c>
      <c r="G4156">
        <v>29358.880000000001</v>
      </c>
      <c r="H4156" s="14">
        <v>43768.833333333336</v>
      </c>
    </row>
    <row r="4157" spans="1:8" x14ac:dyDescent="0.25">
      <c r="A4157">
        <v>197</v>
      </c>
      <c r="B4157" t="s">
        <v>330</v>
      </c>
      <c r="C4157">
        <v>1</v>
      </c>
      <c r="D4157">
        <v>0</v>
      </c>
      <c r="E4157">
        <v>0</v>
      </c>
      <c r="F4157">
        <v>117.65</v>
      </c>
      <c r="G4157">
        <v>40469.33</v>
      </c>
      <c r="H4157" s="14">
        <v>43768.833333333336</v>
      </c>
    </row>
    <row r="4158" spans="1:8" x14ac:dyDescent="0.25">
      <c r="A4158">
        <v>197</v>
      </c>
      <c r="B4158" t="s">
        <v>330</v>
      </c>
      <c r="C4158">
        <v>2</v>
      </c>
      <c r="D4158">
        <v>0</v>
      </c>
      <c r="E4158">
        <v>0</v>
      </c>
      <c r="F4158">
        <v>118.8</v>
      </c>
      <c r="G4158">
        <v>41461.379999999997</v>
      </c>
      <c r="H4158" s="14">
        <v>43768.833333333336</v>
      </c>
    </row>
    <row r="4159" spans="1:8" x14ac:dyDescent="0.25">
      <c r="A4159">
        <v>197</v>
      </c>
      <c r="B4159" t="s">
        <v>330</v>
      </c>
      <c r="C4159">
        <v>3</v>
      </c>
      <c r="D4159">
        <v>0</v>
      </c>
      <c r="E4159">
        <v>0</v>
      </c>
      <c r="F4159">
        <v>119.66</v>
      </c>
      <c r="G4159">
        <v>41568.199999999997</v>
      </c>
      <c r="H4159" s="14">
        <v>43768.833333333336</v>
      </c>
    </row>
    <row r="4160" spans="1:8" x14ac:dyDescent="0.25">
      <c r="A4160">
        <v>197</v>
      </c>
      <c r="B4160" t="s">
        <v>330</v>
      </c>
      <c r="C4160">
        <v>4</v>
      </c>
      <c r="D4160">
        <v>0</v>
      </c>
      <c r="E4160">
        <v>0</v>
      </c>
      <c r="F4160">
        <v>119.82</v>
      </c>
      <c r="G4160">
        <v>41533.67</v>
      </c>
      <c r="H4160" s="14">
        <v>43768.833333333336</v>
      </c>
    </row>
    <row r="4161" spans="1:8" x14ac:dyDescent="0.25">
      <c r="A4161">
        <v>197</v>
      </c>
      <c r="B4161" t="s">
        <v>330</v>
      </c>
      <c r="C4161">
        <v>5</v>
      </c>
      <c r="D4161">
        <v>0</v>
      </c>
      <c r="E4161">
        <v>0</v>
      </c>
      <c r="F4161">
        <v>117.16</v>
      </c>
      <c r="G4161">
        <v>41034.92</v>
      </c>
      <c r="H4161" s="14">
        <v>43768.833333333336</v>
      </c>
    </row>
    <row r="4162" spans="1:8" x14ac:dyDescent="0.25">
      <c r="A4162">
        <v>197</v>
      </c>
      <c r="B4162" t="s">
        <v>330</v>
      </c>
      <c r="C4162">
        <v>6</v>
      </c>
      <c r="D4162">
        <v>0</v>
      </c>
      <c r="E4162">
        <v>0</v>
      </c>
      <c r="F4162">
        <v>119.05</v>
      </c>
      <c r="G4162">
        <v>39933.519999999997</v>
      </c>
      <c r="H4162" s="14">
        <v>43768.833333333336</v>
      </c>
    </row>
    <row r="4163" spans="1:8" x14ac:dyDescent="0.25">
      <c r="A4163">
        <v>197</v>
      </c>
      <c r="B4163" t="s">
        <v>330</v>
      </c>
      <c r="C4163">
        <v>7</v>
      </c>
      <c r="D4163">
        <v>0</v>
      </c>
      <c r="E4163">
        <v>0</v>
      </c>
      <c r="F4163">
        <v>118.42</v>
      </c>
      <c r="G4163">
        <v>40749.89</v>
      </c>
      <c r="H4163" s="14">
        <v>43768.833333333336</v>
      </c>
    </row>
    <row r="4164" spans="1:8" x14ac:dyDescent="0.25">
      <c r="A4164">
        <v>197</v>
      </c>
      <c r="B4164" t="s">
        <v>330</v>
      </c>
      <c r="C4164">
        <v>8</v>
      </c>
      <c r="D4164">
        <v>0</v>
      </c>
      <c r="E4164">
        <v>0</v>
      </c>
      <c r="F4164">
        <v>59.2</v>
      </c>
      <c r="G4164">
        <v>22022.36</v>
      </c>
      <c r="H4164" s="14">
        <v>43768.833333333336</v>
      </c>
    </row>
    <row r="4165" spans="1:8" x14ac:dyDescent="0.25">
      <c r="A4165">
        <v>198</v>
      </c>
      <c r="B4165" t="s">
        <v>331</v>
      </c>
      <c r="C4165">
        <v>1</v>
      </c>
      <c r="D4165">
        <v>0</v>
      </c>
      <c r="E4165">
        <v>0</v>
      </c>
      <c r="F4165">
        <v>138.58000000000001</v>
      </c>
      <c r="G4165">
        <v>50375.08</v>
      </c>
      <c r="H4165" s="14">
        <v>43768.833333333336</v>
      </c>
    </row>
    <row r="4166" spans="1:8" x14ac:dyDescent="0.25">
      <c r="A4166">
        <v>198</v>
      </c>
      <c r="B4166" t="s">
        <v>331</v>
      </c>
      <c r="C4166">
        <v>2</v>
      </c>
      <c r="D4166">
        <v>0</v>
      </c>
      <c r="E4166">
        <v>0</v>
      </c>
      <c r="F4166">
        <v>139.61000000000001</v>
      </c>
      <c r="G4166">
        <v>50654.75</v>
      </c>
      <c r="H4166" s="14">
        <v>43768.833333333336</v>
      </c>
    </row>
    <row r="4167" spans="1:8" x14ac:dyDescent="0.25">
      <c r="A4167">
        <v>198</v>
      </c>
      <c r="B4167" t="s">
        <v>331</v>
      </c>
      <c r="C4167">
        <v>3</v>
      </c>
      <c r="D4167">
        <v>0</v>
      </c>
      <c r="E4167">
        <v>0</v>
      </c>
      <c r="F4167">
        <v>123.8</v>
      </c>
      <c r="G4167">
        <v>45168.87</v>
      </c>
      <c r="H4167" s="14">
        <v>43768.833333333336</v>
      </c>
    </row>
    <row r="4168" spans="1:8" x14ac:dyDescent="0.25">
      <c r="A4168">
        <v>198</v>
      </c>
      <c r="B4168" t="s">
        <v>331</v>
      </c>
      <c r="C4168">
        <v>4</v>
      </c>
      <c r="D4168">
        <v>0</v>
      </c>
      <c r="E4168">
        <v>0</v>
      </c>
      <c r="F4168">
        <v>139.63</v>
      </c>
      <c r="G4168">
        <v>50648.19</v>
      </c>
      <c r="H4168" s="14">
        <v>43768.833333333336</v>
      </c>
    </row>
    <row r="4169" spans="1:8" x14ac:dyDescent="0.25">
      <c r="A4169">
        <v>198</v>
      </c>
      <c r="B4169" t="s">
        <v>331</v>
      </c>
      <c r="C4169">
        <v>5</v>
      </c>
      <c r="D4169">
        <v>0</v>
      </c>
      <c r="E4169">
        <v>0</v>
      </c>
      <c r="F4169">
        <v>139.52000000000001</v>
      </c>
      <c r="G4169">
        <v>50586.34</v>
      </c>
      <c r="H4169" s="14">
        <v>43768.833333333336</v>
      </c>
    </row>
    <row r="4170" spans="1:8" x14ac:dyDescent="0.25">
      <c r="A4170">
        <v>198</v>
      </c>
      <c r="B4170" t="s">
        <v>331</v>
      </c>
      <c r="C4170">
        <v>6</v>
      </c>
      <c r="D4170">
        <v>0</v>
      </c>
      <c r="E4170">
        <v>0</v>
      </c>
      <c r="F4170">
        <v>125.51</v>
      </c>
      <c r="G4170">
        <v>45472.67</v>
      </c>
      <c r="H4170" s="14">
        <v>43768.833333333336</v>
      </c>
    </row>
    <row r="4171" spans="1:8" x14ac:dyDescent="0.25">
      <c r="A4171">
        <v>198</v>
      </c>
      <c r="B4171" t="s">
        <v>331</v>
      </c>
      <c r="C4171">
        <v>7</v>
      </c>
      <c r="D4171">
        <v>0</v>
      </c>
      <c r="E4171">
        <v>0</v>
      </c>
      <c r="F4171">
        <v>82.35</v>
      </c>
      <c r="G4171">
        <v>29770.92</v>
      </c>
      <c r="H4171" s="14">
        <v>43768.833333333336</v>
      </c>
    </row>
    <row r="4172" spans="1:8" x14ac:dyDescent="0.25">
      <c r="A4172">
        <v>198</v>
      </c>
      <c r="B4172" t="s">
        <v>331</v>
      </c>
      <c r="C4172">
        <v>8</v>
      </c>
      <c r="D4172">
        <v>0</v>
      </c>
      <c r="E4172">
        <v>0</v>
      </c>
      <c r="F4172">
        <v>43.52</v>
      </c>
      <c r="G4172">
        <v>16180.55</v>
      </c>
      <c r="H4172" s="14">
        <v>43768.833333333336</v>
      </c>
    </row>
    <row r="4173" spans="1:8" x14ac:dyDescent="0.25">
      <c r="A4173">
        <v>199</v>
      </c>
      <c r="B4173" t="s">
        <v>332</v>
      </c>
      <c r="C4173">
        <v>1</v>
      </c>
      <c r="D4173">
        <v>0</v>
      </c>
      <c r="E4173">
        <v>0</v>
      </c>
      <c r="F4173">
        <v>145.71</v>
      </c>
      <c r="G4173">
        <v>52838.42</v>
      </c>
      <c r="H4173" s="14">
        <v>43768.833333333336</v>
      </c>
    </row>
    <row r="4174" spans="1:8" x14ac:dyDescent="0.25">
      <c r="A4174">
        <v>199</v>
      </c>
      <c r="B4174" t="s">
        <v>332</v>
      </c>
      <c r="C4174">
        <v>2</v>
      </c>
      <c r="D4174">
        <v>0</v>
      </c>
      <c r="E4174">
        <v>0</v>
      </c>
      <c r="F4174">
        <v>147.35</v>
      </c>
      <c r="G4174">
        <v>17567.23</v>
      </c>
      <c r="H4174" s="14">
        <v>43768.833333333336</v>
      </c>
    </row>
    <row r="4175" spans="1:8" x14ac:dyDescent="0.25">
      <c r="A4175">
        <v>199</v>
      </c>
      <c r="B4175" t="s">
        <v>332</v>
      </c>
      <c r="C4175">
        <v>3</v>
      </c>
      <c r="D4175">
        <v>0</v>
      </c>
      <c r="E4175">
        <v>0</v>
      </c>
      <c r="F4175">
        <v>96.03</v>
      </c>
      <c r="G4175">
        <v>34766.449999999997</v>
      </c>
      <c r="H4175" s="14">
        <v>43768.833333333336</v>
      </c>
    </row>
    <row r="4176" spans="1:8" x14ac:dyDescent="0.25">
      <c r="A4176">
        <v>199</v>
      </c>
      <c r="B4176" t="s">
        <v>332</v>
      </c>
      <c r="C4176">
        <v>4</v>
      </c>
      <c r="D4176">
        <v>0</v>
      </c>
      <c r="E4176">
        <v>0</v>
      </c>
      <c r="F4176">
        <v>90.03</v>
      </c>
      <c r="G4176">
        <v>33540.69</v>
      </c>
      <c r="H4176" s="14">
        <v>43768.833333333336</v>
      </c>
    </row>
    <row r="4177" spans="1:8" x14ac:dyDescent="0.25">
      <c r="A4177">
        <v>200</v>
      </c>
      <c r="B4177" t="s">
        <v>333</v>
      </c>
      <c r="C4177">
        <v>1</v>
      </c>
      <c r="D4177">
        <v>0</v>
      </c>
      <c r="E4177">
        <v>0</v>
      </c>
      <c r="F4177">
        <v>139.54</v>
      </c>
      <c r="G4177">
        <v>50590.33</v>
      </c>
      <c r="H4177" s="14">
        <v>43768.833333333336</v>
      </c>
    </row>
    <row r="4178" spans="1:8" x14ac:dyDescent="0.25">
      <c r="A4178">
        <v>200</v>
      </c>
      <c r="B4178" t="s">
        <v>333</v>
      </c>
      <c r="C4178">
        <v>2</v>
      </c>
      <c r="D4178">
        <v>0</v>
      </c>
      <c r="E4178">
        <v>0</v>
      </c>
      <c r="F4178">
        <v>140.38999999999999</v>
      </c>
      <c r="G4178">
        <v>51056.42</v>
      </c>
      <c r="H4178" s="14">
        <v>43768.833333333336</v>
      </c>
    </row>
    <row r="4179" spans="1:8" x14ac:dyDescent="0.25">
      <c r="A4179">
        <v>200</v>
      </c>
      <c r="B4179" t="s">
        <v>333</v>
      </c>
      <c r="C4179">
        <v>3</v>
      </c>
      <c r="D4179">
        <v>0</v>
      </c>
      <c r="E4179">
        <v>0</v>
      </c>
      <c r="F4179">
        <v>140.9</v>
      </c>
      <c r="G4179">
        <v>51148.51</v>
      </c>
      <c r="H4179" s="14">
        <v>43768.833333333336</v>
      </c>
    </row>
    <row r="4180" spans="1:8" x14ac:dyDescent="0.25">
      <c r="A4180">
        <v>200</v>
      </c>
      <c r="B4180" t="s">
        <v>333</v>
      </c>
      <c r="C4180">
        <v>4</v>
      </c>
      <c r="D4180">
        <v>0</v>
      </c>
      <c r="E4180">
        <v>0</v>
      </c>
      <c r="F4180">
        <v>92.75</v>
      </c>
      <c r="G4180">
        <v>33458.75</v>
      </c>
      <c r="H4180" s="14">
        <v>43768.833333333336</v>
      </c>
    </row>
    <row r="4181" spans="1:8" x14ac:dyDescent="0.25">
      <c r="A4181">
        <v>200</v>
      </c>
      <c r="B4181" t="s">
        <v>333</v>
      </c>
      <c r="C4181">
        <v>5</v>
      </c>
      <c r="D4181">
        <v>0</v>
      </c>
      <c r="E4181">
        <v>0</v>
      </c>
      <c r="F4181">
        <v>84.67</v>
      </c>
      <c r="G4181">
        <v>31764.16</v>
      </c>
      <c r="H4181" s="14">
        <v>43768.833333333336</v>
      </c>
    </row>
    <row r="4182" spans="1:8" x14ac:dyDescent="0.25">
      <c r="A4182">
        <v>201</v>
      </c>
      <c r="C4182">
        <v>1</v>
      </c>
      <c r="D4182">
        <v>0</v>
      </c>
      <c r="E4182">
        <v>0</v>
      </c>
      <c r="F4182">
        <v>135.9</v>
      </c>
      <c r="G4182">
        <v>124074.45</v>
      </c>
      <c r="H4182" s="14">
        <v>43768.833333333336</v>
      </c>
    </row>
    <row r="4183" spans="1:8" x14ac:dyDescent="0.25">
      <c r="A4183">
        <v>201</v>
      </c>
      <c r="C4183">
        <v>2</v>
      </c>
      <c r="D4183">
        <v>0</v>
      </c>
      <c r="E4183">
        <v>0</v>
      </c>
      <c r="F4183">
        <v>131.68</v>
      </c>
      <c r="G4183">
        <v>122140.47</v>
      </c>
      <c r="H4183" s="14">
        <v>43768.833333333336</v>
      </c>
    </row>
    <row r="4184" spans="1:8" x14ac:dyDescent="0.25">
      <c r="A4184">
        <v>201</v>
      </c>
      <c r="C4184">
        <v>3</v>
      </c>
      <c r="D4184">
        <v>0</v>
      </c>
      <c r="E4184">
        <v>0</v>
      </c>
      <c r="F4184">
        <v>128.43</v>
      </c>
      <c r="G4184">
        <v>120341.73</v>
      </c>
      <c r="H4184" s="14">
        <v>43768.833333333336</v>
      </c>
    </row>
    <row r="4185" spans="1:8" x14ac:dyDescent="0.25">
      <c r="A4185">
        <v>201</v>
      </c>
      <c r="C4185">
        <v>4</v>
      </c>
      <c r="D4185">
        <v>0</v>
      </c>
      <c r="E4185">
        <v>0</v>
      </c>
      <c r="F4185">
        <v>131.74</v>
      </c>
      <c r="G4185">
        <v>115209.27</v>
      </c>
      <c r="H4185" s="14">
        <v>43768.833333333336</v>
      </c>
    </row>
    <row r="4186" spans="1:8" x14ac:dyDescent="0.25">
      <c r="A4186">
        <v>201</v>
      </c>
      <c r="C4186">
        <v>5</v>
      </c>
      <c r="D4186">
        <v>0</v>
      </c>
      <c r="E4186">
        <v>0</v>
      </c>
      <c r="F4186">
        <v>132.37</v>
      </c>
      <c r="G4186">
        <v>121237.05</v>
      </c>
      <c r="H4186" s="14">
        <v>43768.833333333336</v>
      </c>
    </row>
    <row r="4187" spans="1:8" x14ac:dyDescent="0.25">
      <c r="A4187">
        <v>201</v>
      </c>
      <c r="C4187">
        <v>6</v>
      </c>
      <c r="D4187">
        <v>0</v>
      </c>
      <c r="E4187">
        <v>0</v>
      </c>
      <c r="F4187">
        <v>131.88999999999999</v>
      </c>
      <c r="G4187">
        <v>121940.08</v>
      </c>
      <c r="H4187" s="14">
        <v>43768.833333333336</v>
      </c>
    </row>
    <row r="4188" spans="1:8" x14ac:dyDescent="0.25">
      <c r="A4188">
        <v>201</v>
      </c>
      <c r="C4188">
        <v>7</v>
      </c>
      <c r="D4188">
        <v>0</v>
      </c>
      <c r="E4188">
        <v>0</v>
      </c>
      <c r="F4188">
        <v>132.12</v>
      </c>
      <c r="G4188">
        <v>19118.47</v>
      </c>
      <c r="H4188" s="14">
        <v>43768.833333333336</v>
      </c>
    </row>
    <row r="4189" spans="1:8" x14ac:dyDescent="0.25">
      <c r="A4189">
        <v>201</v>
      </c>
      <c r="C4189">
        <v>8</v>
      </c>
      <c r="D4189">
        <v>0</v>
      </c>
      <c r="E4189">
        <v>0</v>
      </c>
      <c r="F4189">
        <v>132.41</v>
      </c>
      <c r="G4189">
        <v>112282.8</v>
      </c>
      <c r="H4189" s="14">
        <v>43768.833333333336</v>
      </c>
    </row>
    <row r="4190" spans="1:8" x14ac:dyDescent="0.25">
      <c r="A4190">
        <v>201</v>
      </c>
      <c r="C4190">
        <v>9</v>
      </c>
      <c r="D4190">
        <v>0</v>
      </c>
      <c r="E4190">
        <v>0</v>
      </c>
      <c r="F4190">
        <v>143.4</v>
      </c>
      <c r="G4190">
        <v>126979.87</v>
      </c>
      <c r="H4190" s="14">
        <v>43768.833333333336</v>
      </c>
    </row>
    <row r="4191" spans="1:8" x14ac:dyDescent="0.25">
      <c r="A4191">
        <v>201</v>
      </c>
      <c r="C4191">
        <v>10</v>
      </c>
      <c r="D4191">
        <v>0</v>
      </c>
      <c r="E4191">
        <v>0</v>
      </c>
      <c r="F4191">
        <v>130.22</v>
      </c>
      <c r="G4191">
        <v>119764.27</v>
      </c>
      <c r="H4191" s="14">
        <v>43768.833333333336</v>
      </c>
    </row>
    <row r="4192" spans="1:8" x14ac:dyDescent="0.25">
      <c r="A4192">
        <v>201</v>
      </c>
      <c r="C4192">
        <v>11</v>
      </c>
      <c r="D4192">
        <v>0</v>
      </c>
      <c r="E4192">
        <v>0</v>
      </c>
      <c r="F4192">
        <v>131.62</v>
      </c>
      <c r="G4192">
        <v>121994.46</v>
      </c>
      <c r="H4192" s="14">
        <v>43768.833333333336</v>
      </c>
    </row>
    <row r="4193" spans="1:8" x14ac:dyDescent="0.25">
      <c r="A4193">
        <v>201</v>
      </c>
      <c r="C4193">
        <v>12</v>
      </c>
      <c r="D4193">
        <v>0</v>
      </c>
      <c r="E4193">
        <v>0</v>
      </c>
      <c r="F4193">
        <v>131.71</v>
      </c>
      <c r="G4193">
        <v>122260.23</v>
      </c>
      <c r="H4193" s="14">
        <v>43768.833333333336</v>
      </c>
    </row>
    <row r="4194" spans="1:8" x14ac:dyDescent="0.25">
      <c r="A4194">
        <v>201</v>
      </c>
      <c r="C4194">
        <v>13</v>
      </c>
      <c r="D4194">
        <v>0</v>
      </c>
      <c r="E4194">
        <v>0</v>
      </c>
      <c r="F4194">
        <v>131.13</v>
      </c>
      <c r="G4194">
        <v>121204.79</v>
      </c>
      <c r="H4194" s="14">
        <v>43768.833333333336</v>
      </c>
    </row>
    <row r="4195" spans="1:8" x14ac:dyDescent="0.25">
      <c r="A4195">
        <v>201</v>
      </c>
      <c r="C4195">
        <v>14</v>
      </c>
      <c r="D4195">
        <v>0</v>
      </c>
      <c r="E4195">
        <v>0</v>
      </c>
      <c r="F4195">
        <v>114.19</v>
      </c>
      <c r="G4195">
        <v>85994.17</v>
      </c>
      <c r="H4195" s="14">
        <v>43768.833333333336</v>
      </c>
    </row>
    <row r="4196" spans="1:8" x14ac:dyDescent="0.25">
      <c r="A4196">
        <v>201</v>
      </c>
      <c r="C4196">
        <v>15</v>
      </c>
      <c r="D4196">
        <v>0</v>
      </c>
      <c r="E4196">
        <v>0</v>
      </c>
      <c r="F4196">
        <v>117.98</v>
      </c>
      <c r="G4196">
        <v>14472</v>
      </c>
      <c r="H4196" s="14">
        <v>43768.833333333336</v>
      </c>
    </row>
    <row r="4197" spans="1:8" x14ac:dyDescent="0.25">
      <c r="A4197">
        <v>201</v>
      </c>
      <c r="C4197">
        <v>16</v>
      </c>
      <c r="D4197">
        <v>0</v>
      </c>
      <c r="E4197">
        <v>0</v>
      </c>
      <c r="F4197">
        <v>133.4</v>
      </c>
      <c r="G4197">
        <v>119082.12</v>
      </c>
      <c r="H4197" s="14">
        <v>43768.833333333336</v>
      </c>
    </row>
    <row r="4198" spans="1:8" x14ac:dyDescent="0.25">
      <c r="A4198">
        <v>201</v>
      </c>
      <c r="C4198">
        <v>17</v>
      </c>
      <c r="D4198">
        <v>0</v>
      </c>
      <c r="E4198">
        <v>0</v>
      </c>
      <c r="F4198">
        <v>134.15</v>
      </c>
      <c r="G4198">
        <v>120441.16</v>
      </c>
      <c r="H4198" s="14">
        <v>43768.833333333336</v>
      </c>
    </row>
    <row r="4199" spans="1:8" x14ac:dyDescent="0.25">
      <c r="A4199">
        <v>201</v>
      </c>
      <c r="C4199">
        <v>18</v>
      </c>
      <c r="D4199">
        <v>0</v>
      </c>
      <c r="E4199">
        <v>0</v>
      </c>
      <c r="F4199">
        <v>132.25</v>
      </c>
      <c r="G4199">
        <v>120516.45</v>
      </c>
      <c r="H4199" s="14">
        <v>43768.833333333336</v>
      </c>
    </row>
    <row r="4200" spans="1:8" x14ac:dyDescent="0.25">
      <c r="A4200">
        <v>201</v>
      </c>
      <c r="C4200">
        <v>19</v>
      </c>
      <c r="D4200">
        <v>0</v>
      </c>
      <c r="E4200">
        <v>0</v>
      </c>
      <c r="F4200">
        <v>147.25</v>
      </c>
      <c r="G4200">
        <v>128163.73</v>
      </c>
      <c r="H4200" s="14">
        <v>43768.833333333336</v>
      </c>
    </row>
    <row r="4201" spans="1:8" x14ac:dyDescent="0.25">
      <c r="A4201">
        <v>201</v>
      </c>
      <c r="C4201">
        <v>20</v>
      </c>
      <c r="D4201">
        <v>0</v>
      </c>
      <c r="E4201">
        <v>0</v>
      </c>
      <c r="F4201">
        <v>133.38</v>
      </c>
      <c r="G4201">
        <v>122867.04</v>
      </c>
      <c r="H4201" s="14">
        <v>43768.833333333336</v>
      </c>
    </row>
    <row r="4202" spans="1:8" x14ac:dyDescent="0.25">
      <c r="A4202">
        <v>201</v>
      </c>
      <c r="C4202">
        <v>21</v>
      </c>
      <c r="D4202">
        <v>0</v>
      </c>
      <c r="E4202">
        <v>0</v>
      </c>
      <c r="F4202">
        <v>134.22999999999999</v>
      </c>
      <c r="G4202">
        <v>123678.09</v>
      </c>
      <c r="H4202" s="14">
        <v>43768.833333333336</v>
      </c>
    </row>
    <row r="4203" spans="1:8" x14ac:dyDescent="0.25">
      <c r="A4203">
        <v>201</v>
      </c>
      <c r="C4203">
        <v>22</v>
      </c>
      <c r="D4203">
        <v>0</v>
      </c>
      <c r="E4203">
        <v>0</v>
      </c>
      <c r="F4203">
        <v>82.74</v>
      </c>
      <c r="G4203">
        <v>79573.77</v>
      </c>
      <c r="H4203" s="14">
        <v>43768.833333333336</v>
      </c>
    </row>
    <row r="4204" spans="1:8" x14ac:dyDescent="0.25">
      <c r="A4204">
        <v>202</v>
      </c>
      <c r="C4204">
        <v>1</v>
      </c>
      <c r="D4204">
        <v>0</v>
      </c>
      <c r="E4204">
        <v>0</v>
      </c>
      <c r="F4204">
        <v>106.2</v>
      </c>
      <c r="G4204">
        <v>124007.47</v>
      </c>
      <c r="H4204" s="14">
        <v>43768.833333333336</v>
      </c>
    </row>
    <row r="4205" spans="1:8" x14ac:dyDescent="0.25">
      <c r="A4205">
        <v>202</v>
      </c>
      <c r="C4205">
        <v>2</v>
      </c>
      <c r="D4205">
        <v>0</v>
      </c>
      <c r="E4205">
        <v>0</v>
      </c>
      <c r="F4205">
        <v>104.15</v>
      </c>
      <c r="G4205">
        <v>120822.11</v>
      </c>
      <c r="H4205" s="14">
        <v>43768.833333333336</v>
      </c>
    </row>
    <row r="4206" spans="1:8" x14ac:dyDescent="0.25">
      <c r="A4206">
        <v>202</v>
      </c>
      <c r="C4206">
        <v>3</v>
      </c>
      <c r="D4206">
        <v>0</v>
      </c>
      <c r="E4206">
        <v>0</v>
      </c>
      <c r="F4206">
        <v>105.38</v>
      </c>
      <c r="G4206">
        <v>123914.9</v>
      </c>
      <c r="H4206" s="14">
        <v>43768.833333333336</v>
      </c>
    </row>
    <row r="4207" spans="1:8" x14ac:dyDescent="0.25">
      <c r="A4207">
        <v>202</v>
      </c>
      <c r="C4207">
        <v>4</v>
      </c>
      <c r="D4207">
        <v>0</v>
      </c>
      <c r="E4207">
        <v>0</v>
      </c>
      <c r="F4207">
        <v>105.45</v>
      </c>
      <c r="G4207">
        <v>121451.89</v>
      </c>
      <c r="H4207" s="14">
        <v>43768.833333333336</v>
      </c>
    </row>
    <row r="4208" spans="1:8" x14ac:dyDescent="0.25">
      <c r="A4208">
        <v>202</v>
      </c>
      <c r="C4208">
        <v>5</v>
      </c>
      <c r="D4208">
        <v>0</v>
      </c>
      <c r="E4208">
        <v>0</v>
      </c>
      <c r="F4208">
        <v>104.27</v>
      </c>
      <c r="G4208">
        <v>122454.89</v>
      </c>
      <c r="H4208" s="14">
        <v>43768.833333333336</v>
      </c>
    </row>
    <row r="4209" spans="1:8" x14ac:dyDescent="0.25">
      <c r="A4209">
        <v>202</v>
      </c>
      <c r="C4209">
        <v>6</v>
      </c>
      <c r="D4209">
        <v>0</v>
      </c>
      <c r="E4209">
        <v>0</v>
      </c>
      <c r="F4209">
        <v>134.69</v>
      </c>
      <c r="G4209">
        <v>21395.38</v>
      </c>
      <c r="H4209" s="14">
        <v>43768.833333333336</v>
      </c>
    </row>
    <row r="4210" spans="1:8" x14ac:dyDescent="0.25">
      <c r="A4210">
        <v>202</v>
      </c>
      <c r="C4210">
        <v>7</v>
      </c>
      <c r="D4210">
        <v>0</v>
      </c>
      <c r="E4210">
        <v>0</v>
      </c>
      <c r="F4210">
        <v>136.72999999999999</v>
      </c>
      <c r="G4210">
        <v>50506.3</v>
      </c>
      <c r="H4210" s="14">
        <v>43768.833333333336</v>
      </c>
    </row>
    <row r="4211" spans="1:8" x14ac:dyDescent="0.25">
      <c r="A4211">
        <v>202</v>
      </c>
      <c r="C4211">
        <v>8</v>
      </c>
      <c r="D4211">
        <v>0</v>
      </c>
      <c r="E4211">
        <v>0</v>
      </c>
      <c r="F4211">
        <v>134.63999999999999</v>
      </c>
      <c r="G4211">
        <v>119967.89</v>
      </c>
      <c r="H4211" s="14">
        <v>43768.833333333336</v>
      </c>
    </row>
    <row r="4212" spans="1:8" x14ac:dyDescent="0.25">
      <c r="A4212">
        <v>202</v>
      </c>
      <c r="C4212">
        <v>9</v>
      </c>
      <c r="D4212">
        <v>0</v>
      </c>
      <c r="E4212">
        <v>0</v>
      </c>
      <c r="F4212">
        <v>133.32</v>
      </c>
      <c r="G4212">
        <v>119529.69</v>
      </c>
      <c r="H4212" s="14">
        <v>43768.833333333336</v>
      </c>
    </row>
    <row r="4213" spans="1:8" x14ac:dyDescent="0.25">
      <c r="A4213">
        <v>202</v>
      </c>
      <c r="C4213">
        <v>10</v>
      </c>
      <c r="D4213">
        <v>0</v>
      </c>
      <c r="E4213">
        <v>0</v>
      </c>
      <c r="F4213">
        <v>133.32</v>
      </c>
      <c r="G4213">
        <v>123509.73</v>
      </c>
      <c r="H4213" s="14">
        <v>43768.833333333336</v>
      </c>
    </row>
    <row r="4214" spans="1:8" x14ac:dyDescent="0.25">
      <c r="A4214">
        <v>202</v>
      </c>
      <c r="C4214">
        <v>11</v>
      </c>
      <c r="D4214">
        <v>0</v>
      </c>
      <c r="E4214">
        <v>0</v>
      </c>
      <c r="F4214">
        <v>133.02000000000001</v>
      </c>
      <c r="G4214">
        <v>125974.16</v>
      </c>
      <c r="H4214" s="14">
        <v>43768.833333333336</v>
      </c>
    </row>
    <row r="4215" spans="1:8" x14ac:dyDescent="0.25">
      <c r="A4215">
        <v>202</v>
      </c>
      <c r="C4215">
        <v>12</v>
      </c>
      <c r="D4215">
        <v>0</v>
      </c>
      <c r="E4215">
        <v>0</v>
      </c>
      <c r="F4215">
        <v>132.68</v>
      </c>
      <c r="G4215">
        <v>123252.76</v>
      </c>
      <c r="H4215" s="14">
        <v>43768.833333333336</v>
      </c>
    </row>
    <row r="4216" spans="1:8" x14ac:dyDescent="0.25">
      <c r="A4216">
        <v>202</v>
      </c>
      <c r="C4216">
        <v>13</v>
      </c>
      <c r="D4216">
        <v>0</v>
      </c>
      <c r="E4216">
        <v>0</v>
      </c>
      <c r="F4216">
        <v>131.22</v>
      </c>
      <c r="G4216">
        <v>127025.34</v>
      </c>
      <c r="H4216" s="14">
        <v>43768.833333333336</v>
      </c>
    </row>
    <row r="4217" spans="1:8" x14ac:dyDescent="0.25">
      <c r="A4217">
        <v>202</v>
      </c>
      <c r="C4217">
        <v>14</v>
      </c>
      <c r="D4217">
        <v>0</v>
      </c>
      <c r="E4217">
        <v>0</v>
      </c>
      <c r="F4217">
        <v>128.37</v>
      </c>
      <c r="G4217">
        <v>124082.32</v>
      </c>
      <c r="H4217" s="14">
        <v>43768.833333333336</v>
      </c>
    </row>
    <row r="4218" spans="1:8" x14ac:dyDescent="0.25">
      <c r="A4218">
        <v>202</v>
      </c>
      <c r="C4218">
        <v>15</v>
      </c>
      <c r="D4218">
        <v>0</v>
      </c>
      <c r="E4218">
        <v>0</v>
      </c>
      <c r="F4218">
        <v>104.16</v>
      </c>
      <c r="G4218">
        <v>116288.44</v>
      </c>
      <c r="H4218" s="14">
        <v>43768.833333333336</v>
      </c>
    </row>
    <row r="4219" spans="1:8" x14ac:dyDescent="0.25">
      <c r="A4219">
        <v>202</v>
      </c>
      <c r="C4219">
        <v>16</v>
      </c>
      <c r="D4219">
        <v>0</v>
      </c>
      <c r="E4219">
        <v>0</v>
      </c>
      <c r="F4219">
        <v>104.82</v>
      </c>
      <c r="G4219">
        <v>122859.05</v>
      </c>
      <c r="H4219" s="14">
        <v>43768.833333333336</v>
      </c>
    </row>
    <row r="4220" spans="1:8" x14ac:dyDescent="0.25">
      <c r="A4220">
        <v>202</v>
      </c>
      <c r="C4220">
        <v>17</v>
      </c>
      <c r="D4220">
        <v>0</v>
      </c>
      <c r="E4220">
        <v>0</v>
      </c>
      <c r="F4220">
        <v>105.18</v>
      </c>
      <c r="G4220">
        <v>108657.36</v>
      </c>
      <c r="H4220" s="14">
        <v>43768.833333333336</v>
      </c>
    </row>
    <row r="4221" spans="1:8" x14ac:dyDescent="0.25">
      <c r="A4221">
        <v>202</v>
      </c>
      <c r="C4221">
        <v>18</v>
      </c>
      <c r="D4221">
        <v>0</v>
      </c>
      <c r="E4221">
        <v>0</v>
      </c>
      <c r="F4221">
        <v>104.49</v>
      </c>
      <c r="G4221">
        <v>104550.89</v>
      </c>
      <c r="H4221" s="14">
        <v>43768.833333333336</v>
      </c>
    </row>
    <row r="4222" spans="1:8" x14ac:dyDescent="0.25">
      <c r="A4222">
        <v>202</v>
      </c>
      <c r="C4222">
        <v>19</v>
      </c>
      <c r="D4222">
        <v>0</v>
      </c>
      <c r="E4222">
        <v>0</v>
      </c>
      <c r="F4222">
        <v>104.83</v>
      </c>
      <c r="G4222">
        <v>115374.22</v>
      </c>
      <c r="H4222" s="14">
        <v>43768.833333333336</v>
      </c>
    </row>
    <row r="4223" spans="1:8" x14ac:dyDescent="0.25">
      <c r="A4223">
        <v>202</v>
      </c>
      <c r="C4223">
        <v>20</v>
      </c>
      <c r="D4223">
        <v>0</v>
      </c>
      <c r="E4223">
        <v>0</v>
      </c>
      <c r="F4223">
        <v>120.27</v>
      </c>
      <c r="G4223">
        <v>122579.23</v>
      </c>
      <c r="H4223" s="14">
        <v>43768.833333333336</v>
      </c>
    </row>
    <row r="4224" spans="1:8" x14ac:dyDescent="0.25">
      <c r="A4224">
        <v>202</v>
      </c>
      <c r="C4224">
        <v>21</v>
      </c>
      <c r="D4224">
        <v>0</v>
      </c>
      <c r="E4224">
        <v>0</v>
      </c>
      <c r="F4224">
        <v>137.26</v>
      </c>
      <c r="G4224">
        <v>118989.75999999999</v>
      </c>
      <c r="H4224" s="14">
        <v>43768.833333333336</v>
      </c>
    </row>
    <row r="4225" spans="1:8" x14ac:dyDescent="0.25">
      <c r="A4225">
        <v>202</v>
      </c>
      <c r="C4225">
        <v>22</v>
      </c>
      <c r="D4225">
        <v>0</v>
      </c>
      <c r="E4225">
        <v>0</v>
      </c>
      <c r="F4225">
        <v>135.63</v>
      </c>
      <c r="G4225">
        <v>117228.9</v>
      </c>
      <c r="H4225" s="14">
        <v>43768.833333333336</v>
      </c>
    </row>
    <row r="4226" spans="1:8" x14ac:dyDescent="0.25">
      <c r="A4226">
        <v>202</v>
      </c>
      <c r="C4226">
        <v>23</v>
      </c>
      <c r="D4226">
        <v>0</v>
      </c>
      <c r="E4226">
        <v>0</v>
      </c>
      <c r="F4226">
        <v>135.72999999999999</v>
      </c>
      <c r="G4226">
        <v>113581.87</v>
      </c>
      <c r="H4226" s="14">
        <v>43768.833333333336</v>
      </c>
    </row>
    <row r="4227" spans="1:8" x14ac:dyDescent="0.25">
      <c r="A4227">
        <v>202</v>
      </c>
      <c r="C4227">
        <v>24</v>
      </c>
      <c r="D4227">
        <v>0</v>
      </c>
      <c r="E4227">
        <v>0</v>
      </c>
      <c r="F4227">
        <v>135.24</v>
      </c>
      <c r="G4227">
        <v>116275.36</v>
      </c>
      <c r="H4227" s="14">
        <v>43768.833333333336</v>
      </c>
    </row>
    <row r="4228" spans="1:8" x14ac:dyDescent="0.25">
      <c r="A4228">
        <v>202</v>
      </c>
      <c r="C4228">
        <v>25</v>
      </c>
      <c r="D4228">
        <v>0</v>
      </c>
      <c r="E4228">
        <v>0</v>
      </c>
      <c r="F4228">
        <v>129.25</v>
      </c>
      <c r="G4228">
        <v>126451.77</v>
      </c>
      <c r="H4228" s="14">
        <v>43768.833333333336</v>
      </c>
    </row>
    <row r="4229" spans="1:8" x14ac:dyDescent="0.25">
      <c r="A4229">
        <v>202</v>
      </c>
      <c r="C4229">
        <v>26</v>
      </c>
      <c r="D4229">
        <v>0</v>
      </c>
      <c r="E4229">
        <v>0</v>
      </c>
      <c r="F4229">
        <v>133.72</v>
      </c>
      <c r="G4229">
        <v>123543.45</v>
      </c>
      <c r="H4229" s="14">
        <v>43768.833333333336</v>
      </c>
    </row>
    <row r="4230" spans="1:8" x14ac:dyDescent="0.25">
      <c r="A4230">
        <v>202</v>
      </c>
      <c r="C4230">
        <v>27</v>
      </c>
      <c r="D4230">
        <v>0</v>
      </c>
      <c r="E4230">
        <v>0</v>
      </c>
      <c r="F4230">
        <v>134.83000000000001</v>
      </c>
      <c r="G4230">
        <v>124030.21</v>
      </c>
      <c r="H4230" s="14">
        <v>43768.833333333336</v>
      </c>
    </row>
    <row r="4231" spans="1:8" x14ac:dyDescent="0.25">
      <c r="A4231">
        <v>202</v>
      </c>
      <c r="C4231">
        <v>28</v>
      </c>
      <c r="D4231">
        <v>0</v>
      </c>
      <c r="E4231">
        <v>0</v>
      </c>
      <c r="F4231">
        <v>136.54</v>
      </c>
      <c r="G4231">
        <v>122544.62</v>
      </c>
      <c r="H4231" s="14">
        <v>43768.833333333336</v>
      </c>
    </row>
    <row r="4232" spans="1:8" x14ac:dyDescent="0.25">
      <c r="A4232">
        <v>203</v>
      </c>
      <c r="C4232">
        <v>1</v>
      </c>
      <c r="D4232">
        <v>0</v>
      </c>
      <c r="E4232">
        <v>0</v>
      </c>
      <c r="F4232">
        <v>122.32</v>
      </c>
      <c r="G4232">
        <v>125202.71</v>
      </c>
      <c r="H4232" s="14">
        <v>43768.833333333336</v>
      </c>
    </row>
    <row r="4233" spans="1:8" x14ac:dyDescent="0.25">
      <c r="A4233">
        <v>203</v>
      </c>
      <c r="C4233">
        <v>2</v>
      </c>
      <c r="D4233">
        <v>0</v>
      </c>
      <c r="E4233">
        <v>0</v>
      </c>
      <c r="F4233">
        <v>120.84</v>
      </c>
      <c r="G4233">
        <v>111977.14</v>
      </c>
      <c r="H4233" s="14">
        <v>43768.833333333336</v>
      </c>
    </row>
    <row r="4234" spans="1:8" x14ac:dyDescent="0.25">
      <c r="A4234">
        <v>203</v>
      </c>
      <c r="C4234">
        <v>3</v>
      </c>
      <c r="D4234">
        <v>0</v>
      </c>
      <c r="E4234">
        <v>0</v>
      </c>
      <c r="F4234">
        <v>119.2</v>
      </c>
      <c r="G4234">
        <v>123333.97</v>
      </c>
      <c r="H4234" s="14">
        <v>43768.833333333336</v>
      </c>
    </row>
    <row r="4235" spans="1:8" x14ac:dyDescent="0.25">
      <c r="A4235">
        <v>203</v>
      </c>
      <c r="C4235">
        <v>4</v>
      </c>
      <c r="D4235">
        <v>0</v>
      </c>
      <c r="E4235">
        <v>0</v>
      </c>
      <c r="F4235">
        <v>127.6</v>
      </c>
      <c r="G4235">
        <v>128122.55</v>
      </c>
      <c r="H4235" s="14">
        <v>43768.833333333336</v>
      </c>
    </row>
    <row r="4236" spans="1:8" x14ac:dyDescent="0.25">
      <c r="A4236">
        <v>203</v>
      </c>
      <c r="C4236">
        <v>5</v>
      </c>
      <c r="D4236">
        <v>0</v>
      </c>
      <c r="E4236">
        <v>0</v>
      </c>
      <c r="F4236">
        <v>121.84</v>
      </c>
      <c r="G4236">
        <v>124394.86</v>
      </c>
      <c r="H4236" s="14">
        <v>43768.833333333336</v>
      </c>
    </row>
    <row r="4237" spans="1:8" x14ac:dyDescent="0.25">
      <c r="A4237">
        <v>203</v>
      </c>
      <c r="C4237">
        <v>6</v>
      </c>
      <c r="D4237">
        <v>0</v>
      </c>
      <c r="E4237">
        <v>0</v>
      </c>
      <c r="F4237">
        <v>85.83</v>
      </c>
      <c r="G4237">
        <v>86379.839999999997</v>
      </c>
      <c r="H4237" s="14">
        <v>43768.833333333336</v>
      </c>
    </row>
    <row r="4238" spans="1:8" x14ac:dyDescent="0.25">
      <c r="A4238">
        <v>203</v>
      </c>
      <c r="C4238">
        <v>7</v>
      </c>
      <c r="D4238">
        <v>0</v>
      </c>
      <c r="E4238">
        <v>0</v>
      </c>
      <c r="F4238">
        <v>137.38999999999999</v>
      </c>
      <c r="G4238">
        <v>128377.3</v>
      </c>
      <c r="H4238" s="14">
        <v>43768.833333333336</v>
      </c>
    </row>
    <row r="4239" spans="1:8" x14ac:dyDescent="0.25">
      <c r="A4239">
        <v>203</v>
      </c>
      <c r="C4239">
        <v>8</v>
      </c>
      <c r="D4239">
        <v>0</v>
      </c>
      <c r="E4239">
        <v>0</v>
      </c>
      <c r="F4239">
        <v>137.68</v>
      </c>
      <c r="G4239">
        <v>127856.65</v>
      </c>
      <c r="H4239" s="14">
        <v>43768.833333333336</v>
      </c>
    </row>
    <row r="4240" spans="1:8" x14ac:dyDescent="0.25">
      <c r="A4240">
        <v>203</v>
      </c>
      <c r="C4240">
        <v>9</v>
      </c>
      <c r="D4240">
        <v>0</v>
      </c>
      <c r="E4240">
        <v>0</v>
      </c>
      <c r="F4240">
        <v>136.52000000000001</v>
      </c>
      <c r="G4240">
        <v>127673.82</v>
      </c>
      <c r="H4240" s="14">
        <v>43768.833333333336</v>
      </c>
    </row>
    <row r="4241" spans="1:8" x14ac:dyDescent="0.25">
      <c r="A4241">
        <v>203</v>
      </c>
      <c r="C4241">
        <v>10</v>
      </c>
      <c r="D4241">
        <v>0</v>
      </c>
      <c r="E4241">
        <v>0</v>
      </c>
      <c r="F4241">
        <v>142.66999999999999</v>
      </c>
      <c r="G4241">
        <v>137491.95000000001</v>
      </c>
      <c r="H4241" s="14">
        <v>43768.833333333336</v>
      </c>
    </row>
    <row r="4242" spans="1:8" x14ac:dyDescent="0.25">
      <c r="A4242">
        <v>203</v>
      </c>
      <c r="C4242">
        <v>11</v>
      </c>
      <c r="D4242">
        <v>0</v>
      </c>
      <c r="E4242">
        <v>0</v>
      </c>
      <c r="F4242">
        <v>142.88</v>
      </c>
      <c r="G4242">
        <v>125094.71</v>
      </c>
      <c r="H4242" s="14">
        <v>43768.833333333336</v>
      </c>
    </row>
    <row r="4243" spans="1:8" x14ac:dyDescent="0.25">
      <c r="A4243">
        <v>203</v>
      </c>
      <c r="C4243">
        <v>12</v>
      </c>
      <c r="D4243">
        <v>0</v>
      </c>
      <c r="E4243">
        <v>0</v>
      </c>
      <c r="F4243">
        <v>143.79</v>
      </c>
      <c r="G4243">
        <v>127344.59</v>
      </c>
      <c r="H4243" s="14">
        <v>43768.833333333336</v>
      </c>
    </row>
    <row r="4244" spans="1:8" x14ac:dyDescent="0.25">
      <c r="A4244">
        <v>203</v>
      </c>
      <c r="C4244">
        <v>13</v>
      </c>
      <c r="D4244">
        <v>0</v>
      </c>
      <c r="E4244">
        <v>0</v>
      </c>
      <c r="F4244">
        <v>48.74</v>
      </c>
      <c r="G4244">
        <v>43763.29</v>
      </c>
      <c r="H4244" s="14">
        <v>43768.833333333336</v>
      </c>
    </row>
    <row r="4245" spans="1:8" x14ac:dyDescent="0.25">
      <c r="A4245">
        <v>203</v>
      </c>
      <c r="C4245">
        <v>14</v>
      </c>
      <c r="D4245">
        <v>0</v>
      </c>
      <c r="E4245">
        <v>0</v>
      </c>
      <c r="F4245">
        <v>107.25</v>
      </c>
      <c r="G4245">
        <v>118041.8</v>
      </c>
      <c r="H4245" s="14">
        <v>43768.833333333336</v>
      </c>
    </row>
    <row r="4246" spans="1:8" x14ac:dyDescent="0.25">
      <c r="A4246">
        <v>203</v>
      </c>
      <c r="C4246">
        <v>15</v>
      </c>
      <c r="D4246">
        <v>0</v>
      </c>
      <c r="E4246">
        <v>0</v>
      </c>
      <c r="F4246">
        <v>107.28</v>
      </c>
      <c r="G4246">
        <v>112333.04</v>
      </c>
      <c r="H4246" s="14">
        <v>43768.833333333336</v>
      </c>
    </row>
    <row r="4247" spans="1:8" x14ac:dyDescent="0.25">
      <c r="A4247">
        <v>203</v>
      </c>
      <c r="C4247">
        <v>16</v>
      </c>
      <c r="D4247">
        <v>0</v>
      </c>
      <c r="E4247">
        <v>0</v>
      </c>
      <c r="F4247">
        <v>107.92</v>
      </c>
      <c r="G4247">
        <v>118352.36</v>
      </c>
      <c r="H4247" s="14">
        <v>43768.833333333336</v>
      </c>
    </row>
    <row r="4248" spans="1:8" x14ac:dyDescent="0.25">
      <c r="A4248">
        <v>204</v>
      </c>
      <c r="C4248">
        <v>1</v>
      </c>
      <c r="D4248">
        <v>0</v>
      </c>
      <c r="E4248">
        <v>0</v>
      </c>
      <c r="F4248">
        <v>95.8</v>
      </c>
      <c r="G4248">
        <v>115699.45</v>
      </c>
      <c r="H4248" s="14">
        <v>43768.833333333336</v>
      </c>
    </row>
    <row r="4249" spans="1:8" x14ac:dyDescent="0.25">
      <c r="A4249">
        <v>204</v>
      </c>
      <c r="C4249">
        <v>2</v>
      </c>
      <c r="D4249">
        <v>0</v>
      </c>
      <c r="E4249">
        <v>0</v>
      </c>
      <c r="F4249">
        <v>122.38</v>
      </c>
      <c r="G4249">
        <v>126616.87</v>
      </c>
      <c r="H4249" s="14">
        <v>43768.833333333336</v>
      </c>
    </row>
    <row r="4250" spans="1:8" x14ac:dyDescent="0.25">
      <c r="A4250">
        <v>204</v>
      </c>
      <c r="C4250">
        <v>3</v>
      </c>
      <c r="D4250">
        <v>0</v>
      </c>
      <c r="E4250">
        <v>0</v>
      </c>
      <c r="F4250">
        <v>123.63</v>
      </c>
      <c r="G4250">
        <v>129595.54</v>
      </c>
      <c r="H4250" s="14">
        <v>43768.833333333336</v>
      </c>
    </row>
    <row r="4251" spans="1:8" x14ac:dyDescent="0.25">
      <c r="A4251">
        <v>204</v>
      </c>
      <c r="C4251">
        <v>4</v>
      </c>
      <c r="D4251">
        <v>0</v>
      </c>
      <c r="E4251">
        <v>0</v>
      </c>
      <c r="F4251">
        <v>118.51</v>
      </c>
      <c r="G4251">
        <v>129491.82</v>
      </c>
      <c r="H4251" s="14">
        <v>43768.833333333336</v>
      </c>
    </row>
    <row r="4252" spans="1:8" x14ac:dyDescent="0.25">
      <c r="A4252">
        <v>204</v>
      </c>
      <c r="C4252">
        <v>5</v>
      </c>
      <c r="D4252">
        <v>0</v>
      </c>
      <c r="E4252">
        <v>0</v>
      </c>
      <c r="F4252">
        <v>120.83</v>
      </c>
      <c r="G4252">
        <v>126340.43</v>
      </c>
      <c r="H4252" s="14">
        <v>43768.833333333336</v>
      </c>
    </row>
    <row r="4253" spans="1:8" x14ac:dyDescent="0.25">
      <c r="A4253">
        <v>204</v>
      </c>
      <c r="C4253">
        <v>6</v>
      </c>
      <c r="D4253">
        <v>0</v>
      </c>
      <c r="E4253">
        <v>0</v>
      </c>
      <c r="F4253">
        <v>122.11</v>
      </c>
      <c r="G4253">
        <v>127170.26</v>
      </c>
      <c r="H4253" s="14">
        <v>43768.833333333336</v>
      </c>
    </row>
    <row r="4254" spans="1:8" x14ac:dyDescent="0.25">
      <c r="A4254">
        <v>204</v>
      </c>
      <c r="C4254">
        <v>7</v>
      </c>
      <c r="D4254">
        <v>0</v>
      </c>
      <c r="E4254">
        <v>0</v>
      </c>
      <c r="F4254">
        <v>122.85</v>
      </c>
      <c r="G4254">
        <v>127644.65</v>
      </c>
      <c r="H4254" s="14">
        <v>43768.833333333336</v>
      </c>
    </row>
    <row r="4255" spans="1:8" x14ac:dyDescent="0.25">
      <c r="A4255">
        <v>204</v>
      </c>
      <c r="C4255">
        <v>8</v>
      </c>
      <c r="D4255">
        <v>0</v>
      </c>
      <c r="E4255">
        <v>0</v>
      </c>
      <c r="F4255">
        <v>123.28</v>
      </c>
      <c r="G4255">
        <v>128251.88</v>
      </c>
      <c r="H4255" s="14">
        <v>43768.833333333336</v>
      </c>
    </row>
    <row r="4256" spans="1:8" x14ac:dyDescent="0.25">
      <c r="A4256">
        <v>204</v>
      </c>
      <c r="C4256">
        <v>9</v>
      </c>
      <c r="D4256">
        <v>0</v>
      </c>
      <c r="E4256">
        <v>0</v>
      </c>
      <c r="F4256">
        <v>118.14</v>
      </c>
      <c r="G4256">
        <v>66436.33</v>
      </c>
      <c r="H4256" s="14">
        <v>43768.833333333336</v>
      </c>
    </row>
    <row r="4257" spans="1:8" x14ac:dyDescent="0.25">
      <c r="A4257">
        <v>204</v>
      </c>
      <c r="C4257">
        <v>10</v>
      </c>
      <c r="D4257">
        <v>0</v>
      </c>
      <c r="E4257">
        <v>0</v>
      </c>
      <c r="F4257">
        <v>122.18</v>
      </c>
      <c r="G4257">
        <v>127711.47</v>
      </c>
      <c r="H4257" s="14">
        <v>43768.833333333336</v>
      </c>
    </row>
    <row r="4258" spans="1:8" x14ac:dyDescent="0.25">
      <c r="A4258">
        <v>204</v>
      </c>
      <c r="C4258">
        <v>11</v>
      </c>
      <c r="D4258">
        <v>0</v>
      </c>
      <c r="E4258">
        <v>0</v>
      </c>
      <c r="F4258">
        <v>123.53</v>
      </c>
      <c r="G4258">
        <v>126810.22</v>
      </c>
      <c r="H4258" s="14">
        <v>43768.833333333336</v>
      </c>
    </row>
    <row r="4259" spans="1:8" x14ac:dyDescent="0.25">
      <c r="A4259">
        <v>204</v>
      </c>
      <c r="C4259">
        <v>12</v>
      </c>
      <c r="D4259">
        <v>0</v>
      </c>
      <c r="E4259">
        <v>0</v>
      </c>
      <c r="F4259">
        <v>113.19</v>
      </c>
      <c r="G4259">
        <v>125161.64</v>
      </c>
      <c r="H4259" s="14">
        <v>43768.833333333336</v>
      </c>
    </row>
    <row r="4260" spans="1:8" x14ac:dyDescent="0.25">
      <c r="A4260">
        <v>204</v>
      </c>
      <c r="C4260">
        <v>13</v>
      </c>
      <c r="D4260">
        <v>0</v>
      </c>
      <c r="E4260">
        <v>0</v>
      </c>
      <c r="F4260">
        <v>120.27</v>
      </c>
      <c r="G4260">
        <v>124370.69</v>
      </c>
      <c r="H4260" s="14">
        <v>43768.833333333336</v>
      </c>
    </row>
    <row r="4261" spans="1:8" x14ac:dyDescent="0.25">
      <c r="A4261">
        <v>204</v>
      </c>
      <c r="C4261">
        <v>14</v>
      </c>
      <c r="D4261">
        <v>0</v>
      </c>
      <c r="E4261">
        <v>0</v>
      </c>
      <c r="F4261">
        <v>124.5</v>
      </c>
      <c r="G4261">
        <v>127282.32</v>
      </c>
      <c r="H4261" s="14">
        <v>43768.833333333336</v>
      </c>
    </row>
    <row r="4262" spans="1:8" x14ac:dyDescent="0.25">
      <c r="A4262">
        <v>204</v>
      </c>
      <c r="C4262">
        <v>15</v>
      </c>
      <c r="D4262">
        <v>0</v>
      </c>
      <c r="E4262">
        <v>0</v>
      </c>
      <c r="F4262">
        <v>119.23</v>
      </c>
      <c r="G4262">
        <v>121987.17</v>
      </c>
      <c r="H4262" s="14">
        <v>43768.833333333336</v>
      </c>
    </row>
    <row r="4263" spans="1:8" x14ac:dyDescent="0.25">
      <c r="A4263">
        <v>204</v>
      </c>
      <c r="C4263">
        <v>16</v>
      </c>
      <c r="D4263">
        <v>0</v>
      </c>
      <c r="E4263">
        <v>0</v>
      </c>
      <c r="F4263">
        <v>89</v>
      </c>
      <c r="G4263">
        <v>110861.11</v>
      </c>
      <c r="H4263" s="14">
        <v>43768.833333333336</v>
      </c>
    </row>
    <row r="4264" spans="1:8" x14ac:dyDescent="0.25">
      <c r="A4264">
        <v>204</v>
      </c>
      <c r="C4264">
        <v>17</v>
      </c>
      <c r="D4264">
        <v>0</v>
      </c>
      <c r="E4264">
        <v>0</v>
      </c>
      <c r="F4264">
        <v>141.93</v>
      </c>
      <c r="G4264">
        <v>122824.39</v>
      </c>
      <c r="H4264" s="14">
        <v>43768.833333333336</v>
      </c>
    </row>
    <row r="4265" spans="1:8" x14ac:dyDescent="0.25">
      <c r="A4265">
        <v>204</v>
      </c>
      <c r="C4265">
        <v>18</v>
      </c>
      <c r="D4265">
        <v>0</v>
      </c>
      <c r="E4265">
        <v>0</v>
      </c>
      <c r="F4265">
        <v>27.24</v>
      </c>
      <c r="G4265">
        <v>23583.77</v>
      </c>
      <c r="H4265" s="14">
        <v>43768.833333333336</v>
      </c>
    </row>
    <row r="4266" spans="1:8" x14ac:dyDescent="0.25">
      <c r="A4266">
        <v>205</v>
      </c>
      <c r="C4266">
        <v>1</v>
      </c>
      <c r="D4266">
        <v>0</v>
      </c>
      <c r="E4266">
        <v>0</v>
      </c>
      <c r="F4266">
        <v>108.96</v>
      </c>
      <c r="G4266">
        <v>82313.789999999994</v>
      </c>
      <c r="H4266" s="14">
        <v>43768.833333333336</v>
      </c>
    </row>
    <row r="4267" spans="1:8" x14ac:dyDescent="0.25">
      <c r="A4267">
        <v>205</v>
      </c>
      <c r="C4267">
        <v>2</v>
      </c>
      <c r="D4267">
        <v>0</v>
      </c>
      <c r="E4267">
        <v>0</v>
      </c>
      <c r="F4267">
        <v>109.38</v>
      </c>
      <c r="G4267">
        <v>133311.35999999999</v>
      </c>
      <c r="H4267" s="14">
        <v>43768.833333333336</v>
      </c>
    </row>
    <row r="4268" spans="1:8" x14ac:dyDescent="0.25">
      <c r="A4268">
        <v>205</v>
      </c>
      <c r="C4268">
        <v>3</v>
      </c>
      <c r="D4268">
        <v>0</v>
      </c>
      <c r="E4268">
        <v>0</v>
      </c>
      <c r="F4268">
        <v>110.67</v>
      </c>
      <c r="G4268">
        <v>133002.16</v>
      </c>
      <c r="H4268" s="14">
        <v>43768.833333333336</v>
      </c>
    </row>
    <row r="4269" spans="1:8" x14ac:dyDescent="0.25">
      <c r="A4269">
        <v>205</v>
      </c>
      <c r="C4269">
        <v>4</v>
      </c>
      <c r="D4269">
        <v>0</v>
      </c>
      <c r="E4269">
        <v>0</v>
      </c>
      <c r="F4269">
        <v>108.01</v>
      </c>
      <c r="G4269">
        <v>118367.65</v>
      </c>
      <c r="H4269" s="14">
        <v>43768.833333333336</v>
      </c>
    </row>
    <row r="4270" spans="1:8" x14ac:dyDescent="0.25">
      <c r="A4270">
        <v>205</v>
      </c>
      <c r="C4270">
        <v>5</v>
      </c>
      <c r="D4270">
        <v>0</v>
      </c>
      <c r="E4270">
        <v>0</v>
      </c>
      <c r="F4270">
        <v>108.94</v>
      </c>
      <c r="G4270">
        <v>131680.44</v>
      </c>
      <c r="H4270" s="14">
        <v>43768.833333333336</v>
      </c>
    </row>
    <row r="4271" spans="1:8" x14ac:dyDescent="0.25">
      <c r="A4271">
        <v>205</v>
      </c>
      <c r="C4271">
        <v>6</v>
      </c>
      <c r="D4271">
        <v>0</v>
      </c>
      <c r="E4271">
        <v>0</v>
      </c>
      <c r="F4271">
        <v>129.88</v>
      </c>
      <c r="G4271">
        <v>139933.19</v>
      </c>
      <c r="H4271" s="14">
        <v>43768.833333333336</v>
      </c>
    </row>
    <row r="4272" spans="1:8" x14ac:dyDescent="0.25">
      <c r="A4272">
        <v>205</v>
      </c>
      <c r="C4272">
        <v>7</v>
      </c>
      <c r="D4272">
        <v>0</v>
      </c>
      <c r="E4272">
        <v>0</v>
      </c>
      <c r="F4272">
        <v>108.74</v>
      </c>
      <c r="G4272">
        <v>128853.75</v>
      </c>
      <c r="H4272" s="14">
        <v>43768.833333333336</v>
      </c>
    </row>
    <row r="4273" spans="1:8" x14ac:dyDescent="0.25">
      <c r="A4273">
        <v>205</v>
      </c>
      <c r="C4273">
        <v>8</v>
      </c>
      <c r="D4273">
        <v>0</v>
      </c>
      <c r="E4273">
        <v>0</v>
      </c>
      <c r="F4273">
        <v>108.78</v>
      </c>
      <c r="G4273">
        <v>131534.88</v>
      </c>
      <c r="H4273" s="14">
        <v>43768.833333333336</v>
      </c>
    </row>
    <row r="4274" spans="1:8" x14ac:dyDescent="0.25">
      <c r="A4274">
        <v>205</v>
      </c>
      <c r="C4274">
        <v>9</v>
      </c>
      <c r="D4274">
        <v>0</v>
      </c>
      <c r="E4274">
        <v>0</v>
      </c>
      <c r="F4274">
        <v>107.75</v>
      </c>
      <c r="G4274">
        <v>130599.16</v>
      </c>
      <c r="H4274" s="14">
        <v>43768.833333333336</v>
      </c>
    </row>
    <row r="4275" spans="1:8" x14ac:dyDescent="0.25">
      <c r="A4275">
        <v>205</v>
      </c>
      <c r="C4275">
        <v>10</v>
      </c>
      <c r="D4275">
        <v>0</v>
      </c>
      <c r="E4275">
        <v>0</v>
      </c>
      <c r="F4275">
        <v>109.44</v>
      </c>
      <c r="G4275">
        <v>133646.95000000001</v>
      </c>
      <c r="H4275" s="14">
        <v>43768.833333333336</v>
      </c>
    </row>
    <row r="4276" spans="1:8" x14ac:dyDescent="0.25">
      <c r="A4276">
        <v>205</v>
      </c>
      <c r="C4276">
        <v>11</v>
      </c>
      <c r="D4276">
        <v>0</v>
      </c>
      <c r="E4276">
        <v>0</v>
      </c>
      <c r="F4276">
        <v>108.63</v>
      </c>
      <c r="G4276">
        <v>74577.820000000007</v>
      </c>
      <c r="H4276" s="14">
        <v>43768.833333333336</v>
      </c>
    </row>
    <row r="4277" spans="1:8" x14ac:dyDescent="0.25">
      <c r="A4277">
        <v>205</v>
      </c>
      <c r="C4277">
        <v>12</v>
      </c>
      <c r="D4277">
        <v>0</v>
      </c>
      <c r="E4277">
        <v>0</v>
      </c>
      <c r="F4277">
        <v>108.97</v>
      </c>
      <c r="G4277">
        <v>131766.42000000001</v>
      </c>
      <c r="H4277" s="14">
        <v>43768.833333333336</v>
      </c>
    </row>
    <row r="4278" spans="1:8" x14ac:dyDescent="0.25">
      <c r="A4278">
        <v>205</v>
      </c>
      <c r="C4278">
        <v>13</v>
      </c>
      <c r="D4278">
        <v>0</v>
      </c>
      <c r="E4278">
        <v>0</v>
      </c>
      <c r="F4278">
        <v>108.99</v>
      </c>
      <c r="G4278">
        <v>132352.72</v>
      </c>
      <c r="H4278" s="14">
        <v>43768.833333333336</v>
      </c>
    </row>
    <row r="4279" spans="1:8" x14ac:dyDescent="0.25">
      <c r="A4279">
        <v>205</v>
      </c>
      <c r="C4279">
        <v>14</v>
      </c>
      <c r="D4279">
        <v>0</v>
      </c>
      <c r="E4279">
        <v>0</v>
      </c>
      <c r="F4279">
        <v>85.68</v>
      </c>
      <c r="G4279">
        <v>92571</v>
      </c>
      <c r="H4279" s="14">
        <v>43768.833333333336</v>
      </c>
    </row>
    <row r="4280" spans="1:8" x14ac:dyDescent="0.25">
      <c r="A4280">
        <v>205</v>
      </c>
      <c r="C4280">
        <v>15</v>
      </c>
      <c r="D4280">
        <v>0</v>
      </c>
      <c r="E4280">
        <v>0</v>
      </c>
      <c r="F4280">
        <v>147.06</v>
      </c>
      <c r="G4280">
        <v>145360.72</v>
      </c>
      <c r="H4280" s="14">
        <v>43768.833333333336</v>
      </c>
    </row>
    <row r="4281" spans="1:8" x14ac:dyDescent="0.25">
      <c r="A4281">
        <v>205</v>
      </c>
      <c r="C4281">
        <v>16</v>
      </c>
      <c r="D4281">
        <v>0</v>
      </c>
      <c r="E4281">
        <v>0</v>
      </c>
      <c r="F4281">
        <v>148.83000000000001</v>
      </c>
      <c r="G4281">
        <v>146292.51999999999</v>
      </c>
      <c r="H4281" s="14">
        <v>43768.833333333336</v>
      </c>
    </row>
    <row r="4282" spans="1:8" x14ac:dyDescent="0.25">
      <c r="A4282">
        <v>205</v>
      </c>
      <c r="C4282">
        <v>17</v>
      </c>
      <c r="D4282">
        <v>0</v>
      </c>
      <c r="E4282">
        <v>0</v>
      </c>
      <c r="F4282">
        <v>151.9</v>
      </c>
      <c r="G4282">
        <v>148652.78</v>
      </c>
      <c r="H4282" s="14">
        <v>43768.833333333336</v>
      </c>
    </row>
    <row r="4283" spans="1:8" x14ac:dyDescent="0.25">
      <c r="A4283">
        <v>205</v>
      </c>
      <c r="C4283">
        <v>18</v>
      </c>
      <c r="D4283">
        <v>0</v>
      </c>
      <c r="E4283">
        <v>0</v>
      </c>
      <c r="F4283">
        <v>151.84</v>
      </c>
      <c r="G4283">
        <v>147373.97</v>
      </c>
      <c r="H4283" s="14">
        <v>43768.833333333336</v>
      </c>
    </row>
    <row r="4284" spans="1:8" x14ac:dyDescent="0.25">
      <c r="A4284">
        <v>205</v>
      </c>
      <c r="C4284">
        <v>19</v>
      </c>
      <c r="D4284">
        <v>0</v>
      </c>
      <c r="E4284">
        <v>0</v>
      </c>
      <c r="F4284">
        <v>150.74</v>
      </c>
      <c r="G4284">
        <v>137611.07999999999</v>
      </c>
      <c r="H4284" s="14">
        <v>43768.833333333336</v>
      </c>
    </row>
    <row r="4285" spans="1:8" x14ac:dyDescent="0.25">
      <c r="A4285">
        <v>205</v>
      </c>
      <c r="C4285">
        <v>20</v>
      </c>
      <c r="D4285">
        <v>0</v>
      </c>
      <c r="E4285">
        <v>0</v>
      </c>
      <c r="F4285">
        <v>149.76</v>
      </c>
      <c r="G4285">
        <v>147900.60999999999</v>
      </c>
      <c r="H4285" s="14">
        <v>43768.833333333336</v>
      </c>
    </row>
    <row r="4286" spans="1:8" x14ac:dyDescent="0.25">
      <c r="A4286">
        <v>205</v>
      </c>
      <c r="C4286">
        <v>21</v>
      </c>
      <c r="D4286">
        <v>0</v>
      </c>
      <c r="E4286">
        <v>0</v>
      </c>
      <c r="F4286">
        <v>152.36000000000001</v>
      </c>
      <c r="G4286">
        <v>149753.35999999999</v>
      </c>
      <c r="H4286" s="14">
        <v>43768.833333333336</v>
      </c>
    </row>
    <row r="4287" spans="1:8" x14ac:dyDescent="0.25">
      <c r="A4287">
        <v>205</v>
      </c>
      <c r="C4287">
        <v>22</v>
      </c>
      <c r="D4287">
        <v>0</v>
      </c>
      <c r="E4287">
        <v>0</v>
      </c>
      <c r="F4287">
        <v>150.21</v>
      </c>
      <c r="G4287">
        <v>7033.74</v>
      </c>
      <c r="H4287" s="14">
        <v>43768.833333333336</v>
      </c>
    </row>
    <row r="4288" spans="1:8" x14ac:dyDescent="0.25">
      <c r="A4288">
        <v>205</v>
      </c>
      <c r="C4288">
        <v>23</v>
      </c>
      <c r="D4288">
        <v>0</v>
      </c>
      <c r="E4288">
        <v>0</v>
      </c>
      <c r="F4288">
        <v>145.81</v>
      </c>
      <c r="G4288">
        <v>7054.31</v>
      </c>
      <c r="H4288" s="14">
        <v>43768.833333333336</v>
      </c>
    </row>
    <row r="4289" spans="1:8" x14ac:dyDescent="0.25">
      <c r="A4289">
        <v>205</v>
      </c>
      <c r="C4289">
        <v>24</v>
      </c>
      <c r="D4289">
        <v>0</v>
      </c>
      <c r="E4289">
        <v>0</v>
      </c>
      <c r="F4289">
        <v>150.15</v>
      </c>
      <c r="G4289">
        <v>147139.5</v>
      </c>
      <c r="H4289" s="14">
        <v>43768.833333333336</v>
      </c>
    </row>
    <row r="4290" spans="1:8" x14ac:dyDescent="0.25">
      <c r="A4290">
        <v>205</v>
      </c>
      <c r="C4290">
        <v>25</v>
      </c>
      <c r="D4290">
        <v>0</v>
      </c>
      <c r="E4290">
        <v>0</v>
      </c>
      <c r="F4290">
        <v>150.31</v>
      </c>
      <c r="G4290">
        <v>9427.43</v>
      </c>
      <c r="H4290" s="14">
        <v>43768.833333333336</v>
      </c>
    </row>
    <row r="4291" spans="1:8" x14ac:dyDescent="0.25">
      <c r="A4291">
        <v>205</v>
      </c>
      <c r="C4291">
        <v>26</v>
      </c>
      <c r="D4291">
        <v>0</v>
      </c>
      <c r="E4291">
        <v>0</v>
      </c>
      <c r="F4291">
        <v>151.26</v>
      </c>
      <c r="G4291">
        <v>150530.5</v>
      </c>
      <c r="H4291" s="14">
        <v>43768.833333333336</v>
      </c>
    </row>
    <row r="4292" spans="1:8" x14ac:dyDescent="0.25">
      <c r="A4292">
        <v>205</v>
      </c>
      <c r="C4292">
        <v>27</v>
      </c>
      <c r="D4292">
        <v>0</v>
      </c>
      <c r="E4292">
        <v>0</v>
      </c>
      <c r="F4292">
        <v>149.75</v>
      </c>
      <c r="G4292">
        <v>146918.6</v>
      </c>
      <c r="H4292" s="14">
        <v>43768.833333333336</v>
      </c>
    </row>
    <row r="4293" spans="1:8" x14ac:dyDescent="0.25">
      <c r="A4293">
        <v>205</v>
      </c>
      <c r="C4293">
        <v>28</v>
      </c>
      <c r="D4293">
        <v>0</v>
      </c>
      <c r="E4293">
        <v>0</v>
      </c>
      <c r="F4293">
        <v>97.35</v>
      </c>
      <c r="G4293">
        <v>101391.98</v>
      </c>
      <c r="H4293" s="14">
        <v>43768.833333333336</v>
      </c>
    </row>
    <row r="4294" spans="1:8" x14ac:dyDescent="0.25">
      <c r="A4294">
        <v>206</v>
      </c>
      <c r="C4294">
        <v>1</v>
      </c>
      <c r="D4294">
        <v>0</v>
      </c>
      <c r="E4294">
        <v>0</v>
      </c>
      <c r="F4294">
        <v>103.62</v>
      </c>
      <c r="G4294">
        <v>65477.16</v>
      </c>
      <c r="H4294" s="14">
        <v>43768.833333333336</v>
      </c>
    </row>
    <row r="4295" spans="1:8" x14ac:dyDescent="0.25">
      <c r="A4295">
        <v>206</v>
      </c>
      <c r="C4295">
        <v>2</v>
      </c>
      <c r="D4295">
        <v>0</v>
      </c>
      <c r="E4295">
        <v>0</v>
      </c>
      <c r="F4295">
        <v>103.82</v>
      </c>
      <c r="G4295">
        <v>75757.91</v>
      </c>
      <c r="H4295" s="14">
        <v>43768.833333333336</v>
      </c>
    </row>
    <row r="4296" spans="1:8" x14ac:dyDescent="0.25">
      <c r="A4296">
        <v>206</v>
      </c>
      <c r="C4296">
        <v>3</v>
      </c>
      <c r="D4296">
        <v>0</v>
      </c>
      <c r="E4296">
        <v>0</v>
      </c>
      <c r="F4296">
        <v>92.15</v>
      </c>
      <c r="G4296">
        <v>69622.52</v>
      </c>
      <c r="H4296" s="14">
        <v>43768.833333333336</v>
      </c>
    </row>
    <row r="4297" spans="1:8" x14ac:dyDescent="0.25">
      <c r="A4297">
        <v>206</v>
      </c>
      <c r="C4297">
        <v>4</v>
      </c>
      <c r="D4297">
        <v>0</v>
      </c>
      <c r="E4297">
        <v>0</v>
      </c>
      <c r="F4297">
        <v>97.16</v>
      </c>
      <c r="G4297">
        <v>73714.850000000006</v>
      </c>
      <c r="H4297" s="14">
        <v>43768.833333333336</v>
      </c>
    </row>
    <row r="4298" spans="1:8" x14ac:dyDescent="0.25">
      <c r="A4298">
        <v>206</v>
      </c>
      <c r="C4298">
        <v>5</v>
      </c>
      <c r="D4298">
        <v>0</v>
      </c>
      <c r="E4298">
        <v>0</v>
      </c>
      <c r="F4298">
        <v>63.74</v>
      </c>
      <c r="G4298">
        <v>49944.82</v>
      </c>
      <c r="H4298" s="14">
        <v>43768.833333333336</v>
      </c>
    </row>
    <row r="4299" spans="1:8" x14ac:dyDescent="0.25">
      <c r="A4299">
        <v>206</v>
      </c>
      <c r="C4299">
        <v>6</v>
      </c>
      <c r="D4299">
        <v>0</v>
      </c>
      <c r="E4299">
        <v>0</v>
      </c>
      <c r="F4299">
        <v>66.14</v>
      </c>
      <c r="G4299">
        <v>49569.9</v>
      </c>
      <c r="H4299" s="14">
        <v>43768.833333333336</v>
      </c>
    </row>
    <row r="4300" spans="1:8" x14ac:dyDescent="0.25">
      <c r="A4300">
        <v>206</v>
      </c>
      <c r="C4300">
        <v>7</v>
      </c>
      <c r="D4300">
        <v>0</v>
      </c>
      <c r="E4300">
        <v>0</v>
      </c>
      <c r="F4300">
        <v>30.88</v>
      </c>
      <c r="G4300">
        <v>21792.1</v>
      </c>
      <c r="H4300" s="14">
        <v>43768.833333333336</v>
      </c>
    </row>
    <row r="4301" spans="1:8" x14ac:dyDescent="0.25">
      <c r="A4301">
        <v>206</v>
      </c>
      <c r="C4301">
        <v>8</v>
      </c>
      <c r="D4301">
        <v>0</v>
      </c>
      <c r="E4301">
        <v>0</v>
      </c>
      <c r="F4301">
        <v>22.59</v>
      </c>
      <c r="G4301">
        <v>17242.080000000002</v>
      </c>
      <c r="H4301" s="14">
        <v>43768.833333333336</v>
      </c>
    </row>
    <row r="4302" spans="1:8" x14ac:dyDescent="0.25">
      <c r="A4302">
        <v>206</v>
      </c>
      <c r="C4302">
        <v>9</v>
      </c>
      <c r="D4302">
        <v>0</v>
      </c>
      <c r="E4302">
        <v>0</v>
      </c>
      <c r="F4302">
        <v>47.1</v>
      </c>
      <c r="G4302">
        <v>36760.559999999998</v>
      </c>
      <c r="H4302" s="14">
        <v>43768.833333333336</v>
      </c>
    </row>
    <row r="4303" spans="1:8" x14ac:dyDescent="0.25">
      <c r="A4303">
        <v>206</v>
      </c>
      <c r="C4303">
        <v>10</v>
      </c>
      <c r="D4303">
        <v>0</v>
      </c>
      <c r="E4303">
        <v>0</v>
      </c>
      <c r="F4303">
        <v>69.56</v>
      </c>
      <c r="G4303">
        <v>52054.54</v>
      </c>
      <c r="H4303" s="14">
        <v>43768.833333333336</v>
      </c>
    </row>
    <row r="4304" spans="1:8" x14ac:dyDescent="0.25">
      <c r="A4304">
        <v>206</v>
      </c>
      <c r="C4304">
        <v>11</v>
      </c>
      <c r="D4304">
        <v>0</v>
      </c>
      <c r="E4304">
        <v>0</v>
      </c>
      <c r="F4304">
        <v>103.56</v>
      </c>
      <c r="G4304">
        <v>77660.27</v>
      </c>
      <c r="H4304" s="14">
        <v>43768.833333333336</v>
      </c>
    </row>
    <row r="4305" spans="1:8" x14ac:dyDescent="0.25">
      <c r="A4305">
        <v>206</v>
      </c>
      <c r="C4305">
        <v>12</v>
      </c>
      <c r="D4305">
        <v>0</v>
      </c>
      <c r="E4305">
        <v>0</v>
      </c>
      <c r="F4305">
        <v>0</v>
      </c>
      <c r="G4305">
        <v>0</v>
      </c>
      <c r="H4305" s="14">
        <v>36526</v>
      </c>
    </row>
    <row r="4306" spans="1:8" x14ac:dyDescent="0.25">
      <c r="A4306">
        <v>206</v>
      </c>
      <c r="C4306">
        <v>13</v>
      </c>
      <c r="D4306">
        <v>0</v>
      </c>
      <c r="E4306">
        <v>0</v>
      </c>
      <c r="F4306">
        <v>0</v>
      </c>
      <c r="G4306">
        <v>0</v>
      </c>
      <c r="H4306" s="14">
        <v>36526</v>
      </c>
    </row>
    <row r="4307" spans="1:8" x14ac:dyDescent="0.25">
      <c r="A4307">
        <v>206</v>
      </c>
      <c r="C4307">
        <v>14</v>
      </c>
      <c r="D4307">
        <v>0</v>
      </c>
      <c r="E4307">
        <v>0</v>
      </c>
      <c r="F4307">
        <v>0</v>
      </c>
      <c r="G4307">
        <v>0</v>
      </c>
      <c r="H4307" s="14">
        <v>36526</v>
      </c>
    </row>
    <row r="4308" spans="1:8" x14ac:dyDescent="0.25">
      <c r="A4308">
        <v>206</v>
      </c>
      <c r="C4308">
        <v>15</v>
      </c>
      <c r="D4308">
        <v>0</v>
      </c>
      <c r="E4308">
        <v>0</v>
      </c>
      <c r="F4308">
        <v>0</v>
      </c>
      <c r="G4308">
        <v>0</v>
      </c>
      <c r="H4308" s="14">
        <v>36526</v>
      </c>
    </row>
    <row r="4309" spans="1:8" x14ac:dyDescent="0.25">
      <c r="A4309">
        <v>206</v>
      </c>
      <c r="C4309">
        <v>16</v>
      </c>
      <c r="D4309">
        <v>0</v>
      </c>
      <c r="E4309">
        <v>0</v>
      </c>
      <c r="F4309">
        <v>0</v>
      </c>
      <c r="G4309">
        <v>0</v>
      </c>
      <c r="H4309" s="14">
        <v>36526</v>
      </c>
    </row>
    <row r="4310" spans="1:8" x14ac:dyDescent="0.25">
      <c r="A4310">
        <v>206</v>
      </c>
      <c r="C4310">
        <v>17</v>
      </c>
      <c r="D4310">
        <v>0</v>
      </c>
      <c r="E4310">
        <v>0</v>
      </c>
      <c r="F4310">
        <v>0</v>
      </c>
      <c r="G4310">
        <v>0</v>
      </c>
      <c r="H4310" s="14">
        <v>36526</v>
      </c>
    </row>
    <row r="4311" spans="1:8" x14ac:dyDescent="0.25">
      <c r="A4311">
        <v>206</v>
      </c>
      <c r="C4311">
        <v>18</v>
      </c>
      <c r="D4311">
        <v>0</v>
      </c>
      <c r="E4311">
        <v>0</v>
      </c>
      <c r="F4311">
        <v>0</v>
      </c>
      <c r="G4311">
        <v>0</v>
      </c>
      <c r="H4311" s="14">
        <v>36526</v>
      </c>
    </row>
    <row r="4312" spans="1:8" x14ac:dyDescent="0.25">
      <c r="A4312">
        <v>206</v>
      </c>
      <c r="C4312">
        <v>19</v>
      </c>
      <c r="D4312">
        <v>0</v>
      </c>
      <c r="E4312">
        <v>0</v>
      </c>
      <c r="F4312">
        <v>0</v>
      </c>
      <c r="G4312">
        <v>0</v>
      </c>
      <c r="H4312" s="14">
        <v>36526</v>
      </c>
    </row>
    <row r="4313" spans="1:8" x14ac:dyDescent="0.25">
      <c r="A4313">
        <v>206</v>
      </c>
      <c r="C4313">
        <v>20</v>
      </c>
      <c r="D4313">
        <v>0</v>
      </c>
      <c r="E4313">
        <v>0</v>
      </c>
      <c r="F4313">
        <v>0</v>
      </c>
      <c r="G4313">
        <v>0</v>
      </c>
      <c r="H4313" s="14">
        <v>36526</v>
      </c>
    </row>
    <row r="4314" spans="1:8" x14ac:dyDescent="0.25">
      <c r="A4314">
        <v>206</v>
      </c>
      <c r="C4314">
        <v>21</v>
      </c>
      <c r="D4314">
        <v>0</v>
      </c>
      <c r="E4314">
        <v>0</v>
      </c>
      <c r="F4314">
        <v>0</v>
      </c>
      <c r="G4314">
        <v>0</v>
      </c>
      <c r="H4314" s="14">
        <v>36526</v>
      </c>
    </row>
    <row r="4315" spans="1:8" x14ac:dyDescent="0.25">
      <c r="A4315">
        <v>206</v>
      </c>
      <c r="C4315">
        <v>22</v>
      </c>
      <c r="D4315">
        <v>0</v>
      </c>
      <c r="E4315">
        <v>0</v>
      </c>
      <c r="F4315">
        <v>0</v>
      </c>
      <c r="G4315">
        <v>0</v>
      </c>
      <c r="H4315" s="14">
        <v>36526</v>
      </c>
    </row>
    <row r="4316" spans="1:8" x14ac:dyDescent="0.25">
      <c r="A4316">
        <v>207</v>
      </c>
      <c r="C4316">
        <v>1</v>
      </c>
      <c r="D4316">
        <v>0</v>
      </c>
      <c r="E4316">
        <v>0</v>
      </c>
      <c r="F4316">
        <v>72.25</v>
      </c>
      <c r="G4316">
        <v>47707.78</v>
      </c>
      <c r="H4316" s="14">
        <v>43768.833333333336</v>
      </c>
    </row>
    <row r="4317" spans="1:8" x14ac:dyDescent="0.25">
      <c r="A4317">
        <v>207</v>
      </c>
      <c r="C4317">
        <v>2</v>
      </c>
      <c r="D4317">
        <v>0</v>
      </c>
      <c r="E4317">
        <v>0</v>
      </c>
      <c r="F4317">
        <v>85.85</v>
      </c>
      <c r="G4317">
        <v>58896.13</v>
      </c>
      <c r="H4317" s="14">
        <v>43768.833333333336</v>
      </c>
    </row>
    <row r="4318" spans="1:8" x14ac:dyDescent="0.25">
      <c r="A4318">
        <v>207</v>
      </c>
      <c r="C4318">
        <v>3</v>
      </c>
      <c r="D4318">
        <v>0</v>
      </c>
      <c r="E4318">
        <v>0</v>
      </c>
      <c r="F4318">
        <v>128.47</v>
      </c>
      <c r="G4318">
        <v>86546.2</v>
      </c>
      <c r="H4318" s="14">
        <v>43768.833333333336</v>
      </c>
    </row>
    <row r="4319" spans="1:8" x14ac:dyDescent="0.25">
      <c r="A4319">
        <v>207</v>
      </c>
      <c r="C4319">
        <v>4</v>
      </c>
      <c r="D4319">
        <v>0</v>
      </c>
      <c r="E4319">
        <v>0</v>
      </c>
      <c r="F4319">
        <v>128.93</v>
      </c>
      <c r="G4319">
        <v>87713.32</v>
      </c>
      <c r="H4319" s="14">
        <v>43768.833333333336</v>
      </c>
    </row>
    <row r="4320" spans="1:8" x14ac:dyDescent="0.25">
      <c r="A4320">
        <v>207</v>
      </c>
      <c r="C4320">
        <v>5</v>
      </c>
      <c r="D4320">
        <v>0</v>
      </c>
      <c r="E4320">
        <v>0</v>
      </c>
      <c r="F4320">
        <v>125.6</v>
      </c>
      <c r="G4320">
        <v>35445.4</v>
      </c>
      <c r="H4320" s="14">
        <v>43768.833333333336</v>
      </c>
    </row>
    <row r="4321" spans="1:8" x14ac:dyDescent="0.25">
      <c r="A4321">
        <v>207</v>
      </c>
      <c r="C4321">
        <v>6</v>
      </c>
      <c r="D4321">
        <v>0</v>
      </c>
      <c r="E4321">
        <v>0</v>
      </c>
      <c r="F4321">
        <v>125.13</v>
      </c>
      <c r="G4321">
        <v>85640.960000000006</v>
      </c>
      <c r="H4321" s="14">
        <v>43768.833333333336</v>
      </c>
    </row>
    <row r="4322" spans="1:8" x14ac:dyDescent="0.25">
      <c r="A4322">
        <v>207</v>
      </c>
      <c r="C4322">
        <v>7</v>
      </c>
      <c r="D4322">
        <v>0</v>
      </c>
      <c r="E4322">
        <v>0</v>
      </c>
      <c r="F4322">
        <v>125.73</v>
      </c>
      <c r="G4322">
        <v>79370.850000000006</v>
      </c>
      <c r="H4322" s="14">
        <v>43768.833333333336</v>
      </c>
    </row>
    <row r="4323" spans="1:8" x14ac:dyDescent="0.25">
      <c r="A4323">
        <v>207</v>
      </c>
      <c r="C4323">
        <v>8</v>
      </c>
      <c r="D4323">
        <v>0</v>
      </c>
      <c r="E4323">
        <v>0</v>
      </c>
      <c r="F4323">
        <v>118.95</v>
      </c>
      <c r="G4323">
        <v>76788.7</v>
      </c>
      <c r="H4323" s="14">
        <v>43768.833333333336</v>
      </c>
    </row>
    <row r="4324" spans="1:8" x14ac:dyDescent="0.25">
      <c r="A4324">
        <v>207</v>
      </c>
      <c r="C4324">
        <v>9</v>
      </c>
      <c r="D4324">
        <v>0</v>
      </c>
      <c r="E4324">
        <v>0</v>
      </c>
      <c r="F4324">
        <v>128.08000000000001</v>
      </c>
      <c r="G4324">
        <v>81853.27</v>
      </c>
      <c r="H4324" s="14">
        <v>43768.833333333336</v>
      </c>
    </row>
    <row r="4325" spans="1:8" x14ac:dyDescent="0.25">
      <c r="A4325">
        <v>207</v>
      </c>
      <c r="C4325">
        <v>10</v>
      </c>
      <c r="D4325">
        <v>0</v>
      </c>
      <c r="E4325">
        <v>0</v>
      </c>
      <c r="F4325">
        <v>115.02</v>
      </c>
      <c r="G4325">
        <v>78737.2</v>
      </c>
      <c r="H4325" s="14">
        <v>43768.833333333336</v>
      </c>
    </row>
    <row r="4326" spans="1:8" x14ac:dyDescent="0.25">
      <c r="A4326">
        <v>207</v>
      </c>
      <c r="C4326">
        <v>11</v>
      </c>
      <c r="D4326">
        <v>0</v>
      </c>
      <c r="E4326">
        <v>0</v>
      </c>
      <c r="F4326">
        <v>62.54</v>
      </c>
      <c r="G4326">
        <v>10965.88</v>
      </c>
      <c r="H4326" s="14">
        <v>43768.833333333336</v>
      </c>
    </row>
    <row r="4327" spans="1:8" x14ac:dyDescent="0.25">
      <c r="A4327">
        <v>208</v>
      </c>
      <c r="B4327" t="s">
        <v>334</v>
      </c>
      <c r="C4327">
        <v>1</v>
      </c>
      <c r="D4327">
        <v>0</v>
      </c>
      <c r="E4327">
        <v>0</v>
      </c>
      <c r="F4327">
        <v>121.43</v>
      </c>
      <c r="G4327">
        <v>43888.59</v>
      </c>
      <c r="H4327" s="14">
        <v>43768.833333333336</v>
      </c>
    </row>
    <row r="4328" spans="1:8" x14ac:dyDescent="0.25">
      <c r="A4328">
        <v>208</v>
      </c>
      <c r="B4328" t="s">
        <v>334</v>
      </c>
      <c r="C4328">
        <v>2</v>
      </c>
      <c r="D4328">
        <v>0</v>
      </c>
      <c r="E4328">
        <v>0</v>
      </c>
      <c r="F4328">
        <v>124.01</v>
      </c>
      <c r="G4328">
        <v>44238.44</v>
      </c>
      <c r="H4328" s="14">
        <v>43768.833333333336</v>
      </c>
    </row>
    <row r="4329" spans="1:8" x14ac:dyDescent="0.25">
      <c r="A4329">
        <v>208</v>
      </c>
      <c r="B4329" t="s">
        <v>334</v>
      </c>
      <c r="C4329">
        <v>3</v>
      </c>
      <c r="D4329">
        <v>0</v>
      </c>
      <c r="E4329">
        <v>0</v>
      </c>
      <c r="F4329">
        <v>122.79</v>
      </c>
      <c r="G4329">
        <v>44166.61</v>
      </c>
      <c r="H4329" s="14">
        <v>43768.833333333336</v>
      </c>
    </row>
    <row r="4330" spans="1:8" x14ac:dyDescent="0.25">
      <c r="A4330">
        <v>208</v>
      </c>
      <c r="B4330" t="s">
        <v>334</v>
      </c>
      <c r="C4330">
        <v>4</v>
      </c>
      <c r="D4330">
        <v>0</v>
      </c>
      <c r="E4330">
        <v>0</v>
      </c>
      <c r="F4330">
        <v>123.86</v>
      </c>
      <c r="G4330">
        <v>44609.21</v>
      </c>
      <c r="H4330" s="14">
        <v>43768.833333333336</v>
      </c>
    </row>
    <row r="4331" spans="1:8" x14ac:dyDescent="0.25">
      <c r="A4331">
        <v>208</v>
      </c>
      <c r="B4331" t="s">
        <v>334</v>
      </c>
      <c r="C4331">
        <v>5</v>
      </c>
      <c r="D4331">
        <v>0</v>
      </c>
      <c r="E4331">
        <v>0</v>
      </c>
      <c r="F4331">
        <v>82.54</v>
      </c>
      <c r="G4331">
        <v>29624.3</v>
      </c>
      <c r="H4331" s="14">
        <v>43768.833333333336</v>
      </c>
    </row>
    <row r="4332" spans="1:8" x14ac:dyDescent="0.25">
      <c r="A4332">
        <v>208</v>
      </c>
      <c r="B4332" t="s">
        <v>334</v>
      </c>
      <c r="C4332">
        <v>6</v>
      </c>
      <c r="D4332">
        <v>0</v>
      </c>
      <c r="E4332">
        <v>0</v>
      </c>
      <c r="F4332">
        <v>82.03</v>
      </c>
      <c r="G4332">
        <v>29528.55</v>
      </c>
      <c r="H4332" s="14">
        <v>43768.833333333336</v>
      </c>
    </row>
    <row r="4333" spans="1:8" x14ac:dyDescent="0.25">
      <c r="A4333">
        <v>209</v>
      </c>
      <c r="B4333" t="s">
        <v>335</v>
      </c>
      <c r="C4333">
        <v>1</v>
      </c>
      <c r="D4333">
        <v>0</v>
      </c>
      <c r="E4333">
        <v>0</v>
      </c>
      <c r="F4333">
        <v>130.94999999999999</v>
      </c>
      <c r="G4333">
        <v>47796.08</v>
      </c>
      <c r="H4333" s="14">
        <v>43768.833333333336</v>
      </c>
    </row>
    <row r="4334" spans="1:8" x14ac:dyDescent="0.25">
      <c r="A4334">
        <v>209</v>
      </c>
      <c r="B4334" t="s">
        <v>335</v>
      </c>
      <c r="C4334">
        <v>2</v>
      </c>
      <c r="D4334">
        <v>0</v>
      </c>
      <c r="E4334">
        <v>0</v>
      </c>
      <c r="F4334">
        <v>134.22</v>
      </c>
      <c r="G4334">
        <v>47029.63</v>
      </c>
      <c r="H4334" s="14">
        <v>43768.833333333336</v>
      </c>
    </row>
    <row r="4335" spans="1:8" x14ac:dyDescent="0.25">
      <c r="A4335">
        <v>209</v>
      </c>
      <c r="B4335" t="s">
        <v>335</v>
      </c>
      <c r="C4335">
        <v>3</v>
      </c>
      <c r="D4335">
        <v>0</v>
      </c>
      <c r="E4335">
        <v>0</v>
      </c>
      <c r="F4335">
        <v>135.36000000000001</v>
      </c>
      <c r="G4335">
        <v>48748.35</v>
      </c>
      <c r="H4335" s="14">
        <v>43768.833333333336</v>
      </c>
    </row>
    <row r="4336" spans="1:8" x14ac:dyDescent="0.25">
      <c r="A4336">
        <v>209</v>
      </c>
      <c r="B4336" t="s">
        <v>335</v>
      </c>
      <c r="C4336">
        <v>4</v>
      </c>
      <c r="D4336">
        <v>0</v>
      </c>
      <c r="E4336">
        <v>0</v>
      </c>
      <c r="F4336">
        <v>133.84</v>
      </c>
      <c r="G4336">
        <v>48403.73</v>
      </c>
      <c r="H4336" s="14">
        <v>43768.833333333336</v>
      </c>
    </row>
    <row r="4337" spans="1:8" x14ac:dyDescent="0.25">
      <c r="A4337">
        <v>209</v>
      </c>
      <c r="B4337" t="s">
        <v>335</v>
      </c>
      <c r="C4337">
        <v>5</v>
      </c>
      <c r="D4337">
        <v>0</v>
      </c>
      <c r="E4337">
        <v>0</v>
      </c>
      <c r="F4337">
        <v>142.05000000000001</v>
      </c>
      <c r="G4337">
        <v>51282.8</v>
      </c>
      <c r="H4337" s="14">
        <v>43768.833333333336</v>
      </c>
    </row>
    <row r="4338" spans="1:8" x14ac:dyDescent="0.25">
      <c r="A4338">
        <v>209</v>
      </c>
      <c r="B4338" t="s">
        <v>335</v>
      </c>
      <c r="C4338">
        <v>6</v>
      </c>
      <c r="D4338">
        <v>0</v>
      </c>
      <c r="E4338">
        <v>0</v>
      </c>
      <c r="F4338">
        <v>95.8</v>
      </c>
      <c r="G4338">
        <v>34499.730000000003</v>
      </c>
      <c r="H4338" s="14">
        <v>43768.833333333336</v>
      </c>
    </row>
    <row r="4339" spans="1:8" x14ac:dyDescent="0.25">
      <c r="A4339">
        <v>209</v>
      </c>
      <c r="B4339" t="s">
        <v>335</v>
      </c>
      <c r="C4339">
        <v>7</v>
      </c>
      <c r="D4339">
        <v>0</v>
      </c>
      <c r="E4339">
        <v>0</v>
      </c>
      <c r="F4339">
        <v>90.84</v>
      </c>
      <c r="G4339">
        <v>32957.33</v>
      </c>
      <c r="H4339" s="14">
        <v>43768.833333333336</v>
      </c>
    </row>
    <row r="4340" spans="1:8" x14ac:dyDescent="0.25">
      <c r="A4340">
        <v>209</v>
      </c>
      <c r="B4340" t="s">
        <v>335</v>
      </c>
      <c r="C4340">
        <v>8</v>
      </c>
      <c r="D4340">
        <v>0</v>
      </c>
      <c r="E4340">
        <v>0</v>
      </c>
      <c r="F4340">
        <v>87.79</v>
      </c>
      <c r="G4340">
        <v>31854.75</v>
      </c>
      <c r="H4340" s="14">
        <v>43768.833333333336</v>
      </c>
    </row>
    <row r="4341" spans="1:8" x14ac:dyDescent="0.25">
      <c r="A4341">
        <v>209</v>
      </c>
      <c r="B4341" t="s">
        <v>335</v>
      </c>
      <c r="C4341">
        <v>9</v>
      </c>
      <c r="D4341">
        <v>0</v>
      </c>
      <c r="E4341">
        <v>0</v>
      </c>
      <c r="F4341">
        <v>45.34</v>
      </c>
      <c r="G4341">
        <v>16410.330000000002</v>
      </c>
      <c r="H4341" s="14">
        <v>43768.833333333336</v>
      </c>
    </row>
    <row r="4342" spans="1:8" x14ac:dyDescent="0.25">
      <c r="A4342">
        <v>210</v>
      </c>
      <c r="B4342" t="s">
        <v>336</v>
      </c>
      <c r="C4342">
        <v>1</v>
      </c>
      <c r="D4342">
        <v>0</v>
      </c>
      <c r="E4342">
        <v>0</v>
      </c>
      <c r="F4342">
        <v>137.69</v>
      </c>
      <c r="G4342">
        <v>49701.38</v>
      </c>
      <c r="H4342" s="14">
        <v>43768.833333333336</v>
      </c>
    </row>
    <row r="4343" spans="1:8" x14ac:dyDescent="0.25">
      <c r="A4343">
        <v>210</v>
      </c>
      <c r="B4343" t="s">
        <v>336</v>
      </c>
      <c r="C4343">
        <v>2</v>
      </c>
      <c r="D4343">
        <v>0</v>
      </c>
      <c r="E4343">
        <v>0</v>
      </c>
      <c r="F4343">
        <v>144.63999999999999</v>
      </c>
      <c r="G4343">
        <v>52000.78</v>
      </c>
      <c r="H4343" s="14">
        <v>43768.833333333336</v>
      </c>
    </row>
    <row r="4344" spans="1:8" x14ac:dyDescent="0.25">
      <c r="A4344">
        <v>210</v>
      </c>
      <c r="B4344" t="s">
        <v>336</v>
      </c>
      <c r="C4344">
        <v>3</v>
      </c>
      <c r="D4344">
        <v>0</v>
      </c>
      <c r="E4344">
        <v>0</v>
      </c>
      <c r="F4344">
        <v>143.61000000000001</v>
      </c>
      <c r="G4344">
        <v>51969.5</v>
      </c>
      <c r="H4344" s="14">
        <v>43768.833333333336</v>
      </c>
    </row>
    <row r="4345" spans="1:8" x14ac:dyDescent="0.25">
      <c r="A4345">
        <v>210</v>
      </c>
      <c r="B4345" t="s">
        <v>336</v>
      </c>
      <c r="C4345">
        <v>4</v>
      </c>
      <c r="D4345">
        <v>0</v>
      </c>
      <c r="E4345">
        <v>0</v>
      </c>
      <c r="F4345">
        <v>144.87</v>
      </c>
      <c r="G4345">
        <v>52357.3</v>
      </c>
      <c r="H4345" s="14">
        <v>43768.833333333336</v>
      </c>
    </row>
    <row r="4346" spans="1:8" x14ac:dyDescent="0.25">
      <c r="A4346">
        <v>210</v>
      </c>
      <c r="B4346" t="s">
        <v>336</v>
      </c>
      <c r="C4346">
        <v>5</v>
      </c>
      <c r="D4346">
        <v>0</v>
      </c>
      <c r="E4346">
        <v>0</v>
      </c>
      <c r="F4346">
        <v>142.4</v>
      </c>
      <c r="G4346">
        <v>51703.7</v>
      </c>
      <c r="H4346" s="14">
        <v>43768.833333333336</v>
      </c>
    </row>
    <row r="4347" spans="1:8" x14ac:dyDescent="0.25">
      <c r="A4347">
        <v>210</v>
      </c>
      <c r="B4347" t="s">
        <v>336</v>
      </c>
      <c r="C4347">
        <v>6</v>
      </c>
      <c r="D4347">
        <v>0</v>
      </c>
      <c r="E4347">
        <v>0</v>
      </c>
      <c r="F4347">
        <v>141.74</v>
      </c>
      <c r="G4347">
        <v>51688.85</v>
      </c>
      <c r="H4347" s="14">
        <v>43768.833333333336</v>
      </c>
    </row>
    <row r="4348" spans="1:8" x14ac:dyDescent="0.25">
      <c r="A4348">
        <v>210</v>
      </c>
      <c r="B4348" t="s">
        <v>336</v>
      </c>
      <c r="C4348">
        <v>7</v>
      </c>
      <c r="D4348">
        <v>0</v>
      </c>
      <c r="E4348">
        <v>0</v>
      </c>
      <c r="F4348">
        <v>144.44999999999999</v>
      </c>
      <c r="G4348">
        <v>52225.43</v>
      </c>
      <c r="H4348" s="14">
        <v>43768.833333333336</v>
      </c>
    </row>
    <row r="4349" spans="1:8" x14ac:dyDescent="0.25">
      <c r="A4349">
        <v>210</v>
      </c>
      <c r="B4349" t="s">
        <v>336</v>
      </c>
      <c r="C4349">
        <v>8</v>
      </c>
      <c r="D4349">
        <v>0</v>
      </c>
      <c r="E4349">
        <v>0</v>
      </c>
      <c r="F4349">
        <v>141.13</v>
      </c>
      <c r="G4349">
        <v>51708.83</v>
      </c>
      <c r="H4349" s="14">
        <v>43768.833333333336</v>
      </c>
    </row>
    <row r="4350" spans="1:8" x14ac:dyDescent="0.25">
      <c r="A4350">
        <v>211</v>
      </c>
      <c r="B4350" t="s">
        <v>337</v>
      </c>
      <c r="C4350">
        <v>1</v>
      </c>
      <c r="D4350">
        <v>0</v>
      </c>
      <c r="E4350">
        <v>0</v>
      </c>
      <c r="F4350">
        <v>146.38999999999999</v>
      </c>
      <c r="G4350">
        <v>25494.06</v>
      </c>
      <c r="H4350" s="14">
        <v>43768.833333333336</v>
      </c>
    </row>
    <row r="4351" spans="1:8" x14ac:dyDescent="0.25">
      <c r="A4351">
        <v>211</v>
      </c>
      <c r="B4351" t="s">
        <v>337</v>
      </c>
      <c r="C4351">
        <v>2</v>
      </c>
      <c r="D4351">
        <v>0</v>
      </c>
      <c r="E4351">
        <v>0</v>
      </c>
      <c r="F4351">
        <v>146.09</v>
      </c>
      <c r="G4351">
        <v>50923.1</v>
      </c>
      <c r="H4351" s="14">
        <v>43768.833333333336</v>
      </c>
    </row>
    <row r="4352" spans="1:8" x14ac:dyDescent="0.25">
      <c r="A4352">
        <v>211</v>
      </c>
      <c r="B4352" t="s">
        <v>337</v>
      </c>
      <c r="C4352">
        <v>3</v>
      </c>
      <c r="D4352">
        <v>0</v>
      </c>
      <c r="E4352">
        <v>0</v>
      </c>
      <c r="F4352">
        <v>96.2</v>
      </c>
      <c r="G4352">
        <v>33480.019999999997</v>
      </c>
      <c r="H4352" s="14">
        <v>43768.833333333336</v>
      </c>
    </row>
    <row r="4353" spans="1:8" x14ac:dyDescent="0.25">
      <c r="A4353">
        <v>211</v>
      </c>
      <c r="B4353" t="s">
        <v>337</v>
      </c>
      <c r="C4353">
        <v>4</v>
      </c>
      <c r="D4353">
        <v>0</v>
      </c>
      <c r="E4353">
        <v>0</v>
      </c>
      <c r="F4353">
        <v>82.39</v>
      </c>
      <c r="G4353">
        <v>28859.7</v>
      </c>
      <c r="H4353" s="14">
        <v>43768.833333333336</v>
      </c>
    </row>
    <row r="4354" spans="1:8" x14ac:dyDescent="0.25">
      <c r="A4354">
        <v>212</v>
      </c>
      <c r="B4354" t="s">
        <v>338</v>
      </c>
      <c r="C4354">
        <v>1</v>
      </c>
      <c r="D4354">
        <v>0</v>
      </c>
      <c r="E4354">
        <v>0</v>
      </c>
      <c r="F4354">
        <v>80.650000000000006</v>
      </c>
      <c r="G4354">
        <v>22729.83</v>
      </c>
      <c r="H4354" s="14">
        <v>43768.833333333336</v>
      </c>
    </row>
    <row r="4355" spans="1:8" x14ac:dyDescent="0.25">
      <c r="A4355">
        <v>212</v>
      </c>
      <c r="B4355" t="s">
        <v>338</v>
      </c>
      <c r="C4355">
        <v>2</v>
      </c>
      <c r="D4355">
        <v>0</v>
      </c>
      <c r="E4355">
        <v>0</v>
      </c>
      <c r="F4355">
        <v>52.97</v>
      </c>
      <c r="G4355">
        <v>15205.36</v>
      </c>
      <c r="H4355" s="14">
        <v>43768.833333333336</v>
      </c>
    </row>
    <row r="4356" spans="1:8" x14ac:dyDescent="0.25">
      <c r="A4356">
        <v>212</v>
      </c>
      <c r="B4356" t="s">
        <v>338</v>
      </c>
      <c r="C4356">
        <v>3</v>
      </c>
      <c r="D4356">
        <v>0</v>
      </c>
      <c r="E4356">
        <v>0</v>
      </c>
      <c r="F4356">
        <v>92.43</v>
      </c>
      <c r="G4356">
        <v>26053.96</v>
      </c>
      <c r="H4356" s="14">
        <v>43768.833333333336</v>
      </c>
    </row>
    <row r="4357" spans="1:8" x14ac:dyDescent="0.25">
      <c r="A4357">
        <v>213</v>
      </c>
      <c r="B4357" t="s">
        <v>339</v>
      </c>
      <c r="C4357">
        <v>1</v>
      </c>
      <c r="D4357">
        <v>0</v>
      </c>
      <c r="E4357">
        <v>0</v>
      </c>
      <c r="F4357">
        <v>84.2</v>
      </c>
      <c r="G4357">
        <v>20931.099999999999</v>
      </c>
      <c r="H4357" s="14">
        <v>43768.833333333336</v>
      </c>
    </row>
    <row r="4358" spans="1:8" x14ac:dyDescent="0.25">
      <c r="A4358">
        <v>213</v>
      </c>
      <c r="B4358" t="s">
        <v>339</v>
      </c>
      <c r="C4358">
        <v>2</v>
      </c>
      <c r="D4358">
        <v>0</v>
      </c>
      <c r="E4358">
        <v>0</v>
      </c>
      <c r="F4358">
        <v>88.03</v>
      </c>
      <c r="G4358">
        <v>22618.31</v>
      </c>
      <c r="H4358" s="14">
        <v>43768.833333333336</v>
      </c>
    </row>
    <row r="4359" spans="1:8" x14ac:dyDescent="0.25">
      <c r="A4359">
        <v>213</v>
      </c>
      <c r="B4359" t="s">
        <v>339</v>
      </c>
      <c r="C4359">
        <v>3</v>
      </c>
      <c r="D4359">
        <v>0</v>
      </c>
      <c r="E4359">
        <v>0</v>
      </c>
      <c r="F4359">
        <v>66.099999999999994</v>
      </c>
      <c r="G4359">
        <v>17595.349999999999</v>
      </c>
      <c r="H4359" s="14">
        <v>43768.833333333336</v>
      </c>
    </row>
    <row r="4360" spans="1:8" x14ac:dyDescent="0.25">
      <c r="A4360">
        <v>214</v>
      </c>
      <c r="B4360" t="s">
        <v>340</v>
      </c>
      <c r="C4360">
        <v>1</v>
      </c>
      <c r="D4360">
        <v>0</v>
      </c>
      <c r="E4360">
        <v>0</v>
      </c>
      <c r="F4360">
        <v>88.39</v>
      </c>
      <c r="G4360">
        <v>23015.31</v>
      </c>
      <c r="H4360" s="14">
        <v>43768.833333333336</v>
      </c>
    </row>
    <row r="4361" spans="1:8" x14ac:dyDescent="0.25">
      <c r="A4361">
        <v>214</v>
      </c>
      <c r="B4361" t="s">
        <v>340</v>
      </c>
      <c r="C4361">
        <v>2</v>
      </c>
      <c r="D4361">
        <v>0</v>
      </c>
      <c r="E4361">
        <v>0</v>
      </c>
      <c r="F4361">
        <v>85.4</v>
      </c>
      <c r="G4361">
        <v>21598.31</v>
      </c>
      <c r="H4361" s="14">
        <v>43768.833333333336</v>
      </c>
    </row>
    <row r="4362" spans="1:8" x14ac:dyDescent="0.25">
      <c r="A4362">
        <v>214</v>
      </c>
      <c r="B4362" t="s">
        <v>340</v>
      </c>
      <c r="C4362">
        <v>3</v>
      </c>
      <c r="D4362">
        <v>0</v>
      </c>
      <c r="E4362">
        <v>0</v>
      </c>
      <c r="F4362">
        <v>72.510000000000005</v>
      </c>
      <c r="G4362">
        <v>19317.88</v>
      </c>
      <c r="H4362" s="14">
        <v>43768.833333333336</v>
      </c>
    </row>
    <row r="4363" spans="1:8" x14ac:dyDescent="0.25">
      <c r="A4363">
        <v>215</v>
      </c>
      <c r="B4363" t="s">
        <v>341</v>
      </c>
      <c r="C4363">
        <v>1</v>
      </c>
      <c r="D4363">
        <v>0</v>
      </c>
      <c r="E4363">
        <v>0</v>
      </c>
      <c r="F4363">
        <v>109.82</v>
      </c>
      <c r="G4363">
        <v>25665.48</v>
      </c>
      <c r="H4363" s="14">
        <v>43768.833333333336</v>
      </c>
    </row>
    <row r="4364" spans="1:8" x14ac:dyDescent="0.25">
      <c r="A4364">
        <v>215</v>
      </c>
      <c r="B4364" t="s">
        <v>341</v>
      </c>
      <c r="C4364">
        <v>2</v>
      </c>
      <c r="D4364">
        <v>0</v>
      </c>
      <c r="E4364">
        <v>0</v>
      </c>
      <c r="F4364">
        <v>109.73</v>
      </c>
      <c r="G4364">
        <v>7619.06</v>
      </c>
      <c r="H4364" s="14">
        <v>43768.833333333336</v>
      </c>
    </row>
    <row r="4365" spans="1:8" x14ac:dyDescent="0.25">
      <c r="A4365">
        <v>215</v>
      </c>
      <c r="B4365" t="s">
        <v>341</v>
      </c>
      <c r="C4365">
        <v>3</v>
      </c>
      <c r="D4365">
        <v>0</v>
      </c>
      <c r="E4365">
        <v>0</v>
      </c>
      <c r="F4365">
        <v>77.84</v>
      </c>
      <c r="G4365">
        <v>15117.8</v>
      </c>
      <c r="H4365" s="14">
        <v>43768.833333333336</v>
      </c>
    </row>
    <row r="4366" spans="1:8" x14ac:dyDescent="0.25">
      <c r="A4366">
        <v>216</v>
      </c>
      <c r="B4366" t="s">
        <v>342</v>
      </c>
      <c r="C4366">
        <v>1</v>
      </c>
      <c r="D4366">
        <v>0</v>
      </c>
      <c r="E4366">
        <v>0</v>
      </c>
      <c r="F4366">
        <v>103.9</v>
      </c>
      <c r="G4366">
        <v>17894.099999999999</v>
      </c>
      <c r="H4366" s="14">
        <v>43768.833333333336</v>
      </c>
    </row>
    <row r="4367" spans="1:8" x14ac:dyDescent="0.25">
      <c r="A4367">
        <v>216</v>
      </c>
      <c r="B4367" t="s">
        <v>342</v>
      </c>
      <c r="C4367">
        <v>2</v>
      </c>
      <c r="D4367">
        <v>0</v>
      </c>
      <c r="E4367">
        <v>0</v>
      </c>
      <c r="F4367">
        <v>94.08</v>
      </c>
      <c r="G4367">
        <v>21365.26</v>
      </c>
      <c r="H4367" s="14">
        <v>43768.833333333336</v>
      </c>
    </row>
    <row r="4368" spans="1:8" x14ac:dyDescent="0.25">
      <c r="A4368">
        <v>216</v>
      </c>
      <c r="B4368" t="s">
        <v>342</v>
      </c>
      <c r="C4368">
        <v>3</v>
      </c>
      <c r="D4368">
        <v>0</v>
      </c>
      <c r="E4368">
        <v>0</v>
      </c>
      <c r="F4368">
        <v>97.69</v>
      </c>
      <c r="G4368">
        <v>19886.259999999998</v>
      </c>
      <c r="H4368" s="14">
        <v>43768.833333333336</v>
      </c>
    </row>
    <row r="4369" spans="1:8" x14ac:dyDescent="0.25">
      <c r="A4369">
        <v>217</v>
      </c>
      <c r="B4369" t="s">
        <v>343</v>
      </c>
      <c r="C4369">
        <v>1</v>
      </c>
      <c r="D4369">
        <v>0</v>
      </c>
      <c r="E4369">
        <v>0</v>
      </c>
      <c r="F4369">
        <v>111.75</v>
      </c>
      <c r="G4369">
        <v>21851.09</v>
      </c>
      <c r="H4369" s="14">
        <v>43768.833333333336</v>
      </c>
    </row>
    <row r="4370" spans="1:8" x14ac:dyDescent="0.25">
      <c r="A4370">
        <v>217</v>
      </c>
      <c r="B4370" t="s">
        <v>343</v>
      </c>
      <c r="C4370">
        <v>2</v>
      </c>
      <c r="D4370">
        <v>0</v>
      </c>
      <c r="E4370">
        <v>0</v>
      </c>
      <c r="F4370">
        <v>111.86</v>
      </c>
      <c r="G4370">
        <v>21604.63</v>
      </c>
      <c r="H4370" s="14">
        <v>43768.833333333336</v>
      </c>
    </row>
    <row r="4371" spans="1:8" x14ac:dyDescent="0.25">
      <c r="A4371">
        <v>217</v>
      </c>
      <c r="B4371" t="s">
        <v>343</v>
      </c>
      <c r="C4371">
        <v>3</v>
      </c>
      <c r="D4371">
        <v>0</v>
      </c>
      <c r="E4371">
        <v>0</v>
      </c>
      <c r="F4371">
        <v>110.73</v>
      </c>
      <c r="G4371">
        <v>21597.69</v>
      </c>
      <c r="H4371" s="14">
        <v>43768.833333333336</v>
      </c>
    </row>
    <row r="4372" spans="1:8" x14ac:dyDescent="0.25">
      <c r="A4372">
        <v>218</v>
      </c>
      <c r="B4372" t="s">
        <v>344</v>
      </c>
      <c r="C4372">
        <v>1</v>
      </c>
      <c r="D4372">
        <v>0</v>
      </c>
      <c r="E4372">
        <v>0</v>
      </c>
      <c r="F4372">
        <v>150.06</v>
      </c>
      <c r="G4372">
        <v>28405.99</v>
      </c>
      <c r="H4372" s="14">
        <v>43768.833333333336</v>
      </c>
    </row>
    <row r="4373" spans="1:8" x14ac:dyDescent="0.25">
      <c r="A4373">
        <v>218</v>
      </c>
      <c r="B4373" t="s">
        <v>344</v>
      </c>
      <c r="C4373">
        <v>2</v>
      </c>
      <c r="D4373">
        <v>0</v>
      </c>
      <c r="E4373">
        <v>0</v>
      </c>
      <c r="F4373">
        <v>146.5</v>
      </c>
      <c r="G4373">
        <v>28214.880000000001</v>
      </c>
      <c r="H4373" s="14">
        <v>43768.833333333336</v>
      </c>
    </row>
    <row r="4374" spans="1:8" x14ac:dyDescent="0.25">
      <c r="A4374">
        <v>218</v>
      </c>
      <c r="B4374" t="s">
        <v>344</v>
      </c>
      <c r="C4374">
        <v>3</v>
      </c>
      <c r="D4374">
        <v>0</v>
      </c>
      <c r="E4374">
        <v>0</v>
      </c>
      <c r="F4374">
        <v>118.28</v>
      </c>
      <c r="G4374">
        <v>22903.77</v>
      </c>
      <c r="H4374" s="14">
        <v>43768.833333333336</v>
      </c>
    </row>
    <row r="4375" spans="1:8" x14ac:dyDescent="0.25">
      <c r="A4375">
        <v>219</v>
      </c>
      <c r="B4375" t="s">
        <v>345</v>
      </c>
      <c r="C4375">
        <v>1</v>
      </c>
      <c r="D4375">
        <v>4.53</v>
      </c>
      <c r="E4375">
        <v>0</v>
      </c>
      <c r="F4375">
        <v>13.83</v>
      </c>
      <c r="G4375">
        <v>3229.66</v>
      </c>
      <c r="H4375" s="14">
        <v>43768.833333333336</v>
      </c>
    </row>
    <row r="4376" spans="1:8" x14ac:dyDescent="0.25">
      <c r="A4376">
        <v>219</v>
      </c>
      <c r="B4376" t="s">
        <v>345</v>
      </c>
      <c r="C4376">
        <v>2</v>
      </c>
      <c r="D4376">
        <v>4.4400000000000004</v>
      </c>
      <c r="E4376">
        <v>0</v>
      </c>
      <c r="F4376">
        <v>13.83</v>
      </c>
      <c r="G4376">
        <v>3225.08</v>
      </c>
      <c r="H4376" s="14">
        <v>43768.833333333336</v>
      </c>
    </row>
    <row r="4377" spans="1:8" x14ac:dyDescent="0.25">
      <c r="A4377">
        <v>219</v>
      </c>
      <c r="B4377" t="s">
        <v>345</v>
      </c>
      <c r="C4377">
        <v>3</v>
      </c>
      <c r="D4377">
        <v>4.55</v>
      </c>
      <c r="E4377">
        <v>0</v>
      </c>
      <c r="F4377">
        <v>13.66</v>
      </c>
      <c r="G4377">
        <v>3199.06</v>
      </c>
      <c r="H4377" s="14">
        <v>43768.833333333336</v>
      </c>
    </row>
    <row r="4378" spans="1:8" x14ac:dyDescent="0.25">
      <c r="A4378">
        <v>219</v>
      </c>
      <c r="B4378" t="s">
        <v>345</v>
      </c>
      <c r="C4378">
        <v>4</v>
      </c>
      <c r="D4378">
        <v>4.37</v>
      </c>
      <c r="E4378">
        <v>0</v>
      </c>
      <c r="F4378">
        <v>-11122755.050000001</v>
      </c>
      <c r="G4378">
        <v>3177.95</v>
      </c>
      <c r="H4378" s="14">
        <v>43768.833333333336</v>
      </c>
    </row>
    <row r="4379" spans="1:8" x14ac:dyDescent="0.25">
      <c r="A4379">
        <v>219</v>
      </c>
      <c r="B4379" t="s">
        <v>345</v>
      </c>
      <c r="C4379">
        <v>5</v>
      </c>
      <c r="D4379">
        <v>4.53</v>
      </c>
      <c r="E4379">
        <v>0</v>
      </c>
      <c r="F4379">
        <v>13.66</v>
      </c>
      <c r="G4379">
        <v>2945.71</v>
      </c>
      <c r="H4379" s="14">
        <v>43768.833333333336</v>
      </c>
    </row>
    <row r="4380" spans="1:8" x14ac:dyDescent="0.25">
      <c r="A4380">
        <v>219</v>
      </c>
      <c r="B4380" t="s">
        <v>345</v>
      </c>
      <c r="C4380">
        <v>6</v>
      </c>
      <c r="D4380">
        <v>4.54</v>
      </c>
      <c r="E4380">
        <v>0</v>
      </c>
      <c r="F4380">
        <v>13.64</v>
      </c>
      <c r="G4380">
        <v>2301.2399999999998</v>
      </c>
      <c r="H4380" s="14">
        <v>43768.833333333336</v>
      </c>
    </row>
    <row r="4381" spans="1:8" x14ac:dyDescent="0.25">
      <c r="A4381">
        <v>219</v>
      </c>
      <c r="B4381" t="s">
        <v>345</v>
      </c>
      <c r="C4381">
        <v>7</v>
      </c>
      <c r="D4381">
        <v>4.55</v>
      </c>
      <c r="E4381">
        <v>0</v>
      </c>
      <c r="F4381">
        <v>13.86</v>
      </c>
      <c r="G4381">
        <v>3121.8</v>
      </c>
      <c r="H4381" s="14">
        <v>43768.833333333336</v>
      </c>
    </row>
    <row r="4382" spans="1:8" x14ac:dyDescent="0.25">
      <c r="A4382">
        <v>219</v>
      </c>
      <c r="B4382" t="s">
        <v>345</v>
      </c>
      <c r="C4382">
        <v>8</v>
      </c>
      <c r="D4382">
        <v>4.5199999999999996</v>
      </c>
      <c r="E4382">
        <v>0</v>
      </c>
      <c r="F4382">
        <v>13.88</v>
      </c>
      <c r="G4382">
        <v>3088.16</v>
      </c>
      <c r="H4382" s="14">
        <v>43768.833333333336</v>
      </c>
    </row>
    <row r="4383" spans="1:8" x14ac:dyDescent="0.25">
      <c r="A4383">
        <v>219</v>
      </c>
      <c r="B4383" t="s">
        <v>345</v>
      </c>
      <c r="C4383">
        <v>9</v>
      </c>
      <c r="D4383">
        <v>4.58</v>
      </c>
      <c r="E4383">
        <v>0</v>
      </c>
      <c r="F4383">
        <v>13.64</v>
      </c>
      <c r="G4383">
        <v>3157.38</v>
      </c>
      <c r="H4383" s="14">
        <v>43768.833333333336</v>
      </c>
    </row>
    <row r="4384" spans="1:8" x14ac:dyDescent="0.25">
      <c r="A4384">
        <v>219</v>
      </c>
      <c r="B4384" t="s">
        <v>345</v>
      </c>
      <c r="C4384">
        <v>10</v>
      </c>
      <c r="D4384">
        <v>4.38</v>
      </c>
      <c r="E4384">
        <v>0</v>
      </c>
      <c r="F4384">
        <v>13.42</v>
      </c>
      <c r="G4384">
        <v>3061.06</v>
      </c>
      <c r="H4384" s="14">
        <v>43768.833333333336</v>
      </c>
    </row>
    <row r="4385" spans="1:8" x14ac:dyDescent="0.25">
      <c r="A4385">
        <v>219</v>
      </c>
      <c r="B4385" t="s">
        <v>345</v>
      </c>
      <c r="C4385">
        <v>11</v>
      </c>
      <c r="D4385">
        <v>4.37</v>
      </c>
      <c r="E4385">
        <v>0</v>
      </c>
      <c r="F4385">
        <v>13.08</v>
      </c>
      <c r="G4385">
        <v>1464.34</v>
      </c>
      <c r="H4385" s="14">
        <v>43768.833333333336</v>
      </c>
    </row>
    <row r="4386" spans="1:8" x14ac:dyDescent="0.25">
      <c r="A4386">
        <v>219</v>
      </c>
      <c r="B4386" t="s">
        <v>345</v>
      </c>
      <c r="C4386">
        <v>12</v>
      </c>
      <c r="D4386">
        <v>4.3600000000000003</v>
      </c>
      <c r="E4386">
        <v>0</v>
      </c>
      <c r="F4386">
        <v>13.15</v>
      </c>
      <c r="G4386">
        <v>3164.97</v>
      </c>
      <c r="H4386" s="14">
        <v>43768.833333333336</v>
      </c>
    </row>
    <row r="4387" spans="1:8" x14ac:dyDescent="0.25">
      <c r="A4387">
        <v>219</v>
      </c>
      <c r="B4387" t="s">
        <v>345</v>
      </c>
      <c r="C4387">
        <v>13</v>
      </c>
      <c r="D4387">
        <v>4.67</v>
      </c>
      <c r="E4387">
        <v>0</v>
      </c>
      <c r="F4387">
        <v>13.51</v>
      </c>
      <c r="G4387">
        <v>2935.87</v>
      </c>
      <c r="H4387" s="14">
        <v>43768.833333333336</v>
      </c>
    </row>
    <row r="4388" spans="1:8" x14ac:dyDescent="0.25">
      <c r="A4388">
        <v>219</v>
      </c>
      <c r="B4388" t="s">
        <v>345</v>
      </c>
      <c r="C4388">
        <v>14</v>
      </c>
      <c r="D4388">
        <v>4.51</v>
      </c>
      <c r="E4388">
        <v>0</v>
      </c>
      <c r="F4388">
        <v>11.21</v>
      </c>
      <c r="G4388">
        <v>2324.3200000000002</v>
      </c>
      <c r="H4388" s="14">
        <v>43768.833333333336</v>
      </c>
    </row>
    <row r="4389" spans="1:8" x14ac:dyDescent="0.25">
      <c r="A4389">
        <v>219</v>
      </c>
      <c r="B4389" t="s">
        <v>345</v>
      </c>
      <c r="C4389">
        <v>15</v>
      </c>
      <c r="D4389">
        <v>4.6500000000000004</v>
      </c>
      <c r="E4389">
        <v>0</v>
      </c>
      <c r="F4389">
        <v>13.25</v>
      </c>
      <c r="G4389">
        <v>1462.09</v>
      </c>
      <c r="H4389" s="14">
        <v>43768.833333333336</v>
      </c>
    </row>
    <row r="4390" spans="1:8" x14ac:dyDescent="0.25">
      <c r="A4390">
        <v>219</v>
      </c>
      <c r="B4390" t="s">
        <v>345</v>
      </c>
      <c r="C4390">
        <v>16</v>
      </c>
      <c r="D4390">
        <v>4.47</v>
      </c>
      <c r="E4390">
        <v>0</v>
      </c>
      <c r="F4390">
        <v>12.61</v>
      </c>
      <c r="G4390">
        <v>2969.26</v>
      </c>
      <c r="H4390" s="14">
        <v>43768.833333333336</v>
      </c>
    </row>
    <row r="4391" spans="1:8" x14ac:dyDescent="0.25">
      <c r="A4391">
        <v>219</v>
      </c>
      <c r="B4391" t="s">
        <v>345</v>
      </c>
      <c r="C4391">
        <v>17</v>
      </c>
      <c r="D4391">
        <v>2.91</v>
      </c>
      <c r="E4391">
        <v>0</v>
      </c>
      <c r="F4391">
        <v>7.3</v>
      </c>
      <c r="G4391">
        <v>1592.84</v>
      </c>
      <c r="H4391" s="14">
        <v>43768.833333333336</v>
      </c>
    </row>
    <row r="4392" spans="1:8" x14ac:dyDescent="0.25">
      <c r="A4392">
        <v>219</v>
      </c>
      <c r="B4392" t="s">
        <v>345</v>
      </c>
      <c r="C4392">
        <v>18</v>
      </c>
      <c r="D4392">
        <v>2.9</v>
      </c>
      <c r="E4392">
        <v>0</v>
      </c>
      <c r="F4392">
        <v>7.24</v>
      </c>
      <c r="G4392">
        <v>125.61</v>
      </c>
      <c r="H4392" s="14">
        <v>43768.833333333336</v>
      </c>
    </row>
    <row r="4393" spans="1:8" x14ac:dyDescent="0.25">
      <c r="A4393">
        <v>220</v>
      </c>
      <c r="B4393" t="s">
        <v>346</v>
      </c>
      <c r="C4393">
        <v>1</v>
      </c>
      <c r="D4393">
        <v>0</v>
      </c>
      <c r="E4393">
        <v>0</v>
      </c>
      <c r="F4393">
        <v>87.7</v>
      </c>
      <c r="G4393">
        <v>23611.01</v>
      </c>
      <c r="H4393" s="14">
        <v>43768.833333333336</v>
      </c>
    </row>
    <row r="4394" spans="1:8" x14ac:dyDescent="0.25">
      <c r="A4394">
        <v>220</v>
      </c>
      <c r="B4394" t="s">
        <v>346</v>
      </c>
      <c r="C4394">
        <v>2</v>
      </c>
      <c r="D4394">
        <v>0</v>
      </c>
      <c r="E4394">
        <v>0</v>
      </c>
      <c r="F4394">
        <v>82.61</v>
      </c>
      <c r="G4394">
        <v>21859.38</v>
      </c>
      <c r="H4394" s="14">
        <v>43768.833333333336</v>
      </c>
    </row>
    <row r="4395" spans="1:8" x14ac:dyDescent="0.25">
      <c r="A4395">
        <v>220</v>
      </c>
      <c r="B4395" t="s">
        <v>346</v>
      </c>
      <c r="C4395">
        <v>3</v>
      </c>
      <c r="D4395">
        <v>0</v>
      </c>
      <c r="E4395">
        <v>0</v>
      </c>
      <c r="F4395">
        <v>68.34</v>
      </c>
      <c r="G4395">
        <v>18119.03</v>
      </c>
      <c r="H4395" s="14">
        <v>43768.833333333336</v>
      </c>
    </row>
    <row r="4396" spans="1:8" x14ac:dyDescent="0.25">
      <c r="A4396">
        <v>221</v>
      </c>
      <c r="B4396" t="s">
        <v>347</v>
      </c>
      <c r="C4396">
        <v>1</v>
      </c>
      <c r="D4396">
        <v>0</v>
      </c>
      <c r="E4396">
        <v>0</v>
      </c>
      <c r="F4396">
        <v>87.63</v>
      </c>
      <c r="G4396">
        <v>24296.66</v>
      </c>
      <c r="H4396" s="14">
        <v>43768.833333333336</v>
      </c>
    </row>
    <row r="4397" spans="1:8" x14ac:dyDescent="0.25">
      <c r="A4397">
        <v>221</v>
      </c>
      <c r="B4397" t="s">
        <v>347</v>
      </c>
      <c r="C4397">
        <v>2</v>
      </c>
      <c r="D4397">
        <v>0</v>
      </c>
      <c r="E4397">
        <v>0</v>
      </c>
      <c r="F4397">
        <v>82.95</v>
      </c>
      <c r="G4397">
        <v>22699.42</v>
      </c>
      <c r="H4397" s="14">
        <v>43768.833333333336</v>
      </c>
    </row>
    <row r="4398" spans="1:8" x14ac:dyDescent="0.25">
      <c r="A4398">
        <v>221</v>
      </c>
      <c r="B4398" t="s">
        <v>347</v>
      </c>
      <c r="C4398">
        <v>3</v>
      </c>
      <c r="D4398">
        <v>0</v>
      </c>
      <c r="E4398">
        <v>0</v>
      </c>
      <c r="F4398">
        <v>69.28</v>
      </c>
      <c r="G4398">
        <v>18821.47</v>
      </c>
      <c r="H4398" s="14">
        <v>43768.833333333336</v>
      </c>
    </row>
    <row r="4399" spans="1:8" x14ac:dyDescent="0.25">
      <c r="A4399">
        <v>222</v>
      </c>
      <c r="B4399" t="s">
        <v>349</v>
      </c>
      <c r="C4399">
        <v>1</v>
      </c>
      <c r="D4399">
        <v>0</v>
      </c>
      <c r="E4399">
        <v>0</v>
      </c>
      <c r="F4399">
        <v>85.14</v>
      </c>
      <c r="G4399">
        <v>24067.86</v>
      </c>
      <c r="H4399" s="14">
        <v>43768.833333333336</v>
      </c>
    </row>
    <row r="4400" spans="1:8" x14ac:dyDescent="0.25">
      <c r="A4400">
        <v>222</v>
      </c>
      <c r="B4400" t="s">
        <v>349</v>
      </c>
      <c r="C4400">
        <v>2</v>
      </c>
      <c r="D4400">
        <v>0</v>
      </c>
      <c r="E4400">
        <v>0</v>
      </c>
      <c r="F4400">
        <v>83.92</v>
      </c>
      <c r="G4400">
        <v>22673.06</v>
      </c>
      <c r="H4400" s="14">
        <v>43768.833333333336</v>
      </c>
    </row>
    <row r="4401" spans="1:8" x14ac:dyDescent="0.25">
      <c r="A4401">
        <v>222</v>
      </c>
      <c r="B4401" t="s">
        <v>349</v>
      </c>
      <c r="C4401">
        <v>3</v>
      </c>
      <c r="D4401">
        <v>0</v>
      </c>
      <c r="E4401">
        <v>0</v>
      </c>
      <c r="F4401">
        <v>70.569999999999993</v>
      </c>
      <c r="G4401">
        <v>18671.72</v>
      </c>
      <c r="H4401" s="14">
        <v>43768.833333333336</v>
      </c>
    </row>
    <row r="4402" spans="1:8" x14ac:dyDescent="0.25">
      <c r="A4402">
        <v>223</v>
      </c>
      <c r="B4402" t="s">
        <v>350</v>
      </c>
      <c r="C4402">
        <v>1</v>
      </c>
      <c r="D4402">
        <v>4.47</v>
      </c>
      <c r="E4402">
        <v>0</v>
      </c>
      <c r="F4402">
        <v>13.59</v>
      </c>
      <c r="G4402">
        <v>3374.25</v>
      </c>
      <c r="H4402" s="14">
        <v>43768.833333333336</v>
      </c>
    </row>
    <row r="4403" spans="1:8" x14ac:dyDescent="0.25">
      <c r="A4403">
        <v>223</v>
      </c>
      <c r="B4403" t="s">
        <v>350</v>
      </c>
      <c r="C4403">
        <v>2</v>
      </c>
      <c r="D4403">
        <v>4.66</v>
      </c>
      <c r="E4403">
        <v>0</v>
      </c>
      <c r="F4403">
        <v>13.69</v>
      </c>
      <c r="G4403">
        <v>3376.29</v>
      </c>
      <c r="H4403" s="14">
        <v>43768.833333333336</v>
      </c>
    </row>
    <row r="4404" spans="1:8" x14ac:dyDescent="0.25">
      <c r="A4404">
        <v>223</v>
      </c>
      <c r="B4404" t="s">
        <v>350</v>
      </c>
      <c r="C4404">
        <v>3</v>
      </c>
      <c r="D4404">
        <v>4.57</v>
      </c>
      <c r="E4404">
        <v>0</v>
      </c>
      <c r="F4404">
        <v>13.73</v>
      </c>
      <c r="G4404">
        <v>3361.54</v>
      </c>
      <c r="H4404" s="14">
        <v>43768.833333333336</v>
      </c>
    </row>
    <row r="4405" spans="1:8" x14ac:dyDescent="0.25">
      <c r="A4405">
        <v>223</v>
      </c>
      <c r="B4405" t="s">
        <v>350</v>
      </c>
      <c r="C4405">
        <v>4</v>
      </c>
      <c r="D4405">
        <v>4.49</v>
      </c>
      <c r="E4405">
        <v>0</v>
      </c>
      <c r="F4405">
        <v>13.26</v>
      </c>
      <c r="G4405">
        <v>3301.53</v>
      </c>
      <c r="H4405" s="14">
        <v>43768.833333333336</v>
      </c>
    </row>
    <row r="4406" spans="1:8" x14ac:dyDescent="0.25">
      <c r="A4406">
        <v>223</v>
      </c>
      <c r="B4406" t="s">
        <v>350</v>
      </c>
      <c r="C4406">
        <v>5</v>
      </c>
      <c r="D4406">
        <v>4.66</v>
      </c>
      <c r="E4406">
        <v>0</v>
      </c>
      <c r="F4406">
        <v>13.37</v>
      </c>
      <c r="G4406">
        <v>3210.86</v>
      </c>
      <c r="H4406" s="14">
        <v>43768.833333333336</v>
      </c>
    </row>
    <row r="4407" spans="1:8" x14ac:dyDescent="0.25">
      <c r="A4407">
        <v>223</v>
      </c>
      <c r="B4407" t="s">
        <v>350</v>
      </c>
      <c r="C4407">
        <v>6</v>
      </c>
      <c r="D4407">
        <v>4.63</v>
      </c>
      <c r="E4407">
        <v>0</v>
      </c>
      <c r="F4407">
        <v>12.87</v>
      </c>
      <c r="G4407">
        <v>2892.41</v>
      </c>
      <c r="H4407" s="14">
        <v>43768.833333333336</v>
      </c>
    </row>
    <row r="4408" spans="1:8" x14ac:dyDescent="0.25">
      <c r="A4408">
        <v>223</v>
      </c>
      <c r="B4408" t="s">
        <v>350</v>
      </c>
      <c r="C4408">
        <v>7</v>
      </c>
      <c r="D4408">
        <v>4.6100000000000003</v>
      </c>
      <c r="E4408">
        <v>0</v>
      </c>
      <c r="F4408">
        <v>13.67</v>
      </c>
      <c r="G4408">
        <v>3418.51</v>
      </c>
      <c r="H4408" s="14">
        <v>43768.833333333336</v>
      </c>
    </row>
    <row r="4409" spans="1:8" x14ac:dyDescent="0.25">
      <c r="A4409">
        <v>223</v>
      </c>
      <c r="B4409" t="s">
        <v>350</v>
      </c>
      <c r="C4409">
        <v>8</v>
      </c>
      <c r="D4409">
        <v>4.7300000000000004</v>
      </c>
      <c r="E4409">
        <v>0</v>
      </c>
      <c r="F4409">
        <v>13.81</v>
      </c>
      <c r="G4409">
        <v>3234.08</v>
      </c>
      <c r="H4409" s="14">
        <v>43768.833333333336</v>
      </c>
    </row>
    <row r="4410" spans="1:8" x14ac:dyDescent="0.25">
      <c r="A4410">
        <v>223</v>
      </c>
      <c r="B4410" t="s">
        <v>350</v>
      </c>
      <c r="C4410">
        <v>9</v>
      </c>
      <c r="D4410">
        <v>4.87</v>
      </c>
      <c r="E4410">
        <v>0</v>
      </c>
      <c r="F4410">
        <v>13.86</v>
      </c>
      <c r="G4410">
        <v>615.12</v>
      </c>
      <c r="H4410" s="14">
        <v>43768.833333333336</v>
      </c>
    </row>
    <row r="4411" spans="1:8" x14ac:dyDescent="0.25">
      <c r="A4411">
        <v>223</v>
      </c>
      <c r="B4411" t="s">
        <v>350</v>
      </c>
      <c r="C4411">
        <v>10</v>
      </c>
      <c r="D4411">
        <v>4.5599999999999996</v>
      </c>
      <c r="E4411">
        <v>0</v>
      </c>
      <c r="F4411">
        <v>13.64</v>
      </c>
      <c r="G4411">
        <v>3434.37</v>
      </c>
      <c r="H4411" s="14">
        <v>43768.833333333336</v>
      </c>
    </row>
    <row r="4412" spans="1:8" x14ac:dyDescent="0.25">
      <c r="A4412">
        <v>223</v>
      </c>
      <c r="B4412" t="s">
        <v>350</v>
      </c>
      <c r="C4412">
        <v>11</v>
      </c>
      <c r="D4412">
        <v>4.58</v>
      </c>
      <c r="E4412">
        <v>0</v>
      </c>
      <c r="F4412">
        <v>13.7</v>
      </c>
      <c r="G4412">
        <v>3411.11</v>
      </c>
      <c r="H4412" s="14">
        <v>43768.833333333336</v>
      </c>
    </row>
    <row r="4413" spans="1:8" x14ac:dyDescent="0.25">
      <c r="A4413">
        <v>223</v>
      </c>
      <c r="B4413" t="s">
        <v>350</v>
      </c>
      <c r="C4413">
        <v>12</v>
      </c>
      <c r="D4413">
        <v>4.7</v>
      </c>
      <c r="E4413">
        <v>0</v>
      </c>
      <c r="F4413">
        <v>13.37</v>
      </c>
      <c r="G4413">
        <v>3320.33</v>
      </c>
      <c r="H4413" s="14">
        <v>43768.833333333336</v>
      </c>
    </row>
    <row r="4414" spans="1:8" x14ac:dyDescent="0.25">
      <c r="A4414">
        <v>223</v>
      </c>
      <c r="B4414" t="s">
        <v>350</v>
      </c>
      <c r="C4414">
        <v>13</v>
      </c>
      <c r="D4414">
        <v>4.13</v>
      </c>
      <c r="E4414">
        <v>0</v>
      </c>
      <c r="F4414">
        <v>12.23</v>
      </c>
      <c r="G4414">
        <v>3068.63</v>
      </c>
      <c r="H4414" s="14">
        <v>43768.833333333336</v>
      </c>
    </row>
    <row r="4415" spans="1:8" x14ac:dyDescent="0.25">
      <c r="A4415">
        <v>223</v>
      </c>
      <c r="B4415" t="s">
        <v>350</v>
      </c>
      <c r="C4415">
        <v>14</v>
      </c>
      <c r="D4415">
        <v>3.98</v>
      </c>
      <c r="E4415">
        <v>0</v>
      </c>
      <c r="F4415">
        <v>11.97</v>
      </c>
      <c r="G4415">
        <v>3036.04</v>
      </c>
      <c r="H4415" s="14">
        <v>43768.833333333336</v>
      </c>
    </row>
    <row r="4416" spans="1:8" x14ac:dyDescent="0.25">
      <c r="A4416">
        <v>223</v>
      </c>
      <c r="B4416" t="s">
        <v>350</v>
      </c>
      <c r="C4416">
        <v>15</v>
      </c>
      <c r="D4416">
        <v>4.08</v>
      </c>
      <c r="E4416">
        <v>0</v>
      </c>
      <c r="F4416">
        <v>11.82</v>
      </c>
      <c r="G4416">
        <v>3370</v>
      </c>
      <c r="H4416" s="14">
        <v>43768.833333333336</v>
      </c>
    </row>
    <row r="4417" spans="1:8" x14ac:dyDescent="0.25">
      <c r="A4417">
        <v>223</v>
      </c>
      <c r="B4417" t="s">
        <v>350</v>
      </c>
      <c r="C4417">
        <v>16</v>
      </c>
      <c r="D4417">
        <v>4.17</v>
      </c>
      <c r="E4417">
        <v>0</v>
      </c>
      <c r="F4417">
        <v>11.77</v>
      </c>
      <c r="G4417">
        <v>3026.82</v>
      </c>
      <c r="H4417" s="14">
        <v>43768.833333333336</v>
      </c>
    </row>
    <row r="4418" spans="1:8" x14ac:dyDescent="0.25">
      <c r="A4418">
        <v>223</v>
      </c>
      <c r="B4418" t="s">
        <v>350</v>
      </c>
      <c r="C4418">
        <v>17</v>
      </c>
      <c r="D4418">
        <v>4.09</v>
      </c>
      <c r="E4418">
        <v>0</v>
      </c>
      <c r="F4418">
        <v>12.01</v>
      </c>
      <c r="G4418">
        <v>3027.82</v>
      </c>
      <c r="H4418" s="14">
        <v>43768.833333333336</v>
      </c>
    </row>
    <row r="4419" spans="1:8" x14ac:dyDescent="0.25">
      <c r="A4419">
        <v>223</v>
      </c>
      <c r="B4419" t="s">
        <v>350</v>
      </c>
      <c r="C4419">
        <v>18</v>
      </c>
      <c r="D4419">
        <v>4.12</v>
      </c>
      <c r="E4419">
        <v>0</v>
      </c>
      <c r="F4419">
        <v>11.76</v>
      </c>
      <c r="G4419">
        <v>2992.52</v>
      </c>
      <c r="H4419" s="14">
        <v>43768.833333333336</v>
      </c>
    </row>
    <row r="4420" spans="1:8" x14ac:dyDescent="0.25">
      <c r="A4420">
        <v>223</v>
      </c>
      <c r="B4420" t="s">
        <v>350</v>
      </c>
      <c r="C4420">
        <v>19</v>
      </c>
      <c r="D4420">
        <v>4.16</v>
      </c>
      <c r="E4420">
        <v>0</v>
      </c>
      <c r="F4420">
        <v>11.19</v>
      </c>
      <c r="G4420">
        <v>2332.36</v>
      </c>
      <c r="H4420" s="14">
        <v>43768.833333333336</v>
      </c>
    </row>
    <row r="4421" spans="1:8" x14ac:dyDescent="0.25">
      <c r="A4421">
        <v>224</v>
      </c>
      <c r="B4421" t="s">
        <v>351</v>
      </c>
      <c r="C4421">
        <v>1</v>
      </c>
      <c r="D4421">
        <v>0</v>
      </c>
      <c r="E4421">
        <v>0</v>
      </c>
      <c r="F4421">
        <v>95.06</v>
      </c>
      <c r="G4421">
        <v>23328.080000000002</v>
      </c>
      <c r="H4421" s="14">
        <v>43768.833333333336</v>
      </c>
    </row>
    <row r="4422" spans="1:8" x14ac:dyDescent="0.25">
      <c r="A4422">
        <v>224</v>
      </c>
      <c r="B4422" t="s">
        <v>351</v>
      </c>
      <c r="C4422">
        <v>2</v>
      </c>
      <c r="D4422">
        <v>0</v>
      </c>
      <c r="E4422">
        <v>0</v>
      </c>
      <c r="F4422">
        <v>78.849999999999994</v>
      </c>
      <c r="G4422">
        <v>19405.830000000002</v>
      </c>
      <c r="H4422" s="14">
        <v>43768.833333333336</v>
      </c>
    </row>
    <row r="4423" spans="1:8" x14ac:dyDescent="0.25">
      <c r="A4423">
        <v>224</v>
      </c>
      <c r="B4423" t="s">
        <v>351</v>
      </c>
      <c r="C4423">
        <v>3</v>
      </c>
      <c r="D4423">
        <v>0</v>
      </c>
      <c r="E4423">
        <v>0</v>
      </c>
      <c r="F4423">
        <v>78.78</v>
      </c>
      <c r="G4423">
        <v>19473.87</v>
      </c>
      <c r="H4423" s="14">
        <v>43768.833333333336</v>
      </c>
    </row>
    <row r="4424" spans="1:8" x14ac:dyDescent="0.25">
      <c r="A4424">
        <v>225</v>
      </c>
      <c r="B4424" t="s">
        <v>352</v>
      </c>
      <c r="C4424">
        <v>1</v>
      </c>
      <c r="D4424">
        <v>0</v>
      </c>
      <c r="E4424">
        <v>0</v>
      </c>
      <c r="F4424">
        <v>93.67</v>
      </c>
      <c r="G4424">
        <v>23261.57</v>
      </c>
      <c r="H4424" s="14">
        <v>43768.833333333336</v>
      </c>
    </row>
    <row r="4425" spans="1:8" x14ac:dyDescent="0.25">
      <c r="A4425">
        <v>225</v>
      </c>
      <c r="B4425" t="s">
        <v>352</v>
      </c>
      <c r="C4425">
        <v>2</v>
      </c>
      <c r="D4425">
        <v>0</v>
      </c>
      <c r="E4425">
        <v>0</v>
      </c>
      <c r="F4425">
        <v>79.45</v>
      </c>
      <c r="G4425">
        <v>19197.060000000001</v>
      </c>
      <c r="H4425" s="14">
        <v>43768.833333333336</v>
      </c>
    </row>
    <row r="4426" spans="1:8" x14ac:dyDescent="0.25">
      <c r="A4426">
        <v>225</v>
      </c>
      <c r="B4426" t="s">
        <v>352</v>
      </c>
      <c r="C4426">
        <v>3</v>
      </c>
      <c r="D4426">
        <v>0</v>
      </c>
      <c r="E4426">
        <v>0</v>
      </c>
      <c r="F4426">
        <v>63.34</v>
      </c>
      <c r="G4426">
        <v>15529.81</v>
      </c>
      <c r="H4426" s="14">
        <v>43768.833333333336</v>
      </c>
    </row>
    <row r="4427" spans="1:8" x14ac:dyDescent="0.25">
      <c r="A4427">
        <v>226</v>
      </c>
      <c r="B4427" t="s">
        <v>353</v>
      </c>
      <c r="C4427">
        <v>1</v>
      </c>
      <c r="D4427">
        <v>0</v>
      </c>
      <c r="E4427">
        <v>0</v>
      </c>
      <c r="F4427">
        <v>68.069999999999993</v>
      </c>
      <c r="G4427">
        <v>16950.48</v>
      </c>
      <c r="H4427" s="14">
        <v>43768.833333333336</v>
      </c>
    </row>
    <row r="4428" spans="1:8" x14ac:dyDescent="0.25">
      <c r="A4428">
        <v>226</v>
      </c>
      <c r="B4428" t="s">
        <v>353</v>
      </c>
      <c r="C4428">
        <v>2</v>
      </c>
      <c r="D4428">
        <v>0</v>
      </c>
      <c r="E4428">
        <v>0</v>
      </c>
      <c r="F4428">
        <v>84.29</v>
      </c>
      <c r="G4428">
        <v>21226.01</v>
      </c>
      <c r="H4428" s="14">
        <v>43768.833333333336</v>
      </c>
    </row>
    <row r="4429" spans="1:8" x14ac:dyDescent="0.25">
      <c r="A4429">
        <v>226</v>
      </c>
      <c r="B4429" t="s">
        <v>353</v>
      </c>
      <c r="C4429">
        <v>3</v>
      </c>
      <c r="D4429">
        <v>0</v>
      </c>
      <c r="E4429">
        <v>0</v>
      </c>
      <c r="F4429">
        <v>59.31</v>
      </c>
      <c r="G4429">
        <v>14966.54</v>
      </c>
      <c r="H4429" s="14">
        <v>43768.833333333336</v>
      </c>
    </row>
    <row r="4430" spans="1:8" x14ac:dyDescent="0.25">
      <c r="A4430">
        <v>227</v>
      </c>
      <c r="B4430" t="s">
        <v>354</v>
      </c>
      <c r="C4430">
        <v>1</v>
      </c>
      <c r="D4430">
        <v>0</v>
      </c>
      <c r="E4430">
        <v>0</v>
      </c>
      <c r="F4430">
        <v>68.66</v>
      </c>
      <c r="G4430">
        <v>11789.71</v>
      </c>
      <c r="H4430" s="14">
        <v>43768.833333333336</v>
      </c>
    </row>
    <row r="4431" spans="1:8" x14ac:dyDescent="0.25">
      <c r="A4431">
        <v>227</v>
      </c>
      <c r="B4431" t="s">
        <v>354</v>
      </c>
      <c r="C4431">
        <v>2</v>
      </c>
      <c r="D4431">
        <v>0</v>
      </c>
      <c r="E4431">
        <v>0</v>
      </c>
      <c r="F4431">
        <v>75.23</v>
      </c>
      <c r="G4431">
        <v>14711.07</v>
      </c>
      <c r="H4431" s="14">
        <v>43768.833333333336</v>
      </c>
    </row>
    <row r="4432" spans="1:8" x14ac:dyDescent="0.25">
      <c r="A4432">
        <v>227</v>
      </c>
      <c r="B4432" t="s">
        <v>354</v>
      </c>
      <c r="C4432">
        <v>3</v>
      </c>
      <c r="D4432">
        <v>0</v>
      </c>
      <c r="E4432">
        <v>0</v>
      </c>
      <c r="F4432">
        <v>66.900000000000006</v>
      </c>
      <c r="G4432">
        <v>11468.34</v>
      </c>
      <c r="H4432" s="14">
        <v>43768.833333333336</v>
      </c>
    </row>
    <row r="4433" spans="1:8" x14ac:dyDescent="0.25">
      <c r="A4433">
        <v>228</v>
      </c>
      <c r="B4433" t="s">
        <v>355</v>
      </c>
      <c r="C4433">
        <v>1</v>
      </c>
      <c r="D4433">
        <v>0</v>
      </c>
      <c r="E4433">
        <v>0</v>
      </c>
      <c r="F4433">
        <v>94.6</v>
      </c>
      <c r="G4433">
        <v>23210.65</v>
      </c>
      <c r="H4433" s="14">
        <v>43768.833333333336</v>
      </c>
    </row>
    <row r="4434" spans="1:8" x14ac:dyDescent="0.25">
      <c r="A4434">
        <v>228</v>
      </c>
      <c r="B4434" t="s">
        <v>355</v>
      </c>
      <c r="C4434">
        <v>2</v>
      </c>
      <c r="D4434">
        <v>0</v>
      </c>
      <c r="E4434">
        <v>0</v>
      </c>
      <c r="F4434">
        <v>79.97</v>
      </c>
      <c r="G4434">
        <v>16821.89</v>
      </c>
      <c r="H4434" s="14">
        <v>43768.833333333336</v>
      </c>
    </row>
    <row r="4435" spans="1:8" x14ac:dyDescent="0.25">
      <c r="A4435">
        <v>228</v>
      </c>
      <c r="B4435" t="s">
        <v>355</v>
      </c>
      <c r="C4435">
        <v>3</v>
      </c>
      <c r="D4435">
        <v>0</v>
      </c>
      <c r="E4435">
        <v>0</v>
      </c>
      <c r="F4435">
        <v>64.33</v>
      </c>
      <c r="G4435">
        <v>15648.82</v>
      </c>
      <c r="H4435" s="14">
        <v>43768.833333333336</v>
      </c>
    </row>
    <row r="4436" spans="1:8" x14ac:dyDescent="0.25">
      <c r="A4436">
        <v>229</v>
      </c>
      <c r="B4436" t="s">
        <v>356</v>
      </c>
      <c r="C4436">
        <v>1</v>
      </c>
      <c r="D4436">
        <v>0</v>
      </c>
      <c r="E4436">
        <v>0</v>
      </c>
      <c r="F4436">
        <v>79.89</v>
      </c>
      <c r="G4436">
        <v>19467.93</v>
      </c>
      <c r="H4436" s="14">
        <v>43768.833333333336</v>
      </c>
    </row>
    <row r="4437" spans="1:8" x14ac:dyDescent="0.25">
      <c r="A4437">
        <v>229</v>
      </c>
      <c r="B4437" t="s">
        <v>356</v>
      </c>
      <c r="C4437">
        <v>2</v>
      </c>
      <c r="D4437">
        <v>0</v>
      </c>
      <c r="E4437">
        <v>0</v>
      </c>
      <c r="F4437">
        <v>79.599999999999994</v>
      </c>
      <c r="G4437">
        <v>16782.509999999998</v>
      </c>
      <c r="H4437" s="14">
        <v>43768.833333333336</v>
      </c>
    </row>
    <row r="4438" spans="1:8" x14ac:dyDescent="0.25">
      <c r="A4438">
        <v>229</v>
      </c>
      <c r="B4438" t="s">
        <v>356</v>
      </c>
      <c r="C4438">
        <v>3</v>
      </c>
      <c r="D4438">
        <v>0</v>
      </c>
      <c r="E4438">
        <v>0</v>
      </c>
      <c r="F4438">
        <v>94.98</v>
      </c>
      <c r="G4438">
        <v>23268.77</v>
      </c>
      <c r="H4438" s="14">
        <v>43768.833333333336</v>
      </c>
    </row>
    <row r="4439" spans="1:8" x14ac:dyDescent="0.25">
      <c r="A4439">
        <v>230</v>
      </c>
      <c r="B4439" t="s">
        <v>357</v>
      </c>
      <c r="C4439">
        <v>1</v>
      </c>
      <c r="D4439">
        <v>0</v>
      </c>
      <c r="E4439">
        <v>0</v>
      </c>
      <c r="F4439">
        <v>94.59</v>
      </c>
      <c r="G4439">
        <v>21976.6</v>
      </c>
      <c r="H4439" s="14">
        <v>43768.833333333336</v>
      </c>
    </row>
    <row r="4440" spans="1:8" x14ac:dyDescent="0.25">
      <c r="A4440">
        <v>230</v>
      </c>
      <c r="B4440" t="s">
        <v>357</v>
      </c>
      <c r="C4440">
        <v>2</v>
      </c>
      <c r="D4440">
        <v>0</v>
      </c>
      <c r="E4440">
        <v>0</v>
      </c>
      <c r="F4440">
        <v>95.31</v>
      </c>
      <c r="G4440">
        <v>22395.59</v>
      </c>
      <c r="H4440" s="14">
        <v>43768.833333333336</v>
      </c>
    </row>
    <row r="4441" spans="1:8" x14ac:dyDescent="0.25">
      <c r="A4441">
        <v>230</v>
      </c>
      <c r="B4441" t="s">
        <v>357</v>
      </c>
      <c r="C4441">
        <v>3</v>
      </c>
      <c r="D4441">
        <v>0</v>
      </c>
      <c r="E4441">
        <v>0</v>
      </c>
      <c r="F4441">
        <v>62.45</v>
      </c>
      <c r="G4441">
        <v>15423.54</v>
      </c>
      <c r="H4441" s="14">
        <v>43768.833333333336</v>
      </c>
    </row>
    <row r="4442" spans="1:8" x14ac:dyDescent="0.25">
      <c r="A4442">
        <v>231</v>
      </c>
      <c r="B4442" t="s">
        <v>358</v>
      </c>
      <c r="C4442">
        <v>1</v>
      </c>
      <c r="D4442">
        <v>4.45</v>
      </c>
      <c r="E4442">
        <v>0</v>
      </c>
      <c r="F4442">
        <v>14.21</v>
      </c>
      <c r="G4442">
        <v>3239.76</v>
      </c>
      <c r="H4442" s="14">
        <v>43768.833333333336</v>
      </c>
    </row>
    <row r="4443" spans="1:8" x14ac:dyDescent="0.25">
      <c r="A4443">
        <v>231</v>
      </c>
      <c r="B4443" t="s">
        <v>358</v>
      </c>
      <c r="C4443">
        <v>2</v>
      </c>
      <c r="D4443">
        <v>4.66</v>
      </c>
      <c r="E4443">
        <v>0</v>
      </c>
      <c r="F4443">
        <v>14.12</v>
      </c>
      <c r="G4443">
        <v>3217.46</v>
      </c>
      <c r="H4443" s="14">
        <v>43768.833333333336</v>
      </c>
    </row>
    <row r="4444" spans="1:8" x14ac:dyDescent="0.25">
      <c r="A4444">
        <v>231</v>
      </c>
      <c r="B4444" t="s">
        <v>358</v>
      </c>
      <c r="C4444">
        <v>3</v>
      </c>
      <c r="D4444">
        <v>4.62</v>
      </c>
      <c r="E4444">
        <v>0</v>
      </c>
      <c r="F4444">
        <v>14.12</v>
      </c>
      <c r="G4444">
        <v>3220.34</v>
      </c>
      <c r="H4444" s="14">
        <v>43768.833333333336</v>
      </c>
    </row>
    <row r="4445" spans="1:8" x14ac:dyDescent="0.25">
      <c r="A4445">
        <v>231</v>
      </c>
      <c r="B4445" t="s">
        <v>358</v>
      </c>
      <c r="C4445">
        <v>4</v>
      </c>
      <c r="D4445">
        <v>4.71</v>
      </c>
      <c r="E4445">
        <v>0</v>
      </c>
      <c r="F4445">
        <v>14.05</v>
      </c>
      <c r="G4445">
        <v>3185.96</v>
      </c>
      <c r="H4445" s="14">
        <v>43768.833333333336</v>
      </c>
    </row>
    <row r="4446" spans="1:8" x14ac:dyDescent="0.25">
      <c r="A4446">
        <v>231</v>
      </c>
      <c r="B4446" t="s">
        <v>358</v>
      </c>
      <c r="C4446">
        <v>5</v>
      </c>
      <c r="D4446">
        <v>4.6900000000000004</v>
      </c>
      <c r="E4446">
        <v>0</v>
      </c>
      <c r="F4446">
        <v>14.06</v>
      </c>
      <c r="G4446">
        <v>3182.83</v>
      </c>
      <c r="H4446" s="14">
        <v>43768.833333333336</v>
      </c>
    </row>
    <row r="4447" spans="1:8" x14ac:dyDescent="0.25">
      <c r="A4447">
        <v>231</v>
      </c>
      <c r="B4447" t="s">
        <v>358</v>
      </c>
      <c r="C4447">
        <v>6</v>
      </c>
      <c r="D4447">
        <v>4.67</v>
      </c>
      <c r="E4447">
        <v>0</v>
      </c>
      <c r="F4447">
        <v>14.07</v>
      </c>
      <c r="G4447">
        <v>3169.77</v>
      </c>
      <c r="H4447" s="14">
        <v>43768.833333333336</v>
      </c>
    </row>
    <row r="4448" spans="1:8" x14ac:dyDescent="0.25">
      <c r="A4448">
        <v>231</v>
      </c>
      <c r="B4448" t="s">
        <v>358</v>
      </c>
      <c r="C4448">
        <v>7</v>
      </c>
      <c r="D4448">
        <v>4.62</v>
      </c>
      <c r="E4448">
        <v>0</v>
      </c>
      <c r="F4448">
        <v>13.79</v>
      </c>
      <c r="G4448">
        <v>3110.21</v>
      </c>
      <c r="H4448" s="14">
        <v>43768.833333333336</v>
      </c>
    </row>
    <row r="4449" spans="1:8" x14ac:dyDescent="0.25">
      <c r="A4449">
        <v>231</v>
      </c>
      <c r="B4449" t="s">
        <v>358</v>
      </c>
      <c r="C4449">
        <v>8</v>
      </c>
      <c r="D4449">
        <v>4.7</v>
      </c>
      <c r="E4449">
        <v>0</v>
      </c>
      <c r="F4449">
        <v>13.96</v>
      </c>
      <c r="G4449">
        <v>3170.45</v>
      </c>
      <c r="H4449" s="14">
        <v>43768.833333333336</v>
      </c>
    </row>
    <row r="4450" spans="1:8" x14ac:dyDescent="0.25">
      <c r="A4450">
        <v>231</v>
      </c>
      <c r="B4450" t="s">
        <v>358</v>
      </c>
      <c r="C4450">
        <v>9</v>
      </c>
      <c r="D4450">
        <v>4.76</v>
      </c>
      <c r="E4450">
        <v>0</v>
      </c>
      <c r="F4450">
        <v>14.02</v>
      </c>
      <c r="G4450">
        <v>3226.95</v>
      </c>
      <c r="H4450" s="14">
        <v>43768.833333333336</v>
      </c>
    </row>
    <row r="4451" spans="1:8" x14ac:dyDescent="0.25">
      <c r="A4451">
        <v>231</v>
      </c>
      <c r="B4451" t="s">
        <v>358</v>
      </c>
      <c r="C4451">
        <v>10</v>
      </c>
      <c r="D4451">
        <v>4.6900000000000004</v>
      </c>
      <c r="E4451">
        <v>0</v>
      </c>
      <c r="F4451">
        <v>14.2</v>
      </c>
      <c r="G4451">
        <v>3257.37</v>
      </c>
      <c r="H4451" s="14">
        <v>43768.833333333336</v>
      </c>
    </row>
    <row r="4452" spans="1:8" x14ac:dyDescent="0.25">
      <c r="A4452">
        <v>231</v>
      </c>
      <c r="B4452" t="s">
        <v>358</v>
      </c>
      <c r="C4452">
        <v>11</v>
      </c>
      <c r="D4452">
        <v>4.79</v>
      </c>
      <c r="E4452">
        <v>0</v>
      </c>
      <c r="F4452">
        <v>14.17</v>
      </c>
      <c r="G4452">
        <v>3257.63</v>
      </c>
      <c r="H4452" s="14">
        <v>43768.833333333336</v>
      </c>
    </row>
    <row r="4453" spans="1:8" x14ac:dyDescent="0.25">
      <c r="A4453">
        <v>231</v>
      </c>
      <c r="B4453" t="s">
        <v>358</v>
      </c>
      <c r="C4453">
        <v>12</v>
      </c>
      <c r="D4453">
        <v>4.84</v>
      </c>
      <c r="E4453">
        <v>0</v>
      </c>
      <c r="F4453">
        <v>14.08</v>
      </c>
      <c r="G4453">
        <v>3240.04</v>
      </c>
      <c r="H4453" s="14">
        <v>43768.833333333336</v>
      </c>
    </row>
    <row r="4454" spans="1:8" x14ac:dyDescent="0.25">
      <c r="A4454">
        <v>231</v>
      </c>
      <c r="B4454" t="s">
        <v>358</v>
      </c>
      <c r="C4454">
        <v>13</v>
      </c>
      <c r="D4454">
        <v>4.16</v>
      </c>
      <c r="E4454">
        <v>0</v>
      </c>
      <c r="F4454">
        <v>12.37</v>
      </c>
      <c r="G4454">
        <v>2802.8</v>
      </c>
      <c r="H4454" s="14">
        <v>43768.833333333336</v>
      </c>
    </row>
    <row r="4455" spans="1:8" x14ac:dyDescent="0.25">
      <c r="A4455">
        <v>231</v>
      </c>
      <c r="B4455" t="s">
        <v>358</v>
      </c>
      <c r="C4455">
        <v>14</v>
      </c>
      <c r="D4455">
        <v>4.0199999999999996</v>
      </c>
      <c r="E4455">
        <v>0</v>
      </c>
      <c r="F4455">
        <v>12.3</v>
      </c>
      <c r="G4455">
        <v>2831.96</v>
      </c>
      <c r="H4455" s="14">
        <v>43768.833333333336</v>
      </c>
    </row>
    <row r="4456" spans="1:8" x14ac:dyDescent="0.25">
      <c r="A4456">
        <v>231</v>
      </c>
      <c r="B4456" t="s">
        <v>358</v>
      </c>
      <c r="C4456">
        <v>15</v>
      </c>
      <c r="D4456">
        <v>4</v>
      </c>
      <c r="E4456">
        <v>0</v>
      </c>
      <c r="F4456">
        <v>12.61</v>
      </c>
      <c r="G4456">
        <v>2900.85</v>
      </c>
      <c r="H4456" s="14">
        <v>43768.833333333336</v>
      </c>
    </row>
    <row r="4457" spans="1:8" x14ac:dyDescent="0.25">
      <c r="A4457">
        <v>231</v>
      </c>
      <c r="B4457" t="s">
        <v>358</v>
      </c>
      <c r="C4457">
        <v>16</v>
      </c>
      <c r="D4457">
        <v>4.29</v>
      </c>
      <c r="E4457">
        <v>0</v>
      </c>
      <c r="F4457">
        <v>12.57</v>
      </c>
      <c r="G4457">
        <v>2906.27</v>
      </c>
      <c r="H4457" s="14">
        <v>43768.833333333336</v>
      </c>
    </row>
    <row r="4458" spans="1:8" x14ac:dyDescent="0.25">
      <c r="A4458">
        <v>232</v>
      </c>
      <c r="B4458" t="s">
        <v>359</v>
      </c>
      <c r="C4458">
        <v>1</v>
      </c>
      <c r="D4458">
        <v>0</v>
      </c>
      <c r="E4458">
        <v>0</v>
      </c>
      <c r="F4458">
        <v>86.56</v>
      </c>
      <c r="G4458">
        <v>11416.63</v>
      </c>
      <c r="H4458" s="14">
        <v>43768.833333333336</v>
      </c>
    </row>
    <row r="4459" spans="1:8" x14ac:dyDescent="0.25">
      <c r="A4459">
        <v>232</v>
      </c>
      <c r="B4459" t="s">
        <v>359</v>
      </c>
      <c r="C4459">
        <v>2</v>
      </c>
      <c r="D4459">
        <v>0</v>
      </c>
      <c r="E4459">
        <v>0</v>
      </c>
      <c r="F4459">
        <v>97.42</v>
      </c>
      <c r="G4459">
        <v>13326.96</v>
      </c>
      <c r="H4459" s="14">
        <v>43768.833333333336</v>
      </c>
    </row>
    <row r="4460" spans="1:8" x14ac:dyDescent="0.25">
      <c r="A4460">
        <v>232</v>
      </c>
      <c r="B4460" t="s">
        <v>359</v>
      </c>
      <c r="C4460">
        <v>3</v>
      </c>
      <c r="D4460">
        <v>0</v>
      </c>
      <c r="E4460">
        <v>0</v>
      </c>
      <c r="F4460">
        <v>72.16</v>
      </c>
      <c r="G4460">
        <v>8348.18</v>
      </c>
      <c r="H4460" s="14">
        <v>43768.833333333336</v>
      </c>
    </row>
    <row r="4461" spans="1:8" x14ac:dyDescent="0.25">
      <c r="A4461">
        <v>233</v>
      </c>
      <c r="B4461" t="s">
        <v>360</v>
      </c>
      <c r="C4461">
        <v>1</v>
      </c>
      <c r="D4461">
        <v>0</v>
      </c>
      <c r="E4461">
        <v>0</v>
      </c>
      <c r="F4461">
        <v>79.7</v>
      </c>
      <c r="G4461">
        <v>15457.32</v>
      </c>
      <c r="H4461" s="14">
        <v>43768.833333333336</v>
      </c>
    </row>
    <row r="4462" spans="1:8" x14ac:dyDescent="0.25">
      <c r="A4462">
        <v>233</v>
      </c>
      <c r="B4462" t="s">
        <v>360</v>
      </c>
      <c r="C4462">
        <v>2</v>
      </c>
      <c r="D4462">
        <v>0</v>
      </c>
      <c r="E4462">
        <v>0</v>
      </c>
      <c r="F4462">
        <v>109.38</v>
      </c>
      <c r="G4462">
        <v>15817.19</v>
      </c>
      <c r="H4462" s="14">
        <v>43768.833333333336</v>
      </c>
    </row>
    <row r="4463" spans="1:8" x14ac:dyDescent="0.25">
      <c r="A4463">
        <v>233</v>
      </c>
      <c r="B4463" t="s">
        <v>360</v>
      </c>
      <c r="C4463">
        <v>3</v>
      </c>
      <c r="D4463">
        <v>0</v>
      </c>
      <c r="E4463">
        <v>0</v>
      </c>
      <c r="F4463">
        <v>80.900000000000006</v>
      </c>
      <c r="G4463">
        <v>13674.19</v>
      </c>
      <c r="H4463" s="14">
        <v>43768.833333333336</v>
      </c>
    </row>
    <row r="4464" spans="1:8" x14ac:dyDescent="0.25">
      <c r="A4464">
        <v>233</v>
      </c>
      <c r="B4464" t="s">
        <v>360</v>
      </c>
      <c r="C4464">
        <v>4</v>
      </c>
      <c r="D4464">
        <v>0</v>
      </c>
      <c r="E4464">
        <v>0</v>
      </c>
      <c r="F4464">
        <v>84.57</v>
      </c>
      <c r="G4464">
        <v>13470.18</v>
      </c>
      <c r="H4464" s="14">
        <v>43768.833333333336</v>
      </c>
    </row>
    <row r="4465" spans="1:8" x14ac:dyDescent="0.25">
      <c r="A4465">
        <v>233</v>
      </c>
      <c r="B4465" t="s">
        <v>360</v>
      </c>
      <c r="C4465">
        <v>5</v>
      </c>
      <c r="D4465">
        <v>0</v>
      </c>
      <c r="E4465">
        <v>0</v>
      </c>
      <c r="F4465">
        <v>109.37</v>
      </c>
      <c r="G4465">
        <v>15754.73</v>
      </c>
      <c r="H4465" s="14">
        <v>43768.833333333336</v>
      </c>
    </row>
    <row r="4466" spans="1:8" x14ac:dyDescent="0.25">
      <c r="A4466">
        <v>233</v>
      </c>
      <c r="B4466" t="s">
        <v>360</v>
      </c>
      <c r="C4466">
        <v>6</v>
      </c>
      <c r="D4466">
        <v>0</v>
      </c>
      <c r="E4466">
        <v>0</v>
      </c>
      <c r="F4466">
        <v>89.59</v>
      </c>
      <c r="G4466">
        <v>14351.78</v>
      </c>
      <c r="H4466" s="14">
        <v>43768.833333333336</v>
      </c>
    </row>
    <row r="4467" spans="1:8" x14ac:dyDescent="0.25">
      <c r="A4467">
        <v>233</v>
      </c>
      <c r="B4467" t="s">
        <v>360</v>
      </c>
      <c r="C4467">
        <v>7</v>
      </c>
      <c r="D4467">
        <v>0</v>
      </c>
      <c r="E4467">
        <v>0</v>
      </c>
      <c r="F4467">
        <v>65.739999999999995</v>
      </c>
      <c r="G4467">
        <v>11121.72</v>
      </c>
      <c r="H4467" s="14">
        <v>43768.833333333336</v>
      </c>
    </row>
    <row r="4468" spans="1:8" x14ac:dyDescent="0.25">
      <c r="A4468">
        <v>233</v>
      </c>
      <c r="B4468" t="s">
        <v>360</v>
      </c>
      <c r="C4468">
        <v>8</v>
      </c>
      <c r="D4468">
        <v>0</v>
      </c>
      <c r="E4468">
        <v>0</v>
      </c>
      <c r="F4468">
        <v>58.28</v>
      </c>
      <c r="G4468">
        <v>9708.3799999999992</v>
      </c>
      <c r="H4468" s="14">
        <v>43768.833333333336</v>
      </c>
    </row>
    <row r="4469" spans="1:8" x14ac:dyDescent="0.25">
      <c r="A4469">
        <v>234</v>
      </c>
      <c r="B4469" t="s">
        <v>361</v>
      </c>
      <c r="C4469">
        <v>1</v>
      </c>
      <c r="D4469">
        <v>0</v>
      </c>
      <c r="E4469">
        <v>0</v>
      </c>
      <c r="F4469">
        <v>168.53</v>
      </c>
      <c r="G4469">
        <v>29751.33</v>
      </c>
      <c r="H4469" s="14">
        <v>43768.833333333336</v>
      </c>
    </row>
    <row r="4470" spans="1:8" x14ac:dyDescent="0.25">
      <c r="A4470">
        <v>234</v>
      </c>
      <c r="B4470" t="s">
        <v>361</v>
      </c>
      <c r="C4470">
        <v>2</v>
      </c>
      <c r="D4470">
        <v>0</v>
      </c>
      <c r="E4470">
        <v>0</v>
      </c>
      <c r="F4470">
        <v>167.85</v>
      </c>
      <c r="G4470">
        <v>30376.48</v>
      </c>
      <c r="H4470" s="14">
        <v>43768.833333333336</v>
      </c>
    </row>
    <row r="4471" spans="1:8" x14ac:dyDescent="0.25">
      <c r="A4471">
        <v>234</v>
      </c>
      <c r="B4471" t="s">
        <v>361</v>
      </c>
      <c r="C4471">
        <v>3</v>
      </c>
      <c r="D4471">
        <v>0</v>
      </c>
      <c r="E4471">
        <v>0</v>
      </c>
      <c r="F4471">
        <v>168.62</v>
      </c>
      <c r="G4471">
        <v>30299.23</v>
      </c>
      <c r="H4471" s="14">
        <v>43768.833333333336</v>
      </c>
    </row>
    <row r="4472" spans="1:8" x14ac:dyDescent="0.25">
      <c r="A4472">
        <v>234</v>
      </c>
      <c r="B4472" t="s">
        <v>361</v>
      </c>
      <c r="C4472">
        <v>4</v>
      </c>
      <c r="D4472">
        <v>0</v>
      </c>
      <c r="E4472">
        <v>0</v>
      </c>
      <c r="F4472">
        <v>171.99</v>
      </c>
      <c r="G4472">
        <v>30011.49</v>
      </c>
      <c r="H4472" s="14">
        <v>43768.833333333336</v>
      </c>
    </row>
    <row r="4473" spans="1:8" x14ac:dyDescent="0.25">
      <c r="A4473">
        <v>234</v>
      </c>
      <c r="B4473" t="s">
        <v>361</v>
      </c>
      <c r="C4473">
        <v>5</v>
      </c>
      <c r="D4473">
        <v>0</v>
      </c>
      <c r="E4473">
        <v>0</v>
      </c>
      <c r="F4473">
        <v>127.42</v>
      </c>
      <c r="G4473">
        <v>24522.37</v>
      </c>
      <c r="H4473" s="14">
        <v>43768.833333333336</v>
      </c>
    </row>
    <row r="4474" spans="1:8" x14ac:dyDescent="0.25">
      <c r="A4474">
        <v>234</v>
      </c>
      <c r="B4474" t="s">
        <v>361</v>
      </c>
      <c r="C4474">
        <v>6</v>
      </c>
      <c r="D4474">
        <v>0</v>
      </c>
      <c r="E4474">
        <v>0</v>
      </c>
      <c r="F4474">
        <v>99.71</v>
      </c>
      <c r="G4474">
        <v>17614.349999999999</v>
      </c>
      <c r="H4474" s="14">
        <v>43768.833333333336</v>
      </c>
    </row>
    <row r="4475" spans="1:8" x14ac:dyDescent="0.25">
      <c r="A4475">
        <v>234</v>
      </c>
      <c r="B4475" t="s">
        <v>361</v>
      </c>
      <c r="C4475">
        <v>7</v>
      </c>
      <c r="D4475">
        <v>0</v>
      </c>
      <c r="E4475">
        <v>0</v>
      </c>
      <c r="F4475">
        <v>103.51</v>
      </c>
      <c r="G4475">
        <v>20715.330000000002</v>
      </c>
      <c r="H4475" s="14">
        <v>43768.833333333336</v>
      </c>
    </row>
    <row r="4476" spans="1:8" x14ac:dyDescent="0.25">
      <c r="A4476">
        <v>235</v>
      </c>
      <c r="B4476" t="s">
        <v>362</v>
      </c>
      <c r="C4476">
        <v>1</v>
      </c>
      <c r="D4476">
        <v>0</v>
      </c>
      <c r="E4476">
        <v>0</v>
      </c>
      <c r="F4476">
        <v>104.81</v>
      </c>
      <c r="G4476">
        <v>18402</v>
      </c>
      <c r="H4476" s="14">
        <v>43768.833333333336</v>
      </c>
    </row>
    <row r="4477" spans="1:8" x14ac:dyDescent="0.25">
      <c r="A4477">
        <v>235</v>
      </c>
      <c r="B4477" t="s">
        <v>362</v>
      </c>
      <c r="C4477">
        <v>2</v>
      </c>
      <c r="D4477">
        <v>0</v>
      </c>
      <c r="E4477">
        <v>0</v>
      </c>
      <c r="F4477">
        <v>99.86</v>
      </c>
      <c r="G4477">
        <v>17395.14</v>
      </c>
      <c r="H4477" s="14">
        <v>43768.833333333336</v>
      </c>
    </row>
    <row r="4478" spans="1:8" x14ac:dyDescent="0.25">
      <c r="A4478">
        <v>235</v>
      </c>
      <c r="B4478" t="s">
        <v>362</v>
      </c>
      <c r="C4478">
        <v>3</v>
      </c>
      <c r="D4478">
        <v>0</v>
      </c>
      <c r="E4478">
        <v>0</v>
      </c>
      <c r="F4478">
        <v>101.69</v>
      </c>
      <c r="G4478">
        <v>17735.03</v>
      </c>
      <c r="H4478" s="14">
        <v>43768.833333333336</v>
      </c>
    </row>
    <row r="4479" spans="1:8" x14ac:dyDescent="0.25">
      <c r="A4479">
        <v>235</v>
      </c>
      <c r="B4479" t="s">
        <v>362</v>
      </c>
      <c r="C4479">
        <v>4</v>
      </c>
      <c r="D4479">
        <v>0</v>
      </c>
      <c r="E4479">
        <v>0</v>
      </c>
      <c r="F4479">
        <v>103.7</v>
      </c>
      <c r="G4479">
        <v>17180.41</v>
      </c>
      <c r="H4479" s="14">
        <v>43768.833333333336</v>
      </c>
    </row>
    <row r="4480" spans="1:8" x14ac:dyDescent="0.25">
      <c r="A4480">
        <v>235</v>
      </c>
      <c r="B4480" t="s">
        <v>362</v>
      </c>
      <c r="C4480">
        <v>5</v>
      </c>
      <c r="D4480">
        <v>0</v>
      </c>
      <c r="E4480">
        <v>0</v>
      </c>
      <c r="F4480">
        <v>136.62</v>
      </c>
      <c r="G4480">
        <v>19062.41</v>
      </c>
      <c r="H4480" s="14">
        <v>43768.833333333336</v>
      </c>
    </row>
    <row r="4481" spans="1:8" x14ac:dyDescent="0.25">
      <c r="A4481">
        <v>235</v>
      </c>
      <c r="B4481" t="s">
        <v>362</v>
      </c>
      <c r="C4481">
        <v>6</v>
      </c>
      <c r="D4481">
        <v>0</v>
      </c>
      <c r="E4481">
        <v>0</v>
      </c>
      <c r="F4481">
        <v>130.97</v>
      </c>
      <c r="G4481">
        <v>17966.57</v>
      </c>
      <c r="H4481" s="14">
        <v>43768.833333333336</v>
      </c>
    </row>
    <row r="4482" spans="1:8" x14ac:dyDescent="0.25">
      <c r="A4482">
        <v>235</v>
      </c>
      <c r="B4482" t="s">
        <v>362</v>
      </c>
      <c r="C4482">
        <v>7</v>
      </c>
      <c r="D4482">
        <v>0</v>
      </c>
      <c r="E4482">
        <v>0</v>
      </c>
      <c r="F4482">
        <v>136.08000000000001</v>
      </c>
      <c r="G4482">
        <v>18554.810000000001</v>
      </c>
      <c r="H4482" s="14">
        <v>43768.833333333336</v>
      </c>
    </row>
    <row r="4483" spans="1:8" x14ac:dyDescent="0.25">
      <c r="A4483">
        <v>235</v>
      </c>
      <c r="B4483" t="s">
        <v>362</v>
      </c>
      <c r="C4483">
        <v>8</v>
      </c>
      <c r="D4483">
        <v>0</v>
      </c>
      <c r="E4483">
        <v>0</v>
      </c>
      <c r="F4483">
        <v>123.99</v>
      </c>
      <c r="G4483">
        <v>17235.36</v>
      </c>
      <c r="H4483" s="14">
        <v>43768.833333333336</v>
      </c>
    </row>
    <row r="4484" spans="1:8" x14ac:dyDescent="0.25">
      <c r="A4484">
        <v>235</v>
      </c>
      <c r="B4484" t="s">
        <v>362</v>
      </c>
      <c r="C4484">
        <v>9</v>
      </c>
      <c r="D4484">
        <v>0</v>
      </c>
      <c r="E4484">
        <v>0</v>
      </c>
      <c r="F4484">
        <v>102.82</v>
      </c>
      <c r="G4484">
        <v>17218.79</v>
      </c>
      <c r="H4484" s="14">
        <v>43768.833333333336</v>
      </c>
    </row>
    <row r="4485" spans="1:8" x14ac:dyDescent="0.25">
      <c r="A4485">
        <v>235</v>
      </c>
      <c r="B4485" t="s">
        <v>362</v>
      </c>
      <c r="C4485">
        <v>10</v>
      </c>
      <c r="D4485">
        <v>0</v>
      </c>
      <c r="E4485">
        <v>0</v>
      </c>
      <c r="F4485">
        <v>96.14</v>
      </c>
      <c r="G4485">
        <v>16218.2</v>
      </c>
      <c r="H4485" s="14">
        <v>43768.833333333336</v>
      </c>
    </row>
    <row r="4486" spans="1:8" x14ac:dyDescent="0.25">
      <c r="A4486">
        <v>235</v>
      </c>
      <c r="B4486" t="s">
        <v>362</v>
      </c>
      <c r="C4486">
        <v>11</v>
      </c>
      <c r="D4486">
        <v>0</v>
      </c>
      <c r="E4486">
        <v>0</v>
      </c>
      <c r="F4486">
        <v>122.77</v>
      </c>
      <c r="G4486">
        <v>16801.14</v>
      </c>
      <c r="H4486" s="14">
        <v>43768.833333333336</v>
      </c>
    </row>
    <row r="4487" spans="1:8" x14ac:dyDescent="0.25">
      <c r="A4487">
        <v>235</v>
      </c>
      <c r="B4487" t="s">
        <v>362</v>
      </c>
      <c r="C4487">
        <v>12</v>
      </c>
      <c r="D4487">
        <v>0</v>
      </c>
      <c r="E4487">
        <v>0</v>
      </c>
      <c r="F4487">
        <v>136.21</v>
      </c>
      <c r="G4487">
        <v>18869.73</v>
      </c>
      <c r="H4487" s="14">
        <v>43768.833333333336</v>
      </c>
    </row>
    <row r="4488" spans="1:8" x14ac:dyDescent="0.25">
      <c r="A4488">
        <v>235</v>
      </c>
      <c r="B4488" t="s">
        <v>362</v>
      </c>
      <c r="C4488">
        <v>13</v>
      </c>
      <c r="D4488">
        <v>0</v>
      </c>
      <c r="E4488">
        <v>0</v>
      </c>
      <c r="F4488">
        <v>107.34</v>
      </c>
      <c r="G4488">
        <v>15702.26</v>
      </c>
      <c r="H4488" s="14">
        <v>43768.833333333336</v>
      </c>
    </row>
    <row r="4489" spans="1:8" x14ac:dyDescent="0.25">
      <c r="A4489">
        <v>236</v>
      </c>
      <c r="B4489" t="s">
        <v>363</v>
      </c>
      <c r="C4489">
        <v>1</v>
      </c>
      <c r="D4489">
        <v>0</v>
      </c>
      <c r="E4489">
        <v>0</v>
      </c>
      <c r="F4489">
        <v>127.02</v>
      </c>
      <c r="G4489">
        <v>17700.240000000002</v>
      </c>
      <c r="H4489" s="14">
        <v>43768.833333333336</v>
      </c>
    </row>
    <row r="4490" spans="1:8" x14ac:dyDescent="0.25">
      <c r="A4490">
        <v>236</v>
      </c>
      <c r="B4490" t="s">
        <v>363</v>
      </c>
      <c r="C4490">
        <v>2</v>
      </c>
      <c r="D4490">
        <v>0</v>
      </c>
      <c r="E4490">
        <v>0</v>
      </c>
      <c r="F4490">
        <v>96.14</v>
      </c>
      <c r="G4490">
        <v>16809.400000000001</v>
      </c>
      <c r="H4490" s="14">
        <v>43768.833333333336</v>
      </c>
    </row>
    <row r="4491" spans="1:8" x14ac:dyDescent="0.25">
      <c r="A4491">
        <v>236</v>
      </c>
      <c r="B4491" t="s">
        <v>363</v>
      </c>
      <c r="C4491">
        <v>3</v>
      </c>
      <c r="D4491">
        <v>0</v>
      </c>
      <c r="E4491">
        <v>0</v>
      </c>
      <c r="F4491">
        <v>97.38</v>
      </c>
      <c r="G4491">
        <v>14971.66</v>
      </c>
      <c r="H4491" s="14">
        <v>43768.833333333336</v>
      </c>
    </row>
    <row r="4492" spans="1:8" x14ac:dyDescent="0.25">
      <c r="A4492">
        <v>236</v>
      </c>
      <c r="B4492" t="s">
        <v>363</v>
      </c>
      <c r="C4492">
        <v>4</v>
      </c>
      <c r="D4492">
        <v>0</v>
      </c>
      <c r="E4492">
        <v>0</v>
      </c>
      <c r="F4492">
        <v>68.55</v>
      </c>
      <c r="G4492">
        <v>11170.4</v>
      </c>
      <c r="H4492" s="14">
        <v>43768.833333333336</v>
      </c>
    </row>
    <row r="4493" spans="1:8" x14ac:dyDescent="0.25">
      <c r="A4493">
        <v>237</v>
      </c>
      <c r="B4493" t="s">
        <v>364</v>
      </c>
      <c r="C4493">
        <v>1</v>
      </c>
      <c r="D4493">
        <v>0</v>
      </c>
      <c r="E4493">
        <v>0</v>
      </c>
      <c r="F4493">
        <v>96.06</v>
      </c>
      <c r="G4493">
        <v>19381.400000000001</v>
      </c>
      <c r="H4493" s="14">
        <v>43768.833333333336</v>
      </c>
    </row>
    <row r="4494" spans="1:8" x14ac:dyDescent="0.25">
      <c r="A4494">
        <v>237</v>
      </c>
      <c r="B4494" t="s">
        <v>364</v>
      </c>
      <c r="C4494">
        <v>2</v>
      </c>
      <c r="D4494">
        <v>0</v>
      </c>
      <c r="E4494">
        <v>0</v>
      </c>
      <c r="F4494">
        <v>139.25</v>
      </c>
      <c r="G4494">
        <v>24933.99</v>
      </c>
      <c r="H4494" s="14">
        <v>43768.833333333336</v>
      </c>
    </row>
    <row r="4495" spans="1:8" x14ac:dyDescent="0.25">
      <c r="A4495">
        <v>237</v>
      </c>
      <c r="B4495" t="s">
        <v>364</v>
      </c>
      <c r="C4495">
        <v>3</v>
      </c>
      <c r="D4495">
        <v>0</v>
      </c>
      <c r="E4495">
        <v>0</v>
      </c>
      <c r="F4495">
        <v>197.7</v>
      </c>
      <c r="G4495">
        <v>18241.52</v>
      </c>
      <c r="H4495" s="14">
        <v>43768.833333333336</v>
      </c>
    </row>
    <row r="4496" spans="1:8" x14ac:dyDescent="0.25">
      <c r="A4496">
        <v>237</v>
      </c>
      <c r="B4496" t="s">
        <v>364</v>
      </c>
      <c r="C4496">
        <v>4</v>
      </c>
      <c r="D4496">
        <v>0</v>
      </c>
      <c r="E4496">
        <v>0</v>
      </c>
      <c r="F4496">
        <v>156.02000000000001</v>
      </c>
      <c r="G4496">
        <v>20841.36</v>
      </c>
      <c r="H4496" s="14">
        <v>43768.833333333336</v>
      </c>
    </row>
    <row r="4497" spans="1:8" x14ac:dyDescent="0.25">
      <c r="A4497">
        <v>238</v>
      </c>
      <c r="B4497" t="s">
        <v>365</v>
      </c>
      <c r="C4497">
        <v>1</v>
      </c>
      <c r="D4497">
        <v>0</v>
      </c>
      <c r="E4497">
        <v>0</v>
      </c>
      <c r="F4497">
        <v>0</v>
      </c>
      <c r="G4497">
        <v>3985.04</v>
      </c>
      <c r="H4497" s="14">
        <v>43768.833333333336</v>
      </c>
    </row>
    <row r="4498" spans="1:8" x14ac:dyDescent="0.25">
      <c r="A4498">
        <v>238</v>
      </c>
      <c r="B4498" t="s">
        <v>365</v>
      </c>
      <c r="C4498">
        <v>2</v>
      </c>
      <c r="D4498">
        <v>0</v>
      </c>
      <c r="E4498">
        <v>0</v>
      </c>
      <c r="F4498">
        <v>0</v>
      </c>
      <c r="G4498">
        <v>3978.04</v>
      </c>
      <c r="H4498" s="14">
        <v>43768.833333333336</v>
      </c>
    </row>
    <row r="4499" spans="1:8" x14ac:dyDescent="0.25">
      <c r="A4499">
        <v>238</v>
      </c>
      <c r="B4499" t="s">
        <v>365</v>
      </c>
      <c r="C4499">
        <v>3</v>
      </c>
      <c r="D4499">
        <v>0</v>
      </c>
      <c r="E4499">
        <v>0</v>
      </c>
      <c r="F4499">
        <v>0</v>
      </c>
      <c r="G4499">
        <v>4037.75</v>
      </c>
      <c r="H4499" s="14">
        <v>43768.833333333336</v>
      </c>
    </row>
    <row r="4500" spans="1:8" x14ac:dyDescent="0.25">
      <c r="A4500">
        <v>238</v>
      </c>
      <c r="B4500" t="s">
        <v>365</v>
      </c>
      <c r="C4500">
        <v>4</v>
      </c>
      <c r="D4500">
        <v>0</v>
      </c>
      <c r="E4500">
        <v>0</v>
      </c>
      <c r="F4500">
        <v>0</v>
      </c>
      <c r="G4500">
        <v>3818.68</v>
      </c>
      <c r="H4500" s="14">
        <v>43768.833333333336</v>
      </c>
    </row>
    <row r="4501" spans="1:8" x14ac:dyDescent="0.25">
      <c r="A4501">
        <v>238</v>
      </c>
      <c r="B4501" t="s">
        <v>365</v>
      </c>
      <c r="C4501">
        <v>5</v>
      </c>
      <c r="D4501">
        <v>0</v>
      </c>
      <c r="E4501">
        <v>0</v>
      </c>
      <c r="F4501">
        <v>0</v>
      </c>
      <c r="G4501">
        <v>4039.1</v>
      </c>
      <c r="H4501" s="14">
        <v>43768.833333333336</v>
      </c>
    </row>
    <row r="4502" spans="1:8" x14ac:dyDescent="0.25">
      <c r="A4502">
        <v>238</v>
      </c>
      <c r="B4502" t="s">
        <v>365</v>
      </c>
      <c r="C4502">
        <v>6</v>
      </c>
      <c r="D4502">
        <v>0</v>
      </c>
      <c r="E4502">
        <v>0</v>
      </c>
      <c r="F4502">
        <v>0</v>
      </c>
      <c r="G4502">
        <v>4406.9799999999996</v>
      </c>
      <c r="H4502" s="14">
        <v>43768.833333333336</v>
      </c>
    </row>
    <row r="4503" spans="1:8" x14ac:dyDescent="0.25">
      <c r="A4503">
        <v>238</v>
      </c>
      <c r="B4503" t="s">
        <v>365</v>
      </c>
      <c r="C4503">
        <v>7</v>
      </c>
      <c r="D4503">
        <v>0</v>
      </c>
      <c r="E4503">
        <v>0</v>
      </c>
      <c r="F4503">
        <v>0</v>
      </c>
      <c r="G4503">
        <v>3976.93</v>
      </c>
      <c r="H4503" s="14">
        <v>43768.833333333336</v>
      </c>
    </row>
    <row r="4504" spans="1:8" x14ac:dyDescent="0.25">
      <c r="A4504">
        <v>238</v>
      </c>
      <c r="B4504" t="s">
        <v>365</v>
      </c>
      <c r="C4504">
        <v>8</v>
      </c>
      <c r="D4504">
        <v>0</v>
      </c>
      <c r="E4504">
        <v>0</v>
      </c>
      <c r="F4504">
        <v>0</v>
      </c>
      <c r="G4504">
        <v>6326.49</v>
      </c>
      <c r="H4504" s="14">
        <v>43768.833333333336</v>
      </c>
    </row>
    <row r="4505" spans="1:8" x14ac:dyDescent="0.25">
      <c r="A4505">
        <v>238</v>
      </c>
      <c r="B4505" t="s">
        <v>365</v>
      </c>
      <c r="C4505">
        <v>9</v>
      </c>
      <c r="D4505">
        <v>0</v>
      </c>
      <c r="E4505">
        <v>0</v>
      </c>
      <c r="F4505">
        <v>0</v>
      </c>
      <c r="G4505">
        <v>4784.38</v>
      </c>
      <c r="H4505" s="14">
        <v>43768.833333333336</v>
      </c>
    </row>
    <row r="4506" spans="1:8" x14ac:dyDescent="0.25">
      <c r="A4506">
        <v>238</v>
      </c>
      <c r="B4506" t="s">
        <v>365</v>
      </c>
      <c r="C4506">
        <v>10</v>
      </c>
      <c r="D4506">
        <v>0</v>
      </c>
      <c r="E4506">
        <v>0</v>
      </c>
      <c r="F4506">
        <v>0</v>
      </c>
      <c r="G4506">
        <v>7044.47</v>
      </c>
      <c r="H4506" s="14">
        <v>43768.833333333336</v>
      </c>
    </row>
    <row r="4507" spans="1:8" x14ac:dyDescent="0.25">
      <c r="A4507">
        <v>238</v>
      </c>
      <c r="B4507" t="s">
        <v>365</v>
      </c>
      <c r="C4507">
        <v>11</v>
      </c>
      <c r="D4507">
        <v>0</v>
      </c>
      <c r="E4507">
        <v>0</v>
      </c>
      <c r="F4507">
        <v>0</v>
      </c>
      <c r="G4507">
        <v>5411.16</v>
      </c>
      <c r="H4507" s="14">
        <v>43768.833333333336</v>
      </c>
    </row>
    <row r="4508" spans="1:8" x14ac:dyDescent="0.25">
      <c r="A4508">
        <v>238</v>
      </c>
      <c r="B4508" t="s">
        <v>365</v>
      </c>
      <c r="C4508">
        <v>12</v>
      </c>
      <c r="D4508">
        <v>0</v>
      </c>
      <c r="E4508">
        <v>0</v>
      </c>
      <c r="F4508">
        <v>0</v>
      </c>
      <c r="G4508">
        <v>8067.73</v>
      </c>
      <c r="H4508" s="14">
        <v>43768.833333333336</v>
      </c>
    </row>
    <row r="4509" spans="1:8" x14ac:dyDescent="0.25">
      <c r="A4509">
        <v>238</v>
      </c>
      <c r="B4509" t="s">
        <v>365</v>
      </c>
      <c r="C4509">
        <v>13</v>
      </c>
      <c r="D4509">
        <v>0</v>
      </c>
      <c r="E4509">
        <v>0</v>
      </c>
      <c r="F4509">
        <v>74.64</v>
      </c>
      <c r="G4509">
        <v>10671.42</v>
      </c>
      <c r="H4509" s="14">
        <v>43768.833333333336</v>
      </c>
    </row>
    <row r="4510" spans="1:8" x14ac:dyDescent="0.25">
      <c r="A4510">
        <v>238</v>
      </c>
      <c r="B4510" t="s">
        <v>365</v>
      </c>
      <c r="C4510">
        <v>14</v>
      </c>
      <c r="D4510">
        <v>0</v>
      </c>
      <c r="E4510">
        <v>0</v>
      </c>
      <c r="F4510">
        <v>73.489999999999995</v>
      </c>
      <c r="G4510">
        <v>10685.9</v>
      </c>
      <c r="H4510" s="14">
        <v>43768.833333333336</v>
      </c>
    </row>
    <row r="4511" spans="1:8" x14ac:dyDescent="0.25">
      <c r="A4511">
        <v>238</v>
      </c>
      <c r="B4511" t="s">
        <v>365</v>
      </c>
      <c r="C4511">
        <v>15</v>
      </c>
      <c r="D4511">
        <v>0</v>
      </c>
      <c r="E4511">
        <v>0</v>
      </c>
      <c r="F4511">
        <v>53.6</v>
      </c>
      <c r="G4511">
        <v>8537.23</v>
      </c>
      <c r="H4511" s="14">
        <v>43768.833333333336</v>
      </c>
    </row>
    <row r="4512" spans="1:8" x14ac:dyDescent="0.25">
      <c r="A4512">
        <v>238</v>
      </c>
      <c r="B4512" t="s">
        <v>365</v>
      </c>
      <c r="C4512">
        <v>16</v>
      </c>
      <c r="D4512">
        <v>0</v>
      </c>
      <c r="E4512">
        <v>0</v>
      </c>
      <c r="F4512">
        <v>41.4</v>
      </c>
      <c r="G4512">
        <v>4955.4399999999996</v>
      </c>
      <c r="H4512" s="14">
        <v>43768.833333333336</v>
      </c>
    </row>
    <row r="4513" spans="1:8" x14ac:dyDescent="0.25">
      <c r="A4513">
        <v>239</v>
      </c>
      <c r="B4513" t="s">
        <v>366</v>
      </c>
      <c r="C4513">
        <v>1</v>
      </c>
      <c r="D4513">
        <v>0</v>
      </c>
      <c r="E4513">
        <v>0</v>
      </c>
      <c r="F4513">
        <v>70.7</v>
      </c>
      <c r="G4513">
        <v>8373.08</v>
      </c>
      <c r="H4513" s="14">
        <v>43768.833333333336</v>
      </c>
    </row>
    <row r="4514" spans="1:8" x14ac:dyDescent="0.25">
      <c r="A4514">
        <v>239</v>
      </c>
      <c r="B4514" t="s">
        <v>366</v>
      </c>
      <c r="C4514">
        <v>2</v>
      </c>
      <c r="D4514">
        <v>0</v>
      </c>
      <c r="E4514">
        <v>0</v>
      </c>
      <c r="F4514">
        <v>68.97</v>
      </c>
      <c r="G4514">
        <v>8227.2000000000007</v>
      </c>
      <c r="H4514" s="14">
        <v>43768.833333333336</v>
      </c>
    </row>
    <row r="4515" spans="1:8" x14ac:dyDescent="0.25">
      <c r="A4515">
        <v>239</v>
      </c>
      <c r="B4515" t="s">
        <v>366</v>
      </c>
      <c r="C4515">
        <v>3</v>
      </c>
      <c r="D4515">
        <v>0</v>
      </c>
      <c r="E4515">
        <v>0</v>
      </c>
      <c r="F4515">
        <v>69.23</v>
      </c>
      <c r="G4515">
        <v>8157.98</v>
      </c>
      <c r="H4515" s="14">
        <v>43768.833333333336</v>
      </c>
    </row>
    <row r="4516" spans="1:8" x14ac:dyDescent="0.25">
      <c r="A4516">
        <v>239</v>
      </c>
      <c r="B4516" t="s">
        <v>366</v>
      </c>
      <c r="C4516">
        <v>4</v>
      </c>
      <c r="D4516">
        <v>0</v>
      </c>
      <c r="E4516">
        <v>0</v>
      </c>
      <c r="F4516">
        <v>69.34</v>
      </c>
      <c r="G4516">
        <v>8329.9599999999991</v>
      </c>
      <c r="H4516" s="14">
        <v>43768.833333333336</v>
      </c>
    </row>
    <row r="4517" spans="1:8" x14ac:dyDescent="0.25">
      <c r="A4517">
        <v>239</v>
      </c>
      <c r="B4517" t="s">
        <v>366</v>
      </c>
      <c r="C4517">
        <v>5</v>
      </c>
      <c r="D4517">
        <v>0</v>
      </c>
      <c r="E4517">
        <v>0</v>
      </c>
      <c r="F4517">
        <v>68.17</v>
      </c>
      <c r="G4517">
        <v>8253.19</v>
      </c>
      <c r="H4517" s="14">
        <v>43768.833333333336</v>
      </c>
    </row>
    <row r="4518" spans="1:8" x14ac:dyDescent="0.25">
      <c r="A4518">
        <v>239</v>
      </c>
      <c r="B4518" t="s">
        <v>366</v>
      </c>
      <c r="C4518">
        <v>6</v>
      </c>
      <c r="D4518">
        <v>0</v>
      </c>
      <c r="E4518">
        <v>0</v>
      </c>
      <c r="F4518">
        <v>68.430000000000007</v>
      </c>
      <c r="G4518">
        <v>8460.49</v>
      </c>
      <c r="H4518" s="14">
        <v>43768.833333333336</v>
      </c>
    </row>
    <row r="4519" spans="1:8" x14ac:dyDescent="0.25">
      <c r="A4519">
        <v>239</v>
      </c>
      <c r="B4519" t="s">
        <v>366</v>
      </c>
      <c r="C4519">
        <v>7</v>
      </c>
      <c r="D4519">
        <v>0</v>
      </c>
      <c r="E4519">
        <v>0</v>
      </c>
      <c r="F4519">
        <v>67.97</v>
      </c>
      <c r="G4519">
        <v>8485.86</v>
      </c>
      <c r="H4519" s="14">
        <v>43768.833333333336</v>
      </c>
    </row>
    <row r="4520" spans="1:8" x14ac:dyDescent="0.25">
      <c r="A4520">
        <v>239</v>
      </c>
      <c r="B4520" t="s">
        <v>366</v>
      </c>
      <c r="C4520">
        <v>8</v>
      </c>
      <c r="D4520">
        <v>0</v>
      </c>
      <c r="E4520">
        <v>0</v>
      </c>
      <c r="F4520">
        <v>67.400000000000006</v>
      </c>
      <c r="G4520">
        <v>8360.33</v>
      </c>
      <c r="H4520" s="14">
        <v>43768.833333333336</v>
      </c>
    </row>
    <row r="4521" spans="1:8" x14ac:dyDescent="0.25">
      <c r="A4521">
        <v>239</v>
      </c>
      <c r="B4521" t="s">
        <v>366</v>
      </c>
      <c r="C4521">
        <v>9</v>
      </c>
      <c r="D4521">
        <v>0</v>
      </c>
      <c r="E4521">
        <v>0</v>
      </c>
      <c r="F4521">
        <v>65.03</v>
      </c>
      <c r="G4521">
        <v>8146.47</v>
      </c>
      <c r="H4521" s="14">
        <v>43768.833333333336</v>
      </c>
    </row>
    <row r="4522" spans="1:8" x14ac:dyDescent="0.25">
      <c r="A4522">
        <v>239</v>
      </c>
      <c r="B4522" t="s">
        <v>366</v>
      </c>
      <c r="C4522">
        <v>10</v>
      </c>
      <c r="D4522">
        <v>0</v>
      </c>
      <c r="E4522">
        <v>0</v>
      </c>
      <c r="F4522">
        <v>66.069999999999993</v>
      </c>
      <c r="G4522">
        <v>8632.77</v>
      </c>
      <c r="H4522" s="14">
        <v>43768.833333333336</v>
      </c>
    </row>
    <row r="4523" spans="1:8" x14ac:dyDescent="0.25">
      <c r="A4523">
        <v>239</v>
      </c>
      <c r="B4523" t="s">
        <v>366</v>
      </c>
      <c r="C4523">
        <v>11</v>
      </c>
      <c r="D4523">
        <v>0</v>
      </c>
      <c r="E4523">
        <v>0</v>
      </c>
      <c r="F4523">
        <v>67.38</v>
      </c>
      <c r="G4523">
        <v>8724.35</v>
      </c>
      <c r="H4523" s="14">
        <v>43768.833333333336</v>
      </c>
    </row>
    <row r="4524" spans="1:8" x14ac:dyDescent="0.25">
      <c r="A4524">
        <v>239</v>
      </c>
      <c r="B4524" t="s">
        <v>366</v>
      </c>
      <c r="C4524">
        <v>12</v>
      </c>
      <c r="D4524">
        <v>0</v>
      </c>
      <c r="E4524">
        <v>0</v>
      </c>
      <c r="F4524">
        <v>66.8</v>
      </c>
      <c r="G4524">
        <v>8818.5499999999993</v>
      </c>
      <c r="H4524" s="14">
        <v>43768.833333333336</v>
      </c>
    </row>
    <row r="4525" spans="1:8" x14ac:dyDescent="0.25">
      <c r="A4525">
        <v>239</v>
      </c>
      <c r="B4525" t="s">
        <v>366</v>
      </c>
      <c r="C4525">
        <v>13</v>
      </c>
      <c r="D4525">
        <v>0</v>
      </c>
      <c r="E4525">
        <v>0</v>
      </c>
      <c r="F4525">
        <v>66.47</v>
      </c>
      <c r="G4525">
        <v>9059.11</v>
      </c>
      <c r="H4525" s="14">
        <v>43768.833333333336</v>
      </c>
    </row>
    <row r="4526" spans="1:8" x14ac:dyDescent="0.25">
      <c r="A4526">
        <v>239</v>
      </c>
      <c r="B4526" t="s">
        <v>366</v>
      </c>
      <c r="C4526">
        <v>14</v>
      </c>
      <c r="D4526">
        <v>0</v>
      </c>
      <c r="E4526">
        <v>0</v>
      </c>
      <c r="F4526">
        <v>65.81</v>
      </c>
      <c r="G4526">
        <v>8938.65</v>
      </c>
      <c r="H4526" s="14">
        <v>43768.833333333336</v>
      </c>
    </row>
    <row r="4527" spans="1:8" x14ac:dyDescent="0.25">
      <c r="A4527">
        <v>239</v>
      </c>
      <c r="B4527" t="s">
        <v>366</v>
      </c>
      <c r="C4527">
        <v>15</v>
      </c>
      <c r="D4527">
        <v>0</v>
      </c>
      <c r="E4527">
        <v>0</v>
      </c>
      <c r="F4527">
        <v>60.62</v>
      </c>
      <c r="G4527">
        <v>7186.78</v>
      </c>
      <c r="H4527" s="14">
        <v>43768.833333333336</v>
      </c>
    </row>
    <row r="4528" spans="1:8" x14ac:dyDescent="0.25">
      <c r="A4528">
        <v>239</v>
      </c>
      <c r="B4528" t="s">
        <v>366</v>
      </c>
      <c r="C4528">
        <v>16</v>
      </c>
      <c r="D4528">
        <v>0</v>
      </c>
      <c r="E4528">
        <v>0</v>
      </c>
      <c r="F4528">
        <v>36.74</v>
      </c>
      <c r="G4528">
        <v>5851.05</v>
      </c>
      <c r="H4528" s="14">
        <v>43768.833333333336</v>
      </c>
    </row>
    <row r="4529" spans="1:8" x14ac:dyDescent="0.25">
      <c r="A4529">
        <v>240</v>
      </c>
      <c r="B4529" t="s">
        <v>367</v>
      </c>
      <c r="C4529">
        <v>1</v>
      </c>
      <c r="D4529">
        <v>0</v>
      </c>
      <c r="E4529">
        <v>0</v>
      </c>
      <c r="F4529">
        <v>67.680000000000007</v>
      </c>
      <c r="G4529">
        <v>4277.8100000000004</v>
      </c>
      <c r="H4529" s="14">
        <v>43768.833333333336</v>
      </c>
    </row>
    <row r="4530" spans="1:8" x14ac:dyDescent="0.25">
      <c r="A4530">
        <v>240</v>
      </c>
      <c r="B4530" t="s">
        <v>367</v>
      </c>
      <c r="C4530">
        <v>2</v>
      </c>
      <c r="D4530">
        <v>0</v>
      </c>
      <c r="E4530">
        <v>0</v>
      </c>
      <c r="F4530">
        <v>66.75</v>
      </c>
      <c r="G4530">
        <v>3966.74</v>
      </c>
      <c r="H4530" s="14">
        <v>43768.833333333336</v>
      </c>
    </row>
    <row r="4531" spans="1:8" x14ac:dyDescent="0.25">
      <c r="A4531">
        <v>240</v>
      </c>
      <c r="B4531" t="s">
        <v>367</v>
      </c>
      <c r="C4531">
        <v>3</v>
      </c>
      <c r="D4531">
        <v>0</v>
      </c>
      <c r="E4531">
        <v>0</v>
      </c>
      <c r="F4531">
        <v>67.5</v>
      </c>
      <c r="G4531">
        <v>3942.86</v>
      </c>
      <c r="H4531" s="14">
        <v>43768.833333333336</v>
      </c>
    </row>
    <row r="4532" spans="1:8" x14ac:dyDescent="0.25">
      <c r="A4532">
        <v>240</v>
      </c>
      <c r="B4532" t="s">
        <v>367</v>
      </c>
      <c r="C4532">
        <v>4</v>
      </c>
      <c r="D4532">
        <v>0</v>
      </c>
      <c r="E4532">
        <v>0</v>
      </c>
      <c r="F4532">
        <v>67.42</v>
      </c>
      <c r="G4532">
        <v>4602.78</v>
      </c>
      <c r="H4532" s="14">
        <v>43768.833333333336</v>
      </c>
    </row>
    <row r="4533" spans="1:8" x14ac:dyDescent="0.25">
      <c r="A4533">
        <v>240</v>
      </c>
      <c r="B4533" t="s">
        <v>367</v>
      </c>
      <c r="C4533">
        <v>5</v>
      </c>
      <c r="D4533">
        <v>0</v>
      </c>
      <c r="E4533">
        <v>0</v>
      </c>
      <c r="F4533">
        <v>67.459999999999994</v>
      </c>
      <c r="G4533">
        <v>4610.63</v>
      </c>
      <c r="H4533" s="14">
        <v>43768.833333333336</v>
      </c>
    </row>
    <row r="4534" spans="1:8" x14ac:dyDescent="0.25">
      <c r="A4534">
        <v>240</v>
      </c>
      <c r="B4534" t="s">
        <v>367</v>
      </c>
      <c r="C4534">
        <v>6</v>
      </c>
      <c r="D4534">
        <v>0</v>
      </c>
      <c r="E4534">
        <v>0</v>
      </c>
      <c r="F4534">
        <v>66.89</v>
      </c>
      <c r="G4534">
        <v>4651.88</v>
      </c>
      <c r="H4534" s="14">
        <v>43768.833333333336</v>
      </c>
    </row>
    <row r="4535" spans="1:8" x14ac:dyDescent="0.25">
      <c r="A4535">
        <v>240</v>
      </c>
      <c r="B4535" t="s">
        <v>367</v>
      </c>
      <c r="C4535">
        <v>7</v>
      </c>
      <c r="D4535">
        <v>0</v>
      </c>
      <c r="E4535">
        <v>0</v>
      </c>
      <c r="F4535">
        <v>67.59</v>
      </c>
      <c r="G4535">
        <v>4731.5200000000004</v>
      </c>
      <c r="H4535" s="14">
        <v>43768.833333333336</v>
      </c>
    </row>
    <row r="4536" spans="1:8" x14ac:dyDescent="0.25">
      <c r="A4536">
        <v>240</v>
      </c>
      <c r="B4536" t="s">
        <v>367</v>
      </c>
      <c r="C4536">
        <v>8</v>
      </c>
      <c r="D4536">
        <v>0</v>
      </c>
      <c r="E4536">
        <v>0</v>
      </c>
      <c r="F4536">
        <v>66.91</v>
      </c>
      <c r="G4536">
        <v>4880.68</v>
      </c>
      <c r="H4536" s="14">
        <v>43768.833333333336</v>
      </c>
    </row>
    <row r="4537" spans="1:8" x14ac:dyDescent="0.25">
      <c r="A4537">
        <v>240</v>
      </c>
      <c r="B4537" t="s">
        <v>367</v>
      </c>
      <c r="C4537">
        <v>9</v>
      </c>
      <c r="D4537">
        <v>0</v>
      </c>
      <c r="E4537">
        <v>0</v>
      </c>
      <c r="F4537">
        <v>67.14</v>
      </c>
      <c r="G4537">
        <v>4562.1099999999997</v>
      </c>
      <c r="H4537" s="14">
        <v>43768.833333333336</v>
      </c>
    </row>
    <row r="4538" spans="1:8" x14ac:dyDescent="0.25">
      <c r="A4538">
        <v>240</v>
      </c>
      <c r="B4538" t="s">
        <v>367</v>
      </c>
      <c r="C4538">
        <v>10</v>
      </c>
      <c r="D4538">
        <v>0</v>
      </c>
      <c r="E4538">
        <v>0</v>
      </c>
      <c r="F4538">
        <v>66.63</v>
      </c>
      <c r="G4538">
        <v>6541.29</v>
      </c>
      <c r="H4538" s="14">
        <v>43768.833333333336</v>
      </c>
    </row>
    <row r="4539" spans="1:8" x14ac:dyDescent="0.25">
      <c r="A4539">
        <v>240</v>
      </c>
      <c r="B4539" t="s">
        <v>367</v>
      </c>
      <c r="C4539">
        <v>11</v>
      </c>
      <c r="D4539">
        <v>0</v>
      </c>
      <c r="E4539">
        <v>0</v>
      </c>
      <c r="F4539">
        <v>67.540000000000006</v>
      </c>
      <c r="G4539">
        <v>6261.74</v>
      </c>
      <c r="H4539" s="14">
        <v>43768.833333333336</v>
      </c>
    </row>
    <row r="4540" spans="1:8" x14ac:dyDescent="0.25">
      <c r="A4540">
        <v>240</v>
      </c>
      <c r="B4540" t="s">
        <v>367</v>
      </c>
      <c r="C4540">
        <v>12</v>
      </c>
      <c r="D4540">
        <v>0</v>
      </c>
      <c r="E4540">
        <v>0</v>
      </c>
      <c r="F4540">
        <v>65.19</v>
      </c>
      <c r="G4540">
        <v>6143.93</v>
      </c>
      <c r="H4540" s="14">
        <v>43768.833333333336</v>
      </c>
    </row>
    <row r="4541" spans="1:8" x14ac:dyDescent="0.25">
      <c r="A4541">
        <v>240</v>
      </c>
      <c r="B4541" t="s">
        <v>367</v>
      </c>
      <c r="C4541">
        <v>13</v>
      </c>
      <c r="D4541">
        <v>0</v>
      </c>
      <c r="E4541">
        <v>0</v>
      </c>
      <c r="F4541">
        <v>64.95</v>
      </c>
      <c r="G4541">
        <v>6645.01</v>
      </c>
      <c r="H4541" s="14">
        <v>43768.833333333336</v>
      </c>
    </row>
    <row r="4542" spans="1:8" x14ac:dyDescent="0.25">
      <c r="A4542">
        <v>240</v>
      </c>
      <c r="B4542" t="s">
        <v>367</v>
      </c>
      <c r="C4542">
        <v>14</v>
      </c>
      <c r="D4542">
        <v>0</v>
      </c>
      <c r="E4542">
        <v>0</v>
      </c>
      <c r="F4542">
        <v>64.25</v>
      </c>
      <c r="G4542">
        <v>5899.16</v>
      </c>
      <c r="H4542" s="14">
        <v>43768.833333333336</v>
      </c>
    </row>
    <row r="4543" spans="1:8" x14ac:dyDescent="0.25">
      <c r="A4543">
        <v>240</v>
      </c>
      <c r="B4543" t="s">
        <v>367</v>
      </c>
      <c r="C4543">
        <v>15</v>
      </c>
      <c r="D4543">
        <v>0</v>
      </c>
      <c r="E4543">
        <v>0</v>
      </c>
      <c r="F4543">
        <v>55.34</v>
      </c>
      <c r="G4543">
        <v>7716.88</v>
      </c>
      <c r="H4543" s="14">
        <v>43768.833333333336</v>
      </c>
    </row>
    <row r="4544" spans="1:8" x14ac:dyDescent="0.25">
      <c r="A4544">
        <v>240</v>
      </c>
      <c r="B4544" t="s">
        <v>367</v>
      </c>
      <c r="C4544">
        <v>16</v>
      </c>
      <c r="D4544">
        <v>0</v>
      </c>
      <c r="E4544">
        <v>0</v>
      </c>
      <c r="F4544">
        <v>35.229999999999997</v>
      </c>
      <c r="G4544">
        <v>5492.61</v>
      </c>
      <c r="H4544" s="14">
        <v>43768.833333333336</v>
      </c>
    </row>
    <row r="4545" spans="1:8" x14ac:dyDescent="0.25">
      <c r="A4545">
        <v>241</v>
      </c>
      <c r="B4545" t="s">
        <v>368</v>
      </c>
      <c r="C4545">
        <v>1</v>
      </c>
      <c r="D4545">
        <v>0</v>
      </c>
      <c r="E4545">
        <v>0</v>
      </c>
      <c r="F4545">
        <v>19.62</v>
      </c>
      <c r="G4545">
        <v>6510.01</v>
      </c>
      <c r="H4545" s="14">
        <v>43768.833333333336</v>
      </c>
    </row>
    <row r="4546" spans="1:8" x14ac:dyDescent="0.25">
      <c r="A4546">
        <v>241</v>
      </c>
      <c r="B4546" t="s">
        <v>368</v>
      </c>
      <c r="C4546">
        <v>2</v>
      </c>
      <c r="D4546">
        <v>0</v>
      </c>
      <c r="E4546">
        <v>0</v>
      </c>
      <c r="F4546">
        <v>19.37</v>
      </c>
      <c r="G4546">
        <v>6438.33</v>
      </c>
      <c r="H4546" s="14">
        <v>43768.833333333336</v>
      </c>
    </row>
    <row r="4547" spans="1:8" x14ac:dyDescent="0.25">
      <c r="A4547">
        <v>241</v>
      </c>
      <c r="B4547" t="s">
        <v>368</v>
      </c>
      <c r="C4547">
        <v>3</v>
      </c>
      <c r="D4547">
        <v>0</v>
      </c>
      <c r="E4547">
        <v>0</v>
      </c>
      <c r="F4547">
        <v>19.36</v>
      </c>
      <c r="G4547">
        <v>6418.46</v>
      </c>
      <c r="H4547" s="14">
        <v>43768.833333333336</v>
      </c>
    </row>
    <row r="4548" spans="1:8" x14ac:dyDescent="0.25">
      <c r="A4548">
        <v>241</v>
      </c>
      <c r="B4548" t="s">
        <v>368</v>
      </c>
      <c r="C4548">
        <v>4</v>
      </c>
      <c r="D4548">
        <v>0</v>
      </c>
      <c r="E4548">
        <v>0</v>
      </c>
      <c r="F4548">
        <v>19.16</v>
      </c>
      <c r="G4548">
        <v>6424.21</v>
      </c>
      <c r="H4548" s="14">
        <v>43768.833333333336</v>
      </c>
    </row>
    <row r="4549" spans="1:8" x14ac:dyDescent="0.25">
      <c r="A4549">
        <v>241</v>
      </c>
      <c r="B4549" t="s">
        <v>368</v>
      </c>
      <c r="C4549">
        <v>5</v>
      </c>
      <c r="D4549">
        <v>0</v>
      </c>
      <c r="E4549">
        <v>0</v>
      </c>
      <c r="F4549">
        <v>18.7</v>
      </c>
      <c r="G4549">
        <v>6199.52</v>
      </c>
      <c r="H4549" s="14">
        <v>43768.833333333336</v>
      </c>
    </row>
    <row r="4550" spans="1:8" x14ac:dyDescent="0.25">
      <c r="A4550">
        <v>241</v>
      </c>
      <c r="B4550" t="s">
        <v>368</v>
      </c>
      <c r="C4550">
        <v>6</v>
      </c>
      <c r="D4550">
        <v>0</v>
      </c>
      <c r="E4550">
        <v>0</v>
      </c>
      <c r="F4550">
        <v>17.66</v>
      </c>
      <c r="G4550">
        <v>5965.92</v>
      </c>
      <c r="H4550" s="14">
        <v>43768.833333333336</v>
      </c>
    </row>
    <row r="4551" spans="1:8" x14ac:dyDescent="0.25">
      <c r="A4551">
        <v>241</v>
      </c>
      <c r="B4551" t="s">
        <v>368</v>
      </c>
      <c r="C4551">
        <v>7</v>
      </c>
      <c r="D4551">
        <v>0</v>
      </c>
      <c r="E4551">
        <v>0</v>
      </c>
      <c r="F4551">
        <v>18.97</v>
      </c>
      <c r="G4551">
        <v>6398.22</v>
      </c>
      <c r="H4551" s="14">
        <v>43768.833333333336</v>
      </c>
    </row>
    <row r="4552" spans="1:8" x14ac:dyDescent="0.25">
      <c r="A4552">
        <v>241</v>
      </c>
      <c r="B4552" t="s">
        <v>368</v>
      </c>
      <c r="C4552">
        <v>8</v>
      </c>
      <c r="D4552">
        <v>0</v>
      </c>
      <c r="E4552">
        <v>0</v>
      </c>
      <c r="F4552">
        <v>18.89</v>
      </c>
      <c r="G4552">
        <v>6260.26</v>
      </c>
      <c r="H4552" s="14">
        <v>43768.833333333336</v>
      </c>
    </row>
    <row r="4553" spans="1:8" x14ac:dyDescent="0.25">
      <c r="A4553">
        <v>241</v>
      </c>
      <c r="B4553" t="s">
        <v>368</v>
      </c>
      <c r="C4553">
        <v>9</v>
      </c>
      <c r="D4553">
        <v>0</v>
      </c>
      <c r="E4553">
        <v>0</v>
      </c>
      <c r="F4553">
        <v>18.91</v>
      </c>
      <c r="G4553">
        <v>6188.61</v>
      </c>
      <c r="H4553" s="14">
        <v>43768.833333333336</v>
      </c>
    </row>
    <row r="4554" spans="1:8" x14ac:dyDescent="0.25">
      <c r="A4554">
        <v>241</v>
      </c>
      <c r="B4554" t="s">
        <v>368</v>
      </c>
      <c r="C4554">
        <v>10</v>
      </c>
      <c r="D4554">
        <v>0</v>
      </c>
      <c r="E4554">
        <v>0</v>
      </c>
      <c r="F4554">
        <v>18.809999999999999</v>
      </c>
      <c r="G4554">
        <v>6275.86</v>
      </c>
      <c r="H4554" s="14">
        <v>43768.833333333336</v>
      </c>
    </row>
    <row r="4555" spans="1:8" x14ac:dyDescent="0.25">
      <c r="A4555">
        <v>241</v>
      </c>
      <c r="B4555" t="s">
        <v>368</v>
      </c>
      <c r="C4555">
        <v>11</v>
      </c>
      <c r="D4555">
        <v>0</v>
      </c>
      <c r="E4555">
        <v>0</v>
      </c>
      <c r="F4555">
        <v>17.899999999999999</v>
      </c>
      <c r="G4555">
        <v>6120.16</v>
      </c>
      <c r="H4555" s="14">
        <v>43768.833333333336</v>
      </c>
    </row>
    <row r="4556" spans="1:8" x14ac:dyDescent="0.25">
      <c r="A4556">
        <v>241</v>
      </c>
      <c r="B4556" t="s">
        <v>368</v>
      </c>
      <c r="C4556">
        <v>12</v>
      </c>
      <c r="D4556">
        <v>0</v>
      </c>
      <c r="E4556">
        <v>0</v>
      </c>
      <c r="F4556">
        <v>18.95</v>
      </c>
      <c r="G4556">
        <v>6323.27</v>
      </c>
      <c r="H4556" s="14">
        <v>43768.833333333336</v>
      </c>
    </row>
    <row r="4557" spans="1:8" x14ac:dyDescent="0.25">
      <c r="A4557">
        <v>242</v>
      </c>
      <c r="B4557" t="s">
        <v>369</v>
      </c>
      <c r="C4557">
        <v>1</v>
      </c>
      <c r="D4557">
        <v>0</v>
      </c>
      <c r="E4557">
        <v>0</v>
      </c>
      <c r="F4557">
        <v>116.56</v>
      </c>
      <c r="G4557">
        <v>37919.74</v>
      </c>
      <c r="H4557" s="14">
        <v>43768.833333333336</v>
      </c>
    </row>
    <row r="4558" spans="1:8" x14ac:dyDescent="0.25">
      <c r="A4558">
        <v>242</v>
      </c>
      <c r="B4558" t="s">
        <v>369</v>
      </c>
      <c r="C4558">
        <v>2</v>
      </c>
      <c r="D4558">
        <v>0</v>
      </c>
      <c r="E4558">
        <v>0</v>
      </c>
      <c r="F4558">
        <v>115.44</v>
      </c>
      <c r="G4558">
        <v>37712.99</v>
      </c>
      <c r="H4558" s="14">
        <v>43768.833333333336</v>
      </c>
    </row>
    <row r="4559" spans="1:8" x14ac:dyDescent="0.25">
      <c r="A4559">
        <v>242</v>
      </c>
      <c r="B4559" t="s">
        <v>369</v>
      </c>
      <c r="C4559">
        <v>3</v>
      </c>
      <c r="D4559">
        <v>0</v>
      </c>
      <c r="E4559">
        <v>0</v>
      </c>
      <c r="F4559">
        <v>115.06</v>
      </c>
      <c r="G4559">
        <v>37797.75</v>
      </c>
      <c r="H4559" s="14">
        <v>43768.833333333336</v>
      </c>
    </row>
    <row r="4560" spans="1:8" x14ac:dyDescent="0.25">
      <c r="A4560">
        <v>242</v>
      </c>
      <c r="B4560" t="s">
        <v>369</v>
      </c>
      <c r="C4560">
        <v>4</v>
      </c>
      <c r="D4560">
        <v>0</v>
      </c>
      <c r="E4560">
        <v>0</v>
      </c>
      <c r="F4560">
        <v>66.09</v>
      </c>
      <c r="G4560">
        <v>21698.400000000001</v>
      </c>
      <c r="H4560" s="14">
        <v>43768.833333333336</v>
      </c>
    </row>
    <row r="4561" spans="1:8" x14ac:dyDescent="0.25">
      <c r="A4561">
        <v>242</v>
      </c>
      <c r="B4561" t="s">
        <v>369</v>
      </c>
      <c r="C4561">
        <v>5</v>
      </c>
      <c r="D4561">
        <v>0</v>
      </c>
      <c r="E4561">
        <v>0</v>
      </c>
      <c r="F4561">
        <v>129.58000000000001</v>
      </c>
      <c r="G4561">
        <v>39036.22</v>
      </c>
      <c r="H4561" s="14">
        <v>43768.833333333336</v>
      </c>
    </row>
    <row r="4562" spans="1:8" x14ac:dyDescent="0.25">
      <c r="A4562">
        <v>242</v>
      </c>
      <c r="B4562" t="s">
        <v>369</v>
      </c>
      <c r="C4562">
        <v>6</v>
      </c>
      <c r="D4562">
        <v>0</v>
      </c>
      <c r="E4562">
        <v>0</v>
      </c>
      <c r="F4562">
        <v>123</v>
      </c>
      <c r="G4562">
        <v>37075.29</v>
      </c>
      <c r="H4562" s="14">
        <v>43768.833333333336</v>
      </c>
    </row>
    <row r="4563" spans="1:8" x14ac:dyDescent="0.25">
      <c r="A4563">
        <v>242</v>
      </c>
      <c r="B4563" t="s">
        <v>369</v>
      </c>
      <c r="C4563">
        <v>7</v>
      </c>
      <c r="D4563">
        <v>0</v>
      </c>
      <c r="E4563">
        <v>0</v>
      </c>
      <c r="F4563">
        <v>131.88999999999999</v>
      </c>
      <c r="G4563">
        <v>39488.5</v>
      </c>
      <c r="H4563" s="14">
        <v>43768.833333333336</v>
      </c>
    </row>
    <row r="4564" spans="1:8" x14ac:dyDescent="0.25">
      <c r="A4564">
        <v>242</v>
      </c>
      <c r="B4564" t="s">
        <v>369</v>
      </c>
      <c r="C4564">
        <v>8</v>
      </c>
      <c r="D4564">
        <v>0</v>
      </c>
      <c r="E4564">
        <v>0</v>
      </c>
      <c r="F4564">
        <v>133.38999999999999</v>
      </c>
      <c r="G4564">
        <v>39976.42</v>
      </c>
      <c r="H4564" s="14">
        <v>43768.833333333336</v>
      </c>
    </row>
    <row r="4565" spans="1:8" x14ac:dyDescent="0.25">
      <c r="A4565">
        <v>242</v>
      </c>
      <c r="B4565" t="s">
        <v>369</v>
      </c>
      <c r="C4565">
        <v>9</v>
      </c>
      <c r="D4565">
        <v>0</v>
      </c>
      <c r="E4565">
        <v>0</v>
      </c>
      <c r="F4565">
        <v>126.97</v>
      </c>
      <c r="G4565">
        <v>38712.199999999997</v>
      </c>
      <c r="H4565" s="14">
        <v>43768.833333333336</v>
      </c>
    </row>
    <row r="4566" spans="1:8" x14ac:dyDescent="0.25">
      <c r="A4566">
        <v>242</v>
      </c>
      <c r="B4566" t="s">
        <v>369</v>
      </c>
      <c r="C4566">
        <v>10</v>
      </c>
      <c r="D4566">
        <v>0</v>
      </c>
      <c r="E4566">
        <v>0</v>
      </c>
      <c r="F4566">
        <v>127.28</v>
      </c>
      <c r="G4566">
        <v>38748.47</v>
      </c>
      <c r="H4566" s="14">
        <v>43768.833333333336</v>
      </c>
    </row>
    <row r="4567" spans="1:8" x14ac:dyDescent="0.25">
      <c r="A4567">
        <v>242</v>
      </c>
      <c r="B4567" t="s">
        <v>369</v>
      </c>
      <c r="C4567">
        <v>11</v>
      </c>
      <c r="D4567">
        <v>0</v>
      </c>
      <c r="E4567">
        <v>0</v>
      </c>
      <c r="F4567">
        <v>129.25</v>
      </c>
      <c r="G4567">
        <v>39242.51</v>
      </c>
      <c r="H4567" s="14">
        <v>43768.833333333336</v>
      </c>
    </row>
    <row r="4568" spans="1:8" x14ac:dyDescent="0.25">
      <c r="A4568">
        <v>242</v>
      </c>
      <c r="B4568" t="s">
        <v>369</v>
      </c>
      <c r="C4568">
        <v>12</v>
      </c>
      <c r="D4568">
        <v>0</v>
      </c>
      <c r="E4568">
        <v>0</v>
      </c>
      <c r="F4568">
        <v>128.79</v>
      </c>
      <c r="G4568">
        <v>39108.04</v>
      </c>
      <c r="H4568" s="14">
        <v>43768.833333333336</v>
      </c>
    </row>
    <row r="4569" spans="1:8" x14ac:dyDescent="0.25">
      <c r="A4569">
        <v>242</v>
      </c>
      <c r="B4569" t="s">
        <v>369</v>
      </c>
      <c r="C4569">
        <v>13</v>
      </c>
      <c r="D4569">
        <v>0</v>
      </c>
      <c r="E4569">
        <v>0</v>
      </c>
      <c r="F4569">
        <v>36.36</v>
      </c>
      <c r="G4569">
        <v>11003.88</v>
      </c>
      <c r="H4569" s="14">
        <v>43768.833333333336</v>
      </c>
    </row>
    <row r="4570" spans="1:8" x14ac:dyDescent="0.25">
      <c r="A4570">
        <v>243</v>
      </c>
      <c r="B4570" t="s">
        <v>370</v>
      </c>
      <c r="C4570">
        <v>1</v>
      </c>
      <c r="D4570">
        <v>0</v>
      </c>
      <c r="E4570">
        <v>0</v>
      </c>
      <c r="F4570">
        <v>141.41</v>
      </c>
      <c r="G4570">
        <v>12564.28</v>
      </c>
      <c r="H4570" s="14">
        <v>43768.833333333336</v>
      </c>
    </row>
    <row r="4571" spans="1:8" x14ac:dyDescent="0.25">
      <c r="A4571">
        <v>243</v>
      </c>
      <c r="B4571" t="s">
        <v>370</v>
      </c>
      <c r="C4571">
        <v>2</v>
      </c>
      <c r="D4571">
        <v>0</v>
      </c>
      <c r="E4571">
        <v>0</v>
      </c>
      <c r="F4571">
        <v>138.41999999999999</v>
      </c>
      <c r="G4571">
        <v>12762.89</v>
      </c>
      <c r="H4571" s="14">
        <v>43768.833333333336</v>
      </c>
    </row>
    <row r="4572" spans="1:8" x14ac:dyDescent="0.25">
      <c r="A4572">
        <v>243</v>
      </c>
      <c r="B4572" t="s">
        <v>370</v>
      </c>
      <c r="C4572">
        <v>3</v>
      </c>
      <c r="D4572">
        <v>0</v>
      </c>
      <c r="E4572">
        <v>0</v>
      </c>
      <c r="F4572">
        <v>116.61</v>
      </c>
      <c r="G4572">
        <v>10783.08</v>
      </c>
      <c r="H4572" s="14">
        <v>43768.833333333336</v>
      </c>
    </row>
    <row r="4573" spans="1:8" x14ac:dyDescent="0.25">
      <c r="A4573">
        <v>243</v>
      </c>
      <c r="B4573" t="s">
        <v>370</v>
      </c>
      <c r="C4573">
        <v>4</v>
      </c>
      <c r="D4573">
        <v>0</v>
      </c>
      <c r="E4573">
        <v>0</v>
      </c>
      <c r="F4573">
        <v>148.21</v>
      </c>
      <c r="G4573">
        <v>12988.75</v>
      </c>
      <c r="H4573" s="14">
        <v>43768.833333333336</v>
      </c>
    </row>
    <row r="4574" spans="1:8" x14ac:dyDescent="0.25">
      <c r="A4574">
        <v>243</v>
      </c>
      <c r="B4574" t="s">
        <v>370</v>
      </c>
      <c r="C4574">
        <v>5</v>
      </c>
      <c r="D4574">
        <v>0</v>
      </c>
      <c r="E4574">
        <v>0</v>
      </c>
      <c r="F4574">
        <v>142.49</v>
      </c>
      <c r="G4574">
        <v>12784.54</v>
      </c>
      <c r="H4574" s="14">
        <v>43768.833333333336</v>
      </c>
    </row>
    <row r="4575" spans="1:8" x14ac:dyDescent="0.25">
      <c r="A4575">
        <v>243</v>
      </c>
      <c r="B4575" t="s">
        <v>370</v>
      </c>
      <c r="C4575">
        <v>6</v>
      </c>
      <c r="D4575">
        <v>0</v>
      </c>
      <c r="E4575">
        <v>0</v>
      </c>
      <c r="F4575">
        <v>140.93</v>
      </c>
      <c r="G4575">
        <v>12597.63</v>
      </c>
      <c r="H4575" s="14">
        <v>43768.833333333336</v>
      </c>
    </row>
    <row r="4576" spans="1:8" x14ac:dyDescent="0.25">
      <c r="A4576">
        <v>243</v>
      </c>
      <c r="B4576" t="s">
        <v>370</v>
      </c>
      <c r="C4576">
        <v>7</v>
      </c>
      <c r="D4576">
        <v>0</v>
      </c>
      <c r="E4576">
        <v>0</v>
      </c>
      <c r="F4576">
        <v>148.59</v>
      </c>
      <c r="G4576">
        <v>11457.42</v>
      </c>
      <c r="H4576" s="14">
        <v>43768.833333333336</v>
      </c>
    </row>
    <row r="4577" spans="1:8" x14ac:dyDescent="0.25">
      <c r="A4577">
        <v>243</v>
      </c>
      <c r="B4577" t="s">
        <v>370</v>
      </c>
      <c r="C4577">
        <v>8</v>
      </c>
      <c r="D4577">
        <v>0</v>
      </c>
      <c r="E4577">
        <v>0</v>
      </c>
      <c r="F4577">
        <v>145.12</v>
      </c>
      <c r="G4577">
        <v>12905.01</v>
      </c>
      <c r="H4577" s="14">
        <v>43768.833333333336</v>
      </c>
    </row>
    <row r="4578" spans="1:8" x14ac:dyDescent="0.25">
      <c r="A4578">
        <v>243</v>
      </c>
      <c r="B4578" t="s">
        <v>370</v>
      </c>
      <c r="C4578">
        <v>9</v>
      </c>
      <c r="D4578">
        <v>0</v>
      </c>
      <c r="E4578">
        <v>0</v>
      </c>
      <c r="F4578">
        <v>122.81</v>
      </c>
      <c r="G4578">
        <v>8930.92</v>
      </c>
      <c r="H4578" s="14">
        <v>43768.833333333336</v>
      </c>
    </row>
    <row r="4579" spans="1:8" x14ac:dyDescent="0.25">
      <c r="A4579">
        <v>243</v>
      </c>
      <c r="B4579" t="s">
        <v>370</v>
      </c>
      <c r="C4579">
        <v>10</v>
      </c>
      <c r="D4579">
        <v>0</v>
      </c>
      <c r="E4579">
        <v>0</v>
      </c>
      <c r="F4579">
        <v>150.68</v>
      </c>
      <c r="G4579">
        <v>10750.9</v>
      </c>
      <c r="H4579" s="14">
        <v>43768.833333333336</v>
      </c>
    </row>
    <row r="4580" spans="1:8" x14ac:dyDescent="0.25">
      <c r="A4580">
        <v>243</v>
      </c>
      <c r="B4580" t="s">
        <v>370</v>
      </c>
      <c r="C4580">
        <v>11</v>
      </c>
      <c r="D4580">
        <v>0</v>
      </c>
      <c r="E4580">
        <v>0</v>
      </c>
      <c r="F4580">
        <v>146.72</v>
      </c>
      <c r="G4580">
        <v>10546.53</v>
      </c>
      <c r="H4580" s="14">
        <v>43768.833333333336</v>
      </c>
    </row>
    <row r="4581" spans="1:8" x14ac:dyDescent="0.25">
      <c r="A4581">
        <v>243</v>
      </c>
      <c r="B4581" t="s">
        <v>370</v>
      </c>
      <c r="C4581">
        <v>12</v>
      </c>
      <c r="D4581">
        <v>0</v>
      </c>
      <c r="E4581">
        <v>0</v>
      </c>
      <c r="F4581">
        <v>140.41999999999999</v>
      </c>
      <c r="G4581">
        <v>10165.65</v>
      </c>
      <c r="H4581" s="14">
        <v>43768.833333333336</v>
      </c>
    </row>
    <row r="4582" spans="1:8" x14ac:dyDescent="0.25">
      <c r="A4582">
        <v>244</v>
      </c>
      <c r="B4582" t="s">
        <v>371</v>
      </c>
      <c r="C4582">
        <v>1</v>
      </c>
      <c r="D4582">
        <v>0</v>
      </c>
      <c r="E4582">
        <v>0</v>
      </c>
      <c r="F4582">
        <v>132.75</v>
      </c>
      <c r="G4582">
        <v>9550.11</v>
      </c>
      <c r="H4582" s="14">
        <v>43768.833333333336</v>
      </c>
    </row>
    <row r="4583" spans="1:8" x14ac:dyDescent="0.25">
      <c r="A4583">
        <v>244</v>
      </c>
      <c r="B4583" t="s">
        <v>371</v>
      </c>
      <c r="C4583">
        <v>2</v>
      </c>
      <c r="D4583">
        <v>0</v>
      </c>
      <c r="E4583">
        <v>0</v>
      </c>
      <c r="F4583">
        <v>141.79</v>
      </c>
      <c r="G4583">
        <v>10364.799999999999</v>
      </c>
      <c r="H4583" s="14">
        <v>43768.833333333336</v>
      </c>
    </row>
    <row r="4584" spans="1:8" x14ac:dyDescent="0.25">
      <c r="A4584">
        <v>244</v>
      </c>
      <c r="B4584" t="s">
        <v>371</v>
      </c>
      <c r="C4584">
        <v>3</v>
      </c>
      <c r="D4584">
        <v>0</v>
      </c>
      <c r="E4584">
        <v>0</v>
      </c>
      <c r="F4584">
        <v>128.22</v>
      </c>
      <c r="G4584">
        <v>9452.2800000000007</v>
      </c>
      <c r="H4584" s="14">
        <v>43768.833333333336</v>
      </c>
    </row>
    <row r="4585" spans="1:8" x14ac:dyDescent="0.25">
      <c r="A4585">
        <v>244</v>
      </c>
      <c r="B4585" t="s">
        <v>371</v>
      </c>
      <c r="C4585">
        <v>4</v>
      </c>
      <c r="D4585">
        <v>0</v>
      </c>
      <c r="E4585">
        <v>0</v>
      </c>
      <c r="F4585">
        <v>133.43</v>
      </c>
      <c r="G4585">
        <v>9897.27</v>
      </c>
      <c r="H4585" s="14">
        <v>43768.833333333336</v>
      </c>
    </row>
    <row r="4586" spans="1:8" x14ac:dyDescent="0.25">
      <c r="A4586">
        <v>244</v>
      </c>
      <c r="B4586" t="s">
        <v>371</v>
      </c>
      <c r="C4586">
        <v>5</v>
      </c>
      <c r="D4586">
        <v>0</v>
      </c>
      <c r="E4586">
        <v>0</v>
      </c>
      <c r="F4586">
        <v>127.43</v>
      </c>
      <c r="G4586">
        <v>9517.24</v>
      </c>
      <c r="H4586" s="14">
        <v>43768.833333333336</v>
      </c>
    </row>
    <row r="4587" spans="1:8" x14ac:dyDescent="0.25">
      <c r="A4587">
        <v>244</v>
      </c>
      <c r="B4587" t="s">
        <v>371</v>
      </c>
      <c r="C4587">
        <v>6</v>
      </c>
      <c r="D4587">
        <v>0</v>
      </c>
      <c r="E4587">
        <v>0</v>
      </c>
      <c r="F4587">
        <v>122.32</v>
      </c>
      <c r="G4587">
        <v>9282.51</v>
      </c>
      <c r="H4587" s="14">
        <v>43768.833333333336</v>
      </c>
    </row>
    <row r="4588" spans="1:8" x14ac:dyDescent="0.25">
      <c r="A4588">
        <v>244</v>
      </c>
      <c r="B4588" t="s">
        <v>371</v>
      </c>
      <c r="C4588">
        <v>7</v>
      </c>
      <c r="D4588">
        <v>0</v>
      </c>
      <c r="E4588">
        <v>0</v>
      </c>
      <c r="F4588">
        <v>133.86000000000001</v>
      </c>
      <c r="G4588">
        <v>10060.33</v>
      </c>
      <c r="H4588" s="14">
        <v>43768.833333333336</v>
      </c>
    </row>
    <row r="4589" spans="1:8" x14ac:dyDescent="0.25">
      <c r="A4589">
        <v>244</v>
      </c>
      <c r="B4589" t="s">
        <v>371</v>
      </c>
      <c r="C4589">
        <v>8</v>
      </c>
      <c r="D4589">
        <v>0</v>
      </c>
      <c r="E4589">
        <v>0</v>
      </c>
      <c r="F4589">
        <v>124.92</v>
      </c>
      <c r="G4589">
        <v>9364.6</v>
      </c>
      <c r="H4589" s="14">
        <v>43768.833333333336</v>
      </c>
    </row>
    <row r="4590" spans="1:8" x14ac:dyDescent="0.25">
      <c r="A4590">
        <v>244</v>
      </c>
      <c r="B4590" t="s">
        <v>371</v>
      </c>
      <c r="C4590">
        <v>9</v>
      </c>
      <c r="D4590">
        <v>0</v>
      </c>
      <c r="E4590">
        <v>0</v>
      </c>
      <c r="F4590">
        <v>128.26</v>
      </c>
      <c r="G4590">
        <v>8649.01</v>
      </c>
      <c r="H4590" s="14">
        <v>43768.833333333336</v>
      </c>
    </row>
    <row r="4591" spans="1:8" x14ac:dyDescent="0.25">
      <c r="A4591">
        <v>244</v>
      </c>
      <c r="B4591" t="s">
        <v>371</v>
      </c>
      <c r="C4591">
        <v>10</v>
      </c>
      <c r="D4591">
        <v>0</v>
      </c>
      <c r="E4591">
        <v>0</v>
      </c>
      <c r="F4591">
        <v>121.08</v>
      </c>
      <c r="G4591">
        <v>8264.58</v>
      </c>
      <c r="H4591" s="14">
        <v>43768.833333333336</v>
      </c>
    </row>
    <row r="4592" spans="1:8" x14ac:dyDescent="0.25">
      <c r="A4592">
        <v>245</v>
      </c>
      <c r="B4592" t="s">
        <v>372</v>
      </c>
      <c r="C4592">
        <v>1</v>
      </c>
      <c r="D4592">
        <v>0</v>
      </c>
      <c r="E4592">
        <v>0</v>
      </c>
      <c r="F4592">
        <v>138.57</v>
      </c>
      <c r="G4592">
        <v>12599.19</v>
      </c>
      <c r="H4592" s="14">
        <v>43768.833333333336</v>
      </c>
    </row>
    <row r="4593" spans="1:8" x14ac:dyDescent="0.25">
      <c r="A4593">
        <v>245</v>
      </c>
      <c r="B4593" t="s">
        <v>372</v>
      </c>
      <c r="C4593">
        <v>2</v>
      </c>
      <c r="D4593">
        <v>0</v>
      </c>
      <c r="E4593">
        <v>0</v>
      </c>
      <c r="F4593">
        <v>140.62</v>
      </c>
      <c r="G4593">
        <v>12682.93</v>
      </c>
      <c r="H4593" s="14">
        <v>43768.833333333336</v>
      </c>
    </row>
    <row r="4594" spans="1:8" x14ac:dyDescent="0.25">
      <c r="A4594">
        <v>245</v>
      </c>
      <c r="B4594" t="s">
        <v>372</v>
      </c>
      <c r="C4594">
        <v>3</v>
      </c>
      <c r="D4594">
        <v>0</v>
      </c>
      <c r="E4594">
        <v>0</v>
      </c>
      <c r="F4594">
        <v>117.56</v>
      </c>
      <c r="G4594">
        <v>10206.56</v>
      </c>
      <c r="H4594" s="14">
        <v>43768.833333333336</v>
      </c>
    </row>
    <row r="4595" spans="1:8" x14ac:dyDescent="0.25">
      <c r="A4595">
        <v>245</v>
      </c>
      <c r="B4595" t="s">
        <v>372</v>
      </c>
      <c r="C4595">
        <v>4</v>
      </c>
      <c r="D4595">
        <v>0</v>
      </c>
      <c r="E4595">
        <v>0</v>
      </c>
      <c r="F4595">
        <v>143.88999999999999</v>
      </c>
      <c r="G4595">
        <v>12857.24</v>
      </c>
      <c r="H4595" s="14">
        <v>43768.833333333336</v>
      </c>
    </row>
    <row r="4596" spans="1:8" x14ac:dyDescent="0.25">
      <c r="A4596">
        <v>245</v>
      </c>
      <c r="B4596" t="s">
        <v>372</v>
      </c>
      <c r="C4596">
        <v>5</v>
      </c>
      <c r="D4596">
        <v>0</v>
      </c>
      <c r="E4596">
        <v>0</v>
      </c>
      <c r="F4596">
        <v>143.54</v>
      </c>
      <c r="G4596">
        <v>12851.54</v>
      </c>
      <c r="H4596" s="14">
        <v>43768.833333333336</v>
      </c>
    </row>
    <row r="4597" spans="1:8" x14ac:dyDescent="0.25">
      <c r="A4597">
        <v>245</v>
      </c>
      <c r="B4597" t="s">
        <v>372</v>
      </c>
      <c r="C4597">
        <v>6</v>
      </c>
      <c r="D4597">
        <v>0</v>
      </c>
      <c r="E4597">
        <v>0</v>
      </c>
      <c r="F4597">
        <v>145.69999999999999</v>
      </c>
      <c r="G4597">
        <v>12853.42</v>
      </c>
      <c r="H4597" s="14">
        <v>43768.833333333336</v>
      </c>
    </row>
    <row r="4598" spans="1:8" x14ac:dyDescent="0.25">
      <c r="A4598">
        <v>245</v>
      </c>
      <c r="B4598" t="s">
        <v>372</v>
      </c>
      <c r="C4598">
        <v>7</v>
      </c>
      <c r="D4598">
        <v>0</v>
      </c>
      <c r="E4598">
        <v>0</v>
      </c>
      <c r="F4598">
        <v>144.81</v>
      </c>
      <c r="G4598">
        <v>12822.62</v>
      </c>
      <c r="H4598" s="14">
        <v>43768.833333333336</v>
      </c>
    </row>
    <row r="4599" spans="1:8" x14ac:dyDescent="0.25">
      <c r="A4599">
        <v>245</v>
      </c>
      <c r="B4599" t="s">
        <v>372</v>
      </c>
      <c r="C4599">
        <v>8</v>
      </c>
      <c r="D4599">
        <v>0</v>
      </c>
      <c r="E4599">
        <v>0</v>
      </c>
      <c r="F4599">
        <v>143.34</v>
      </c>
      <c r="G4599">
        <v>12763.07</v>
      </c>
      <c r="H4599" s="14">
        <v>43768.833333333336</v>
      </c>
    </row>
    <row r="4600" spans="1:8" x14ac:dyDescent="0.25">
      <c r="A4600">
        <v>245</v>
      </c>
      <c r="B4600" t="s">
        <v>372</v>
      </c>
      <c r="C4600">
        <v>9</v>
      </c>
      <c r="D4600">
        <v>0</v>
      </c>
      <c r="E4600">
        <v>0</v>
      </c>
      <c r="F4600">
        <v>147.05000000000001</v>
      </c>
      <c r="G4600">
        <v>11115.78</v>
      </c>
      <c r="H4600" s="14">
        <v>43768.833333333336</v>
      </c>
    </row>
    <row r="4601" spans="1:8" x14ac:dyDescent="0.25">
      <c r="A4601">
        <v>245</v>
      </c>
      <c r="B4601" t="s">
        <v>372</v>
      </c>
      <c r="C4601">
        <v>10</v>
      </c>
      <c r="D4601">
        <v>0</v>
      </c>
      <c r="E4601">
        <v>0</v>
      </c>
      <c r="F4601">
        <v>139.34</v>
      </c>
      <c r="G4601">
        <v>10589.63</v>
      </c>
      <c r="H4601" s="14">
        <v>43768.833333333336</v>
      </c>
    </row>
    <row r="4602" spans="1:8" x14ac:dyDescent="0.25">
      <c r="A4602">
        <v>245</v>
      </c>
      <c r="B4602" t="s">
        <v>372</v>
      </c>
      <c r="C4602">
        <v>11</v>
      </c>
      <c r="D4602">
        <v>0</v>
      </c>
      <c r="E4602">
        <v>0</v>
      </c>
      <c r="F4602">
        <v>145.47</v>
      </c>
      <c r="G4602">
        <v>9546.7900000000009</v>
      </c>
      <c r="H4602" s="14">
        <v>43768.833333333336</v>
      </c>
    </row>
    <row r="4603" spans="1:8" x14ac:dyDescent="0.25">
      <c r="A4603">
        <v>245</v>
      </c>
      <c r="B4603" t="s">
        <v>372</v>
      </c>
      <c r="C4603">
        <v>12</v>
      </c>
      <c r="D4603">
        <v>0</v>
      </c>
      <c r="E4603">
        <v>0</v>
      </c>
      <c r="F4603">
        <v>136.74</v>
      </c>
      <c r="G4603">
        <v>9255.68</v>
      </c>
      <c r="H4603" s="14">
        <v>43768.833333333336</v>
      </c>
    </row>
    <row r="4604" spans="1:8" x14ac:dyDescent="0.25">
      <c r="A4604">
        <v>246</v>
      </c>
      <c r="B4604" t="s">
        <v>373</v>
      </c>
      <c r="C4604">
        <v>1</v>
      </c>
      <c r="D4604">
        <v>0</v>
      </c>
      <c r="E4604">
        <v>0</v>
      </c>
      <c r="F4604">
        <v>97.5</v>
      </c>
      <c r="G4604">
        <v>8159.67</v>
      </c>
      <c r="H4604" s="14">
        <v>43768.833333333336</v>
      </c>
    </row>
    <row r="4605" spans="1:8" x14ac:dyDescent="0.25">
      <c r="A4605">
        <v>246</v>
      </c>
      <c r="B4605" t="s">
        <v>373</v>
      </c>
      <c r="C4605">
        <v>2</v>
      </c>
      <c r="D4605">
        <v>0</v>
      </c>
      <c r="E4605">
        <v>0</v>
      </c>
      <c r="F4605">
        <v>97.78</v>
      </c>
      <c r="G4605">
        <v>8190.36</v>
      </c>
      <c r="H4605" s="14">
        <v>43768.833333333336</v>
      </c>
    </row>
    <row r="4606" spans="1:8" x14ac:dyDescent="0.25">
      <c r="A4606">
        <v>246</v>
      </c>
      <c r="B4606" t="s">
        <v>373</v>
      </c>
      <c r="C4606">
        <v>3</v>
      </c>
      <c r="D4606">
        <v>0</v>
      </c>
      <c r="E4606">
        <v>0</v>
      </c>
      <c r="F4606">
        <v>67.959999999999994</v>
      </c>
      <c r="G4606">
        <v>5741.33</v>
      </c>
      <c r="H4606" s="14">
        <v>43768.833333333336</v>
      </c>
    </row>
    <row r="4607" spans="1:8" x14ac:dyDescent="0.25">
      <c r="A4607">
        <v>247</v>
      </c>
      <c r="B4607" t="s">
        <v>374</v>
      </c>
      <c r="C4607">
        <v>1</v>
      </c>
      <c r="D4607">
        <v>0</v>
      </c>
      <c r="E4607">
        <v>0</v>
      </c>
      <c r="F4607">
        <v>82.43</v>
      </c>
      <c r="G4607">
        <v>3036.67</v>
      </c>
      <c r="H4607" s="14">
        <v>43768.833333333336</v>
      </c>
    </row>
    <row r="4608" spans="1:8" x14ac:dyDescent="0.25">
      <c r="A4608">
        <v>247</v>
      </c>
      <c r="B4608" t="s">
        <v>374</v>
      </c>
      <c r="C4608">
        <v>2</v>
      </c>
      <c r="D4608">
        <v>0</v>
      </c>
      <c r="E4608">
        <v>0</v>
      </c>
      <c r="F4608">
        <v>102.9</v>
      </c>
      <c r="G4608">
        <v>3815.06</v>
      </c>
      <c r="H4608" s="14">
        <v>43768.833333333336</v>
      </c>
    </row>
    <row r="4609" spans="1:8" x14ac:dyDescent="0.25">
      <c r="A4609">
        <v>247</v>
      </c>
      <c r="B4609" t="s">
        <v>374</v>
      </c>
      <c r="C4609">
        <v>3</v>
      </c>
      <c r="D4609">
        <v>0</v>
      </c>
      <c r="E4609">
        <v>0</v>
      </c>
      <c r="F4609">
        <v>79.400000000000006</v>
      </c>
      <c r="G4609">
        <v>2963.83</v>
      </c>
      <c r="H4609" s="14">
        <v>43768.833333333336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576CE-F06B-4BB9-BC34-BEC11D4D8C59}">
  <sheetPr>
    <tabColor theme="9" tint="-0.499984740745262"/>
  </sheetPr>
  <dimension ref="A1:XEJ241"/>
  <sheetViews>
    <sheetView workbookViewId="0">
      <selection activeCell="F101" sqref="F101"/>
    </sheetView>
  </sheetViews>
  <sheetFormatPr defaultRowHeight="16.5" x14ac:dyDescent="0.25"/>
  <cols>
    <col min="2" max="2" width="48" bestFit="1" customWidth="1"/>
    <col min="6" max="6" width="10.5" bestFit="1" customWidth="1"/>
    <col min="7" max="7" width="11" customWidth="1"/>
  </cols>
  <sheetData>
    <row r="1" spans="1:6" x14ac:dyDescent="0.25">
      <c r="A1" s="3" t="s">
        <v>461</v>
      </c>
      <c r="B1" s="3" t="s">
        <v>462</v>
      </c>
      <c r="C1" s="3" t="s">
        <v>463</v>
      </c>
      <c r="D1" s="3" t="s">
        <v>464</v>
      </c>
      <c r="E1" s="3" t="s">
        <v>465</v>
      </c>
      <c r="F1" s="3" t="s">
        <v>11</v>
      </c>
    </row>
    <row r="2" spans="1:6" x14ac:dyDescent="0.25">
      <c r="A2" s="5" t="s">
        <v>17</v>
      </c>
      <c r="B2" s="5" t="s">
        <v>18</v>
      </c>
      <c r="C2" s="5">
        <v>892</v>
      </c>
      <c r="D2" s="5">
        <v>3.79</v>
      </c>
      <c r="E2" s="5">
        <v>83.3</v>
      </c>
      <c r="F2" s="8">
        <v>43766</v>
      </c>
    </row>
    <row r="3" spans="1:6" x14ac:dyDescent="0.25">
      <c r="A3" s="5" t="s">
        <v>23</v>
      </c>
      <c r="B3" s="5" t="s">
        <v>24</v>
      </c>
      <c r="C3" s="5">
        <v>961</v>
      </c>
      <c r="D3" s="5">
        <v>3.67</v>
      </c>
      <c r="E3" s="5">
        <v>68.97999999999999</v>
      </c>
      <c r="F3" s="8">
        <v>43766</v>
      </c>
    </row>
    <row r="4" spans="1:6" x14ac:dyDescent="0.25">
      <c r="A4" s="5" t="s">
        <v>28</v>
      </c>
      <c r="B4" s="5" t="s">
        <v>29</v>
      </c>
      <c r="C4" s="5">
        <v>365</v>
      </c>
      <c r="D4" s="5">
        <v>3.82</v>
      </c>
      <c r="E4" s="5">
        <v>75.64</v>
      </c>
      <c r="F4" s="8">
        <v>43766</v>
      </c>
    </row>
    <row r="5" spans="1:6" x14ac:dyDescent="0.25">
      <c r="A5" s="5" t="s">
        <v>33</v>
      </c>
      <c r="B5" s="5" t="s">
        <v>34</v>
      </c>
      <c r="C5" s="5">
        <v>699</v>
      </c>
      <c r="D5" s="5">
        <v>2.93</v>
      </c>
      <c r="E5" s="5">
        <v>0</v>
      </c>
      <c r="F5" s="8">
        <v>43766</v>
      </c>
    </row>
    <row r="6" spans="1:6" x14ac:dyDescent="0.25">
      <c r="A6" s="5" t="s">
        <v>39</v>
      </c>
      <c r="B6" s="5" t="s">
        <v>40</v>
      </c>
      <c r="C6" s="5">
        <v>616</v>
      </c>
      <c r="D6" s="5">
        <v>3.11</v>
      </c>
      <c r="E6" s="5">
        <v>0</v>
      </c>
      <c r="F6" s="8">
        <v>43766</v>
      </c>
    </row>
    <row r="7" spans="1:6" x14ac:dyDescent="0.25">
      <c r="A7" s="5" t="s">
        <v>45</v>
      </c>
      <c r="B7" s="5" t="s">
        <v>46</v>
      </c>
      <c r="C7" s="5">
        <v>880</v>
      </c>
      <c r="D7" s="5">
        <v>1.76</v>
      </c>
      <c r="E7" s="5">
        <v>91.67</v>
      </c>
      <c r="F7" s="8">
        <v>43766</v>
      </c>
    </row>
    <row r="8" spans="1:6" x14ac:dyDescent="0.25">
      <c r="A8" s="5" t="s">
        <v>50</v>
      </c>
      <c r="B8" s="5" t="s">
        <v>51</v>
      </c>
      <c r="C8" s="5">
        <v>784</v>
      </c>
      <c r="D8" s="5">
        <v>3.69</v>
      </c>
      <c r="E8" s="5">
        <v>83.67</v>
      </c>
      <c r="F8" s="8">
        <v>43766</v>
      </c>
    </row>
    <row r="9" spans="1:6" x14ac:dyDescent="0.25">
      <c r="A9" s="5" t="s">
        <v>56</v>
      </c>
      <c r="B9" s="5" t="s">
        <v>57</v>
      </c>
      <c r="C9" s="5">
        <v>1799</v>
      </c>
      <c r="D9" s="5">
        <v>3.63</v>
      </c>
      <c r="E9" s="5">
        <v>94.289999999999992</v>
      </c>
      <c r="F9" s="8">
        <v>43766</v>
      </c>
    </row>
    <row r="10" spans="1:6" x14ac:dyDescent="0.25">
      <c r="A10" s="5" t="s">
        <v>472</v>
      </c>
      <c r="B10" s="5" t="s">
        <v>20</v>
      </c>
      <c r="C10" s="5">
        <v>1401</v>
      </c>
      <c r="D10" s="5">
        <v>3.3</v>
      </c>
      <c r="E10" s="5">
        <v>78.569999999999993</v>
      </c>
      <c r="F10" s="8">
        <v>43766</v>
      </c>
    </row>
    <row r="11" spans="1:6" x14ac:dyDescent="0.25">
      <c r="A11" s="5" t="s">
        <v>25</v>
      </c>
      <c r="B11" s="5" t="s">
        <v>26</v>
      </c>
      <c r="C11" s="5">
        <v>596</v>
      </c>
      <c r="D11" s="5">
        <v>3.68</v>
      </c>
      <c r="E11" s="5">
        <v>82.509999999999991</v>
      </c>
      <c r="F11" s="8">
        <v>43766</v>
      </c>
    </row>
    <row r="12" spans="1:6" x14ac:dyDescent="0.25">
      <c r="A12" s="5" t="s">
        <v>30</v>
      </c>
      <c r="B12" s="5" t="s">
        <v>31</v>
      </c>
      <c r="C12" s="5">
        <v>729</v>
      </c>
      <c r="D12" s="5">
        <v>4.05</v>
      </c>
      <c r="E12" s="5">
        <v>89.21</v>
      </c>
      <c r="F12" s="8">
        <v>43766</v>
      </c>
    </row>
    <row r="13" spans="1:6" x14ac:dyDescent="0.25">
      <c r="A13" s="5" t="s">
        <v>35</v>
      </c>
      <c r="B13" s="5" t="s">
        <v>36</v>
      </c>
      <c r="C13" s="5">
        <v>427</v>
      </c>
      <c r="D13" s="5">
        <v>4.3099999999999996</v>
      </c>
      <c r="E13" s="5">
        <v>98.4</v>
      </c>
      <c r="F13" s="8">
        <v>43766</v>
      </c>
    </row>
    <row r="14" spans="1:6" x14ac:dyDescent="0.25">
      <c r="A14" s="5" t="s">
        <v>41</v>
      </c>
      <c r="B14" s="5" t="s">
        <v>42</v>
      </c>
      <c r="C14" s="5">
        <v>346</v>
      </c>
      <c r="D14" s="5">
        <v>4</v>
      </c>
      <c r="E14" s="5">
        <v>81.3</v>
      </c>
      <c r="F14" s="8">
        <v>43766</v>
      </c>
    </row>
    <row r="15" spans="1:6" x14ac:dyDescent="0.25">
      <c r="A15" s="5" t="s">
        <v>47</v>
      </c>
      <c r="B15" s="5" t="s">
        <v>48</v>
      </c>
      <c r="C15" s="5">
        <v>379</v>
      </c>
      <c r="D15" s="5">
        <v>4.13</v>
      </c>
      <c r="E15" s="5">
        <v>82.93</v>
      </c>
      <c r="F15" s="8">
        <v>43766</v>
      </c>
    </row>
    <row r="16" spans="1:6" x14ac:dyDescent="0.25">
      <c r="A16" s="5" t="s">
        <v>52</v>
      </c>
      <c r="B16" s="5" t="s">
        <v>53</v>
      </c>
      <c r="C16" s="5">
        <v>401</v>
      </c>
      <c r="D16" s="5">
        <v>4.13</v>
      </c>
      <c r="E16" s="5">
        <v>84.8</v>
      </c>
      <c r="F16" s="8">
        <v>43766</v>
      </c>
    </row>
    <row r="17" spans="1:6" x14ac:dyDescent="0.25">
      <c r="A17" s="5" t="s">
        <v>58</v>
      </c>
      <c r="B17" s="5" t="s">
        <v>59</v>
      </c>
      <c r="C17" s="5">
        <v>366</v>
      </c>
      <c r="D17" s="5">
        <v>3.84</v>
      </c>
      <c r="E17" s="5">
        <v>89.3</v>
      </c>
      <c r="F17" s="8">
        <v>43766</v>
      </c>
    </row>
    <row r="18" spans="1:6" x14ac:dyDescent="0.25">
      <c r="A18" s="5" t="s">
        <v>61</v>
      </c>
      <c r="B18" s="5" t="s">
        <v>62</v>
      </c>
      <c r="C18" s="5">
        <v>411</v>
      </c>
      <c r="D18" s="5">
        <v>4.24</v>
      </c>
      <c r="E18" s="5">
        <v>98.83</v>
      </c>
      <c r="F18" s="8">
        <v>43766</v>
      </c>
    </row>
    <row r="19" spans="1:6" x14ac:dyDescent="0.25">
      <c r="A19" s="5" t="s">
        <v>64</v>
      </c>
      <c r="B19" s="5" t="s">
        <v>65</v>
      </c>
      <c r="C19" s="5">
        <v>378</v>
      </c>
      <c r="D19" s="5">
        <v>4.12</v>
      </c>
      <c r="E19" s="5">
        <v>89.759999999999991</v>
      </c>
      <c r="F19" s="8">
        <v>43766</v>
      </c>
    </row>
    <row r="20" spans="1:6" x14ac:dyDescent="0.25">
      <c r="A20" s="5" t="s">
        <v>67</v>
      </c>
      <c r="B20" s="5" t="s">
        <v>68</v>
      </c>
      <c r="C20" s="5">
        <v>382</v>
      </c>
      <c r="D20" s="5">
        <v>4.16</v>
      </c>
      <c r="E20" s="5">
        <v>82.05</v>
      </c>
      <c r="F20" s="8">
        <v>43766</v>
      </c>
    </row>
    <row r="21" spans="1:6" x14ac:dyDescent="0.25">
      <c r="A21" s="5" t="s">
        <v>70</v>
      </c>
      <c r="B21" s="5" t="s">
        <v>71</v>
      </c>
      <c r="C21" s="5">
        <v>421</v>
      </c>
      <c r="D21" s="5">
        <v>4.3899999999999997</v>
      </c>
      <c r="E21" s="5">
        <v>89.78</v>
      </c>
      <c r="F21" s="8">
        <v>43766</v>
      </c>
    </row>
    <row r="22" spans="1:6" x14ac:dyDescent="0.25">
      <c r="A22" s="5" t="s">
        <v>73</v>
      </c>
      <c r="B22" s="5" t="s">
        <v>74</v>
      </c>
      <c r="C22" s="5">
        <v>409</v>
      </c>
      <c r="D22" s="5">
        <v>4.37</v>
      </c>
      <c r="E22" s="5">
        <v>89.37</v>
      </c>
      <c r="F22" s="8">
        <v>43766</v>
      </c>
    </row>
    <row r="23" spans="1:6" x14ac:dyDescent="0.25">
      <c r="A23" s="5" t="s">
        <v>76</v>
      </c>
      <c r="B23" s="5" t="s">
        <v>77</v>
      </c>
      <c r="C23" s="5">
        <v>387</v>
      </c>
      <c r="D23" s="5">
        <v>4.03</v>
      </c>
      <c r="E23" s="5">
        <v>85.56</v>
      </c>
      <c r="F23" s="8">
        <v>43766</v>
      </c>
    </row>
    <row r="24" spans="1:6" x14ac:dyDescent="0.25">
      <c r="A24" s="5" t="s">
        <v>79</v>
      </c>
      <c r="B24" s="5" t="s">
        <v>80</v>
      </c>
      <c r="C24" s="5">
        <v>390</v>
      </c>
      <c r="D24" s="5">
        <v>4.01</v>
      </c>
      <c r="E24" s="5">
        <v>86.050000000000011</v>
      </c>
      <c r="F24" s="8">
        <v>43766</v>
      </c>
    </row>
    <row r="25" spans="1:6" x14ac:dyDescent="0.25">
      <c r="A25" s="5" t="s">
        <v>82</v>
      </c>
      <c r="B25" s="5" t="s">
        <v>83</v>
      </c>
      <c r="C25" s="5">
        <v>400</v>
      </c>
      <c r="D25" s="5">
        <v>4.12</v>
      </c>
      <c r="E25" s="5">
        <v>90.95</v>
      </c>
      <c r="F25" s="8">
        <v>43766</v>
      </c>
    </row>
    <row r="26" spans="1:6" x14ac:dyDescent="0.25">
      <c r="A26" s="5" t="s">
        <v>85</v>
      </c>
      <c r="B26" s="5" t="s">
        <v>86</v>
      </c>
      <c r="C26" s="5">
        <v>388</v>
      </c>
      <c r="D26" s="5">
        <v>4.07</v>
      </c>
      <c r="E26" s="5">
        <v>81.73</v>
      </c>
      <c r="F26" s="8">
        <v>43766</v>
      </c>
    </row>
    <row r="27" spans="1:6" x14ac:dyDescent="0.25">
      <c r="A27" s="5" t="s">
        <v>88</v>
      </c>
      <c r="B27" s="5" t="s">
        <v>460</v>
      </c>
      <c r="C27" s="5">
        <v>387</v>
      </c>
      <c r="D27" s="5">
        <v>3.98</v>
      </c>
      <c r="E27" s="5">
        <v>87.28</v>
      </c>
      <c r="F27" s="8">
        <v>43766</v>
      </c>
    </row>
    <row r="28" spans="1:6" x14ac:dyDescent="0.25">
      <c r="A28" s="5" t="s">
        <v>92</v>
      </c>
      <c r="B28" s="5" t="s">
        <v>93</v>
      </c>
      <c r="C28" s="5">
        <v>344</v>
      </c>
      <c r="D28" s="5">
        <v>4.2</v>
      </c>
      <c r="E28" s="5">
        <v>0</v>
      </c>
      <c r="F28" s="8">
        <v>43766</v>
      </c>
    </row>
    <row r="29" spans="1:6" x14ac:dyDescent="0.25">
      <c r="A29" s="5" t="s">
        <v>95</v>
      </c>
      <c r="B29" s="5" t="s">
        <v>96</v>
      </c>
      <c r="C29" s="5">
        <v>395</v>
      </c>
      <c r="D29" s="5">
        <v>4.0999999999999996</v>
      </c>
      <c r="E29" s="5">
        <v>94.25</v>
      </c>
      <c r="F29" s="8">
        <v>43766</v>
      </c>
    </row>
    <row r="30" spans="1:6" x14ac:dyDescent="0.25">
      <c r="A30" s="5" t="s">
        <v>98</v>
      </c>
      <c r="B30" s="5" t="s">
        <v>99</v>
      </c>
      <c r="C30" s="5">
        <v>390</v>
      </c>
      <c r="D30" s="5">
        <v>4.1399999999999997</v>
      </c>
      <c r="E30" s="5">
        <v>86.79</v>
      </c>
      <c r="F30" s="8">
        <v>43766</v>
      </c>
    </row>
    <row r="31" spans="1:6" x14ac:dyDescent="0.25">
      <c r="A31" s="5" t="s">
        <v>101</v>
      </c>
      <c r="B31" s="5" t="s">
        <v>102</v>
      </c>
      <c r="C31" s="5">
        <v>208</v>
      </c>
      <c r="D31" s="5">
        <v>3.81</v>
      </c>
      <c r="E31" s="5">
        <v>88.6</v>
      </c>
      <c r="F31" s="8">
        <v>43766</v>
      </c>
    </row>
    <row r="32" spans="1:6" x14ac:dyDescent="0.25">
      <c r="A32" s="5" t="s">
        <v>104</v>
      </c>
      <c r="B32" s="5" t="s">
        <v>105</v>
      </c>
      <c r="C32" s="5">
        <v>419</v>
      </c>
      <c r="D32" s="5">
        <v>3.54</v>
      </c>
      <c r="E32" s="5">
        <v>84.49</v>
      </c>
      <c r="F32" s="8">
        <v>43766</v>
      </c>
    </row>
    <row r="33" spans="1:6" x14ac:dyDescent="0.25">
      <c r="A33" s="5" t="s">
        <v>107</v>
      </c>
      <c r="B33" s="5" t="s">
        <v>108</v>
      </c>
      <c r="C33" s="5">
        <v>889</v>
      </c>
      <c r="D33" s="5">
        <v>3.79</v>
      </c>
      <c r="E33" s="5">
        <v>82.57</v>
      </c>
      <c r="F33" s="8">
        <v>43766</v>
      </c>
    </row>
    <row r="34" spans="1:6" x14ac:dyDescent="0.25">
      <c r="A34" s="5" t="s">
        <v>110</v>
      </c>
      <c r="B34" s="5" t="s">
        <v>111</v>
      </c>
      <c r="C34" s="5">
        <v>709</v>
      </c>
      <c r="D34" s="5">
        <v>3.59</v>
      </c>
      <c r="E34" s="5">
        <v>76.06</v>
      </c>
      <c r="F34" s="8">
        <v>43766</v>
      </c>
    </row>
    <row r="35" spans="1:6" x14ac:dyDescent="0.25">
      <c r="A35" s="5" t="s">
        <v>113</v>
      </c>
      <c r="B35" s="5" t="s">
        <v>114</v>
      </c>
      <c r="C35" s="5">
        <v>120</v>
      </c>
      <c r="D35" s="5">
        <v>2.2599999999999998</v>
      </c>
      <c r="E35" s="5">
        <v>94.17</v>
      </c>
      <c r="F35" s="8">
        <v>43766</v>
      </c>
    </row>
    <row r="36" spans="1:6" x14ac:dyDescent="0.25">
      <c r="A36" s="5" t="s">
        <v>116</v>
      </c>
      <c r="B36" s="5" t="s">
        <v>117</v>
      </c>
      <c r="C36" s="5">
        <v>385</v>
      </c>
      <c r="D36" s="5">
        <v>3.96</v>
      </c>
      <c r="E36" s="5">
        <v>87.03</v>
      </c>
      <c r="F36" s="8">
        <v>43766</v>
      </c>
    </row>
    <row r="37" spans="1:6" x14ac:dyDescent="0.25">
      <c r="A37" s="5" t="s">
        <v>119</v>
      </c>
      <c r="B37" s="5" t="s">
        <v>120</v>
      </c>
      <c r="C37" s="5">
        <v>387</v>
      </c>
      <c r="D37" s="5">
        <v>3.98</v>
      </c>
      <c r="E37" s="5">
        <v>88.84</v>
      </c>
      <c r="F37" s="8">
        <v>43766</v>
      </c>
    </row>
    <row r="38" spans="1:6" x14ac:dyDescent="0.25">
      <c r="A38" s="5" t="s">
        <v>122</v>
      </c>
      <c r="B38" s="5" t="s">
        <v>123</v>
      </c>
      <c r="C38" s="5">
        <v>386</v>
      </c>
      <c r="D38" s="5">
        <v>3.97</v>
      </c>
      <c r="E38" s="5">
        <v>82.02000000000001</v>
      </c>
      <c r="F38" s="8">
        <v>43766</v>
      </c>
    </row>
    <row r="39" spans="1:6" x14ac:dyDescent="0.25">
      <c r="A39" s="5" t="s">
        <v>125</v>
      </c>
      <c r="B39" s="5" t="s">
        <v>126</v>
      </c>
      <c r="C39" s="5">
        <v>255</v>
      </c>
      <c r="D39" s="5">
        <v>4.05</v>
      </c>
      <c r="E39" s="5">
        <v>91.01</v>
      </c>
      <c r="F39" s="8">
        <v>43766</v>
      </c>
    </row>
    <row r="40" spans="1:6" x14ac:dyDescent="0.25">
      <c r="A40" s="5" t="s">
        <v>128</v>
      </c>
      <c r="B40" s="5" t="s">
        <v>129</v>
      </c>
      <c r="C40" s="5">
        <v>376</v>
      </c>
      <c r="D40" s="5">
        <v>3.98</v>
      </c>
      <c r="E40" s="5">
        <v>103.64999999999999</v>
      </c>
      <c r="F40" s="8">
        <v>43766</v>
      </c>
    </row>
    <row r="41" spans="1:6" x14ac:dyDescent="0.25">
      <c r="A41" s="5" t="s">
        <v>131</v>
      </c>
      <c r="B41" s="5" t="s">
        <v>132</v>
      </c>
      <c r="C41" s="5">
        <v>393</v>
      </c>
      <c r="D41" s="5">
        <v>4.09</v>
      </c>
      <c r="E41" s="5">
        <v>89.11</v>
      </c>
      <c r="F41" s="8">
        <v>43766</v>
      </c>
    </row>
    <row r="42" spans="1:6" x14ac:dyDescent="0.25">
      <c r="A42" s="5" t="s">
        <v>134</v>
      </c>
      <c r="B42" s="5" t="s">
        <v>135</v>
      </c>
      <c r="C42" s="5">
        <v>353</v>
      </c>
      <c r="D42" s="5">
        <v>3.69</v>
      </c>
      <c r="E42" s="5">
        <v>83.67</v>
      </c>
      <c r="F42" s="8">
        <v>43766</v>
      </c>
    </row>
    <row r="43" spans="1:6" x14ac:dyDescent="0.25">
      <c r="A43" s="5" t="s">
        <v>137</v>
      </c>
      <c r="B43" s="5" t="s">
        <v>138</v>
      </c>
      <c r="C43" s="5">
        <v>0</v>
      </c>
      <c r="D43" s="5">
        <v>0</v>
      </c>
      <c r="E43" s="5" t="s">
        <v>139</v>
      </c>
      <c r="F43" s="8">
        <v>43766</v>
      </c>
    </row>
    <row r="44" spans="1:6" x14ac:dyDescent="0.25">
      <c r="A44" s="5" t="s">
        <v>142</v>
      </c>
      <c r="B44" s="5" t="s">
        <v>143</v>
      </c>
      <c r="C44" s="5">
        <v>0</v>
      </c>
      <c r="D44" s="5">
        <v>0</v>
      </c>
      <c r="E44" s="5" t="s">
        <v>139</v>
      </c>
      <c r="F44" s="8">
        <v>43766</v>
      </c>
    </row>
    <row r="45" spans="1:6" x14ac:dyDescent="0.25">
      <c r="A45" s="5" t="s">
        <v>145</v>
      </c>
      <c r="B45" s="5" t="s">
        <v>146</v>
      </c>
      <c r="C45" s="5">
        <v>0</v>
      </c>
      <c r="D45" s="5">
        <v>0</v>
      </c>
      <c r="E45" s="5" t="s">
        <v>139</v>
      </c>
      <c r="F45" s="8">
        <v>43766</v>
      </c>
    </row>
    <row r="46" spans="1:6" x14ac:dyDescent="0.25">
      <c r="A46" s="5" t="s">
        <v>148</v>
      </c>
      <c r="B46" s="5" t="s">
        <v>149</v>
      </c>
      <c r="C46" s="5">
        <v>2029</v>
      </c>
      <c r="D46" s="5">
        <v>4.07</v>
      </c>
      <c r="E46" s="5" t="s">
        <v>139</v>
      </c>
      <c r="F46" s="8">
        <v>43766</v>
      </c>
    </row>
    <row r="47" spans="1:6" x14ac:dyDescent="0.25">
      <c r="A47" s="5" t="s">
        <v>151</v>
      </c>
      <c r="B47" s="5" t="s">
        <v>152</v>
      </c>
      <c r="C47" s="5">
        <v>354</v>
      </c>
      <c r="D47" s="5">
        <v>3.83</v>
      </c>
      <c r="E47" s="5" t="s">
        <v>139</v>
      </c>
      <c r="F47" s="8">
        <v>43766</v>
      </c>
    </row>
    <row r="48" spans="1:6" x14ac:dyDescent="0.25">
      <c r="A48" s="5" t="s">
        <v>154</v>
      </c>
      <c r="B48" s="5" t="s">
        <v>155</v>
      </c>
      <c r="C48" s="5">
        <v>0</v>
      </c>
      <c r="D48" s="5">
        <v>0</v>
      </c>
      <c r="E48" s="5" t="s">
        <v>139</v>
      </c>
      <c r="F48" s="8">
        <v>43766</v>
      </c>
    </row>
    <row r="49" spans="1:6" x14ac:dyDescent="0.25">
      <c r="A49" s="5" t="s">
        <v>157</v>
      </c>
      <c r="B49" s="5" t="s">
        <v>158</v>
      </c>
      <c r="C49" s="5">
        <v>219</v>
      </c>
      <c r="D49" s="5">
        <v>2.64</v>
      </c>
      <c r="E49" s="5" t="s">
        <v>139</v>
      </c>
      <c r="F49" s="8">
        <v>43766</v>
      </c>
    </row>
    <row r="50" spans="1:6" x14ac:dyDescent="0.25">
      <c r="A50" s="5" t="s">
        <v>162</v>
      </c>
      <c r="B50" s="5" t="s">
        <v>163</v>
      </c>
      <c r="C50" s="5">
        <v>327</v>
      </c>
      <c r="D50" s="5">
        <v>4.13</v>
      </c>
      <c r="E50" s="5" t="s">
        <v>139</v>
      </c>
      <c r="F50" s="8">
        <v>43766</v>
      </c>
    </row>
    <row r="51" spans="1:6" x14ac:dyDescent="0.25">
      <c r="A51" s="5" t="s">
        <v>165</v>
      </c>
      <c r="B51" s="5" t="s">
        <v>166</v>
      </c>
      <c r="C51" s="5">
        <v>326</v>
      </c>
      <c r="D51" s="5">
        <v>3.55</v>
      </c>
      <c r="E51" s="5" t="s">
        <v>139</v>
      </c>
      <c r="F51" s="8">
        <v>43766</v>
      </c>
    </row>
    <row r="52" spans="1:6" x14ac:dyDescent="0.25">
      <c r="A52" s="5" t="s">
        <v>169</v>
      </c>
      <c r="B52" s="5" t="s">
        <v>170</v>
      </c>
      <c r="C52" s="5">
        <v>1226</v>
      </c>
      <c r="D52" s="5">
        <v>4.05</v>
      </c>
      <c r="E52" s="5" t="s">
        <v>139</v>
      </c>
      <c r="F52" s="8">
        <v>43766</v>
      </c>
    </row>
    <row r="53" spans="1:6" x14ac:dyDescent="0.25">
      <c r="A53" s="5" t="s">
        <v>17</v>
      </c>
      <c r="B53" s="5" t="s">
        <v>18</v>
      </c>
      <c r="C53" s="5">
        <v>894</v>
      </c>
      <c r="D53" s="5">
        <v>3.8</v>
      </c>
      <c r="E53" s="5">
        <v>81.37</v>
      </c>
      <c r="F53" s="8">
        <v>43767</v>
      </c>
    </row>
    <row r="54" spans="1:6" x14ac:dyDescent="0.25">
      <c r="A54" s="5" t="s">
        <v>23</v>
      </c>
      <c r="B54" s="5" t="s">
        <v>24</v>
      </c>
      <c r="C54" s="5">
        <v>969</v>
      </c>
      <c r="D54" s="5">
        <v>3.7</v>
      </c>
      <c r="E54" s="5">
        <v>70.34</v>
      </c>
      <c r="F54" s="8">
        <v>43767</v>
      </c>
    </row>
    <row r="55" spans="1:6" x14ac:dyDescent="0.25">
      <c r="A55" s="5" t="s">
        <v>28</v>
      </c>
      <c r="B55" s="5" t="s">
        <v>29</v>
      </c>
      <c r="C55" s="5">
        <v>359</v>
      </c>
      <c r="D55" s="5">
        <v>3.76</v>
      </c>
      <c r="E55" s="5">
        <v>74.31</v>
      </c>
      <c r="F55" s="8">
        <v>43767</v>
      </c>
    </row>
    <row r="56" spans="1:6" x14ac:dyDescent="0.25">
      <c r="A56" s="5" t="s">
        <v>33</v>
      </c>
      <c r="B56" s="5" t="s">
        <v>34</v>
      </c>
      <c r="C56" s="5">
        <v>801</v>
      </c>
      <c r="D56" s="5">
        <v>3.36</v>
      </c>
      <c r="E56" s="5">
        <v>0</v>
      </c>
      <c r="F56" s="8">
        <v>43767</v>
      </c>
    </row>
    <row r="57" spans="1:6" x14ac:dyDescent="0.25">
      <c r="A57" s="5" t="s">
        <v>39</v>
      </c>
      <c r="B57" s="5" t="s">
        <v>40</v>
      </c>
      <c r="C57" s="5">
        <v>671</v>
      </c>
      <c r="D57" s="5">
        <v>3.38</v>
      </c>
      <c r="E57" s="5">
        <v>76.64</v>
      </c>
      <c r="F57" s="8">
        <v>43767</v>
      </c>
    </row>
    <row r="58" spans="1:6" x14ac:dyDescent="0.25">
      <c r="A58" s="5" t="s">
        <v>45</v>
      </c>
      <c r="B58" s="5" t="s">
        <v>46</v>
      </c>
      <c r="C58" s="5">
        <v>1674</v>
      </c>
      <c r="D58" s="5">
        <v>3.35</v>
      </c>
      <c r="E58" s="5">
        <v>81.11</v>
      </c>
      <c r="F58" s="8">
        <v>43767</v>
      </c>
    </row>
    <row r="59" spans="1:6" x14ac:dyDescent="0.25">
      <c r="A59" s="5" t="s">
        <v>50</v>
      </c>
      <c r="B59" s="5" t="s">
        <v>51</v>
      </c>
      <c r="C59" s="5">
        <v>779</v>
      </c>
      <c r="D59" s="5">
        <v>3.67</v>
      </c>
      <c r="E59" s="5">
        <v>83.41</v>
      </c>
      <c r="F59" s="8">
        <v>43767</v>
      </c>
    </row>
    <row r="60" spans="1:6" x14ac:dyDescent="0.25">
      <c r="A60" s="5" t="s">
        <v>56</v>
      </c>
      <c r="B60" s="5" t="s">
        <v>57</v>
      </c>
      <c r="C60" s="5">
        <v>1787</v>
      </c>
      <c r="D60" s="5">
        <v>3.61</v>
      </c>
      <c r="E60" s="5">
        <v>91.16</v>
      </c>
      <c r="F60" s="8">
        <v>43767</v>
      </c>
    </row>
    <row r="61" spans="1:6" x14ac:dyDescent="0.25">
      <c r="A61" s="5" t="s">
        <v>19</v>
      </c>
      <c r="B61" s="5" t="s">
        <v>20</v>
      </c>
      <c r="C61" s="5">
        <v>1401</v>
      </c>
      <c r="D61" s="5">
        <v>3.3</v>
      </c>
      <c r="E61" s="5">
        <v>78.569999999999993</v>
      </c>
      <c r="F61" s="8">
        <v>43767</v>
      </c>
    </row>
    <row r="62" spans="1:6" x14ac:dyDescent="0.25">
      <c r="A62" s="5" t="s">
        <v>25</v>
      </c>
      <c r="B62" s="5" t="s">
        <v>26</v>
      </c>
      <c r="C62" s="5">
        <v>596</v>
      </c>
      <c r="D62" s="5">
        <v>3.68</v>
      </c>
      <c r="E62" s="5">
        <v>82.509999999999991</v>
      </c>
      <c r="F62" s="8">
        <v>43767</v>
      </c>
    </row>
    <row r="63" spans="1:6" x14ac:dyDescent="0.25">
      <c r="A63" s="5" t="s">
        <v>30</v>
      </c>
      <c r="B63" s="5" t="s">
        <v>31</v>
      </c>
      <c r="C63" s="5">
        <v>729</v>
      </c>
      <c r="D63" s="5">
        <v>4.05</v>
      </c>
      <c r="E63" s="5">
        <v>89.21</v>
      </c>
      <c r="F63" s="8">
        <v>43767</v>
      </c>
    </row>
    <row r="64" spans="1:6" x14ac:dyDescent="0.25">
      <c r="A64" s="5" t="s">
        <v>35</v>
      </c>
      <c r="B64" s="5" t="s">
        <v>36</v>
      </c>
      <c r="C64" s="5">
        <v>427</v>
      </c>
      <c r="D64" s="5">
        <v>4.3099999999999996</v>
      </c>
      <c r="E64" s="5">
        <v>98.4</v>
      </c>
      <c r="F64" s="8">
        <v>43767</v>
      </c>
    </row>
    <row r="65" spans="1:6" x14ac:dyDescent="0.25">
      <c r="A65" s="5" t="s">
        <v>41</v>
      </c>
      <c r="B65" s="5" t="s">
        <v>42</v>
      </c>
      <c r="C65" s="5">
        <v>346</v>
      </c>
      <c r="D65" s="5">
        <v>4</v>
      </c>
      <c r="E65" s="5">
        <v>81.3</v>
      </c>
      <c r="F65" s="8">
        <v>43767</v>
      </c>
    </row>
    <row r="66" spans="1:6" x14ac:dyDescent="0.25">
      <c r="A66" s="5" t="s">
        <v>47</v>
      </c>
      <c r="B66" s="5" t="s">
        <v>48</v>
      </c>
      <c r="C66" s="5">
        <v>379</v>
      </c>
      <c r="D66" s="5">
        <v>4.13</v>
      </c>
      <c r="E66" s="5">
        <v>82.93</v>
      </c>
      <c r="F66" s="8">
        <v>43767</v>
      </c>
    </row>
    <row r="67" spans="1:6" x14ac:dyDescent="0.25">
      <c r="A67" s="5" t="s">
        <v>52</v>
      </c>
      <c r="B67" s="5" t="s">
        <v>53</v>
      </c>
      <c r="C67" s="5">
        <v>401</v>
      </c>
      <c r="D67" s="5">
        <v>4.13</v>
      </c>
      <c r="E67" s="5">
        <v>84.8</v>
      </c>
      <c r="F67" s="8">
        <v>43767</v>
      </c>
    </row>
    <row r="68" spans="1:6" x14ac:dyDescent="0.25">
      <c r="A68" s="5" t="s">
        <v>58</v>
      </c>
      <c r="B68" s="5" t="s">
        <v>59</v>
      </c>
      <c r="C68" s="5">
        <v>366</v>
      </c>
      <c r="D68" s="5">
        <v>3.84</v>
      </c>
      <c r="E68" s="5">
        <v>89.3</v>
      </c>
      <c r="F68" s="8">
        <v>43767</v>
      </c>
    </row>
    <row r="69" spans="1:6" x14ac:dyDescent="0.25">
      <c r="A69" s="5" t="s">
        <v>61</v>
      </c>
      <c r="B69" s="5" t="s">
        <v>62</v>
      </c>
      <c r="C69" s="5">
        <v>411</v>
      </c>
      <c r="D69" s="5">
        <v>4.24</v>
      </c>
      <c r="E69" s="5">
        <v>98.83</v>
      </c>
      <c r="F69" s="8">
        <v>43767</v>
      </c>
    </row>
    <row r="70" spans="1:6" x14ac:dyDescent="0.25">
      <c r="A70" s="5" t="s">
        <v>64</v>
      </c>
      <c r="B70" s="5" t="s">
        <v>65</v>
      </c>
      <c r="C70" s="5">
        <v>378</v>
      </c>
      <c r="D70" s="5">
        <v>4.12</v>
      </c>
      <c r="E70" s="5">
        <v>89.759999999999991</v>
      </c>
      <c r="F70" s="8">
        <v>43767</v>
      </c>
    </row>
    <row r="71" spans="1:6" x14ac:dyDescent="0.25">
      <c r="A71" s="5" t="s">
        <v>67</v>
      </c>
      <c r="B71" s="5" t="s">
        <v>68</v>
      </c>
      <c r="C71" s="5">
        <v>382</v>
      </c>
      <c r="D71" s="5">
        <v>4.16</v>
      </c>
      <c r="E71" s="5">
        <v>82.05</v>
      </c>
      <c r="F71" s="8">
        <v>43767</v>
      </c>
    </row>
    <row r="72" spans="1:6" x14ac:dyDescent="0.25">
      <c r="A72" s="5" t="s">
        <v>70</v>
      </c>
      <c r="B72" s="5" t="s">
        <v>71</v>
      </c>
      <c r="C72" s="5">
        <v>421</v>
      </c>
      <c r="D72" s="5">
        <v>4.3899999999999997</v>
      </c>
      <c r="E72" s="5">
        <v>89.78</v>
      </c>
      <c r="F72" s="8">
        <v>43767</v>
      </c>
    </row>
    <row r="73" spans="1:6" x14ac:dyDescent="0.25">
      <c r="A73" s="5" t="s">
        <v>73</v>
      </c>
      <c r="B73" s="5" t="s">
        <v>74</v>
      </c>
      <c r="C73" s="5">
        <v>409</v>
      </c>
      <c r="D73" s="5">
        <v>4.37</v>
      </c>
      <c r="E73" s="5">
        <v>89.37</v>
      </c>
      <c r="F73" s="8">
        <v>43767</v>
      </c>
    </row>
    <row r="74" spans="1:6" x14ac:dyDescent="0.25">
      <c r="A74" s="5" t="s">
        <v>76</v>
      </c>
      <c r="B74" s="5" t="s">
        <v>77</v>
      </c>
      <c r="C74" s="5">
        <v>387</v>
      </c>
      <c r="D74" s="5">
        <v>4.03</v>
      </c>
      <c r="E74" s="5">
        <v>85.56</v>
      </c>
      <c r="F74" s="8">
        <v>43767</v>
      </c>
    </row>
    <row r="75" spans="1:6" x14ac:dyDescent="0.25">
      <c r="A75" s="5" t="s">
        <v>79</v>
      </c>
      <c r="B75" s="5" t="s">
        <v>80</v>
      </c>
      <c r="C75" s="5">
        <v>390</v>
      </c>
      <c r="D75" s="5">
        <v>4.01</v>
      </c>
      <c r="E75" s="5">
        <v>86.050000000000011</v>
      </c>
      <c r="F75" s="8">
        <v>43767</v>
      </c>
    </row>
    <row r="76" spans="1:6" x14ac:dyDescent="0.25">
      <c r="A76" s="5" t="s">
        <v>82</v>
      </c>
      <c r="B76" s="5" t="s">
        <v>83</v>
      </c>
      <c r="C76" s="5">
        <v>400</v>
      </c>
      <c r="D76" s="5">
        <v>4.12</v>
      </c>
      <c r="E76" s="5">
        <v>90.95</v>
      </c>
      <c r="F76" s="8">
        <v>43767</v>
      </c>
    </row>
    <row r="77" spans="1:6" x14ac:dyDescent="0.25">
      <c r="A77" s="5" t="s">
        <v>85</v>
      </c>
      <c r="B77" s="5" t="s">
        <v>86</v>
      </c>
      <c r="C77" s="5">
        <v>388</v>
      </c>
      <c r="D77" s="5">
        <v>4.07</v>
      </c>
      <c r="E77" s="5">
        <v>81.73</v>
      </c>
      <c r="F77" s="8">
        <v>43767</v>
      </c>
    </row>
    <row r="78" spans="1:6" x14ac:dyDescent="0.25">
      <c r="A78" s="5" t="s">
        <v>88</v>
      </c>
      <c r="B78" s="7" t="s">
        <v>89</v>
      </c>
      <c r="C78" s="5">
        <v>387</v>
      </c>
      <c r="D78" s="5">
        <v>3.98</v>
      </c>
      <c r="E78" s="5">
        <v>87.28</v>
      </c>
      <c r="F78" s="8">
        <v>43767</v>
      </c>
    </row>
    <row r="79" spans="1:6" x14ac:dyDescent="0.25">
      <c r="A79" s="5" t="s">
        <v>92</v>
      </c>
      <c r="B79" s="5" t="s">
        <v>93</v>
      </c>
      <c r="C79" s="5">
        <v>344</v>
      </c>
      <c r="D79" s="5">
        <v>4.2</v>
      </c>
      <c r="E79" s="5">
        <v>0</v>
      </c>
      <c r="F79" s="8">
        <v>43767</v>
      </c>
    </row>
    <row r="80" spans="1:6" x14ac:dyDescent="0.25">
      <c r="A80" s="5" t="s">
        <v>95</v>
      </c>
      <c r="B80" s="5" t="s">
        <v>96</v>
      </c>
      <c r="C80" s="5">
        <v>395</v>
      </c>
      <c r="D80" s="5">
        <v>4.0999999999999996</v>
      </c>
      <c r="E80" s="5">
        <v>94.25</v>
      </c>
      <c r="F80" s="8">
        <v>43767</v>
      </c>
    </row>
    <row r="81" spans="1:6" x14ac:dyDescent="0.25">
      <c r="A81" s="5" t="s">
        <v>98</v>
      </c>
      <c r="B81" s="5" t="s">
        <v>99</v>
      </c>
      <c r="C81" s="5">
        <v>390</v>
      </c>
      <c r="D81" s="5">
        <v>4.1399999999999997</v>
      </c>
      <c r="E81" s="5">
        <v>86.79</v>
      </c>
      <c r="F81" s="8">
        <v>43767</v>
      </c>
    </row>
    <row r="82" spans="1:6" x14ac:dyDescent="0.25">
      <c r="A82" s="5" t="s">
        <v>101</v>
      </c>
      <c r="B82" s="5" t="s">
        <v>102</v>
      </c>
      <c r="C82" s="5">
        <v>208</v>
      </c>
      <c r="D82" s="5">
        <v>3.81</v>
      </c>
      <c r="E82" s="5">
        <v>88.6</v>
      </c>
      <c r="F82" s="8">
        <v>43767</v>
      </c>
    </row>
    <row r="83" spans="1:6" x14ac:dyDescent="0.25">
      <c r="A83" s="5" t="s">
        <v>104</v>
      </c>
      <c r="B83" s="5" t="s">
        <v>105</v>
      </c>
      <c r="C83" s="5">
        <v>419</v>
      </c>
      <c r="D83" s="5">
        <v>3.54</v>
      </c>
      <c r="E83" s="5">
        <v>84.49</v>
      </c>
      <c r="F83" s="8">
        <v>43767</v>
      </c>
    </row>
    <row r="84" spans="1:6" x14ac:dyDescent="0.25">
      <c r="A84" s="5" t="s">
        <v>107</v>
      </c>
      <c r="B84" s="5" t="s">
        <v>108</v>
      </c>
      <c r="C84" s="5">
        <v>889</v>
      </c>
      <c r="D84" s="5">
        <v>3.79</v>
      </c>
      <c r="E84" s="5">
        <v>82.57</v>
      </c>
      <c r="F84" s="8">
        <v>43767</v>
      </c>
    </row>
    <row r="85" spans="1:6" x14ac:dyDescent="0.25">
      <c r="A85" s="5" t="s">
        <v>110</v>
      </c>
      <c r="B85" s="5" t="s">
        <v>111</v>
      </c>
      <c r="C85" s="5">
        <v>709</v>
      </c>
      <c r="D85" s="5">
        <v>3.59</v>
      </c>
      <c r="E85" s="5">
        <v>76.06</v>
      </c>
      <c r="F85" s="8">
        <v>43767</v>
      </c>
    </row>
    <row r="86" spans="1:6" x14ac:dyDescent="0.25">
      <c r="A86" s="5" t="s">
        <v>113</v>
      </c>
      <c r="B86" s="5" t="s">
        <v>114</v>
      </c>
      <c r="C86" s="5">
        <v>120</v>
      </c>
      <c r="D86" s="5">
        <v>2.2599999999999998</v>
      </c>
      <c r="E86" s="5">
        <v>94.17</v>
      </c>
      <c r="F86" s="8">
        <v>43767</v>
      </c>
    </row>
    <row r="87" spans="1:6" x14ac:dyDescent="0.25">
      <c r="A87" s="5" t="s">
        <v>116</v>
      </c>
      <c r="B87" s="5" t="s">
        <v>117</v>
      </c>
      <c r="C87" s="5">
        <v>385</v>
      </c>
      <c r="D87" s="5">
        <v>3.96</v>
      </c>
      <c r="E87" s="5">
        <v>87.03</v>
      </c>
      <c r="F87" s="8">
        <v>43767</v>
      </c>
    </row>
    <row r="88" spans="1:6" x14ac:dyDescent="0.25">
      <c r="A88" s="5" t="s">
        <v>119</v>
      </c>
      <c r="B88" s="5" t="s">
        <v>120</v>
      </c>
      <c r="C88" s="5">
        <v>387</v>
      </c>
      <c r="D88" s="5">
        <v>3.98</v>
      </c>
      <c r="E88" s="5">
        <v>88.84</v>
      </c>
      <c r="F88" s="8">
        <v>43767</v>
      </c>
    </row>
    <row r="89" spans="1:6" x14ac:dyDescent="0.25">
      <c r="A89" s="5" t="s">
        <v>122</v>
      </c>
      <c r="B89" s="5" t="s">
        <v>123</v>
      </c>
      <c r="C89" s="5">
        <v>386</v>
      </c>
      <c r="D89" s="5">
        <v>3.97</v>
      </c>
      <c r="E89" s="5">
        <v>82.02000000000001</v>
      </c>
      <c r="F89" s="8">
        <v>43767</v>
      </c>
    </row>
    <row r="90" spans="1:6" x14ac:dyDescent="0.25">
      <c r="A90" s="5" t="s">
        <v>125</v>
      </c>
      <c r="B90" s="5" t="s">
        <v>126</v>
      </c>
      <c r="C90" s="5">
        <v>255</v>
      </c>
      <c r="D90" s="5">
        <v>4.05</v>
      </c>
      <c r="E90" s="5">
        <v>91.01</v>
      </c>
      <c r="F90" s="8">
        <v>43767</v>
      </c>
    </row>
    <row r="91" spans="1:6" x14ac:dyDescent="0.25">
      <c r="A91" s="5" t="s">
        <v>128</v>
      </c>
      <c r="B91" s="5" t="s">
        <v>129</v>
      </c>
      <c r="C91" s="5">
        <v>376</v>
      </c>
      <c r="D91" s="5">
        <v>3.98</v>
      </c>
      <c r="E91" s="5">
        <v>103.64999999999999</v>
      </c>
      <c r="F91" s="8">
        <v>43767</v>
      </c>
    </row>
    <row r="92" spans="1:6" x14ac:dyDescent="0.25">
      <c r="A92" s="5" t="s">
        <v>131</v>
      </c>
      <c r="B92" s="5" t="s">
        <v>132</v>
      </c>
      <c r="C92" s="5">
        <v>393</v>
      </c>
      <c r="D92" s="5">
        <v>4.09</v>
      </c>
      <c r="E92" s="5">
        <v>89.11</v>
      </c>
      <c r="F92" s="8">
        <v>43767</v>
      </c>
    </row>
    <row r="93" spans="1:6" x14ac:dyDescent="0.25">
      <c r="A93" s="5" t="s">
        <v>134</v>
      </c>
      <c r="B93" s="5" t="s">
        <v>135</v>
      </c>
      <c r="C93" s="5">
        <v>353</v>
      </c>
      <c r="D93" s="5">
        <v>3.69</v>
      </c>
      <c r="E93" s="5">
        <v>83.67</v>
      </c>
      <c r="F93" s="8">
        <v>43767</v>
      </c>
    </row>
    <row r="94" spans="1:6" x14ac:dyDescent="0.25">
      <c r="A94" s="5" t="s">
        <v>137</v>
      </c>
      <c r="B94" s="5" t="s">
        <v>138</v>
      </c>
      <c r="C94" s="5">
        <v>0</v>
      </c>
      <c r="D94" s="5">
        <v>0</v>
      </c>
      <c r="E94" s="5" t="s">
        <v>139</v>
      </c>
      <c r="F94" s="8">
        <v>43767</v>
      </c>
    </row>
    <row r="95" spans="1:6" x14ac:dyDescent="0.25">
      <c r="A95" s="5" t="s">
        <v>142</v>
      </c>
      <c r="B95" s="5" t="s">
        <v>143</v>
      </c>
      <c r="C95" s="5">
        <v>0</v>
      </c>
      <c r="D95" s="5">
        <v>0</v>
      </c>
      <c r="E95" s="5" t="s">
        <v>139</v>
      </c>
      <c r="F95" s="8">
        <v>43767</v>
      </c>
    </row>
    <row r="96" spans="1:6" x14ac:dyDescent="0.25">
      <c r="A96" s="5" t="s">
        <v>145</v>
      </c>
      <c r="B96" s="5" t="s">
        <v>146</v>
      </c>
      <c r="C96" s="5">
        <v>0</v>
      </c>
      <c r="D96" s="5">
        <v>0</v>
      </c>
      <c r="E96" s="5" t="s">
        <v>139</v>
      </c>
      <c r="F96" s="8">
        <v>43767</v>
      </c>
    </row>
    <row r="97" spans="1:6" x14ac:dyDescent="0.25">
      <c r="A97" s="5" t="s">
        <v>148</v>
      </c>
      <c r="B97" s="5" t="s">
        <v>149</v>
      </c>
      <c r="C97" s="5">
        <v>2029</v>
      </c>
      <c r="D97" s="5">
        <v>4.07</v>
      </c>
      <c r="E97" s="5" t="s">
        <v>139</v>
      </c>
      <c r="F97" s="8">
        <v>43767</v>
      </c>
    </row>
    <row r="98" spans="1:6" x14ac:dyDescent="0.25">
      <c r="A98" s="5" t="s">
        <v>151</v>
      </c>
      <c r="B98" s="5" t="s">
        <v>152</v>
      </c>
      <c r="C98" s="5">
        <v>354</v>
      </c>
      <c r="D98" s="5">
        <v>3.83</v>
      </c>
      <c r="E98" s="5" t="s">
        <v>139</v>
      </c>
      <c r="F98" s="8">
        <v>43767</v>
      </c>
    </row>
    <row r="99" spans="1:6" x14ac:dyDescent="0.25">
      <c r="A99" s="5" t="s">
        <v>154</v>
      </c>
      <c r="B99" s="5" t="s">
        <v>155</v>
      </c>
      <c r="C99" s="5">
        <v>0</v>
      </c>
      <c r="D99" s="5">
        <v>0</v>
      </c>
      <c r="E99" s="5" t="s">
        <v>139</v>
      </c>
      <c r="F99" s="8">
        <v>43767</v>
      </c>
    </row>
    <row r="100" spans="1:6" x14ac:dyDescent="0.25">
      <c r="A100" s="5" t="s">
        <v>157</v>
      </c>
      <c r="B100" s="5" t="s">
        <v>158</v>
      </c>
      <c r="C100" s="5">
        <v>219</v>
      </c>
      <c r="D100" s="5">
        <v>2.64</v>
      </c>
      <c r="E100" s="5" t="s">
        <v>139</v>
      </c>
      <c r="F100" s="8">
        <v>43767</v>
      </c>
    </row>
    <row r="101" spans="1:6" x14ac:dyDescent="0.25">
      <c r="A101" s="5" t="s">
        <v>162</v>
      </c>
      <c r="B101" s="5" t="s">
        <v>163</v>
      </c>
      <c r="C101" s="5">
        <v>327</v>
      </c>
      <c r="D101" s="5">
        <v>4.13</v>
      </c>
      <c r="E101" s="5" t="s">
        <v>139</v>
      </c>
      <c r="F101" s="8">
        <v>43767</v>
      </c>
    </row>
    <row r="102" spans="1:6" x14ac:dyDescent="0.25">
      <c r="A102" s="5" t="s">
        <v>165</v>
      </c>
      <c r="B102" s="5" t="s">
        <v>166</v>
      </c>
      <c r="C102" s="5">
        <v>326</v>
      </c>
      <c r="D102" s="5">
        <v>3.55</v>
      </c>
      <c r="E102" s="5" t="s">
        <v>139</v>
      </c>
      <c r="F102" s="8">
        <v>43767</v>
      </c>
    </row>
    <row r="103" spans="1:6" x14ac:dyDescent="0.25">
      <c r="A103" s="5" t="s">
        <v>169</v>
      </c>
      <c r="B103" s="5" t="s">
        <v>170</v>
      </c>
      <c r="C103" s="5">
        <v>1226</v>
      </c>
      <c r="D103" s="5">
        <v>4.05</v>
      </c>
      <c r="E103" s="5" t="s">
        <v>139</v>
      </c>
      <c r="F103" s="8">
        <v>43767</v>
      </c>
    </row>
    <row r="104" spans="1:6" x14ac:dyDescent="0.25">
      <c r="A104" s="5" t="s">
        <v>17</v>
      </c>
      <c r="B104" s="5" t="s">
        <v>18</v>
      </c>
      <c r="C104" s="5">
        <v>777</v>
      </c>
      <c r="D104" s="5">
        <v>3.3</v>
      </c>
      <c r="E104" s="5">
        <v>85.71</v>
      </c>
      <c r="F104" s="8">
        <v>43767</v>
      </c>
    </row>
    <row r="105" spans="1:6" x14ac:dyDescent="0.25">
      <c r="A105" s="5" t="s">
        <v>23</v>
      </c>
      <c r="B105" s="5" t="s">
        <v>24</v>
      </c>
      <c r="C105" s="5">
        <v>840</v>
      </c>
      <c r="D105" s="5">
        <v>3.21</v>
      </c>
      <c r="E105" s="5">
        <v>73.290000000000006</v>
      </c>
      <c r="F105" s="8">
        <v>43767</v>
      </c>
    </row>
    <row r="106" spans="1:6" x14ac:dyDescent="0.25">
      <c r="A106" s="5" t="s">
        <v>28</v>
      </c>
      <c r="B106" s="5" t="s">
        <v>29</v>
      </c>
      <c r="C106" s="5">
        <v>349</v>
      </c>
      <c r="D106" s="5">
        <v>3.65</v>
      </c>
      <c r="E106" s="5">
        <v>75.570000000000007</v>
      </c>
      <c r="F106" s="8">
        <v>43767</v>
      </c>
    </row>
    <row r="107" spans="1:6" x14ac:dyDescent="0.25">
      <c r="A107" s="5" t="s">
        <v>33</v>
      </c>
      <c r="B107" s="5" t="s">
        <v>34</v>
      </c>
      <c r="C107" s="5">
        <v>552</v>
      </c>
      <c r="D107" s="5">
        <v>2.3199999999999998</v>
      </c>
      <c r="E107" s="5">
        <v>0</v>
      </c>
      <c r="F107" s="8">
        <v>43767</v>
      </c>
    </row>
    <row r="108" spans="1:6" x14ac:dyDescent="0.25">
      <c r="A108" s="5" t="s">
        <v>39</v>
      </c>
      <c r="B108" s="5" t="s">
        <v>40</v>
      </c>
      <c r="C108" s="5">
        <v>467</v>
      </c>
      <c r="D108" s="5">
        <v>2.36</v>
      </c>
      <c r="E108" s="5">
        <v>82.23</v>
      </c>
      <c r="F108" s="8">
        <v>43767</v>
      </c>
    </row>
    <row r="109" spans="1:6" x14ac:dyDescent="0.25">
      <c r="A109" s="5" t="s">
        <v>45</v>
      </c>
      <c r="B109" s="5" t="s">
        <v>46</v>
      </c>
      <c r="C109" s="5">
        <v>279</v>
      </c>
      <c r="D109" s="5">
        <v>0.56000000000000005</v>
      </c>
      <c r="E109" s="5">
        <v>112.00000000000001</v>
      </c>
      <c r="F109" s="8">
        <v>43767</v>
      </c>
    </row>
    <row r="110" spans="1:6" x14ac:dyDescent="0.25">
      <c r="A110" s="5" t="s">
        <v>50</v>
      </c>
      <c r="B110" s="5" t="s">
        <v>51</v>
      </c>
      <c r="C110" s="5">
        <v>748</v>
      </c>
      <c r="D110" s="5">
        <v>3.52</v>
      </c>
      <c r="E110" s="5">
        <v>81.86</v>
      </c>
      <c r="F110" s="8">
        <v>43767</v>
      </c>
    </row>
    <row r="111" spans="1:6" x14ac:dyDescent="0.25">
      <c r="A111" s="5" t="s">
        <v>56</v>
      </c>
      <c r="B111" s="5" t="s">
        <v>57</v>
      </c>
      <c r="C111" s="5">
        <v>1724</v>
      </c>
      <c r="D111" s="5">
        <v>3.48</v>
      </c>
      <c r="E111" s="5">
        <v>88.78</v>
      </c>
      <c r="F111" s="8">
        <v>43767</v>
      </c>
    </row>
    <row r="112" spans="1:6" x14ac:dyDescent="0.25">
      <c r="A112" s="5" t="s">
        <v>19</v>
      </c>
      <c r="B112" s="5" t="s">
        <v>20</v>
      </c>
      <c r="C112" s="5">
        <v>1567</v>
      </c>
      <c r="D112" s="5">
        <v>3.69</v>
      </c>
      <c r="E112" s="5">
        <v>83.48</v>
      </c>
      <c r="F112" s="8">
        <v>43767</v>
      </c>
    </row>
    <row r="113" spans="1:6" x14ac:dyDescent="0.25">
      <c r="A113" s="5" t="s">
        <v>25</v>
      </c>
      <c r="B113" s="5" t="s">
        <v>26</v>
      </c>
      <c r="C113" s="5">
        <v>608</v>
      </c>
      <c r="D113" s="5">
        <v>3.75</v>
      </c>
      <c r="E113" s="5">
        <v>85.42</v>
      </c>
      <c r="F113" s="8">
        <v>43767</v>
      </c>
    </row>
    <row r="114" spans="1:6" x14ac:dyDescent="0.25">
      <c r="A114" s="5" t="s">
        <v>30</v>
      </c>
      <c r="B114" s="5" t="s">
        <v>31</v>
      </c>
      <c r="C114" s="5">
        <v>705</v>
      </c>
      <c r="D114" s="5">
        <v>3.92</v>
      </c>
      <c r="E114" s="5">
        <v>88.09</v>
      </c>
      <c r="F114" s="8">
        <v>43767</v>
      </c>
    </row>
    <row r="115" spans="1:6" x14ac:dyDescent="0.25">
      <c r="A115" s="5" t="s">
        <v>35</v>
      </c>
      <c r="B115" s="5" t="s">
        <v>36</v>
      </c>
      <c r="C115" s="5">
        <v>349</v>
      </c>
      <c r="D115" s="5">
        <v>3.53</v>
      </c>
      <c r="E115" s="5">
        <v>96.98</v>
      </c>
      <c r="F115" s="8">
        <v>43767</v>
      </c>
    </row>
    <row r="116" spans="1:6" x14ac:dyDescent="0.25">
      <c r="A116" s="5" t="s">
        <v>41</v>
      </c>
      <c r="B116" s="5" t="s">
        <v>42</v>
      </c>
      <c r="C116" s="5">
        <v>287</v>
      </c>
      <c r="D116" s="5">
        <v>3.32</v>
      </c>
      <c r="E116" s="5">
        <v>83.21</v>
      </c>
      <c r="F116" s="8">
        <v>43767</v>
      </c>
    </row>
    <row r="117" spans="1:6" x14ac:dyDescent="0.25">
      <c r="A117" s="5" t="s">
        <v>47</v>
      </c>
      <c r="B117" s="5" t="s">
        <v>48</v>
      </c>
      <c r="C117" s="5">
        <v>326</v>
      </c>
      <c r="D117" s="5">
        <v>3.55</v>
      </c>
      <c r="E117" s="5">
        <v>80.14</v>
      </c>
      <c r="F117" s="8">
        <v>43767</v>
      </c>
    </row>
    <row r="118" spans="1:6" x14ac:dyDescent="0.25">
      <c r="A118" s="5" t="s">
        <v>52</v>
      </c>
      <c r="B118" s="5" t="s">
        <v>53</v>
      </c>
      <c r="C118" s="5">
        <v>322</v>
      </c>
      <c r="D118" s="5">
        <v>3.31</v>
      </c>
      <c r="E118" s="5">
        <v>84.65</v>
      </c>
      <c r="F118" s="8">
        <v>43767</v>
      </c>
    </row>
    <row r="119" spans="1:6" x14ac:dyDescent="0.25">
      <c r="A119" s="5" t="s">
        <v>58</v>
      </c>
      <c r="B119" s="5" t="s">
        <v>59</v>
      </c>
      <c r="C119" s="5">
        <v>293</v>
      </c>
      <c r="D119" s="5">
        <v>3.07</v>
      </c>
      <c r="E119" s="5">
        <v>90.03</v>
      </c>
      <c r="F119" s="8">
        <v>43767</v>
      </c>
    </row>
    <row r="120" spans="1:6" x14ac:dyDescent="0.25">
      <c r="A120" s="5" t="s">
        <v>61</v>
      </c>
      <c r="B120" s="5" t="s">
        <v>62</v>
      </c>
      <c r="C120" s="5">
        <v>296</v>
      </c>
      <c r="D120" s="5">
        <v>3.05</v>
      </c>
      <c r="E120" s="5">
        <v>101.33000000000001</v>
      </c>
      <c r="F120" s="8">
        <v>43767</v>
      </c>
    </row>
    <row r="121" spans="1:6" x14ac:dyDescent="0.25">
      <c r="A121" s="5" t="s">
        <v>64</v>
      </c>
      <c r="B121" s="5" t="s">
        <v>65</v>
      </c>
      <c r="C121" s="5">
        <v>286</v>
      </c>
      <c r="D121" s="5">
        <v>3.12</v>
      </c>
      <c r="E121" s="5">
        <v>92.58</v>
      </c>
      <c r="F121" s="8">
        <v>43767</v>
      </c>
    </row>
    <row r="122" spans="1:6" x14ac:dyDescent="0.25">
      <c r="A122" s="5" t="s">
        <v>67</v>
      </c>
      <c r="B122" s="5" t="s">
        <v>68</v>
      </c>
      <c r="C122" s="5">
        <v>290</v>
      </c>
      <c r="D122" s="5">
        <v>3.16</v>
      </c>
      <c r="E122" s="5">
        <v>82.94</v>
      </c>
      <c r="F122" s="8">
        <v>43767</v>
      </c>
    </row>
    <row r="123" spans="1:6" x14ac:dyDescent="0.25">
      <c r="A123" s="5" t="s">
        <v>70</v>
      </c>
      <c r="B123" s="5" t="s">
        <v>71</v>
      </c>
      <c r="C123" s="5">
        <v>342</v>
      </c>
      <c r="D123" s="5">
        <v>3.56</v>
      </c>
      <c r="E123" s="5">
        <v>90.820000000000007</v>
      </c>
      <c r="F123" s="8">
        <v>43767</v>
      </c>
    </row>
    <row r="124" spans="1:6" x14ac:dyDescent="0.25">
      <c r="A124" s="5" t="s">
        <v>73</v>
      </c>
      <c r="B124" s="5" t="s">
        <v>74</v>
      </c>
      <c r="C124" s="5">
        <v>331</v>
      </c>
      <c r="D124" s="5">
        <v>3.54</v>
      </c>
      <c r="E124" s="5">
        <v>89.17</v>
      </c>
      <c r="F124" s="8">
        <v>43767</v>
      </c>
    </row>
    <row r="125" spans="1:6" x14ac:dyDescent="0.25">
      <c r="A125" s="5" t="s">
        <v>76</v>
      </c>
      <c r="B125" s="5" t="s">
        <v>77</v>
      </c>
      <c r="C125" s="5">
        <v>312</v>
      </c>
      <c r="D125" s="5">
        <v>3.25</v>
      </c>
      <c r="E125" s="5">
        <v>89.29</v>
      </c>
      <c r="F125" s="8">
        <v>43767</v>
      </c>
    </row>
    <row r="126" spans="1:6" x14ac:dyDescent="0.25">
      <c r="A126" s="5" t="s">
        <v>79</v>
      </c>
      <c r="B126" s="5" t="s">
        <v>80</v>
      </c>
      <c r="C126" s="5">
        <v>335</v>
      </c>
      <c r="D126" s="5">
        <v>3.45</v>
      </c>
      <c r="E126" s="5">
        <v>87.79</v>
      </c>
      <c r="F126" s="8">
        <v>43767</v>
      </c>
    </row>
    <row r="127" spans="1:6" x14ac:dyDescent="0.25">
      <c r="A127" s="5" t="s">
        <v>82</v>
      </c>
      <c r="B127" s="5" t="s">
        <v>83</v>
      </c>
      <c r="C127" s="5">
        <v>295</v>
      </c>
      <c r="D127" s="5">
        <v>3.03</v>
      </c>
      <c r="E127" s="5">
        <v>88.08</v>
      </c>
      <c r="F127" s="8">
        <v>43767</v>
      </c>
    </row>
    <row r="128" spans="1:6" x14ac:dyDescent="0.25">
      <c r="A128" s="5" t="s">
        <v>85</v>
      </c>
      <c r="B128" s="5" t="s">
        <v>86</v>
      </c>
      <c r="C128" s="5">
        <v>297</v>
      </c>
      <c r="D128" s="5">
        <v>3.11</v>
      </c>
      <c r="E128" s="5">
        <v>82.06</v>
      </c>
      <c r="F128" s="8">
        <v>43767</v>
      </c>
    </row>
    <row r="129" spans="1:6" x14ac:dyDescent="0.25">
      <c r="A129" s="5" t="s">
        <v>88</v>
      </c>
      <c r="B129" s="7" t="s">
        <v>89</v>
      </c>
      <c r="C129" s="5">
        <v>332</v>
      </c>
      <c r="D129" s="5">
        <v>3.42</v>
      </c>
      <c r="E129" s="5">
        <v>88.37</v>
      </c>
      <c r="F129" s="8">
        <v>43767</v>
      </c>
    </row>
    <row r="130" spans="1:6" x14ac:dyDescent="0.25">
      <c r="A130" s="5" t="s">
        <v>92</v>
      </c>
      <c r="B130" s="5" t="s">
        <v>93</v>
      </c>
      <c r="C130" s="5">
        <v>243</v>
      </c>
      <c r="D130" s="5">
        <v>2.97</v>
      </c>
      <c r="E130" s="5">
        <v>0</v>
      </c>
      <c r="F130" s="8">
        <v>43767</v>
      </c>
    </row>
    <row r="131" spans="1:6" x14ac:dyDescent="0.25">
      <c r="A131" s="5" t="s">
        <v>95</v>
      </c>
      <c r="B131" s="5" t="s">
        <v>96</v>
      </c>
      <c r="C131" s="5">
        <v>279</v>
      </c>
      <c r="D131" s="5">
        <v>2.9</v>
      </c>
      <c r="E131" s="5">
        <v>95.39</v>
      </c>
      <c r="F131" s="8">
        <v>43767</v>
      </c>
    </row>
    <row r="132" spans="1:6" x14ac:dyDescent="0.25">
      <c r="A132" s="5" t="s">
        <v>98</v>
      </c>
      <c r="B132" s="5" t="s">
        <v>99</v>
      </c>
      <c r="C132" s="5">
        <v>277</v>
      </c>
      <c r="D132" s="5">
        <v>2.94</v>
      </c>
      <c r="E132" s="5">
        <v>89.91</v>
      </c>
      <c r="F132" s="8">
        <v>43767</v>
      </c>
    </row>
    <row r="133" spans="1:6" x14ac:dyDescent="0.25">
      <c r="A133" s="5" t="s">
        <v>101</v>
      </c>
      <c r="B133" s="5" t="s">
        <v>102</v>
      </c>
      <c r="C133" s="5">
        <v>233</v>
      </c>
      <c r="D133" s="5">
        <v>4.2699999999999996</v>
      </c>
      <c r="E133" s="5">
        <v>88.59</v>
      </c>
      <c r="F133" s="8">
        <v>43767</v>
      </c>
    </row>
    <row r="134" spans="1:6" x14ac:dyDescent="0.25">
      <c r="A134" s="5" t="s">
        <v>104</v>
      </c>
      <c r="B134" s="5" t="s">
        <v>105</v>
      </c>
      <c r="C134" s="5">
        <v>382</v>
      </c>
      <c r="D134" s="5">
        <v>3.23</v>
      </c>
      <c r="E134" s="5">
        <v>83.460000000000008</v>
      </c>
      <c r="F134" s="8">
        <v>43767</v>
      </c>
    </row>
    <row r="135" spans="1:6" x14ac:dyDescent="0.25">
      <c r="A135" s="5" t="s">
        <v>107</v>
      </c>
      <c r="B135" s="5" t="s">
        <v>108</v>
      </c>
      <c r="C135" s="5">
        <v>894</v>
      </c>
      <c r="D135" s="5">
        <v>3.81</v>
      </c>
      <c r="E135" s="5">
        <v>80.210000000000008</v>
      </c>
      <c r="F135" s="8">
        <v>43767</v>
      </c>
    </row>
    <row r="136" spans="1:6" x14ac:dyDescent="0.25">
      <c r="A136" s="5" t="s">
        <v>110</v>
      </c>
      <c r="B136" s="5" t="s">
        <v>111</v>
      </c>
      <c r="C136" s="5">
        <v>710</v>
      </c>
      <c r="D136" s="5">
        <v>3.6</v>
      </c>
      <c r="E136" s="5">
        <v>77.09</v>
      </c>
      <c r="F136" s="8">
        <v>43767</v>
      </c>
    </row>
    <row r="137" spans="1:6" x14ac:dyDescent="0.25">
      <c r="A137" s="5" t="s">
        <v>113</v>
      </c>
      <c r="B137" s="5" t="s">
        <v>114</v>
      </c>
      <c r="C137" s="5">
        <v>231</v>
      </c>
      <c r="D137" s="5">
        <v>4.3499999999999996</v>
      </c>
      <c r="E137" s="5">
        <v>88.96</v>
      </c>
      <c r="F137" s="8">
        <v>43767</v>
      </c>
    </row>
    <row r="138" spans="1:6" x14ac:dyDescent="0.25">
      <c r="A138" s="5" t="s">
        <v>116</v>
      </c>
      <c r="B138" s="5" t="s">
        <v>117</v>
      </c>
      <c r="C138" s="5">
        <v>334</v>
      </c>
      <c r="D138" s="5">
        <v>3.44</v>
      </c>
      <c r="E138" s="5">
        <v>87.31</v>
      </c>
      <c r="F138" s="8">
        <v>43767</v>
      </c>
    </row>
    <row r="139" spans="1:6" x14ac:dyDescent="0.25">
      <c r="A139" s="5" t="s">
        <v>119</v>
      </c>
      <c r="B139" s="5" t="s">
        <v>120</v>
      </c>
      <c r="C139" s="5">
        <v>334</v>
      </c>
      <c r="D139" s="5">
        <v>3.44</v>
      </c>
      <c r="E139" s="5">
        <v>89.35</v>
      </c>
      <c r="F139" s="8">
        <v>43767</v>
      </c>
    </row>
    <row r="140" spans="1:6" x14ac:dyDescent="0.25">
      <c r="A140" s="5" t="s">
        <v>122</v>
      </c>
      <c r="B140" s="5" t="s">
        <v>123</v>
      </c>
      <c r="C140" s="5">
        <v>335</v>
      </c>
      <c r="D140" s="5">
        <v>3.45</v>
      </c>
      <c r="E140" s="5">
        <v>83.54</v>
      </c>
      <c r="F140" s="8">
        <v>43767</v>
      </c>
    </row>
    <row r="141" spans="1:6" x14ac:dyDescent="0.25">
      <c r="A141" s="5" t="s">
        <v>125</v>
      </c>
      <c r="B141" s="5" t="s">
        <v>126</v>
      </c>
      <c r="C141" s="5">
        <v>206</v>
      </c>
      <c r="D141" s="5">
        <v>3.27</v>
      </c>
      <c r="E141" s="5">
        <v>92.11</v>
      </c>
      <c r="F141" s="8">
        <v>43767</v>
      </c>
    </row>
    <row r="142" spans="1:6" x14ac:dyDescent="0.25">
      <c r="A142" s="5" t="s">
        <v>128</v>
      </c>
      <c r="B142" s="5" t="s">
        <v>129</v>
      </c>
      <c r="C142" s="5">
        <v>301</v>
      </c>
      <c r="D142" s="5">
        <v>3.19</v>
      </c>
      <c r="E142" s="5">
        <v>105.98</v>
      </c>
      <c r="F142" s="8">
        <v>43767</v>
      </c>
    </row>
    <row r="143" spans="1:6" x14ac:dyDescent="0.25">
      <c r="A143" s="5" t="s">
        <v>131</v>
      </c>
      <c r="B143" s="5" t="s">
        <v>132</v>
      </c>
      <c r="C143" s="5">
        <v>317</v>
      </c>
      <c r="D143" s="5">
        <v>3.3</v>
      </c>
      <c r="E143" s="5">
        <v>90.16</v>
      </c>
      <c r="F143" s="8">
        <v>43767</v>
      </c>
    </row>
    <row r="144" spans="1:6" x14ac:dyDescent="0.25">
      <c r="A144" s="5" t="s">
        <v>134</v>
      </c>
      <c r="B144" s="5" t="s">
        <v>135</v>
      </c>
      <c r="C144" s="5">
        <v>299</v>
      </c>
      <c r="D144" s="5">
        <v>3.12</v>
      </c>
      <c r="E144" s="5">
        <v>89.66</v>
      </c>
      <c r="F144" s="8">
        <v>43767</v>
      </c>
    </row>
    <row r="145" spans="1:6" x14ac:dyDescent="0.25">
      <c r="A145" s="5" t="s">
        <v>137</v>
      </c>
      <c r="B145" s="5" t="s">
        <v>138</v>
      </c>
      <c r="C145" s="5">
        <v>0</v>
      </c>
      <c r="D145" s="5">
        <v>0</v>
      </c>
      <c r="E145" s="5" t="s">
        <v>139</v>
      </c>
      <c r="F145" s="8">
        <v>43767</v>
      </c>
    </row>
    <row r="146" spans="1:6" x14ac:dyDescent="0.25">
      <c r="A146" s="5" t="s">
        <v>142</v>
      </c>
      <c r="B146" s="5" t="s">
        <v>143</v>
      </c>
      <c r="C146" s="5">
        <v>0</v>
      </c>
      <c r="D146" s="5">
        <v>0</v>
      </c>
      <c r="E146" s="5" t="s">
        <v>139</v>
      </c>
      <c r="F146" s="8">
        <v>43767</v>
      </c>
    </row>
    <row r="147" spans="1:6" x14ac:dyDescent="0.25">
      <c r="A147" s="5" t="s">
        <v>145</v>
      </c>
      <c r="B147" s="5" t="s">
        <v>146</v>
      </c>
      <c r="C147" s="5">
        <v>0</v>
      </c>
      <c r="D147" s="5">
        <v>0</v>
      </c>
      <c r="E147" s="5" t="s">
        <v>139</v>
      </c>
      <c r="F147" s="8">
        <v>43767</v>
      </c>
    </row>
    <row r="148" spans="1:6" x14ac:dyDescent="0.25">
      <c r="A148" s="5" t="s">
        <v>148</v>
      </c>
      <c r="B148" s="5" t="s">
        <v>149</v>
      </c>
      <c r="C148" s="5">
        <v>2048</v>
      </c>
      <c r="D148" s="5">
        <v>4.1100000000000003</v>
      </c>
      <c r="E148" s="5" t="s">
        <v>139</v>
      </c>
      <c r="F148" s="8">
        <v>43767</v>
      </c>
    </row>
    <row r="149" spans="1:6" x14ac:dyDescent="0.25">
      <c r="A149" s="5" t="s">
        <v>151</v>
      </c>
      <c r="B149" s="5" t="s">
        <v>152</v>
      </c>
      <c r="C149" s="5">
        <v>333</v>
      </c>
      <c r="D149" s="5">
        <v>3.6</v>
      </c>
      <c r="E149" s="5" t="s">
        <v>139</v>
      </c>
      <c r="F149" s="8">
        <v>43767</v>
      </c>
    </row>
    <row r="150" spans="1:6" x14ac:dyDescent="0.25">
      <c r="A150" s="5" t="s">
        <v>154</v>
      </c>
      <c r="B150" s="5" t="s">
        <v>155</v>
      </c>
      <c r="C150" s="5">
        <v>0</v>
      </c>
      <c r="D150" s="5">
        <v>0</v>
      </c>
      <c r="E150" s="5" t="s">
        <v>139</v>
      </c>
      <c r="F150" s="8">
        <v>43767</v>
      </c>
    </row>
    <row r="151" spans="1:6" x14ac:dyDescent="0.25">
      <c r="A151" s="5" t="s">
        <v>157</v>
      </c>
      <c r="B151" s="5" t="s">
        <v>158</v>
      </c>
      <c r="C151" s="5">
        <v>196</v>
      </c>
      <c r="D151" s="5">
        <v>2.37</v>
      </c>
      <c r="E151" s="5" t="s">
        <v>139</v>
      </c>
      <c r="F151" s="8">
        <v>43767</v>
      </c>
    </row>
    <row r="152" spans="1:6" x14ac:dyDescent="0.25">
      <c r="A152" s="5" t="s">
        <v>162</v>
      </c>
      <c r="B152" s="5" t="s">
        <v>163</v>
      </c>
      <c r="C152" s="5">
        <v>295</v>
      </c>
      <c r="D152" s="5">
        <v>3.72</v>
      </c>
      <c r="E152" s="5" t="s">
        <v>139</v>
      </c>
      <c r="F152" s="8">
        <v>43767</v>
      </c>
    </row>
    <row r="153" spans="1:6" x14ac:dyDescent="0.25">
      <c r="A153" s="5" t="s">
        <v>165</v>
      </c>
      <c r="B153" s="5" t="s">
        <v>166</v>
      </c>
      <c r="C153" s="5">
        <v>261</v>
      </c>
      <c r="D153" s="5">
        <v>2.84</v>
      </c>
      <c r="E153" s="5" t="s">
        <v>139</v>
      </c>
      <c r="F153" s="8">
        <v>43767</v>
      </c>
    </row>
    <row r="154" spans="1:6" x14ac:dyDescent="0.25">
      <c r="A154" s="5" t="s">
        <v>169</v>
      </c>
      <c r="B154" s="5" t="s">
        <v>170</v>
      </c>
      <c r="C154" s="5">
        <v>1182</v>
      </c>
      <c r="D154" s="5">
        <v>3.91</v>
      </c>
      <c r="E154" s="5" t="s">
        <v>139</v>
      </c>
      <c r="F154" s="8">
        <v>43767</v>
      </c>
    </row>
    <row r="155" spans="1:6" x14ac:dyDescent="0.25">
      <c r="A155" s="5" t="s">
        <v>17</v>
      </c>
      <c r="B155" s="5" t="s">
        <v>18</v>
      </c>
      <c r="C155" s="5">
        <v>777</v>
      </c>
      <c r="D155" s="5">
        <v>3.3</v>
      </c>
      <c r="E155" s="5">
        <v>85.71</v>
      </c>
      <c r="F155" s="8">
        <v>43768</v>
      </c>
    </row>
    <row r="156" spans="1:6" x14ac:dyDescent="0.25">
      <c r="A156" s="5" t="s">
        <v>23</v>
      </c>
      <c r="B156" s="5" t="s">
        <v>24</v>
      </c>
      <c r="C156" s="5">
        <v>840</v>
      </c>
      <c r="D156" s="5">
        <v>3.21</v>
      </c>
      <c r="E156" s="5">
        <v>73.290000000000006</v>
      </c>
      <c r="F156" s="8">
        <v>43768</v>
      </c>
    </row>
    <row r="157" spans="1:6" x14ac:dyDescent="0.25">
      <c r="A157" s="5" t="s">
        <v>28</v>
      </c>
      <c r="B157" s="5" t="s">
        <v>29</v>
      </c>
      <c r="C157" s="5">
        <v>349</v>
      </c>
      <c r="D157" s="5">
        <v>3.65</v>
      </c>
      <c r="E157" s="5">
        <v>75.570000000000007</v>
      </c>
      <c r="F157" s="8">
        <v>43768</v>
      </c>
    </row>
    <row r="158" spans="1:6" x14ac:dyDescent="0.25">
      <c r="A158" s="5" t="s">
        <v>33</v>
      </c>
      <c r="B158" s="5" t="s">
        <v>34</v>
      </c>
      <c r="C158" s="5">
        <v>552</v>
      </c>
      <c r="D158" s="5">
        <v>2.3199999999999998</v>
      </c>
      <c r="E158" s="5">
        <v>0</v>
      </c>
      <c r="F158" s="8">
        <v>43768</v>
      </c>
    </row>
    <row r="159" spans="1:6" x14ac:dyDescent="0.25">
      <c r="A159" s="5" t="s">
        <v>39</v>
      </c>
      <c r="B159" s="5" t="s">
        <v>40</v>
      </c>
      <c r="C159" s="5">
        <v>467</v>
      </c>
      <c r="D159" s="5">
        <v>2.36</v>
      </c>
      <c r="E159" s="5">
        <v>82.23</v>
      </c>
      <c r="F159" s="8">
        <v>43768</v>
      </c>
    </row>
    <row r="160" spans="1:6" x14ac:dyDescent="0.25">
      <c r="A160" s="5" t="s">
        <v>45</v>
      </c>
      <c r="B160" s="5" t="s">
        <v>46</v>
      </c>
      <c r="C160" s="5">
        <v>279</v>
      </c>
      <c r="D160" s="5">
        <v>0.56000000000000005</v>
      </c>
      <c r="E160" s="5">
        <v>112.00000000000001</v>
      </c>
      <c r="F160" s="8">
        <v>43768</v>
      </c>
    </row>
    <row r="161" spans="1:6" x14ac:dyDescent="0.25">
      <c r="A161" s="5" t="s">
        <v>50</v>
      </c>
      <c r="B161" s="5" t="s">
        <v>51</v>
      </c>
      <c r="C161" s="5">
        <v>748</v>
      </c>
      <c r="D161" s="5">
        <v>3.52</v>
      </c>
      <c r="E161" s="5">
        <v>81.86</v>
      </c>
      <c r="F161" s="8">
        <v>43768</v>
      </c>
    </row>
    <row r="162" spans="1:6" x14ac:dyDescent="0.25">
      <c r="A162" s="5" t="s">
        <v>56</v>
      </c>
      <c r="B162" s="5" t="s">
        <v>57</v>
      </c>
      <c r="C162" s="5">
        <v>1724</v>
      </c>
      <c r="D162" s="5">
        <v>3.48</v>
      </c>
      <c r="E162" s="5">
        <v>88.78</v>
      </c>
      <c r="F162" s="8">
        <v>43768</v>
      </c>
    </row>
    <row r="163" spans="1:6" x14ac:dyDescent="0.25">
      <c r="A163" s="5" t="s">
        <v>19</v>
      </c>
      <c r="B163" s="5" t="s">
        <v>20</v>
      </c>
      <c r="C163" s="5">
        <v>1286</v>
      </c>
      <c r="D163" s="5">
        <v>3.03</v>
      </c>
      <c r="E163" s="5">
        <v>89.64</v>
      </c>
      <c r="F163" s="8">
        <v>43768</v>
      </c>
    </row>
    <row r="164" spans="1:6" x14ac:dyDescent="0.25">
      <c r="A164" s="5" t="s">
        <v>25</v>
      </c>
      <c r="B164" s="5" t="s">
        <v>26</v>
      </c>
      <c r="C164" s="5">
        <v>452</v>
      </c>
      <c r="D164" s="5">
        <v>2.79</v>
      </c>
      <c r="E164" s="5">
        <v>86.11</v>
      </c>
      <c r="F164" s="8">
        <v>43768</v>
      </c>
    </row>
    <row r="165" spans="1:6" x14ac:dyDescent="0.25">
      <c r="A165" s="5" t="s">
        <v>30</v>
      </c>
      <c r="B165" s="5" t="s">
        <v>31</v>
      </c>
      <c r="C165" s="5">
        <v>539</v>
      </c>
      <c r="D165" s="5">
        <v>2.99</v>
      </c>
      <c r="E165" s="5">
        <v>86.67</v>
      </c>
      <c r="F165" s="8">
        <v>43768</v>
      </c>
    </row>
    <row r="166" spans="1:6" x14ac:dyDescent="0.25">
      <c r="A166" s="5" t="s">
        <v>35</v>
      </c>
      <c r="B166" s="5" t="s">
        <v>36</v>
      </c>
      <c r="C166" s="5">
        <v>315</v>
      </c>
      <c r="D166" s="5">
        <v>3.18</v>
      </c>
      <c r="E166" s="5">
        <v>100</v>
      </c>
      <c r="F166" s="8">
        <v>43768</v>
      </c>
    </row>
    <row r="167" spans="1:6" x14ac:dyDescent="0.25">
      <c r="A167" s="5" t="s">
        <v>41</v>
      </c>
      <c r="B167" s="5" t="s">
        <v>42</v>
      </c>
      <c r="C167" s="5">
        <v>282</v>
      </c>
      <c r="D167" s="5">
        <v>3.26</v>
      </c>
      <c r="E167" s="5">
        <v>87.17</v>
      </c>
      <c r="F167" s="8">
        <v>43768</v>
      </c>
    </row>
    <row r="168" spans="1:6" x14ac:dyDescent="0.25">
      <c r="A168" s="5" t="s">
        <v>47</v>
      </c>
      <c r="B168" s="5" t="s">
        <v>48</v>
      </c>
      <c r="C168" s="5">
        <v>318</v>
      </c>
      <c r="D168" s="5">
        <v>3.46</v>
      </c>
      <c r="E168" s="5">
        <v>84.179999999999993</v>
      </c>
      <c r="F168" s="8">
        <v>43768</v>
      </c>
    </row>
    <row r="169" spans="1:6" x14ac:dyDescent="0.25">
      <c r="A169" s="5" t="s">
        <v>52</v>
      </c>
      <c r="B169" s="5" t="s">
        <v>53</v>
      </c>
      <c r="C169" s="5">
        <v>296</v>
      </c>
      <c r="D169" s="5">
        <v>3.05</v>
      </c>
      <c r="E169" s="5">
        <v>85.2</v>
      </c>
      <c r="F169" s="8">
        <v>43768</v>
      </c>
    </row>
    <row r="170" spans="1:6" x14ac:dyDescent="0.25">
      <c r="A170" s="5" t="s">
        <v>58</v>
      </c>
      <c r="B170" s="5" t="s">
        <v>59</v>
      </c>
      <c r="C170" s="5">
        <v>256</v>
      </c>
      <c r="D170" s="5">
        <v>2.68</v>
      </c>
      <c r="E170" s="5">
        <v>96.399999999999991</v>
      </c>
      <c r="F170" s="8">
        <v>43768</v>
      </c>
    </row>
    <row r="171" spans="1:6" x14ac:dyDescent="0.25">
      <c r="A171" s="5" t="s">
        <v>61</v>
      </c>
      <c r="B171" s="5" t="s">
        <v>62</v>
      </c>
      <c r="C171" s="5">
        <v>263</v>
      </c>
      <c r="D171" s="5">
        <v>2.71</v>
      </c>
      <c r="E171" s="5">
        <v>100</v>
      </c>
      <c r="F171" s="8">
        <v>43768</v>
      </c>
    </row>
    <row r="172" spans="1:6" x14ac:dyDescent="0.25">
      <c r="A172" s="5" t="s">
        <v>64</v>
      </c>
      <c r="B172" s="5" t="s">
        <v>65</v>
      </c>
      <c r="C172" s="5">
        <v>263</v>
      </c>
      <c r="D172" s="5">
        <v>2.86</v>
      </c>
      <c r="E172" s="5">
        <v>93.16</v>
      </c>
      <c r="F172" s="8">
        <v>43768</v>
      </c>
    </row>
    <row r="173" spans="1:6" x14ac:dyDescent="0.25">
      <c r="A173" s="5" t="s">
        <v>67</v>
      </c>
      <c r="B173" s="5" t="s">
        <v>68</v>
      </c>
      <c r="C173" s="5">
        <v>263</v>
      </c>
      <c r="D173" s="5">
        <v>2.86</v>
      </c>
      <c r="E173" s="5">
        <v>84.11999999999999</v>
      </c>
      <c r="F173" s="8">
        <v>43768</v>
      </c>
    </row>
    <row r="174" spans="1:6" x14ac:dyDescent="0.25">
      <c r="A174" s="5" t="s">
        <v>70</v>
      </c>
      <c r="B174" s="5" t="s">
        <v>71</v>
      </c>
      <c r="C174" s="5">
        <v>349</v>
      </c>
      <c r="D174" s="5">
        <v>3.64</v>
      </c>
      <c r="E174" s="5">
        <v>90.32</v>
      </c>
      <c r="F174" s="8">
        <v>43768</v>
      </c>
    </row>
    <row r="175" spans="1:6" x14ac:dyDescent="0.25">
      <c r="A175" s="5" t="s">
        <v>73</v>
      </c>
      <c r="B175" s="5" t="s">
        <v>74</v>
      </c>
      <c r="C175" s="5">
        <v>338</v>
      </c>
      <c r="D175" s="5">
        <v>3.61</v>
      </c>
      <c r="E175" s="5">
        <v>89.58</v>
      </c>
      <c r="F175" s="8">
        <v>43768</v>
      </c>
    </row>
    <row r="176" spans="1:6" x14ac:dyDescent="0.25">
      <c r="A176" s="5" t="s">
        <v>76</v>
      </c>
      <c r="B176" s="5" t="s">
        <v>77</v>
      </c>
      <c r="C176" s="5">
        <v>326</v>
      </c>
      <c r="D176" s="5">
        <v>3.4</v>
      </c>
      <c r="E176" s="5">
        <v>91.149999999999991</v>
      </c>
      <c r="F176" s="8">
        <v>43768</v>
      </c>
    </row>
    <row r="177" spans="1:6" x14ac:dyDescent="0.25">
      <c r="A177" s="5" t="s">
        <v>79</v>
      </c>
      <c r="B177" s="5" t="s">
        <v>80</v>
      </c>
      <c r="C177" s="5">
        <v>256</v>
      </c>
      <c r="D177" s="5">
        <v>2.63</v>
      </c>
      <c r="E177" s="5">
        <v>90.38000000000001</v>
      </c>
      <c r="F177" s="8">
        <v>43768</v>
      </c>
    </row>
    <row r="178" spans="1:6" x14ac:dyDescent="0.25">
      <c r="A178" s="5" t="s">
        <v>82</v>
      </c>
      <c r="B178" s="5" t="s">
        <v>83</v>
      </c>
      <c r="C178" s="5">
        <v>260</v>
      </c>
      <c r="D178" s="5">
        <v>2.67</v>
      </c>
      <c r="E178" s="5">
        <v>96.39</v>
      </c>
      <c r="F178" s="8">
        <v>43768</v>
      </c>
    </row>
    <row r="179" spans="1:6" x14ac:dyDescent="0.25">
      <c r="A179" s="5" t="s">
        <v>85</v>
      </c>
      <c r="B179" s="5" t="s">
        <v>86</v>
      </c>
      <c r="C179" s="5">
        <v>244</v>
      </c>
      <c r="D179" s="5">
        <v>2.56</v>
      </c>
      <c r="E179" s="5">
        <v>85.91</v>
      </c>
      <c r="F179" s="8">
        <v>43768</v>
      </c>
    </row>
    <row r="180" spans="1:6" x14ac:dyDescent="0.25">
      <c r="A180" s="5" t="s">
        <v>88</v>
      </c>
      <c r="B180" s="7" t="s">
        <v>89</v>
      </c>
      <c r="C180" s="5">
        <v>252</v>
      </c>
      <c r="D180" s="5">
        <v>2.59</v>
      </c>
      <c r="E180" s="5">
        <v>89</v>
      </c>
      <c r="F180" s="8">
        <v>43768</v>
      </c>
    </row>
    <row r="181" spans="1:6" x14ac:dyDescent="0.25">
      <c r="A181" s="5" t="s">
        <v>92</v>
      </c>
      <c r="B181" s="5" t="s">
        <v>93</v>
      </c>
      <c r="C181" s="5">
        <v>214</v>
      </c>
      <c r="D181" s="5">
        <v>2.61</v>
      </c>
      <c r="E181" s="5">
        <v>0</v>
      </c>
      <c r="F181" s="8">
        <v>43768</v>
      </c>
    </row>
    <row r="182" spans="1:6" x14ac:dyDescent="0.25">
      <c r="A182" s="5" t="s">
        <v>95</v>
      </c>
      <c r="B182" s="5" t="s">
        <v>96</v>
      </c>
      <c r="C182" s="5">
        <v>249</v>
      </c>
      <c r="D182" s="5">
        <v>2.59</v>
      </c>
      <c r="E182" s="5">
        <v>99.62</v>
      </c>
      <c r="F182" s="8">
        <v>43768</v>
      </c>
    </row>
    <row r="183" spans="1:6" x14ac:dyDescent="0.25">
      <c r="A183" s="5" t="s">
        <v>98</v>
      </c>
      <c r="B183" s="5" t="s">
        <v>99</v>
      </c>
      <c r="C183" s="5">
        <v>243</v>
      </c>
      <c r="D183" s="5">
        <v>2.58</v>
      </c>
      <c r="E183" s="5">
        <v>94.51</v>
      </c>
      <c r="F183" s="8">
        <v>43768</v>
      </c>
    </row>
    <row r="184" spans="1:6" x14ac:dyDescent="0.25">
      <c r="A184" s="5" t="s">
        <v>101</v>
      </c>
      <c r="B184" s="5" t="s">
        <v>102</v>
      </c>
      <c r="C184" s="5">
        <v>198</v>
      </c>
      <c r="D184" s="5">
        <v>3.63</v>
      </c>
      <c r="E184" s="5">
        <v>88.97</v>
      </c>
      <c r="F184" s="8">
        <v>43768</v>
      </c>
    </row>
    <row r="185" spans="1:6" x14ac:dyDescent="0.25">
      <c r="A185" s="5" t="s">
        <v>104</v>
      </c>
      <c r="B185" s="5" t="s">
        <v>105</v>
      </c>
      <c r="C185" s="5">
        <v>310</v>
      </c>
      <c r="D185" s="5">
        <v>2.62</v>
      </c>
      <c r="E185" s="5">
        <v>91.61</v>
      </c>
      <c r="F185" s="8">
        <v>43768</v>
      </c>
    </row>
    <row r="186" spans="1:6" x14ac:dyDescent="0.25">
      <c r="A186" s="5" t="s">
        <v>107</v>
      </c>
      <c r="B186" s="5" t="s">
        <v>108</v>
      </c>
      <c r="C186" s="5">
        <v>858</v>
      </c>
      <c r="D186" s="5">
        <v>3.66</v>
      </c>
      <c r="E186" s="5">
        <v>82.06</v>
      </c>
      <c r="F186" s="8">
        <v>43768</v>
      </c>
    </row>
    <row r="187" spans="1:6" x14ac:dyDescent="0.25">
      <c r="A187" s="5" t="s">
        <v>110</v>
      </c>
      <c r="B187" s="5" t="s">
        <v>111</v>
      </c>
      <c r="C187" s="5">
        <v>658</v>
      </c>
      <c r="D187" s="5">
        <v>3.33</v>
      </c>
      <c r="E187" s="5">
        <v>75.17</v>
      </c>
      <c r="F187" s="8">
        <v>43768</v>
      </c>
    </row>
    <row r="188" spans="1:6" x14ac:dyDescent="0.25">
      <c r="A188" s="5" t="s">
        <v>113</v>
      </c>
      <c r="B188" s="5" t="s">
        <v>114</v>
      </c>
      <c r="C188" s="5">
        <v>54</v>
      </c>
      <c r="D188" s="5">
        <v>1.02</v>
      </c>
      <c r="E188" s="5">
        <v>96.23</v>
      </c>
      <c r="F188" s="8">
        <v>43768</v>
      </c>
    </row>
    <row r="189" spans="1:6" x14ac:dyDescent="0.25">
      <c r="A189" s="5" t="s">
        <v>116</v>
      </c>
      <c r="B189" s="5" t="s">
        <v>117</v>
      </c>
      <c r="C189" s="5">
        <v>256</v>
      </c>
      <c r="D189" s="5">
        <v>2.63</v>
      </c>
      <c r="E189" s="5">
        <v>89.759999999999991</v>
      </c>
      <c r="F189" s="8">
        <v>43768</v>
      </c>
    </row>
    <row r="190" spans="1:6" x14ac:dyDescent="0.25">
      <c r="A190" s="5" t="s">
        <v>119</v>
      </c>
      <c r="B190" s="5" t="s">
        <v>120</v>
      </c>
      <c r="C190" s="5">
        <v>255</v>
      </c>
      <c r="D190" s="5">
        <v>2.62</v>
      </c>
      <c r="E190" s="5">
        <v>90.66</v>
      </c>
      <c r="F190" s="8">
        <v>43768</v>
      </c>
    </row>
    <row r="191" spans="1:6" x14ac:dyDescent="0.25">
      <c r="A191" s="5" t="s">
        <v>122</v>
      </c>
      <c r="B191" s="5" t="s">
        <v>123</v>
      </c>
      <c r="C191" s="5">
        <v>256</v>
      </c>
      <c r="D191" s="5">
        <v>2.63</v>
      </c>
      <c r="E191" s="5">
        <v>86.22999999999999</v>
      </c>
      <c r="F191" s="8">
        <v>43768</v>
      </c>
    </row>
    <row r="192" spans="1:6" x14ac:dyDescent="0.25">
      <c r="A192" s="5" t="s">
        <v>125</v>
      </c>
      <c r="B192" s="5" t="s">
        <v>126</v>
      </c>
      <c r="C192" s="5">
        <v>163</v>
      </c>
      <c r="D192" s="5">
        <v>2.59</v>
      </c>
      <c r="E192" s="5">
        <v>93.17</v>
      </c>
      <c r="F192" s="8">
        <v>43768</v>
      </c>
    </row>
    <row r="193" spans="1:6" x14ac:dyDescent="0.25">
      <c r="A193" s="5" t="s">
        <v>128</v>
      </c>
      <c r="B193" s="5" t="s">
        <v>129</v>
      </c>
      <c r="C193" s="5">
        <v>241</v>
      </c>
      <c r="D193" s="5">
        <v>2.5499999999999998</v>
      </c>
      <c r="E193" s="5">
        <v>108.96999999999998</v>
      </c>
      <c r="F193" s="8">
        <v>43768</v>
      </c>
    </row>
    <row r="194" spans="1:6" x14ac:dyDescent="0.25">
      <c r="A194" s="5" t="s">
        <v>131</v>
      </c>
      <c r="B194" s="5" t="s">
        <v>132</v>
      </c>
      <c r="C194" s="5">
        <v>251</v>
      </c>
      <c r="D194" s="5">
        <v>2.61</v>
      </c>
      <c r="E194" s="5">
        <v>95.26</v>
      </c>
      <c r="F194" s="8">
        <v>43768</v>
      </c>
    </row>
    <row r="195" spans="1:6" x14ac:dyDescent="0.25">
      <c r="A195" s="5" t="s">
        <v>134</v>
      </c>
      <c r="B195" s="5" t="s">
        <v>135</v>
      </c>
      <c r="C195" s="5">
        <v>239</v>
      </c>
      <c r="D195" s="5">
        <v>2.5</v>
      </c>
      <c r="E195" s="5">
        <v>92.25</v>
      </c>
      <c r="F195" s="8">
        <v>43768</v>
      </c>
    </row>
    <row r="196" spans="1:6" x14ac:dyDescent="0.25">
      <c r="A196" s="5" t="s">
        <v>137</v>
      </c>
      <c r="B196" s="5" t="s">
        <v>138</v>
      </c>
      <c r="C196" s="5">
        <v>0</v>
      </c>
      <c r="D196" s="5">
        <v>0</v>
      </c>
      <c r="E196" s="5" t="s">
        <v>139</v>
      </c>
      <c r="F196" s="8">
        <v>43768</v>
      </c>
    </row>
    <row r="197" spans="1:6" x14ac:dyDescent="0.25">
      <c r="A197" s="5" t="s">
        <v>142</v>
      </c>
      <c r="B197" s="5" t="s">
        <v>143</v>
      </c>
      <c r="C197" s="5">
        <v>0</v>
      </c>
      <c r="D197" s="5">
        <v>0</v>
      </c>
      <c r="E197" s="5" t="s">
        <v>139</v>
      </c>
      <c r="F197" s="8">
        <v>43768</v>
      </c>
    </row>
    <row r="198" spans="1:6" x14ac:dyDescent="0.25">
      <c r="A198" s="5" t="s">
        <v>145</v>
      </c>
      <c r="B198" s="5" t="s">
        <v>146</v>
      </c>
      <c r="C198" s="5">
        <v>0</v>
      </c>
      <c r="D198" s="5">
        <v>0</v>
      </c>
      <c r="E198" s="5" t="s">
        <v>139</v>
      </c>
      <c r="F198" s="8">
        <v>43768</v>
      </c>
    </row>
    <row r="199" spans="1:6" x14ac:dyDescent="0.25">
      <c r="A199" s="5" t="s">
        <v>148</v>
      </c>
      <c r="B199" s="5" t="s">
        <v>149</v>
      </c>
      <c r="C199" s="5">
        <v>1973</v>
      </c>
      <c r="D199" s="5">
        <v>3.96</v>
      </c>
      <c r="E199" s="5" t="s">
        <v>139</v>
      </c>
      <c r="F199" s="8">
        <v>43768</v>
      </c>
    </row>
    <row r="200" spans="1:6" x14ac:dyDescent="0.25">
      <c r="A200" s="5" t="s">
        <v>151</v>
      </c>
      <c r="B200" s="5" t="s">
        <v>152</v>
      </c>
      <c r="C200" s="5">
        <v>316</v>
      </c>
      <c r="D200" s="5">
        <v>3.42</v>
      </c>
      <c r="E200" s="5" t="s">
        <v>139</v>
      </c>
      <c r="F200" s="8">
        <v>43768</v>
      </c>
    </row>
    <row r="201" spans="1:6" x14ac:dyDescent="0.25">
      <c r="A201" s="5" t="s">
        <v>154</v>
      </c>
      <c r="B201" s="5" t="s">
        <v>155</v>
      </c>
      <c r="C201" s="5">
        <v>0</v>
      </c>
      <c r="D201" s="5">
        <v>0</v>
      </c>
      <c r="E201" s="5" t="s">
        <v>139</v>
      </c>
      <c r="F201" s="8">
        <v>43768</v>
      </c>
    </row>
    <row r="202" spans="1:6" x14ac:dyDescent="0.25">
      <c r="A202" s="5" t="s">
        <v>157</v>
      </c>
      <c r="B202" s="5" t="s">
        <v>158</v>
      </c>
      <c r="C202" s="5">
        <v>148</v>
      </c>
      <c r="D202" s="5">
        <v>1.79</v>
      </c>
      <c r="E202" s="5" t="s">
        <v>139</v>
      </c>
      <c r="F202" s="8">
        <v>43768</v>
      </c>
    </row>
    <row r="203" spans="1:6" x14ac:dyDescent="0.25">
      <c r="A203" s="5" t="s">
        <v>162</v>
      </c>
      <c r="B203" s="5" t="s">
        <v>163</v>
      </c>
      <c r="C203" s="5">
        <v>225</v>
      </c>
      <c r="D203" s="5">
        <v>2.84</v>
      </c>
      <c r="E203" s="5" t="s">
        <v>139</v>
      </c>
      <c r="F203" s="8">
        <v>43768</v>
      </c>
    </row>
    <row r="204" spans="1:6" x14ac:dyDescent="0.25">
      <c r="A204" s="5" t="s">
        <v>165</v>
      </c>
      <c r="B204" s="5" t="s">
        <v>166</v>
      </c>
      <c r="C204" s="5">
        <v>214</v>
      </c>
      <c r="D204" s="5">
        <v>2.33</v>
      </c>
      <c r="E204" s="5" t="s">
        <v>139</v>
      </c>
      <c r="F204" s="8">
        <v>43768</v>
      </c>
    </row>
    <row r="205" spans="1:6" x14ac:dyDescent="0.25">
      <c r="A205" s="5" t="s">
        <v>169</v>
      </c>
      <c r="B205" s="5" t="s">
        <v>170</v>
      </c>
      <c r="C205" s="5">
        <v>1069</v>
      </c>
      <c r="D205" s="5">
        <v>3.54</v>
      </c>
      <c r="E205" s="5" t="s">
        <v>139</v>
      </c>
      <c r="F205" s="8">
        <v>43768</v>
      </c>
    </row>
    <row r="240" spans="1:16364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  <c r="IG240" s="4"/>
      <c r="IH240" s="4"/>
      <c r="II240" s="4"/>
      <c r="IJ240" s="4"/>
      <c r="IK240" s="4"/>
      <c r="IL240" s="4"/>
      <c r="IM240" s="4"/>
      <c r="IN240" s="4"/>
      <c r="IO240" s="4"/>
      <c r="IP240" s="4"/>
      <c r="IQ240" s="4"/>
      <c r="IR240" s="4"/>
      <c r="IS240" s="4"/>
      <c r="IT240" s="4"/>
      <c r="IU240" s="4"/>
      <c r="IV240" s="4"/>
      <c r="IW240" s="4"/>
      <c r="IX240" s="4"/>
      <c r="IY240" s="4"/>
      <c r="IZ240" s="4"/>
      <c r="JA240" s="4"/>
      <c r="JB240" s="4"/>
      <c r="JC240" s="4"/>
      <c r="JD240" s="4"/>
      <c r="JE240" s="4"/>
      <c r="JF240" s="4"/>
      <c r="JG240" s="4"/>
      <c r="JH240" s="4"/>
      <c r="JI240" s="4"/>
      <c r="JJ240" s="4"/>
      <c r="JK240" s="4"/>
      <c r="JL240" s="4"/>
      <c r="JM240" s="4"/>
      <c r="JN240" s="4"/>
      <c r="JO240" s="4"/>
      <c r="JP240" s="4"/>
      <c r="JQ240" s="4"/>
      <c r="JR240" s="4"/>
      <c r="JS240" s="4"/>
      <c r="JT240" s="4"/>
      <c r="JU240" s="4"/>
      <c r="JV240" s="4"/>
      <c r="JW240" s="4"/>
      <c r="JX240" s="4"/>
      <c r="JY240" s="4"/>
      <c r="JZ240" s="4"/>
      <c r="KA240" s="4"/>
      <c r="KB240" s="4"/>
      <c r="KC240" s="4"/>
      <c r="KD240" s="4"/>
      <c r="KE240" s="4"/>
      <c r="KF240" s="4"/>
      <c r="KG240" s="4"/>
      <c r="KH240" s="4"/>
      <c r="KI240" s="4"/>
      <c r="KJ240" s="4"/>
      <c r="KK240" s="4"/>
      <c r="KL240" s="4"/>
      <c r="KM240" s="4"/>
      <c r="KN240" s="4"/>
      <c r="KO240" s="4"/>
      <c r="KP240" s="4"/>
      <c r="KQ240" s="4"/>
      <c r="KR240" s="4"/>
      <c r="KS240" s="4"/>
      <c r="KT240" s="4"/>
      <c r="KU240" s="4"/>
      <c r="KV240" s="4"/>
      <c r="KW240" s="4"/>
      <c r="KX240" s="4"/>
      <c r="KY240" s="4"/>
      <c r="KZ240" s="4"/>
      <c r="LA240" s="4"/>
      <c r="LB240" s="4"/>
      <c r="LC240" s="4"/>
      <c r="LD240" s="4"/>
      <c r="LE240" s="4"/>
      <c r="LF240" s="4"/>
      <c r="LG240" s="4"/>
      <c r="LH240" s="4"/>
      <c r="LI240" s="4"/>
      <c r="LJ240" s="4"/>
      <c r="LK240" s="4"/>
      <c r="LL240" s="4"/>
      <c r="LM240" s="4"/>
      <c r="LN240" s="4"/>
      <c r="LO240" s="4"/>
      <c r="LP240" s="4"/>
      <c r="LQ240" s="4"/>
      <c r="LR240" s="4"/>
      <c r="LS240" s="4"/>
      <c r="LT240" s="4"/>
      <c r="LU240" s="4"/>
      <c r="LV240" s="4"/>
      <c r="LW240" s="4"/>
      <c r="LX240" s="4"/>
      <c r="LY240" s="4"/>
      <c r="LZ240" s="4"/>
      <c r="MA240" s="4"/>
      <c r="MB240" s="4"/>
      <c r="MC240" s="4"/>
      <c r="MD240" s="4"/>
      <c r="ME240" s="4"/>
      <c r="MF240" s="4"/>
      <c r="MG240" s="4"/>
      <c r="MH240" s="4"/>
      <c r="MI240" s="4"/>
      <c r="MJ240" s="4"/>
      <c r="MK240" s="4"/>
      <c r="ML240" s="4"/>
      <c r="MM240" s="4"/>
      <c r="MN240" s="4"/>
      <c r="MO240" s="4"/>
      <c r="MP240" s="4"/>
      <c r="MQ240" s="4"/>
      <c r="MR240" s="4"/>
      <c r="MS240" s="4"/>
      <c r="MT240" s="4"/>
      <c r="MU240" s="4"/>
      <c r="MV240" s="4"/>
      <c r="MW240" s="4"/>
      <c r="MX240" s="4"/>
      <c r="MY240" s="4"/>
      <c r="MZ240" s="4"/>
      <c r="NA240" s="4"/>
      <c r="NB240" s="4"/>
      <c r="NC240" s="4"/>
      <c r="ND240" s="4"/>
      <c r="NE240" s="4"/>
      <c r="NF240" s="4"/>
      <c r="NG240" s="4"/>
      <c r="NH240" s="4"/>
      <c r="NI240" s="4"/>
      <c r="NJ240" s="4"/>
      <c r="NK240" s="4"/>
      <c r="NL240" s="4"/>
      <c r="NM240" s="4"/>
      <c r="NN240" s="4"/>
      <c r="NO240" s="4"/>
      <c r="NP240" s="4"/>
      <c r="NQ240" s="4"/>
      <c r="NR240" s="4"/>
      <c r="NS240" s="4"/>
      <c r="NT240" s="4"/>
      <c r="NU240" s="4"/>
      <c r="NV240" s="4"/>
      <c r="NW240" s="4"/>
      <c r="NX240" s="4"/>
      <c r="NY240" s="4"/>
      <c r="NZ240" s="4"/>
      <c r="OA240" s="4"/>
      <c r="OB240" s="4"/>
      <c r="OC240" s="4"/>
      <c r="OD240" s="4"/>
      <c r="OE240" s="4"/>
      <c r="OF240" s="4"/>
      <c r="OG240" s="4"/>
      <c r="OH240" s="4"/>
      <c r="OI240" s="4"/>
      <c r="OJ240" s="4"/>
      <c r="OK240" s="4"/>
      <c r="OL240" s="4"/>
      <c r="OM240" s="4"/>
      <c r="ON240" s="4"/>
      <c r="OO240" s="4"/>
      <c r="OP240" s="4"/>
      <c r="OQ240" s="4"/>
      <c r="OR240" s="4"/>
      <c r="OS240" s="4"/>
      <c r="OT240" s="4"/>
      <c r="OU240" s="4"/>
      <c r="OV240" s="4"/>
      <c r="OW240" s="4"/>
      <c r="OX240" s="4"/>
      <c r="OY240" s="4"/>
      <c r="OZ240" s="4"/>
      <c r="PA240" s="4"/>
      <c r="PB240" s="4"/>
      <c r="PC240" s="4"/>
      <c r="PD240" s="4"/>
      <c r="PE240" s="4"/>
      <c r="PF240" s="4"/>
      <c r="PG240" s="4"/>
      <c r="PH240" s="4"/>
      <c r="PI240" s="4"/>
      <c r="PJ240" s="4"/>
      <c r="PK240" s="4"/>
      <c r="PL240" s="4"/>
      <c r="PM240" s="4"/>
      <c r="PN240" s="4"/>
      <c r="PO240" s="4"/>
      <c r="PP240" s="4"/>
      <c r="PQ240" s="4"/>
      <c r="PR240" s="4"/>
      <c r="PS240" s="4"/>
      <c r="PT240" s="4"/>
      <c r="PU240" s="4"/>
      <c r="PV240" s="4"/>
      <c r="PW240" s="4"/>
      <c r="PX240" s="4"/>
      <c r="PY240" s="4"/>
      <c r="PZ240" s="4"/>
      <c r="QA240" s="4"/>
      <c r="QB240" s="4"/>
      <c r="QC240" s="4"/>
      <c r="QD240" s="4"/>
      <c r="QE240" s="4"/>
      <c r="QF240" s="4"/>
      <c r="QG240" s="4"/>
      <c r="QH240" s="4"/>
      <c r="QI240" s="4"/>
      <c r="QJ240" s="4"/>
      <c r="QK240" s="4"/>
      <c r="QL240" s="4"/>
      <c r="QM240" s="4"/>
      <c r="QN240" s="4"/>
      <c r="QO240" s="4"/>
      <c r="QP240" s="4"/>
      <c r="QQ240" s="4"/>
      <c r="QR240" s="4"/>
      <c r="QS240" s="4"/>
      <c r="QT240" s="4"/>
      <c r="QU240" s="4"/>
      <c r="QV240" s="4"/>
      <c r="QW240" s="4"/>
      <c r="QX240" s="4"/>
      <c r="QY240" s="4"/>
      <c r="QZ240" s="4"/>
      <c r="RA240" s="4"/>
      <c r="RB240" s="4"/>
      <c r="RC240" s="4"/>
      <c r="RD240" s="4"/>
      <c r="RE240" s="4"/>
      <c r="RF240" s="4"/>
      <c r="RG240" s="4"/>
      <c r="RH240" s="4"/>
      <c r="RI240" s="4"/>
      <c r="RJ240" s="4"/>
      <c r="RK240" s="4"/>
      <c r="RL240" s="4"/>
      <c r="RM240" s="4"/>
      <c r="RN240" s="4"/>
      <c r="RO240" s="4"/>
      <c r="RP240" s="4"/>
      <c r="RQ240" s="4"/>
      <c r="RR240" s="4"/>
      <c r="RS240" s="4"/>
      <c r="RT240" s="4"/>
      <c r="RU240" s="4"/>
      <c r="RV240" s="4"/>
      <c r="RW240" s="4"/>
      <c r="RX240" s="4"/>
      <c r="RY240" s="4"/>
      <c r="RZ240" s="4"/>
      <c r="SA240" s="4"/>
      <c r="SB240" s="4"/>
      <c r="SC240" s="4"/>
      <c r="SD240" s="4"/>
      <c r="SE240" s="4"/>
      <c r="SF240" s="4"/>
      <c r="SG240" s="4"/>
      <c r="SH240" s="4"/>
      <c r="SI240" s="4"/>
      <c r="SJ240" s="4"/>
      <c r="SK240" s="4"/>
      <c r="SL240" s="4"/>
      <c r="SM240" s="4"/>
      <c r="SN240" s="4"/>
      <c r="SO240" s="4"/>
      <c r="SP240" s="4"/>
      <c r="SQ240" s="4"/>
      <c r="SR240" s="4"/>
      <c r="SS240" s="4"/>
      <c r="ST240" s="4"/>
      <c r="SU240" s="4"/>
      <c r="SV240" s="4"/>
      <c r="SW240" s="4"/>
      <c r="SX240" s="4"/>
      <c r="SY240" s="4"/>
      <c r="SZ240" s="4"/>
      <c r="TA240" s="4"/>
      <c r="TB240" s="4"/>
      <c r="TC240" s="4"/>
      <c r="TD240" s="4"/>
      <c r="TE240" s="4"/>
      <c r="TF240" s="4"/>
      <c r="TG240" s="4"/>
      <c r="TH240" s="4"/>
      <c r="TI240" s="4"/>
      <c r="TJ240" s="4"/>
      <c r="TK240" s="4"/>
      <c r="TL240" s="4"/>
      <c r="TM240" s="4"/>
      <c r="TN240" s="4"/>
      <c r="TO240" s="4"/>
      <c r="TP240" s="4"/>
      <c r="TQ240" s="4"/>
      <c r="TR240" s="4"/>
      <c r="TS240" s="4"/>
      <c r="TT240" s="4"/>
      <c r="TU240" s="4"/>
      <c r="TV240" s="4"/>
      <c r="TW240" s="4"/>
      <c r="TX240" s="4"/>
      <c r="TY240" s="4"/>
      <c r="TZ240" s="4"/>
      <c r="UA240" s="4"/>
      <c r="UB240" s="4"/>
      <c r="UC240" s="4"/>
      <c r="UD240" s="4"/>
      <c r="UE240" s="4"/>
      <c r="UF240" s="4"/>
      <c r="UG240" s="4"/>
      <c r="UH240" s="4"/>
      <c r="UI240" s="4"/>
      <c r="UJ240" s="4"/>
      <c r="UK240" s="4"/>
      <c r="UL240" s="4"/>
      <c r="UM240" s="4"/>
      <c r="UN240" s="4"/>
      <c r="UO240" s="4"/>
      <c r="UP240" s="4"/>
      <c r="UQ240" s="4"/>
      <c r="UR240" s="4"/>
      <c r="US240" s="4"/>
      <c r="UT240" s="4"/>
      <c r="UU240" s="4"/>
      <c r="UV240" s="4"/>
      <c r="UW240" s="4"/>
      <c r="UX240" s="4"/>
      <c r="UY240" s="4"/>
      <c r="UZ240" s="4"/>
      <c r="VA240" s="4"/>
      <c r="VB240" s="4"/>
      <c r="VC240" s="4"/>
      <c r="VD240" s="4"/>
      <c r="VE240" s="4"/>
      <c r="VF240" s="4"/>
      <c r="VG240" s="4"/>
      <c r="VH240" s="4"/>
      <c r="VI240" s="4"/>
      <c r="VJ240" s="4"/>
      <c r="VK240" s="4"/>
      <c r="VL240" s="4"/>
      <c r="VM240" s="4"/>
      <c r="VN240" s="4"/>
      <c r="VO240" s="4"/>
      <c r="VP240" s="4"/>
      <c r="VQ240" s="4"/>
      <c r="VR240" s="4"/>
      <c r="VS240" s="4"/>
      <c r="VT240" s="4"/>
      <c r="VU240" s="4"/>
      <c r="VV240" s="4"/>
      <c r="VW240" s="4"/>
      <c r="VX240" s="4"/>
      <c r="VY240" s="4"/>
      <c r="VZ240" s="4"/>
      <c r="WA240" s="4"/>
      <c r="WB240" s="4"/>
      <c r="WC240" s="4"/>
      <c r="WD240" s="4"/>
      <c r="WE240" s="4"/>
      <c r="WF240" s="4"/>
      <c r="WG240" s="4"/>
      <c r="WH240" s="4"/>
      <c r="WI240" s="4"/>
      <c r="WJ240" s="4"/>
      <c r="WK240" s="4"/>
      <c r="WL240" s="4"/>
      <c r="WM240" s="4"/>
      <c r="WN240" s="4"/>
      <c r="WO240" s="4"/>
      <c r="WP240" s="4"/>
      <c r="WQ240" s="4"/>
      <c r="WR240" s="4"/>
      <c r="WS240" s="4"/>
      <c r="WT240" s="4"/>
      <c r="WU240" s="4"/>
      <c r="WV240" s="4"/>
      <c r="WW240" s="4"/>
      <c r="WX240" s="4"/>
      <c r="WY240" s="4"/>
      <c r="WZ240" s="4"/>
      <c r="XA240" s="4"/>
      <c r="XB240" s="4"/>
      <c r="XC240" s="4"/>
      <c r="XD240" s="4"/>
      <c r="XE240" s="4"/>
      <c r="XF240" s="4"/>
      <c r="XG240" s="4"/>
      <c r="XH240" s="4"/>
      <c r="XI240" s="4"/>
      <c r="XJ240" s="4"/>
      <c r="XK240" s="4"/>
      <c r="XL240" s="4"/>
      <c r="XM240" s="4"/>
      <c r="XN240" s="4"/>
      <c r="XO240" s="4"/>
      <c r="XP240" s="4"/>
      <c r="XQ240" s="4"/>
      <c r="XR240" s="4"/>
      <c r="XS240" s="4"/>
      <c r="XT240" s="4"/>
      <c r="XU240" s="4"/>
      <c r="XV240" s="4"/>
      <c r="XW240" s="4"/>
      <c r="XX240" s="4"/>
      <c r="XY240" s="4"/>
      <c r="XZ240" s="4"/>
      <c r="YA240" s="4"/>
      <c r="YB240" s="4"/>
      <c r="YC240" s="4"/>
      <c r="YD240" s="4"/>
      <c r="YE240" s="4"/>
      <c r="YF240" s="4"/>
      <c r="YG240" s="4"/>
      <c r="YH240" s="4"/>
      <c r="YI240" s="4"/>
      <c r="YJ240" s="4"/>
      <c r="YK240" s="4"/>
      <c r="YL240" s="4"/>
      <c r="YM240" s="4"/>
      <c r="YN240" s="4"/>
      <c r="YO240" s="4"/>
      <c r="YP240" s="4"/>
      <c r="YQ240" s="4"/>
      <c r="YR240" s="4"/>
      <c r="YS240" s="4"/>
      <c r="YT240" s="4"/>
      <c r="YU240" s="4"/>
      <c r="YV240" s="4"/>
      <c r="YW240" s="4"/>
      <c r="YX240" s="4"/>
      <c r="YY240" s="4"/>
      <c r="YZ240" s="4"/>
      <c r="ZA240" s="4"/>
      <c r="ZB240" s="4"/>
      <c r="ZC240" s="4"/>
      <c r="ZD240" s="4"/>
      <c r="ZE240" s="4"/>
      <c r="ZF240" s="4"/>
      <c r="ZG240" s="4"/>
      <c r="ZH240" s="4"/>
      <c r="ZI240" s="4"/>
      <c r="ZJ240" s="4"/>
      <c r="ZK240" s="4"/>
      <c r="ZL240" s="4"/>
      <c r="ZM240" s="4"/>
      <c r="ZN240" s="4"/>
      <c r="ZO240" s="4"/>
      <c r="ZP240" s="4"/>
      <c r="ZQ240" s="4"/>
      <c r="ZR240" s="4"/>
      <c r="ZS240" s="4"/>
      <c r="ZT240" s="4"/>
      <c r="ZU240" s="4"/>
      <c r="ZV240" s="4"/>
      <c r="ZW240" s="4"/>
      <c r="ZX240" s="4"/>
      <c r="ZY240" s="4"/>
      <c r="ZZ240" s="4"/>
      <c r="AAA240" s="4"/>
      <c r="AAB240" s="4"/>
      <c r="AAC240" s="4"/>
      <c r="AAD240" s="4"/>
      <c r="AAE240" s="4"/>
      <c r="AAF240" s="4"/>
      <c r="AAG240" s="4"/>
      <c r="AAH240" s="4"/>
      <c r="AAI240" s="4"/>
      <c r="AAJ240" s="4"/>
      <c r="AAK240" s="4"/>
      <c r="AAL240" s="4"/>
      <c r="AAM240" s="4"/>
      <c r="AAN240" s="4"/>
      <c r="AAO240" s="4"/>
      <c r="AAP240" s="4"/>
      <c r="AAQ240" s="4"/>
      <c r="AAR240" s="4"/>
      <c r="AAS240" s="4"/>
      <c r="AAT240" s="4"/>
      <c r="AAU240" s="4"/>
      <c r="AAV240" s="4"/>
      <c r="AAW240" s="4"/>
      <c r="AAX240" s="4"/>
      <c r="AAY240" s="4"/>
      <c r="AAZ240" s="4"/>
      <c r="ABA240" s="4"/>
      <c r="ABB240" s="4"/>
      <c r="ABC240" s="4"/>
      <c r="ABD240" s="4"/>
      <c r="ABE240" s="4"/>
      <c r="ABF240" s="4"/>
      <c r="ABG240" s="4"/>
      <c r="ABH240" s="4"/>
      <c r="ABI240" s="4"/>
      <c r="ABJ240" s="4"/>
      <c r="ABK240" s="4"/>
      <c r="ABL240" s="4"/>
      <c r="ABM240" s="4"/>
      <c r="ABN240" s="4"/>
      <c r="ABO240" s="4"/>
      <c r="ABP240" s="4"/>
      <c r="ABQ240" s="4"/>
      <c r="ABR240" s="4"/>
      <c r="ABS240" s="4"/>
      <c r="ABT240" s="4"/>
      <c r="ABU240" s="4"/>
      <c r="ABV240" s="4"/>
      <c r="ABW240" s="4"/>
      <c r="ABX240" s="4"/>
      <c r="ABY240" s="4"/>
      <c r="ABZ240" s="4"/>
      <c r="ACA240" s="4"/>
      <c r="ACB240" s="4"/>
      <c r="ACC240" s="4"/>
      <c r="ACD240" s="4"/>
      <c r="ACE240" s="4"/>
      <c r="ACF240" s="4"/>
      <c r="ACG240" s="4"/>
      <c r="ACH240" s="4"/>
      <c r="ACI240" s="4"/>
      <c r="ACJ240" s="4"/>
      <c r="ACK240" s="4"/>
      <c r="ACL240" s="4"/>
      <c r="ACM240" s="4"/>
      <c r="ACN240" s="4"/>
      <c r="ACO240" s="4"/>
      <c r="ACP240" s="4"/>
      <c r="ACQ240" s="4"/>
      <c r="ACR240" s="4"/>
      <c r="ACS240" s="4"/>
      <c r="ACT240" s="4"/>
      <c r="ACU240" s="4"/>
      <c r="ACV240" s="4"/>
      <c r="ACW240" s="4"/>
      <c r="ACX240" s="4"/>
      <c r="ACY240" s="4"/>
      <c r="ACZ240" s="4"/>
      <c r="ADA240" s="4"/>
      <c r="ADB240" s="4"/>
      <c r="ADC240" s="4"/>
      <c r="ADD240" s="4"/>
      <c r="ADE240" s="4"/>
      <c r="ADF240" s="4"/>
      <c r="ADG240" s="4"/>
      <c r="ADH240" s="4"/>
      <c r="ADI240" s="4"/>
      <c r="ADJ240" s="4"/>
      <c r="ADK240" s="4"/>
      <c r="ADL240" s="4"/>
      <c r="ADM240" s="4"/>
      <c r="ADN240" s="4"/>
      <c r="ADO240" s="4"/>
      <c r="ADP240" s="4"/>
      <c r="ADQ240" s="4"/>
      <c r="ADR240" s="4"/>
      <c r="ADS240" s="4"/>
      <c r="ADT240" s="4"/>
      <c r="ADU240" s="4"/>
      <c r="ADV240" s="4"/>
      <c r="ADW240" s="4"/>
      <c r="ADX240" s="4"/>
      <c r="ADY240" s="4"/>
      <c r="ADZ240" s="4"/>
      <c r="AEA240" s="4"/>
      <c r="AEB240" s="4"/>
      <c r="AEC240" s="4"/>
      <c r="AED240" s="4"/>
      <c r="AEE240" s="4"/>
      <c r="AEF240" s="4"/>
      <c r="AEG240" s="4"/>
      <c r="AEH240" s="4"/>
      <c r="AEI240" s="4"/>
      <c r="AEJ240" s="4"/>
      <c r="AEK240" s="4"/>
      <c r="AEL240" s="4"/>
      <c r="AEM240" s="4"/>
      <c r="AEN240" s="4"/>
      <c r="AEO240" s="4"/>
      <c r="AEP240" s="4"/>
      <c r="AEQ240" s="4"/>
      <c r="AER240" s="4"/>
      <c r="AES240" s="4"/>
      <c r="AET240" s="4"/>
      <c r="AEU240" s="4"/>
      <c r="AEV240" s="4"/>
      <c r="AEW240" s="4"/>
      <c r="AEX240" s="4"/>
      <c r="AEY240" s="4"/>
      <c r="AEZ240" s="4"/>
      <c r="AFA240" s="4"/>
      <c r="AFB240" s="4"/>
      <c r="AFC240" s="4"/>
      <c r="AFD240" s="4"/>
      <c r="AFE240" s="4"/>
      <c r="AFF240" s="4"/>
      <c r="AFG240" s="4"/>
      <c r="AFH240" s="4"/>
      <c r="AFI240" s="4"/>
      <c r="AFJ240" s="4"/>
      <c r="AFK240" s="4"/>
      <c r="AFL240" s="4"/>
      <c r="AFM240" s="4"/>
      <c r="AFN240" s="4"/>
      <c r="AFO240" s="4"/>
      <c r="AFP240" s="4"/>
      <c r="AFQ240" s="4"/>
      <c r="AFR240" s="4"/>
      <c r="AFS240" s="4"/>
      <c r="AFT240" s="4"/>
      <c r="AFU240" s="4"/>
      <c r="AFV240" s="4"/>
      <c r="AFW240" s="4"/>
      <c r="AFX240" s="4"/>
      <c r="AFY240" s="4"/>
      <c r="AFZ240" s="4"/>
      <c r="AGA240" s="4"/>
      <c r="AGB240" s="4"/>
      <c r="AGC240" s="4"/>
      <c r="AGD240" s="4"/>
      <c r="AGE240" s="4"/>
      <c r="AGF240" s="4"/>
      <c r="AGG240" s="4"/>
      <c r="AGH240" s="4"/>
      <c r="AGI240" s="4"/>
      <c r="AGJ240" s="4"/>
      <c r="AGK240" s="4"/>
      <c r="AGL240" s="4"/>
      <c r="AGM240" s="4"/>
      <c r="AGN240" s="4"/>
      <c r="AGO240" s="4"/>
      <c r="AGP240" s="4"/>
      <c r="AGQ240" s="4"/>
      <c r="AGR240" s="4"/>
      <c r="AGS240" s="4"/>
      <c r="AGT240" s="4"/>
      <c r="AGU240" s="4"/>
      <c r="AGV240" s="4"/>
      <c r="AGW240" s="4"/>
      <c r="AGX240" s="4"/>
      <c r="AGY240" s="4"/>
      <c r="AGZ240" s="4"/>
      <c r="AHA240" s="4"/>
      <c r="AHB240" s="4"/>
      <c r="AHC240" s="4"/>
      <c r="AHD240" s="4"/>
      <c r="AHE240" s="4"/>
      <c r="AHF240" s="4"/>
      <c r="AHG240" s="4"/>
      <c r="AHH240" s="4"/>
      <c r="AHI240" s="4"/>
      <c r="AHJ240" s="4"/>
      <c r="AHK240" s="4"/>
      <c r="AHL240" s="4"/>
      <c r="AHM240" s="4"/>
      <c r="AHN240" s="4"/>
      <c r="AHO240" s="4"/>
      <c r="AHP240" s="4"/>
      <c r="AHQ240" s="4"/>
      <c r="AHR240" s="4"/>
      <c r="AHS240" s="4"/>
      <c r="AHT240" s="4"/>
      <c r="AHU240" s="4"/>
      <c r="AHV240" s="4"/>
      <c r="AHW240" s="4"/>
      <c r="AHX240" s="4"/>
      <c r="AHY240" s="4"/>
      <c r="AHZ240" s="4"/>
      <c r="AIA240" s="4"/>
      <c r="AIB240" s="4"/>
      <c r="AIC240" s="4"/>
      <c r="AID240" s="4"/>
      <c r="AIE240" s="4"/>
      <c r="AIF240" s="4"/>
      <c r="AIG240" s="4"/>
      <c r="AIH240" s="4"/>
      <c r="AII240" s="4"/>
      <c r="AIJ240" s="4"/>
      <c r="AIK240" s="4"/>
      <c r="AIL240" s="4"/>
      <c r="AIM240" s="4"/>
      <c r="AIN240" s="4"/>
      <c r="AIO240" s="4"/>
      <c r="AIP240" s="4"/>
      <c r="AIQ240" s="4"/>
      <c r="AIR240" s="4"/>
      <c r="AIS240" s="4"/>
      <c r="AIT240" s="4"/>
      <c r="AIU240" s="4"/>
      <c r="AIV240" s="4"/>
      <c r="AIW240" s="4"/>
      <c r="AIX240" s="4"/>
      <c r="AIY240" s="4"/>
      <c r="AIZ240" s="4"/>
      <c r="AJA240" s="4"/>
      <c r="AJB240" s="4"/>
      <c r="AJC240" s="4"/>
      <c r="AJD240" s="4"/>
      <c r="AJE240" s="4"/>
      <c r="AJF240" s="4"/>
      <c r="AJG240" s="4"/>
      <c r="AJH240" s="4"/>
      <c r="AJI240" s="4"/>
      <c r="AJJ240" s="4"/>
      <c r="AJK240" s="4"/>
      <c r="AJL240" s="4"/>
      <c r="AJM240" s="4"/>
      <c r="AJN240" s="4"/>
      <c r="AJO240" s="4"/>
      <c r="AJP240" s="4"/>
      <c r="AJQ240" s="4"/>
      <c r="AJR240" s="4"/>
      <c r="AJS240" s="4"/>
      <c r="AJT240" s="4"/>
      <c r="AJU240" s="4"/>
      <c r="AJV240" s="4"/>
      <c r="AJW240" s="4"/>
      <c r="AJX240" s="4"/>
      <c r="AJY240" s="4"/>
      <c r="AJZ240" s="4"/>
      <c r="AKA240" s="4"/>
      <c r="AKB240" s="4"/>
      <c r="AKC240" s="4"/>
      <c r="AKD240" s="4"/>
      <c r="AKE240" s="4"/>
      <c r="AKF240" s="4"/>
      <c r="AKG240" s="4"/>
      <c r="AKH240" s="4"/>
      <c r="AKI240" s="4"/>
      <c r="AKJ240" s="4"/>
      <c r="AKK240" s="4"/>
      <c r="AKL240" s="4"/>
      <c r="AKM240" s="4"/>
      <c r="AKN240" s="4"/>
      <c r="AKO240" s="4"/>
      <c r="AKP240" s="4"/>
      <c r="AKQ240" s="4"/>
      <c r="AKR240" s="4"/>
      <c r="AKS240" s="4"/>
      <c r="AKT240" s="4"/>
      <c r="AKU240" s="4"/>
      <c r="AKV240" s="4"/>
      <c r="AKW240" s="4"/>
      <c r="AKX240" s="4"/>
      <c r="AKY240" s="4"/>
      <c r="AKZ240" s="4"/>
      <c r="ALA240" s="4"/>
      <c r="ALB240" s="4"/>
      <c r="ALC240" s="4"/>
      <c r="ALD240" s="4"/>
      <c r="ALE240" s="4"/>
      <c r="ALF240" s="4"/>
      <c r="ALG240" s="4"/>
      <c r="ALH240" s="4"/>
      <c r="ALI240" s="4"/>
      <c r="ALJ240" s="4"/>
      <c r="ALK240" s="4"/>
      <c r="ALL240" s="4"/>
      <c r="ALM240" s="4"/>
      <c r="ALN240" s="4"/>
      <c r="ALO240" s="4"/>
      <c r="ALP240" s="4"/>
      <c r="ALQ240" s="4"/>
      <c r="ALR240" s="4"/>
      <c r="ALS240" s="4"/>
      <c r="ALT240" s="4"/>
      <c r="ALU240" s="4"/>
      <c r="ALV240" s="4"/>
      <c r="ALW240" s="4"/>
      <c r="ALX240" s="4"/>
      <c r="ALY240" s="4"/>
      <c r="ALZ240" s="4"/>
      <c r="AMA240" s="4"/>
      <c r="AMB240" s="4"/>
      <c r="AMC240" s="4"/>
      <c r="AMD240" s="4"/>
      <c r="AME240" s="4"/>
      <c r="AMF240" s="4"/>
      <c r="AMG240" s="4"/>
      <c r="AMH240" s="4"/>
      <c r="AMI240" s="4"/>
      <c r="AMJ240" s="4"/>
      <c r="AMK240" s="4"/>
      <c r="AML240" s="4"/>
      <c r="AMM240" s="4"/>
      <c r="AMN240" s="4"/>
      <c r="AMO240" s="4"/>
      <c r="AMP240" s="4"/>
      <c r="AMQ240" s="4"/>
      <c r="AMR240" s="4"/>
      <c r="AMS240" s="4"/>
      <c r="AMT240" s="4"/>
      <c r="AMU240" s="4"/>
      <c r="AMV240" s="4"/>
      <c r="AMW240" s="4"/>
      <c r="AMX240" s="4"/>
      <c r="AMY240" s="4"/>
      <c r="AMZ240" s="4"/>
      <c r="ANA240" s="4"/>
      <c r="ANB240" s="4"/>
      <c r="ANC240" s="4"/>
      <c r="AND240" s="4"/>
      <c r="ANE240" s="4"/>
      <c r="ANF240" s="4"/>
      <c r="ANG240" s="4"/>
      <c r="ANH240" s="4"/>
      <c r="ANI240" s="4"/>
      <c r="ANJ240" s="4"/>
      <c r="ANK240" s="4"/>
      <c r="ANL240" s="4"/>
      <c r="ANM240" s="4"/>
      <c r="ANN240" s="4"/>
      <c r="ANO240" s="4"/>
      <c r="ANP240" s="4"/>
      <c r="ANQ240" s="4"/>
      <c r="ANR240" s="4"/>
      <c r="ANS240" s="4"/>
      <c r="ANT240" s="4"/>
      <c r="ANU240" s="4"/>
      <c r="ANV240" s="4"/>
      <c r="ANW240" s="4"/>
      <c r="ANX240" s="4"/>
      <c r="ANY240" s="4"/>
      <c r="ANZ240" s="4"/>
      <c r="AOA240" s="4"/>
      <c r="AOB240" s="4"/>
      <c r="AOC240" s="4"/>
      <c r="AOD240" s="4"/>
      <c r="AOE240" s="4"/>
      <c r="AOF240" s="4"/>
      <c r="AOG240" s="4"/>
      <c r="AOH240" s="4"/>
      <c r="AOI240" s="4"/>
      <c r="AOJ240" s="4"/>
      <c r="AOK240" s="4"/>
      <c r="AOL240" s="4"/>
      <c r="AOM240" s="4"/>
      <c r="AON240" s="4"/>
      <c r="AOO240" s="4"/>
      <c r="AOP240" s="4"/>
      <c r="AOQ240" s="4"/>
      <c r="AOR240" s="4"/>
      <c r="AOS240" s="4"/>
      <c r="AOT240" s="4"/>
      <c r="AOU240" s="4"/>
      <c r="AOV240" s="4"/>
      <c r="AOW240" s="4"/>
      <c r="AOX240" s="4"/>
      <c r="AOY240" s="4"/>
      <c r="AOZ240" s="4"/>
      <c r="APA240" s="4"/>
      <c r="APB240" s="4"/>
      <c r="APC240" s="4"/>
      <c r="APD240" s="4"/>
      <c r="APE240" s="4"/>
      <c r="APF240" s="4"/>
      <c r="APG240" s="4"/>
      <c r="APH240" s="4"/>
      <c r="API240" s="4"/>
      <c r="APJ240" s="4"/>
      <c r="APK240" s="4"/>
      <c r="APL240" s="4"/>
      <c r="APM240" s="4"/>
      <c r="APN240" s="4"/>
      <c r="APO240" s="4"/>
      <c r="APP240" s="4"/>
      <c r="APQ240" s="4"/>
      <c r="APR240" s="4"/>
      <c r="APS240" s="4"/>
      <c r="APT240" s="4"/>
      <c r="APU240" s="4"/>
      <c r="APV240" s="4"/>
      <c r="APW240" s="4"/>
      <c r="APX240" s="4"/>
      <c r="APY240" s="4"/>
      <c r="APZ240" s="4"/>
      <c r="AQA240" s="4"/>
      <c r="AQB240" s="4"/>
      <c r="AQC240" s="4"/>
      <c r="AQD240" s="4"/>
      <c r="AQE240" s="4"/>
      <c r="AQF240" s="4"/>
      <c r="AQG240" s="4"/>
      <c r="AQH240" s="4"/>
      <c r="AQI240" s="4"/>
      <c r="AQJ240" s="4"/>
      <c r="AQK240" s="4"/>
      <c r="AQL240" s="4"/>
      <c r="AQM240" s="4"/>
      <c r="AQN240" s="4"/>
      <c r="AQO240" s="4"/>
      <c r="AQP240" s="4"/>
      <c r="AQQ240" s="4"/>
      <c r="AQR240" s="4"/>
      <c r="AQS240" s="4"/>
      <c r="AQT240" s="4"/>
      <c r="AQU240" s="4"/>
      <c r="AQV240" s="4"/>
      <c r="AQW240" s="4"/>
      <c r="AQX240" s="4"/>
      <c r="AQY240" s="4"/>
      <c r="AQZ240" s="4"/>
      <c r="ARA240" s="4"/>
      <c r="ARB240" s="4"/>
      <c r="ARC240" s="4"/>
      <c r="ARD240" s="4"/>
      <c r="ARE240" s="4"/>
      <c r="ARF240" s="4"/>
      <c r="ARG240" s="4"/>
      <c r="ARH240" s="4"/>
      <c r="ARI240" s="4"/>
      <c r="ARJ240" s="4"/>
      <c r="ARK240" s="4"/>
      <c r="ARL240" s="4"/>
      <c r="ARM240" s="4"/>
      <c r="ARN240" s="4"/>
      <c r="ARO240" s="4"/>
      <c r="ARP240" s="4"/>
      <c r="ARQ240" s="4"/>
      <c r="ARR240" s="4"/>
      <c r="ARS240" s="4"/>
      <c r="ART240" s="4"/>
      <c r="ARU240" s="4"/>
      <c r="ARV240" s="4"/>
      <c r="ARW240" s="4"/>
      <c r="ARX240" s="4"/>
      <c r="ARY240" s="4"/>
      <c r="ARZ240" s="4"/>
      <c r="ASA240" s="4"/>
      <c r="ASB240" s="4"/>
      <c r="ASC240" s="4"/>
      <c r="ASD240" s="4"/>
      <c r="ASE240" s="4"/>
      <c r="ASF240" s="4"/>
      <c r="ASG240" s="4"/>
      <c r="ASH240" s="4"/>
      <c r="ASI240" s="4"/>
      <c r="ASJ240" s="4"/>
      <c r="ASK240" s="4"/>
      <c r="ASL240" s="4"/>
      <c r="ASM240" s="4"/>
      <c r="ASN240" s="4"/>
      <c r="ASO240" s="4"/>
      <c r="ASP240" s="4"/>
      <c r="ASQ240" s="4"/>
      <c r="ASR240" s="4"/>
      <c r="ASS240" s="4"/>
      <c r="AST240" s="4"/>
      <c r="ASU240" s="4"/>
      <c r="ASV240" s="4"/>
      <c r="ASW240" s="4"/>
      <c r="ASX240" s="4"/>
      <c r="ASY240" s="4"/>
      <c r="ASZ240" s="4"/>
      <c r="ATA240" s="4"/>
      <c r="ATB240" s="4"/>
      <c r="ATC240" s="4"/>
      <c r="ATD240" s="4"/>
      <c r="ATE240" s="4"/>
      <c r="ATF240" s="4"/>
      <c r="ATG240" s="4"/>
      <c r="ATH240" s="4"/>
      <c r="ATI240" s="4"/>
      <c r="ATJ240" s="4"/>
      <c r="ATK240" s="4"/>
      <c r="ATL240" s="4"/>
      <c r="ATM240" s="4"/>
      <c r="ATN240" s="4"/>
      <c r="ATO240" s="4"/>
      <c r="ATP240" s="4"/>
      <c r="ATQ240" s="4"/>
      <c r="ATR240" s="4"/>
      <c r="ATS240" s="4"/>
      <c r="ATT240" s="4"/>
      <c r="ATU240" s="4"/>
      <c r="ATV240" s="4"/>
      <c r="ATW240" s="4"/>
      <c r="ATX240" s="4"/>
      <c r="ATY240" s="4"/>
      <c r="ATZ240" s="4"/>
      <c r="AUA240" s="4"/>
      <c r="AUB240" s="4"/>
      <c r="AUC240" s="4"/>
      <c r="AUD240" s="4"/>
      <c r="AUE240" s="4"/>
      <c r="AUF240" s="4"/>
      <c r="AUG240" s="4"/>
      <c r="AUH240" s="4"/>
      <c r="AUI240" s="4"/>
      <c r="AUJ240" s="4"/>
      <c r="AUK240" s="4"/>
      <c r="AUL240" s="4"/>
      <c r="AUM240" s="4"/>
      <c r="AUN240" s="4"/>
      <c r="AUO240" s="4"/>
      <c r="AUP240" s="4"/>
      <c r="AUQ240" s="4"/>
      <c r="AUR240" s="4"/>
      <c r="AUS240" s="4"/>
      <c r="AUT240" s="4"/>
      <c r="AUU240" s="4"/>
      <c r="AUV240" s="4"/>
      <c r="AUW240" s="4"/>
      <c r="AUX240" s="4"/>
      <c r="AUY240" s="4"/>
      <c r="AUZ240" s="4"/>
      <c r="AVA240" s="4"/>
      <c r="AVB240" s="4"/>
      <c r="AVC240" s="4"/>
      <c r="AVD240" s="4"/>
      <c r="AVE240" s="4"/>
      <c r="AVF240" s="4"/>
      <c r="AVG240" s="4"/>
      <c r="AVH240" s="4"/>
      <c r="AVI240" s="4"/>
      <c r="AVJ240" s="4"/>
      <c r="AVK240" s="4"/>
      <c r="AVL240" s="4"/>
      <c r="AVM240" s="4"/>
      <c r="AVN240" s="4"/>
      <c r="AVO240" s="4"/>
      <c r="AVP240" s="4"/>
      <c r="AVQ240" s="4"/>
      <c r="AVR240" s="4"/>
      <c r="AVS240" s="4"/>
      <c r="AVT240" s="4"/>
      <c r="AVU240" s="4"/>
      <c r="AVV240" s="4"/>
      <c r="AVW240" s="4"/>
      <c r="AVX240" s="4"/>
      <c r="AVY240" s="4"/>
      <c r="AVZ240" s="4"/>
      <c r="AWA240" s="4"/>
      <c r="AWB240" s="4"/>
      <c r="AWC240" s="4"/>
      <c r="AWD240" s="4"/>
      <c r="AWE240" s="4"/>
      <c r="AWF240" s="4"/>
      <c r="AWG240" s="4"/>
      <c r="AWH240" s="4"/>
      <c r="AWI240" s="4"/>
      <c r="AWJ240" s="4"/>
      <c r="AWK240" s="4"/>
      <c r="AWL240" s="4"/>
      <c r="AWM240" s="4"/>
      <c r="AWN240" s="4"/>
      <c r="AWO240" s="4"/>
      <c r="AWP240" s="4"/>
      <c r="AWQ240" s="4"/>
      <c r="AWR240" s="4"/>
      <c r="AWS240" s="4"/>
      <c r="AWT240" s="4"/>
      <c r="AWU240" s="4"/>
      <c r="AWV240" s="4"/>
      <c r="AWW240" s="4"/>
      <c r="AWX240" s="4"/>
      <c r="AWY240" s="4"/>
      <c r="AWZ240" s="4"/>
      <c r="AXA240" s="4"/>
      <c r="AXB240" s="4"/>
      <c r="AXC240" s="4"/>
      <c r="AXD240" s="4"/>
      <c r="AXE240" s="4"/>
      <c r="AXF240" s="4"/>
      <c r="AXG240" s="4"/>
      <c r="AXH240" s="4"/>
      <c r="AXI240" s="4"/>
      <c r="AXJ240" s="4"/>
      <c r="AXK240" s="4"/>
      <c r="AXL240" s="4"/>
      <c r="AXM240" s="4"/>
      <c r="AXN240" s="4"/>
      <c r="AXO240" s="4"/>
      <c r="AXP240" s="4"/>
      <c r="AXQ240" s="4"/>
      <c r="AXR240" s="4"/>
      <c r="AXS240" s="4"/>
      <c r="AXT240" s="4"/>
      <c r="AXU240" s="4"/>
      <c r="AXV240" s="4"/>
      <c r="AXW240" s="4"/>
      <c r="AXX240" s="4"/>
      <c r="AXY240" s="4"/>
      <c r="AXZ240" s="4"/>
      <c r="AYA240" s="4"/>
      <c r="AYB240" s="4"/>
      <c r="AYC240" s="4"/>
      <c r="AYD240" s="4"/>
      <c r="AYE240" s="4"/>
      <c r="AYF240" s="4"/>
      <c r="AYG240" s="4"/>
      <c r="AYH240" s="4"/>
      <c r="AYI240" s="4"/>
      <c r="AYJ240" s="4"/>
      <c r="AYK240" s="4"/>
      <c r="AYL240" s="4"/>
      <c r="AYM240" s="4"/>
      <c r="AYN240" s="4"/>
      <c r="AYO240" s="4"/>
      <c r="AYP240" s="4"/>
      <c r="AYQ240" s="4"/>
      <c r="AYR240" s="4"/>
      <c r="AYS240" s="4"/>
      <c r="AYT240" s="4"/>
      <c r="AYU240" s="4"/>
      <c r="AYV240" s="4"/>
      <c r="AYW240" s="4"/>
      <c r="AYX240" s="4"/>
      <c r="AYY240" s="4"/>
      <c r="AYZ240" s="4"/>
      <c r="AZA240" s="4"/>
      <c r="AZB240" s="4"/>
      <c r="AZC240" s="4"/>
      <c r="AZD240" s="4"/>
      <c r="AZE240" s="4"/>
      <c r="AZF240" s="4"/>
      <c r="AZG240" s="4"/>
      <c r="AZH240" s="4"/>
      <c r="AZI240" s="4"/>
      <c r="AZJ240" s="4"/>
      <c r="AZK240" s="4"/>
      <c r="AZL240" s="4"/>
      <c r="AZM240" s="4"/>
      <c r="AZN240" s="4"/>
      <c r="AZO240" s="4"/>
      <c r="AZP240" s="4"/>
      <c r="AZQ240" s="4"/>
      <c r="AZR240" s="4"/>
      <c r="AZS240" s="4"/>
      <c r="AZT240" s="4"/>
      <c r="AZU240" s="4"/>
      <c r="AZV240" s="4"/>
      <c r="AZW240" s="4"/>
      <c r="AZX240" s="4"/>
      <c r="AZY240" s="4"/>
      <c r="AZZ240" s="4"/>
      <c r="BAA240" s="4"/>
      <c r="BAB240" s="4"/>
      <c r="BAC240" s="4"/>
      <c r="BAD240" s="4"/>
      <c r="BAE240" s="4"/>
      <c r="BAF240" s="4"/>
      <c r="BAG240" s="4"/>
      <c r="BAH240" s="4"/>
      <c r="BAI240" s="4"/>
      <c r="BAJ240" s="4"/>
      <c r="BAK240" s="4"/>
      <c r="BAL240" s="4"/>
      <c r="BAM240" s="4"/>
      <c r="BAN240" s="4"/>
      <c r="BAO240" s="4"/>
      <c r="BAP240" s="4"/>
      <c r="BAQ240" s="4"/>
      <c r="BAR240" s="4"/>
      <c r="BAS240" s="4"/>
      <c r="BAT240" s="4"/>
      <c r="BAU240" s="4"/>
      <c r="BAV240" s="4"/>
      <c r="BAW240" s="4"/>
      <c r="BAX240" s="4"/>
      <c r="BAY240" s="4"/>
      <c r="BAZ240" s="4"/>
      <c r="BBA240" s="4"/>
      <c r="BBB240" s="4"/>
      <c r="BBC240" s="4"/>
      <c r="BBD240" s="4"/>
      <c r="BBE240" s="4"/>
      <c r="BBF240" s="4"/>
      <c r="BBG240" s="4"/>
      <c r="BBH240" s="4"/>
      <c r="BBI240" s="4"/>
      <c r="BBJ240" s="4"/>
      <c r="BBK240" s="4"/>
      <c r="BBL240" s="4"/>
      <c r="BBM240" s="4"/>
      <c r="BBN240" s="4"/>
      <c r="BBO240" s="4"/>
      <c r="BBP240" s="4"/>
      <c r="BBQ240" s="4"/>
      <c r="BBR240" s="4"/>
      <c r="BBS240" s="4"/>
      <c r="BBT240" s="4"/>
      <c r="BBU240" s="4"/>
      <c r="BBV240" s="4"/>
      <c r="BBW240" s="4"/>
      <c r="BBX240" s="4"/>
      <c r="BBY240" s="4"/>
      <c r="BBZ240" s="4"/>
      <c r="BCA240" s="4"/>
      <c r="BCB240" s="4"/>
      <c r="BCC240" s="4"/>
      <c r="BCD240" s="4"/>
      <c r="BCE240" s="4"/>
      <c r="BCF240" s="4"/>
      <c r="BCG240" s="4"/>
      <c r="BCH240" s="4"/>
      <c r="BCI240" s="4"/>
      <c r="BCJ240" s="4"/>
      <c r="BCK240" s="4"/>
      <c r="BCL240" s="4"/>
      <c r="BCM240" s="4"/>
      <c r="BCN240" s="4"/>
      <c r="BCO240" s="4"/>
      <c r="BCP240" s="4"/>
      <c r="BCQ240" s="4"/>
      <c r="BCR240" s="4"/>
      <c r="BCS240" s="4"/>
      <c r="BCT240" s="4"/>
      <c r="BCU240" s="4"/>
      <c r="BCV240" s="4"/>
      <c r="BCW240" s="4"/>
      <c r="BCX240" s="4"/>
      <c r="BCY240" s="4"/>
      <c r="BCZ240" s="4"/>
      <c r="BDA240" s="4"/>
      <c r="BDB240" s="4"/>
      <c r="BDC240" s="4"/>
      <c r="BDD240" s="4"/>
      <c r="BDE240" s="4"/>
      <c r="BDF240" s="4"/>
      <c r="BDG240" s="4"/>
      <c r="BDH240" s="4"/>
      <c r="BDI240" s="4"/>
      <c r="BDJ240" s="4"/>
      <c r="BDK240" s="4"/>
      <c r="BDL240" s="4"/>
      <c r="BDM240" s="4"/>
      <c r="BDN240" s="4"/>
      <c r="BDO240" s="4"/>
      <c r="BDP240" s="4"/>
      <c r="BDQ240" s="4"/>
      <c r="BDR240" s="4"/>
      <c r="BDS240" s="4"/>
      <c r="BDT240" s="4"/>
      <c r="BDU240" s="4"/>
      <c r="BDV240" s="4"/>
      <c r="BDW240" s="4"/>
      <c r="BDX240" s="4"/>
      <c r="BDY240" s="4"/>
      <c r="BDZ240" s="4"/>
      <c r="BEA240" s="4"/>
      <c r="BEB240" s="4"/>
      <c r="BEC240" s="4"/>
      <c r="BED240" s="4"/>
      <c r="BEE240" s="4"/>
      <c r="BEF240" s="4"/>
      <c r="BEG240" s="4"/>
      <c r="BEH240" s="4"/>
      <c r="BEI240" s="4"/>
      <c r="BEJ240" s="4"/>
      <c r="BEK240" s="4"/>
      <c r="BEL240" s="4"/>
      <c r="BEM240" s="4"/>
      <c r="BEN240" s="4"/>
      <c r="BEO240" s="4"/>
      <c r="BEP240" s="4"/>
      <c r="BEQ240" s="4"/>
      <c r="BER240" s="4"/>
      <c r="BES240" s="4"/>
      <c r="BET240" s="4"/>
      <c r="BEU240" s="4"/>
      <c r="BEV240" s="4"/>
      <c r="BEW240" s="4"/>
      <c r="BEX240" s="4"/>
      <c r="BEY240" s="4"/>
      <c r="BEZ240" s="4"/>
      <c r="BFA240" s="4"/>
      <c r="BFB240" s="4"/>
      <c r="BFC240" s="4"/>
      <c r="BFD240" s="4"/>
      <c r="BFE240" s="4"/>
      <c r="BFF240" s="4"/>
      <c r="BFG240" s="4"/>
      <c r="BFH240" s="4"/>
      <c r="BFI240" s="4"/>
      <c r="BFJ240" s="4"/>
      <c r="BFK240" s="4"/>
      <c r="BFL240" s="4"/>
      <c r="BFM240" s="4"/>
      <c r="BFN240" s="4"/>
      <c r="BFO240" s="4"/>
      <c r="BFP240" s="4"/>
      <c r="BFQ240" s="4"/>
      <c r="BFR240" s="4"/>
      <c r="BFS240" s="4"/>
      <c r="BFT240" s="4"/>
      <c r="BFU240" s="4"/>
      <c r="BFV240" s="4"/>
      <c r="BFW240" s="4"/>
      <c r="BFX240" s="4"/>
      <c r="BFY240" s="4"/>
      <c r="BFZ240" s="4"/>
      <c r="BGA240" s="4"/>
      <c r="BGB240" s="4"/>
      <c r="BGC240" s="4"/>
      <c r="BGD240" s="4"/>
      <c r="BGE240" s="4"/>
      <c r="BGF240" s="4"/>
      <c r="BGG240" s="4"/>
      <c r="BGH240" s="4"/>
      <c r="BGI240" s="4"/>
      <c r="BGJ240" s="4"/>
      <c r="BGK240" s="4"/>
      <c r="BGL240" s="4"/>
      <c r="BGM240" s="4"/>
      <c r="BGN240" s="4"/>
      <c r="BGO240" s="4"/>
      <c r="BGP240" s="4"/>
      <c r="BGQ240" s="4"/>
      <c r="BGR240" s="4"/>
      <c r="BGS240" s="4"/>
      <c r="BGT240" s="4"/>
      <c r="BGU240" s="4"/>
      <c r="BGV240" s="4"/>
      <c r="BGW240" s="4"/>
      <c r="BGX240" s="4"/>
      <c r="BGY240" s="4"/>
      <c r="BGZ240" s="4"/>
      <c r="BHA240" s="4"/>
      <c r="BHB240" s="4"/>
      <c r="BHC240" s="4"/>
      <c r="BHD240" s="4"/>
      <c r="BHE240" s="4"/>
      <c r="BHF240" s="4"/>
      <c r="BHG240" s="4"/>
      <c r="BHH240" s="4"/>
      <c r="BHI240" s="4"/>
      <c r="BHJ240" s="4"/>
      <c r="BHK240" s="4"/>
      <c r="BHL240" s="4"/>
      <c r="BHM240" s="4"/>
      <c r="BHN240" s="4"/>
      <c r="BHO240" s="4"/>
      <c r="BHP240" s="4"/>
      <c r="BHQ240" s="4"/>
      <c r="BHR240" s="4"/>
      <c r="BHS240" s="4"/>
      <c r="BHT240" s="4"/>
      <c r="BHU240" s="4"/>
      <c r="BHV240" s="4"/>
      <c r="BHW240" s="4"/>
      <c r="BHX240" s="4"/>
      <c r="BHY240" s="4"/>
      <c r="BHZ240" s="4"/>
      <c r="BIA240" s="4"/>
      <c r="BIB240" s="4"/>
      <c r="BIC240" s="4"/>
      <c r="BID240" s="4"/>
      <c r="BIE240" s="4"/>
      <c r="BIF240" s="4"/>
      <c r="BIG240" s="4"/>
      <c r="BIH240" s="4"/>
      <c r="BII240" s="4"/>
      <c r="BIJ240" s="4"/>
      <c r="BIK240" s="4"/>
      <c r="BIL240" s="4"/>
      <c r="BIM240" s="4"/>
      <c r="BIN240" s="4"/>
      <c r="BIO240" s="4"/>
      <c r="BIP240" s="4"/>
      <c r="BIQ240" s="4"/>
      <c r="BIR240" s="4"/>
      <c r="BIS240" s="4"/>
      <c r="BIT240" s="4"/>
      <c r="BIU240" s="4"/>
      <c r="BIV240" s="4"/>
      <c r="BIW240" s="4"/>
      <c r="BIX240" s="4"/>
      <c r="BIY240" s="4"/>
      <c r="BIZ240" s="4"/>
      <c r="BJA240" s="4"/>
      <c r="BJB240" s="4"/>
      <c r="BJC240" s="4"/>
      <c r="BJD240" s="4"/>
      <c r="BJE240" s="4"/>
      <c r="BJF240" s="4"/>
      <c r="BJG240" s="4"/>
      <c r="BJH240" s="4"/>
      <c r="BJI240" s="4"/>
      <c r="BJJ240" s="4"/>
      <c r="BJK240" s="4"/>
      <c r="BJL240" s="4"/>
      <c r="BJM240" s="4"/>
      <c r="BJN240" s="4"/>
      <c r="BJO240" s="4"/>
      <c r="BJP240" s="4"/>
      <c r="BJQ240" s="4"/>
      <c r="BJR240" s="4"/>
      <c r="BJS240" s="4"/>
      <c r="BJT240" s="4"/>
      <c r="BJU240" s="4"/>
      <c r="BJV240" s="4"/>
      <c r="BJW240" s="4"/>
      <c r="BJX240" s="4"/>
      <c r="BJY240" s="4"/>
      <c r="BJZ240" s="4"/>
      <c r="BKA240" s="4"/>
      <c r="BKB240" s="4"/>
      <c r="BKC240" s="4"/>
      <c r="BKD240" s="4"/>
      <c r="BKE240" s="4"/>
      <c r="BKF240" s="4"/>
      <c r="BKG240" s="4"/>
      <c r="BKH240" s="4"/>
      <c r="BKI240" s="4"/>
      <c r="BKJ240" s="4"/>
      <c r="BKK240" s="4"/>
      <c r="BKL240" s="4"/>
      <c r="BKM240" s="4"/>
      <c r="BKN240" s="4"/>
      <c r="BKO240" s="4"/>
      <c r="BKP240" s="4"/>
      <c r="BKQ240" s="4"/>
      <c r="BKR240" s="4"/>
      <c r="BKS240" s="4"/>
      <c r="BKT240" s="4"/>
      <c r="BKU240" s="4"/>
      <c r="BKV240" s="4"/>
      <c r="BKW240" s="4"/>
      <c r="BKX240" s="4"/>
      <c r="BKY240" s="4"/>
      <c r="BKZ240" s="4"/>
      <c r="BLA240" s="4"/>
      <c r="BLB240" s="4"/>
      <c r="BLC240" s="4"/>
      <c r="BLD240" s="4"/>
      <c r="BLE240" s="4"/>
      <c r="BLF240" s="4"/>
      <c r="BLG240" s="4"/>
      <c r="BLH240" s="4"/>
      <c r="BLI240" s="4"/>
      <c r="BLJ240" s="4"/>
      <c r="BLK240" s="4"/>
      <c r="BLL240" s="4"/>
      <c r="BLM240" s="4"/>
      <c r="BLN240" s="4"/>
      <c r="BLO240" s="4"/>
      <c r="BLP240" s="4"/>
      <c r="BLQ240" s="4"/>
      <c r="BLR240" s="4"/>
      <c r="BLS240" s="4"/>
      <c r="BLT240" s="4"/>
      <c r="BLU240" s="4"/>
      <c r="BLV240" s="4"/>
      <c r="BLW240" s="4"/>
      <c r="BLX240" s="4"/>
      <c r="BLY240" s="4"/>
      <c r="BLZ240" s="4"/>
      <c r="BMA240" s="4"/>
      <c r="BMB240" s="4"/>
      <c r="BMC240" s="4"/>
      <c r="BMD240" s="4"/>
      <c r="BME240" s="4"/>
      <c r="BMF240" s="4"/>
      <c r="BMG240" s="4"/>
      <c r="BMH240" s="4"/>
      <c r="BMI240" s="4"/>
      <c r="BMJ240" s="4"/>
      <c r="BMK240" s="4"/>
      <c r="BML240" s="4"/>
      <c r="BMM240" s="4"/>
      <c r="BMN240" s="4"/>
      <c r="BMO240" s="4"/>
      <c r="BMP240" s="4"/>
      <c r="BMQ240" s="4"/>
      <c r="BMR240" s="4"/>
      <c r="BMS240" s="4"/>
      <c r="BMT240" s="4"/>
      <c r="BMU240" s="4"/>
      <c r="BMV240" s="4"/>
      <c r="BMW240" s="4"/>
      <c r="BMX240" s="4"/>
      <c r="BMY240" s="4"/>
      <c r="BMZ240" s="4"/>
      <c r="BNA240" s="4"/>
      <c r="BNB240" s="4"/>
      <c r="BNC240" s="4"/>
      <c r="BND240" s="4"/>
      <c r="BNE240" s="4"/>
      <c r="BNF240" s="4"/>
      <c r="BNG240" s="4"/>
      <c r="BNH240" s="4"/>
      <c r="BNI240" s="4"/>
      <c r="BNJ240" s="4"/>
      <c r="BNK240" s="4"/>
      <c r="BNL240" s="4"/>
      <c r="BNM240" s="4"/>
      <c r="BNN240" s="4"/>
      <c r="BNO240" s="4"/>
      <c r="BNP240" s="4"/>
      <c r="BNQ240" s="4"/>
      <c r="BNR240" s="4"/>
      <c r="BNS240" s="4"/>
      <c r="BNT240" s="4"/>
      <c r="BNU240" s="4"/>
      <c r="BNV240" s="4"/>
      <c r="BNW240" s="4"/>
      <c r="BNX240" s="4"/>
      <c r="BNY240" s="4"/>
      <c r="BNZ240" s="4"/>
      <c r="BOA240" s="4"/>
      <c r="BOB240" s="4"/>
      <c r="BOC240" s="4"/>
      <c r="BOD240" s="4"/>
      <c r="BOE240" s="4"/>
      <c r="BOF240" s="4"/>
      <c r="BOG240" s="4"/>
      <c r="BOH240" s="4"/>
      <c r="BOI240" s="4"/>
      <c r="BOJ240" s="4"/>
      <c r="BOK240" s="4"/>
      <c r="BOL240" s="4"/>
      <c r="BOM240" s="4"/>
      <c r="BON240" s="4"/>
      <c r="BOO240" s="4"/>
      <c r="BOP240" s="4"/>
      <c r="BOQ240" s="4"/>
      <c r="BOR240" s="4"/>
      <c r="BOS240" s="4"/>
      <c r="BOT240" s="4"/>
      <c r="BOU240" s="4"/>
      <c r="BOV240" s="4"/>
      <c r="BOW240" s="4"/>
      <c r="BOX240" s="4"/>
      <c r="BOY240" s="4"/>
      <c r="BOZ240" s="4"/>
      <c r="BPA240" s="4"/>
      <c r="BPB240" s="4"/>
      <c r="BPC240" s="4"/>
      <c r="BPD240" s="4"/>
      <c r="BPE240" s="4"/>
      <c r="BPF240" s="4"/>
      <c r="BPG240" s="4"/>
      <c r="BPH240" s="4"/>
      <c r="BPI240" s="4"/>
      <c r="BPJ240" s="4"/>
      <c r="BPK240" s="4"/>
      <c r="BPL240" s="4"/>
      <c r="BPM240" s="4"/>
      <c r="BPN240" s="4"/>
      <c r="BPO240" s="4"/>
      <c r="BPP240" s="4"/>
      <c r="BPQ240" s="4"/>
      <c r="BPR240" s="4"/>
      <c r="BPS240" s="4"/>
      <c r="BPT240" s="4"/>
      <c r="BPU240" s="4"/>
      <c r="BPV240" s="4"/>
      <c r="BPW240" s="4"/>
      <c r="BPX240" s="4"/>
      <c r="BPY240" s="4"/>
      <c r="BPZ240" s="4"/>
      <c r="BQA240" s="4"/>
      <c r="BQB240" s="4"/>
      <c r="BQC240" s="4"/>
      <c r="BQD240" s="4"/>
      <c r="BQE240" s="4"/>
      <c r="BQF240" s="4"/>
      <c r="BQG240" s="4"/>
      <c r="BQH240" s="4"/>
      <c r="BQI240" s="4"/>
      <c r="BQJ240" s="4"/>
      <c r="BQK240" s="4"/>
      <c r="BQL240" s="4"/>
      <c r="BQM240" s="4"/>
      <c r="BQN240" s="4"/>
      <c r="BQO240" s="4"/>
      <c r="BQP240" s="4"/>
      <c r="BQQ240" s="4"/>
      <c r="BQR240" s="4"/>
      <c r="BQS240" s="4"/>
      <c r="BQT240" s="4"/>
      <c r="BQU240" s="4"/>
      <c r="BQV240" s="4"/>
      <c r="BQW240" s="4"/>
      <c r="BQX240" s="4"/>
      <c r="BQY240" s="4"/>
      <c r="BQZ240" s="4"/>
      <c r="BRA240" s="4"/>
      <c r="BRB240" s="4"/>
      <c r="BRC240" s="4"/>
      <c r="BRD240" s="4"/>
      <c r="BRE240" s="4"/>
      <c r="BRF240" s="4"/>
      <c r="BRG240" s="4"/>
      <c r="BRH240" s="4"/>
      <c r="BRI240" s="4"/>
      <c r="BRJ240" s="4"/>
      <c r="BRK240" s="4"/>
      <c r="BRL240" s="4"/>
      <c r="BRM240" s="4"/>
      <c r="BRN240" s="4"/>
      <c r="BRO240" s="4"/>
      <c r="BRP240" s="4"/>
      <c r="BRQ240" s="4"/>
      <c r="BRR240" s="4"/>
      <c r="BRS240" s="4"/>
      <c r="BRT240" s="4"/>
      <c r="BRU240" s="4"/>
      <c r="BRV240" s="4"/>
      <c r="BRW240" s="4"/>
      <c r="BRX240" s="4"/>
      <c r="BRY240" s="4"/>
      <c r="BRZ240" s="4"/>
      <c r="BSA240" s="4"/>
      <c r="BSB240" s="4"/>
      <c r="BSC240" s="4"/>
      <c r="BSD240" s="4"/>
      <c r="BSE240" s="4"/>
      <c r="BSF240" s="4"/>
      <c r="BSG240" s="4"/>
      <c r="BSH240" s="4"/>
      <c r="BSI240" s="4"/>
      <c r="BSJ240" s="4"/>
      <c r="BSK240" s="4"/>
      <c r="BSL240" s="4"/>
      <c r="BSM240" s="4"/>
      <c r="BSN240" s="4"/>
      <c r="BSO240" s="4"/>
      <c r="BSP240" s="4"/>
      <c r="BSQ240" s="4"/>
      <c r="BSR240" s="4"/>
      <c r="BSS240" s="4"/>
      <c r="BST240" s="4"/>
      <c r="BSU240" s="4"/>
      <c r="BSV240" s="4"/>
      <c r="BSW240" s="4"/>
      <c r="BSX240" s="4"/>
      <c r="BSY240" s="4"/>
      <c r="BSZ240" s="4"/>
      <c r="BTA240" s="4"/>
      <c r="BTB240" s="4"/>
      <c r="BTC240" s="4"/>
      <c r="BTD240" s="4"/>
      <c r="BTE240" s="4"/>
      <c r="BTF240" s="4"/>
      <c r="BTG240" s="4"/>
      <c r="BTH240" s="4"/>
      <c r="BTI240" s="4"/>
      <c r="BTJ240" s="4"/>
      <c r="BTK240" s="4"/>
      <c r="BTL240" s="4"/>
      <c r="BTM240" s="4"/>
      <c r="BTN240" s="4"/>
      <c r="BTO240" s="4"/>
      <c r="BTP240" s="4"/>
      <c r="BTQ240" s="4"/>
      <c r="BTR240" s="4"/>
      <c r="BTS240" s="4"/>
      <c r="BTT240" s="4"/>
      <c r="BTU240" s="4"/>
      <c r="BTV240" s="4"/>
      <c r="BTW240" s="4"/>
      <c r="BTX240" s="4"/>
      <c r="BTY240" s="4"/>
      <c r="BTZ240" s="4"/>
      <c r="BUA240" s="4"/>
      <c r="BUB240" s="4"/>
      <c r="BUC240" s="4"/>
      <c r="BUD240" s="4"/>
      <c r="BUE240" s="4"/>
      <c r="BUF240" s="4"/>
      <c r="BUG240" s="4"/>
      <c r="BUH240" s="4"/>
      <c r="BUI240" s="4"/>
      <c r="BUJ240" s="4"/>
      <c r="BUK240" s="4"/>
      <c r="BUL240" s="4"/>
      <c r="BUM240" s="4"/>
      <c r="BUN240" s="4"/>
      <c r="BUO240" s="4"/>
      <c r="BUP240" s="4"/>
      <c r="BUQ240" s="4"/>
      <c r="BUR240" s="4"/>
      <c r="BUS240" s="4"/>
      <c r="BUT240" s="4"/>
      <c r="BUU240" s="4"/>
      <c r="BUV240" s="4"/>
      <c r="BUW240" s="4"/>
      <c r="BUX240" s="4"/>
      <c r="BUY240" s="4"/>
      <c r="BUZ240" s="4"/>
      <c r="BVA240" s="4"/>
      <c r="BVB240" s="4"/>
      <c r="BVC240" s="4"/>
      <c r="BVD240" s="4"/>
      <c r="BVE240" s="4"/>
      <c r="BVF240" s="4"/>
      <c r="BVG240" s="4"/>
      <c r="BVH240" s="4"/>
      <c r="BVI240" s="4"/>
      <c r="BVJ240" s="4"/>
      <c r="BVK240" s="4"/>
      <c r="BVL240" s="4"/>
      <c r="BVM240" s="4"/>
      <c r="BVN240" s="4"/>
      <c r="BVO240" s="4"/>
      <c r="BVP240" s="4"/>
      <c r="BVQ240" s="4"/>
      <c r="BVR240" s="4"/>
      <c r="BVS240" s="4"/>
      <c r="BVT240" s="4"/>
      <c r="BVU240" s="4"/>
      <c r="BVV240" s="4"/>
      <c r="BVW240" s="4"/>
      <c r="BVX240" s="4"/>
      <c r="BVY240" s="4"/>
      <c r="BVZ240" s="4"/>
      <c r="BWA240" s="4"/>
      <c r="BWB240" s="4"/>
      <c r="BWC240" s="4"/>
      <c r="BWD240" s="4"/>
      <c r="BWE240" s="4"/>
      <c r="BWF240" s="4"/>
      <c r="BWG240" s="4"/>
      <c r="BWH240" s="4"/>
      <c r="BWI240" s="4"/>
      <c r="BWJ240" s="4"/>
      <c r="BWK240" s="4"/>
      <c r="BWL240" s="4"/>
      <c r="BWM240" s="4"/>
      <c r="BWN240" s="4"/>
      <c r="BWO240" s="4"/>
      <c r="BWP240" s="4"/>
      <c r="BWQ240" s="4"/>
      <c r="BWR240" s="4"/>
      <c r="BWS240" s="4"/>
      <c r="BWT240" s="4"/>
      <c r="BWU240" s="4"/>
      <c r="BWV240" s="4"/>
      <c r="BWW240" s="4"/>
      <c r="BWX240" s="4"/>
      <c r="BWY240" s="4"/>
      <c r="BWZ240" s="4"/>
      <c r="BXA240" s="4"/>
      <c r="BXB240" s="4"/>
      <c r="BXC240" s="4"/>
      <c r="BXD240" s="4"/>
      <c r="BXE240" s="4"/>
      <c r="BXF240" s="4"/>
      <c r="BXG240" s="4"/>
      <c r="BXH240" s="4"/>
      <c r="BXI240" s="4"/>
      <c r="BXJ240" s="4"/>
      <c r="BXK240" s="4"/>
      <c r="BXL240" s="4"/>
      <c r="BXM240" s="4"/>
      <c r="BXN240" s="4"/>
      <c r="BXO240" s="4"/>
      <c r="BXP240" s="4"/>
      <c r="BXQ240" s="4"/>
      <c r="BXR240" s="4"/>
      <c r="BXS240" s="4"/>
      <c r="BXT240" s="4"/>
      <c r="BXU240" s="4"/>
      <c r="BXV240" s="4"/>
      <c r="BXW240" s="4"/>
      <c r="BXX240" s="4"/>
      <c r="BXY240" s="4"/>
      <c r="BXZ240" s="4"/>
      <c r="BYA240" s="4"/>
      <c r="BYB240" s="4"/>
      <c r="BYC240" s="4"/>
      <c r="BYD240" s="4"/>
      <c r="BYE240" s="4"/>
      <c r="BYF240" s="4"/>
      <c r="BYG240" s="4"/>
      <c r="BYH240" s="4"/>
      <c r="BYI240" s="4"/>
      <c r="BYJ240" s="4"/>
      <c r="BYK240" s="4"/>
      <c r="BYL240" s="4"/>
      <c r="BYM240" s="4"/>
      <c r="BYN240" s="4"/>
      <c r="BYO240" s="4"/>
      <c r="BYP240" s="4"/>
      <c r="BYQ240" s="4"/>
      <c r="BYR240" s="4"/>
      <c r="BYS240" s="4"/>
      <c r="BYT240" s="4"/>
      <c r="BYU240" s="4"/>
      <c r="BYV240" s="4"/>
      <c r="BYW240" s="4"/>
      <c r="BYX240" s="4"/>
      <c r="BYY240" s="4"/>
      <c r="BYZ240" s="4"/>
      <c r="BZA240" s="4"/>
      <c r="BZB240" s="4"/>
      <c r="BZC240" s="4"/>
      <c r="BZD240" s="4"/>
      <c r="BZE240" s="4"/>
      <c r="BZF240" s="4"/>
      <c r="BZG240" s="4"/>
      <c r="BZH240" s="4"/>
      <c r="BZI240" s="4"/>
      <c r="BZJ240" s="4"/>
      <c r="BZK240" s="4"/>
      <c r="BZL240" s="4"/>
      <c r="BZM240" s="4"/>
      <c r="BZN240" s="4"/>
      <c r="BZO240" s="4"/>
      <c r="BZP240" s="4"/>
      <c r="BZQ240" s="4"/>
      <c r="BZR240" s="4"/>
      <c r="BZS240" s="4"/>
      <c r="BZT240" s="4"/>
      <c r="BZU240" s="4"/>
      <c r="BZV240" s="4"/>
      <c r="BZW240" s="4"/>
      <c r="BZX240" s="4"/>
      <c r="BZY240" s="4"/>
      <c r="BZZ240" s="4"/>
      <c r="CAA240" s="4"/>
      <c r="CAB240" s="4"/>
      <c r="CAC240" s="4"/>
      <c r="CAD240" s="4"/>
      <c r="CAE240" s="4"/>
      <c r="CAF240" s="4"/>
      <c r="CAG240" s="4"/>
      <c r="CAH240" s="4"/>
      <c r="CAI240" s="4"/>
      <c r="CAJ240" s="4"/>
      <c r="CAK240" s="4"/>
      <c r="CAL240" s="4"/>
      <c r="CAM240" s="4"/>
      <c r="CAN240" s="4"/>
      <c r="CAO240" s="4"/>
      <c r="CAP240" s="4"/>
      <c r="CAQ240" s="4"/>
      <c r="CAR240" s="4"/>
      <c r="CAS240" s="4"/>
      <c r="CAT240" s="4"/>
      <c r="CAU240" s="4"/>
      <c r="CAV240" s="4"/>
      <c r="CAW240" s="4"/>
      <c r="CAX240" s="4"/>
      <c r="CAY240" s="4"/>
      <c r="CAZ240" s="4"/>
      <c r="CBA240" s="4"/>
      <c r="CBB240" s="4"/>
      <c r="CBC240" s="4"/>
      <c r="CBD240" s="4"/>
      <c r="CBE240" s="4"/>
      <c r="CBF240" s="4"/>
      <c r="CBG240" s="4"/>
      <c r="CBH240" s="4"/>
      <c r="CBI240" s="4"/>
      <c r="CBJ240" s="4"/>
      <c r="CBK240" s="4"/>
      <c r="CBL240" s="4"/>
      <c r="CBM240" s="4"/>
      <c r="CBN240" s="4"/>
      <c r="CBO240" s="4"/>
      <c r="CBP240" s="4"/>
      <c r="CBQ240" s="4"/>
      <c r="CBR240" s="4"/>
      <c r="CBS240" s="4"/>
      <c r="CBT240" s="4"/>
      <c r="CBU240" s="4"/>
      <c r="CBV240" s="4"/>
      <c r="CBW240" s="4"/>
      <c r="CBX240" s="4"/>
      <c r="CBY240" s="4"/>
      <c r="CBZ240" s="4"/>
      <c r="CCA240" s="4"/>
      <c r="CCB240" s="4"/>
      <c r="CCC240" s="4"/>
      <c r="CCD240" s="4"/>
      <c r="CCE240" s="4"/>
      <c r="CCF240" s="4"/>
      <c r="CCG240" s="4"/>
      <c r="CCH240" s="4"/>
      <c r="CCI240" s="4"/>
      <c r="CCJ240" s="4"/>
      <c r="CCK240" s="4"/>
      <c r="CCL240" s="4"/>
      <c r="CCM240" s="4"/>
      <c r="CCN240" s="4"/>
      <c r="CCO240" s="4"/>
      <c r="CCP240" s="4"/>
      <c r="CCQ240" s="4"/>
      <c r="CCR240" s="4"/>
      <c r="CCS240" s="4"/>
      <c r="CCT240" s="4"/>
      <c r="CCU240" s="4"/>
      <c r="CCV240" s="4"/>
      <c r="CCW240" s="4"/>
      <c r="CCX240" s="4"/>
      <c r="CCY240" s="4"/>
      <c r="CCZ240" s="4"/>
      <c r="CDA240" s="4"/>
      <c r="CDB240" s="4"/>
      <c r="CDC240" s="4"/>
      <c r="CDD240" s="4"/>
      <c r="CDE240" s="4"/>
      <c r="CDF240" s="4"/>
      <c r="CDG240" s="4"/>
      <c r="CDH240" s="4"/>
      <c r="CDI240" s="4"/>
      <c r="CDJ240" s="4"/>
      <c r="CDK240" s="4"/>
      <c r="CDL240" s="4"/>
      <c r="CDM240" s="4"/>
      <c r="CDN240" s="4"/>
      <c r="CDO240" s="4"/>
      <c r="CDP240" s="4"/>
      <c r="CDQ240" s="4"/>
      <c r="CDR240" s="4"/>
      <c r="CDS240" s="4"/>
      <c r="CDT240" s="4"/>
      <c r="CDU240" s="4"/>
      <c r="CDV240" s="4"/>
      <c r="CDW240" s="4"/>
      <c r="CDX240" s="4"/>
      <c r="CDY240" s="4"/>
      <c r="CDZ240" s="4"/>
      <c r="CEA240" s="4"/>
      <c r="CEB240" s="4"/>
      <c r="CEC240" s="4"/>
      <c r="CED240" s="4"/>
      <c r="CEE240" s="4"/>
      <c r="CEF240" s="4"/>
      <c r="CEG240" s="4"/>
      <c r="CEH240" s="4"/>
      <c r="CEI240" s="4"/>
      <c r="CEJ240" s="4"/>
      <c r="CEK240" s="4"/>
      <c r="CEL240" s="4"/>
      <c r="CEM240" s="4"/>
      <c r="CEN240" s="4"/>
      <c r="CEO240" s="4"/>
      <c r="CEP240" s="4"/>
      <c r="CEQ240" s="4"/>
      <c r="CER240" s="4"/>
      <c r="CES240" s="4"/>
      <c r="CET240" s="4"/>
      <c r="CEU240" s="4"/>
      <c r="CEV240" s="4"/>
      <c r="CEW240" s="4"/>
      <c r="CEX240" s="4"/>
      <c r="CEY240" s="4"/>
      <c r="CEZ240" s="4"/>
      <c r="CFA240" s="4"/>
      <c r="CFB240" s="4"/>
      <c r="CFC240" s="4"/>
      <c r="CFD240" s="4"/>
      <c r="CFE240" s="4"/>
      <c r="CFF240" s="4"/>
      <c r="CFG240" s="4"/>
      <c r="CFH240" s="4"/>
      <c r="CFI240" s="4"/>
      <c r="CFJ240" s="4"/>
      <c r="CFK240" s="4"/>
      <c r="CFL240" s="4"/>
      <c r="CFM240" s="4"/>
      <c r="CFN240" s="4"/>
      <c r="CFO240" s="4"/>
      <c r="CFP240" s="4"/>
      <c r="CFQ240" s="4"/>
      <c r="CFR240" s="4"/>
      <c r="CFS240" s="4"/>
      <c r="CFT240" s="4"/>
      <c r="CFU240" s="4"/>
      <c r="CFV240" s="4"/>
      <c r="CFW240" s="4"/>
      <c r="CFX240" s="4"/>
      <c r="CFY240" s="4"/>
      <c r="CFZ240" s="4"/>
      <c r="CGA240" s="4"/>
      <c r="CGB240" s="4"/>
      <c r="CGC240" s="4"/>
      <c r="CGD240" s="4"/>
      <c r="CGE240" s="4"/>
      <c r="CGF240" s="4"/>
      <c r="CGG240" s="4"/>
      <c r="CGH240" s="4"/>
      <c r="CGI240" s="4"/>
      <c r="CGJ240" s="4"/>
      <c r="CGK240" s="4"/>
      <c r="CGL240" s="4"/>
      <c r="CGM240" s="4"/>
      <c r="CGN240" s="4"/>
      <c r="CGO240" s="4"/>
      <c r="CGP240" s="4"/>
      <c r="CGQ240" s="4"/>
      <c r="CGR240" s="4"/>
      <c r="CGS240" s="4"/>
      <c r="CGT240" s="4"/>
      <c r="CGU240" s="4"/>
      <c r="CGV240" s="4"/>
      <c r="CGW240" s="4"/>
      <c r="CGX240" s="4"/>
      <c r="CGY240" s="4"/>
      <c r="CGZ240" s="4"/>
      <c r="CHA240" s="4"/>
      <c r="CHB240" s="4"/>
      <c r="CHC240" s="4"/>
      <c r="CHD240" s="4"/>
      <c r="CHE240" s="4"/>
      <c r="CHF240" s="4"/>
      <c r="CHG240" s="4"/>
      <c r="CHH240" s="4"/>
      <c r="CHI240" s="4"/>
      <c r="CHJ240" s="4"/>
      <c r="CHK240" s="4"/>
      <c r="CHL240" s="4"/>
      <c r="CHM240" s="4"/>
      <c r="CHN240" s="4"/>
      <c r="CHO240" s="4"/>
      <c r="CHP240" s="4"/>
      <c r="CHQ240" s="4"/>
      <c r="CHR240" s="4"/>
      <c r="CHS240" s="4"/>
      <c r="CHT240" s="4"/>
      <c r="CHU240" s="4"/>
      <c r="CHV240" s="4"/>
      <c r="CHW240" s="4"/>
      <c r="CHX240" s="4"/>
      <c r="CHY240" s="4"/>
      <c r="CHZ240" s="4"/>
      <c r="CIA240" s="4"/>
      <c r="CIB240" s="4"/>
      <c r="CIC240" s="4"/>
      <c r="CID240" s="4"/>
      <c r="CIE240" s="4"/>
      <c r="CIF240" s="4"/>
      <c r="CIG240" s="4"/>
      <c r="CIH240" s="4"/>
      <c r="CII240" s="4"/>
      <c r="CIJ240" s="4"/>
      <c r="CIK240" s="4"/>
      <c r="CIL240" s="4"/>
      <c r="CIM240" s="4"/>
      <c r="CIN240" s="4"/>
      <c r="CIO240" s="4"/>
      <c r="CIP240" s="4"/>
      <c r="CIQ240" s="4"/>
      <c r="CIR240" s="4"/>
      <c r="CIS240" s="4"/>
      <c r="CIT240" s="4"/>
      <c r="CIU240" s="4"/>
      <c r="CIV240" s="4"/>
      <c r="CIW240" s="4"/>
      <c r="CIX240" s="4"/>
      <c r="CIY240" s="4"/>
      <c r="CIZ240" s="4"/>
      <c r="CJA240" s="4"/>
      <c r="CJB240" s="4"/>
      <c r="CJC240" s="4"/>
      <c r="CJD240" s="4"/>
      <c r="CJE240" s="4"/>
      <c r="CJF240" s="4"/>
      <c r="CJG240" s="4"/>
      <c r="CJH240" s="4"/>
      <c r="CJI240" s="4"/>
      <c r="CJJ240" s="4"/>
      <c r="CJK240" s="4"/>
      <c r="CJL240" s="4"/>
      <c r="CJM240" s="4"/>
      <c r="CJN240" s="4"/>
      <c r="CJO240" s="4"/>
      <c r="CJP240" s="4"/>
      <c r="CJQ240" s="4"/>
      <c r="CJR240" s="4"/>
      <c r="CJS240" s="4"/>
      <c r="CJT240" s="4"/>
      <c r="CJU240" s="4"/>
      <c r="CJV240" s="4"/>
      <c r="CJW240" s="4"/>
      <c r="CJX240" s="4"/>
      <c r="CJY240" s="4"/>
      <c r="CJZ240" s="4"/>
      <c r="CKA240" s="4"/>
      <c r="CKB240" s="4"/>
      <c r="CKC240" s="4"/>
      <c r="CKD240" s="4"/>
      <c r="CKE240" s="4"/>
      <c r="CKF240" s="4"/>
      <c r="CKG240" s="4"/>
      <c r="CKH240" s="4"/>
      <c r="CKI240" s="4"/>
      <c r="CKJ240" s="4"/>
      <c r="CKK240" s="4"/>
      <c r="CKL240" s="4"/>
      <c r="CKM240" s="4"/>
      <c r="CKN240" s="4"/>
      <c r="CKO240" s="4"/>
      <c r="CKP240" s="4"/>
      <c r="CKQ240" s="4"/>
      <c r="CKR240" s="4"/>
      <c r="CKS240" s="4"/>
      <c r="CKT240" s="4"/>
      <c r="CKU240" s="4"/>
      <c r="CKV240" s="4"/>
      <c r="CKW240" s="4"/>
      <c r="CKX240" s="4"/>
      <c r="CKY240" s="4"/>
      <c r="CKZ240" s="4"/>
      <c r="CLA240" s="4"/>
      <c r="CLB240" s="4"/>
      <c r="CLC240" s="4"/>
      <c r="CLD240" s="4"/>
      <c r="CLE240" s="4"/>
      <c r="CLF240" s="4"/>
      <c r="CLG240" s="4"/>
      <c r="CLH240" s="4"/>
      <c r="CLI240" s="4"/>
      <c r="CLJ240" s="4"/>
      <c r="CLK240" s="4"/>
      <c r="CLL240" s="4"/>
      <c r="CLM240" s="4"/>
      <c r="CLN240" s="4"/>
      <c r="CLO240" s="4"/>
      <c r="CLP240" s="4"/>
      <c r="CLQ240" s="4"/>
      <c r="CLR240" s="4"/>
      <c r="CLS240" s="4"/>
      <c r="CLT240" s="4"/>
      <c r="CLU240" s="4"/>
      <c r="CLV240" s="4"/>
      <c r="CLW240" s="4"/>
      <c r="CLX240" s="4"/>
      <c r="CLY240" s="4"/>
      <c r="CLZ240" s="4"/>
      <c r="CMA240" s="4"/>
      <c r="CMB240" s="4"/>
      <c r="CMC240" s="4"/>
      <c r="CMD240" s="4"/>
      <c r="CME240" s="4"/>
      <c r="CMF240" s="4"/>
      <c r="CMG240" s="4"/>
      <c r="CMH240" s="4"/>
      <c r="CMI240" s="4"/>
      <c r="CMJ240" s="4"/>
      <c r="CMK240" s="4"/>
      <c r="CML240" s="4"/>
      <c r="CMM240" s="4"/>
      <c r="CMN240" s="4"/>
      <c r="CMO240" s="4"/>
      <c r="CMP240" s="4"/>
      <c r="CMQ240" s="4"/>
      <c r="CMR240" s="4"/>
      <c r="CMS240" s="4"/>
      <c r="CMT240" s="4"/>
      <c r="CMU240" s="4"/>
      <c r="CMV240" s="4"/>
      <c r="CMW240" s="4"/>
      <c r="CMX240" s="4"/>
      <c r="CMY240" s="4"/>
      <c r="CMZ240" s="4"/>
      <c r="CNA240" s="4"/>
      <c r="CNB240" s="4"/>
      <c r="CNC240" s="4"/>
      <c r="CND240" s="4"/>
      <c r="CNE240" s="4"/>
      <c r="CNF240" s="4"/>
      <c r="CNG240" s="4"/>
      <c r="CNH240" s="4"/>
      <c r="CNI240" s="4"/>
      <c r="CNJ240" s="4"/>
      <c r="CNK240" s="4"/>
      <c r="CNL240" s="4"/>
      <c r="CNM240" s="4"/>
      <c r="CNN240" s="4"/>
      <c r="CNO240" s="4"/>
      <c r="CNP240" s="4"/>
      <c r="CNQ240" s="4"/>
      <c r="CNR240" s="4"/>
      <c r="CNS240" s="4"/>
      <c r="CNT240" s="4"/>
      <c r="CNU240" s="4"/>
      <c r="CNV240" s="4"/>
      <c r="CNW240" s="4"/>
      <c r="CNX240" s="4"/>
      <c r="CNY240" s="4"/>
      <c r="CNZ240" s="4"/>
      <c r="COA240" s="4"/>
      <c r="COB240" s="4"/>
      <c r="COC240" s="4"/>
      <c r="COD240" s="4"/>
      <c r="COE240" s="4"/>
      <c r="COF240" s="4"/>
      <c r="COG240" s="4"/>
      <c r="COH240" s="4"/>
      <c r="COI240" s="4"/>
      <c r="COJ240" s="4"/>
      <c r="COK240" s="4"/>
      <c r="COL240" s="4"/>
      <c r="COM240" s="4"/>
      <c r="CON240" s="4"/>
      <c r="COO240" s="4"/>
      <c r="COP240" s="4"/>
      <c r="COQ240" s="4"/>
      <c r="COR240" s="4"/>
      <c r="COS240" s="4"/>
      <c r="COT240" s="4"/>
      <c r="COU240" s="4"/>
      <c r="COV240" s="4"/>
      <c r="COW240" s="4"/>
      <c r="COX240" s="4"/>
      <c r="COY240" s="4"/>
      <c r="COZ240" s="4"/>
      <c r="CPA240" s="4"/>
      <c r="CPB240" s="4"/>
      <c r="CPC240" s="4"/>
      <c r="CPD240" s="4"/>
      <c r="CPE240" s="4"/>
      <c r="CPF240" s="4"/>
      <c r="CPG240" s="4"/>
      <c r="CPH240" s="4"/>
      <c r="CPI240" s="4"/>
      <c r="CPJ240" s="4"/>
      <c r="CPK240" s="4"/>
      <c r="CPL240" s="4"/>
      <c r="CPM240" s="4"/>
      <c r="CPN240" s="4"/>
      <c r="CPO240" s="4"/>
      <c r="CPP240" s="4"/>
      <c r="CPQ240" s="4"/>
      <c r="CPR240" s="4"/>
      <c r="CPS240" s="4"/>
      <c r="CPT240" s="4"/>
      <c r="CPU240" s="4"/>
      <c r="CPV240" s="4"/>
      <c r="CPW240" s="4"/>
      <c r="CPX240" s="4"/>
      <c r="CPY240" s="4"/>
      <c r="CPZ240" s="4"/>
      <c r="CQA240" s="4"/>
      <c r="CQB240" s="4"/>
      <c r="CQC240" s="4"/>
      <c r="CQD240" s="4"/>
      <c r="CQE240" s="4"/>
      <c r="CQF240" s="4"/>
      <c r="CQG240" s="4"/>
      <c r="CQH240" s="4"/>
      <c r="CQI240" s="4"/>
      <c r="CQJ240" s="4"/>
      <c r="CQK240" s="4"/>
      <c r="CQL240" s="4"/>
      <c r="CQM240" s="4"/>
      <c r="CQN240" s="4"/>
      <c r="CQO240" s="4"/>
      <c r="CQP240" s="4"/>
      <c r="CQQ240" s="4"/>
      <c r="CQR240" s="4"/>
      <c r="CQS240" s="4"/>
      <c r="CQT240" s="4"/>
      <c r="CQU240" s="4"/>
      <c r="CQV240" s="4"/>
      <c r="CQW240" s="4"/>
      <c r="CQX240" s="4"/>
      <c r="CQY240" s="4"/>
      <c r="CQZ240" s="4"/>
      <c r="CRA240" s="4"/>
      <c r="CRB240" s="4"/>
      <c r="CRC240" s="4"/>
      <c r="CRD240" s="4"/>
      <c r="CRE240" s="4"/>
      <c r="CRF240" s="4"/>
      <c r="CRG240" s="4"/>
      <c r="CRH240" s="4"/>
      <c r="CRI240" s="4"/>
      <c r="CRJ240" s="4"/>
      <c r="CRK240" s="4"/>
      <c r="CRL240" s="4"/>
      <c r="CRM240" s="4"/>
      <c r="CRN240" s="4"/>
      <c r="CRO240" s="4"/>
      <c r="CRP240" s="4"/>
      <c r="CRQ240" s="4"/>
      <c r="CRR240" s="4"/>
      <c r="CRS240" s="4"/>
      <c r="CRT240" s="4"/>
      <c r="CRU240" s="4"/>
      <c r="CRV240" s="4"/>
      <c r="CRW240" s="4"/>
      <c r="CRX240" s="4"/>
      <c r="CRY240" s="4"/>
      <c r="CRZ240" s="4"/>
      <c r="CSA240" s="4"/>
      <c r="CSB240" s="4"/>
      <c r="CSC240" s="4"/>
      <c r="CSD240" s="4"/>
      <c r="CSE240" s="4"/>
      <c r="CSF240" s="4"/>
      <c r="CSG240" s="4"/>
      <c r="CSH240" s="4"/>
      <c r="CSI240" s="4"/>
      <c r="CSJ240" s="4"/>
      <c r="CSK240" s="4"/>
      <c r="CSL240" s="4"/>
      <c r="CSM240" s="4"/>
      <c r="CSN240" s="4"/>
      <c r="CSO240" s="4"/>
      <c r="CSP240" s="4"/>
      <c r="CSQ240" s="4"/>
      <c r="CSR240" s="4"/>
      <c r="CSS240" s="4"/>
      <c r="CST240" s="4"/>
      <c r="CSU240" s="4"/>
      <c r="CSV240" s="4"/>
      <c r="CSW240" s="4"/>
      <c r="CSX240" s="4"/>
      <c r="CSY240" s="4"/>
      <c r="CSZ240" s="4"/>
      <c r="CTA240" s="4"/>
      <c r="CTB240" s="4"/>
      <c r="CTC240" s="4"/>
      <c r="CTD240" s="4"/>
      <c r="CTE240" s="4"/>
      <c r="CTF240" s="4"/>
      <c r="CTG240" s="4"/>
      <c r="CTH240" s="4"/>
      <c r="CTI240" s="4"/>
      <c r="CTJ240" s="4"/>
      <c r="CTK240" s="4"/>
      <c r="CTL240" s="4"/>
      <c r="CTM240" s="4"/>
      <c r="CTN240" s="4"/>
      <c r="CTO240" s="4"/>
      <c r="CTP240" s="4"/>
      <c r="CTQ240" s="4"/>
      <c r="CTR240" s="4"/>
      <c r="CTS240" s="4"/>
      <c r="CTT240" s="4"/>
      <c r="CTU240" s="4"/>
      <c r="CTV240" s="4"/>
      <c r="CTW240" s="4"/>
      <c r="CTX240" s="4"/>
      <c r="CTY240" s="4"/>
      <c r="CTZ240" s="4"/>
      <c r="CUA240" s="4"/>
      <c r="CUB240" s="4"/>
      <c r="CUC240" s="4"/>
      <c r="CUD240" s="4"/>
      <c r="CUE240" s="4"/>
      <c r="CUF240" s="4"/>
      <c r="CUG240" s="4"/>
      <c r="CUH240" s="4"/>
      <c r="CUI240" s="4"/>
      <c r="CUJ240" s="4"/>
      <c r="CUK240" s="4"/>
      <c r="CUL240" s="4"/>
      <c r="CUM240" s="4"/>
      <c r="CUN240" s="4"/>
      <c r="CUO240" s="4"/>
      <c r="CUP240" s="4"/>
      <c r="CUQ240" s="4"/>
      <c r="CUR240" s="4"/>
      <c r="CUS240" s="4"/>
      <c r="CUT240" s="4"/>
      <c r="CUU240" s="4"/>
      <c r="CUV240" s="4"/>
      <c r="CUW240" s="4"/>
      <c r="CUX240" s="4"/>
      <c r="CUY240" s="4"/>
      <c r="CUZ240" s="4"/>
      <c r="CVA240" s="4"/>
      <c r="CVB240" s="4"/>
      <c r="CVC240" s="4"/>
      <c r="CVD240" s="4"/>
      <c r="CVE240" s="4"/>
      <c r="CVF240" s="4"/>
      <c r="CVG240" s="4"/>
      <c r="CVH240" s="4"/>
      <c r="CVI240" s="4"/>
      <c r="CVJ240" s="4"/>
      <c r="CVK240" s="4"/>
      <c r="CVL240" s="4"/>
      <c r="CVM240" s="4"/>
      <c r="CVN240" s="4"/>
      <c r="CVO240" s="4"/>
      <c r="CVP240" s="4"/>
      <c r="CVQ240" s="4"/>
      <c r="CVR240" s="4"/>
      <c r="CVS240" s="4"/>
      <c r="CVT240" s="4"/>
      <c r="CVU240" s="4"/>
      <c r="CVV240" s="4"/>
      <c r="CVW240" s="4"/>
      <c r="CVX240" s="4"/>
      <c r="CVY240" s="4"/>
      <c r="CVZ240" s="4"/>
      <c r="CWA240" s="4"/>
      <c r="CWB240" s="4"/>
      <c r="CWC240" s="4"/>
      <c r="CWD240" s="4"/>
      <c r="CWE240" s="4"/>
      <c r="CWF240" s="4"/>
      <c r="CWG240" s="4"/>
      <c r="CWH240" s="4"/>
      <c r="CWI240" s="4"/>
      <c r="CWJ240" s="4"/>
      <c r="CWK240" s="4"/>
      <c r="CWL240" s="4"/>
      <c r="CWM240" s="4"/>
      <c r="CWN240" s="4"/>
      <c r="CWO240" s="4"/>
      <c r="CWP240" s="4"/>
      <c r="CWQ240" s="4"/>
      <c r="CWR240" s="4"/>
      <c r="CWS240" s="4"/>
      <c r="CWT240" s="4"/>
      <c r="CWU240" s="4"/>
      <c r="CWV240" s="4"/>
      <c r="CWW240" s="4"/>
      <c r="CWX240" s="4"/>
      <c r="CWY240" s="4"/>
      <c r="CWZ240" s="4"/>
      <c r="CXA240" s="4"/>
      <c r="CXB240" s="4"/>
      <c r="CXC240" s="4"/>
      <c r="CXD240" s="4"/>
      <c r="CXE240" s="4"/>
      <c r="CXF240" s="4"/>
      <c r="CXG240" s="4"/>
      <c r="CXH240" s="4"/>
      <c r="CXI240" s="4"/>
      <c r="CXJ240" s="4"/>
      <c r="CXK240" s="4"/>
      <c r="CXL240" s="4"/>
      <c r="CXM240" s="4"/>
      <c r="CXN240" s="4"/>
      <c r="CXO240" s="4"/>
      <c r="CXP240" s="4"/>
      <c r="CXQ240" s="4"/>
      <c r="CXR240" s="4"/>
      <c r="CXS240" s="4"/>
      <c r="CXT240" s="4"/>
      <c r="CXU240" s="4"/>
      <c r="CXV240" s="4"/>
      <c r="CXW240" s="4"/>
      <c r="CXX240" s="4"/>
      <c r="CXY240" s="4"/>
      <c r="CXZ240" s="4"/>
      <c r="CYA240" s="4"/>
      <c r="CYB240" s="4"/>
      <c r="CYC240" s="4"/>
      <c r="CYD240" s="4"/>
      <c r="CYE240" s="4"/>
      <c r="CYF240" s="4"/>
      <c r="CYG240" s="4"/>
      <c r="CYH240" s="4"/>
      <c r="CYI240" s="4"/>
      <c r="CYJ240" s="4"/>
      <c r="CYK240" s="4"/>
      <c r="CYL240" s="4"/>
      <c r="CYM240" s="4"/>
      <c r="CYN240" s="4"/>
      <c r="CYO240" s="4"/>
      <c r="CYP240" s="4"/>
      <c r="CYQ240" s="4"/>
      <c r="CYR240" s="4"/>
      <c r="CYS240" s="4"/>
      <c r="CYT240" s="4"/>
      <c r="CYU240" s="4"/>
      <c r="CYV240" s="4"/>
      <c r="CYW240" s="4"/>
      <c r="CYX240" s="4"/>
      <c r="CYY240" s="4"/>
      <c r="CYZ240" s="4"/>
      <c r="CZA240" s="4"/>
      <c r="CZB240" s="4"/>
      <c r="CZC240" s="4"/>
      <c r="CZD240" s="4"/>
      <c r="CZE240" s="4"/>
      <c r="CZF240" s="4"/>
      <c r="CZG240" s="4"/>
      <c r="CZH240" s="4"/>
      <c r="CZI240" s="4"/>
      <c r="CZJ240" s="4"/>
      <c r="CZK240" s="4"/>
      <c r="CZL240" s="4"/>
      <c r="CZM240" s="4"/>
      <c r="CZN240" s="4"/>
      <c r="CZO240" s="4"/>
      <c r="CZP240" s="4"/>
      <c r="CZQ240" s="4"/>
      <c r="CZR240" s="4"/>
      <c r="CZS240" s="4"/>
      <c r="CZT240" s="4"/>
      <c r="CZU240" s="4"/>
      <c r="CZV240" s="4"/>
      <c r="CZW240" s="4"/>
      <c r="CZX240" s="4"/>
      <c r="CZY240" s="4"/>
      <c r="CZZ240" s="4"/>
      <c r="DAA240" s="4"/>
      <c r="DAB240" s="4"/>
      <c r="DAC240" s="4"/>
      <c r="DAD240" s="4"/>
      <c r="DAE240" s="4"/>
      <c r="DAF240" s="4"/>
      <c r="DAG240" s="4"/>
      <c r="DAH240" s="4"/>
      <c r="DAI240" s="4"/>
      <c r="DAJ240" s="4"/>
      <c r="DAK240" s="4"/>
      <c r="DAL240" s="4"/>
      <c r="DAM240" s="4"/>
      <c r="DAN240" s="4"/>
      <c r="DAO240" s="4"/>
      <c r="DAP240" s="4"/>
      <c r="DAQ240" s="4"/>
      <c r="DAR240" s="4"/>
      <c r="DAS240" s="4"/>
      <c r="DAT240" s="4"/>
      <c r="DAU240" s="4"/>
      <c r="DAV240" s="4"/>
      <c r="DAW240" s="4"/>
      <c r="DAX240" s="4"/>
      <c r="DAY240" s="4"/>
      <c r="DAZ240" s="4"/>
      <c r="DBA240" s="4"/>
      <c r="DBB240" s="4"/>
      <c r="DBC240" s="4"/>
      <c r="DBD240" s="4"/>
      <c r="DBE240" s="4"/>
      <c r="DBF240" s="4"/>
      <c r="DBG240" s="4"/>
      <c r="DBH240" s="4"/>
      <c r="DBI240" s="4"/>
      <c r="DBJ240" s="4"/>
      <c r="DBK240" s="4"/>
      <c r="DBL240" s="4"/>
      <c r="DBM240" s="4"/>
      <c r="DBN240" s="4"/>
      <c r="DBO240" s="4"/>
      <c r="DBP240" s="4"/>
      <c r="DBQ240" s="4"/>
      <c r="DBR240" s="4"/>
      <c r="DBS240" s="4"/>
      <c r="DBT240" s="4"/>
      <c r="DBU240" s="4"/>
      <c r="DBV240" s="4"/>
      <c r="DBW240" s="4"/>
      <c r="DBX240" s="4"/>
      <c r="DBY240" s="4"/>
      <c r="DBZ240" s="4"/>
      <c r="DCA240" s="4"/>
      <c r="DCB240" s="4"/>
      <c r="DCC240" s="4"/>
      <c r="DCD240" s="4"/>
      <c r="DCE240" s="4"/>
      <c r="DCF240" s="4"/>
      <c r="DCG240" s="4"/>
      <c r="DCH240" s="4"/>
      <c r="DCI240" s="4"/>
      <c r="DCJ240" s="4"/>
      <c r="DCK240" s="4"/>
      <c r="DCL240" s="4"/>
      <c r="DCM240" s="4"/>
      <c r="DCN240" s="4"/>
      <c r="DCO240" s="4"/>
      <c r="DCP240" s="4"/>
      <c r="DCQ240" s="4"/>
      <c r="DCR240" s="4"/>
      <c r="DCS240" s="4"/>
      <c r="DCT240" s="4"/>
      <c r="DCU240" s="4"/>
      <c r="DCV240" s="4"/>
      <c r="DCW240" s="4"/>
      <c r="DCX240" s="4"/>
      <c r="DCY240" s="4"/>
      <c r="DCZ240" s="4"/>
      <c r="DDA240" s="4"/>
      <c r="DDB240" s="4"/>
      <c r="DDC240" s="4"/>
      <c r="DDD240" s="4"/>
      <c r="DDE240" s="4"/>
      <c r="DDF240" s="4"/>
      <c r="DDG240" s="4"/>
      <c r="DDH240" s="4"/>
      <c r="DDI240" s="4"/>
      <c r="DDJ240" s="4"/>
      <c r="DDK240" s="4"/>
      <c r="DDL240" s="4"/>
      <c r="DDM240" s="4"/>
      <c r="DDN240" s="4"/>
      <c r="DDO240" s="4"/>
      <c r="DDP240" s="4"/>
      <c r="DDQ240" s="4"/>
      <c r="DDR240" s="4"/>
      <c r="DDS240" s="4"/>
      <c r="DDT240" s="4"/>
      <c r="DDU240" s="4"/>
      <c r="DDV240" s="4"/>
      <c r="DDW240" s="4"/>
      <c r="DDX240" s="4"/>
      <c r="DDY240" s="4"/>
      <c r="DDZ240" s="4"/>
      <c r="DEA240" s="4"/>
      <c r="DEB240" s="4"/>
      <c r="DEC240" s="4"/>
      <c r="DED240" s="4"/>
      <c r="DEE240" s="4"/>
      <c r="DEF240" s="4"/>
      <c r="DEG240" s="4"/>
      <c r="DEH240" s="4"/>
      <c r="DEI240" s="4"/>
      <c r="DEJ240" s="4"/>
      <c r="DEK240" s="4"/>
      <c r="DEL240" s="4"/>
      <c r="DEM240" s="4"/>
      <c r="DEN240" s="4"/>
      <c r="DEO240" s="4"/>
      <c r="DEP240" s="4"/>
      <c r="DEQ240" s="4"/>
      <c r="DER240" s="4"/>
      <c r="DES240" s="4"/>
      <c r="DET240" s="4"/>
      <c r="DEU240" s="4"/>
      <c r="DEV240" s="4"/>
      <c r="DEW240" s="4"/>
      <c r="DEX240" s="4"/>
      <c r="DEY240" s="4"/>
      <c r="DEZ240" s="4"/>
      <c r="DFA240" s="4"/>
      <c r="DFB240" s="4"/>
      <c r="DFC240" s="4"/>
      <c r="DFD240" s="4"/>
      <c r="DFE240" s="4"/>
      <c r="DFF240" s="4"/>
      <c r="DFG240" s="4"/>
      <c r="DFH240" s="4"/>
      <c r="DFI240" s="4"/>
      <c r="DFJ240" s="4"/>
      <c r="DFK240" s="4"/>
      <c r="DFL240" s="4"/>
      <c r="DFM240" s="4"/>
      <c r="DFN240" s="4"/>
      <c r="DFO240" s="4"/>
      <c r="DFP240" s="4"/>
      <c r="DFQ240" s="4"/>
      <c r="DFR240" s="4"/>
      <c r="DFS240" s="4"/>
      <c r="DFT240" s="4"/>
      <c r="DFU240" s="4"/>
      <c r="DFV240" s="4"/>
      <c r="DFW240" s="4"/>
      <c r="DFX240" s="4"/>
      <c r="DFY240" s="4"/>
      <c r="DFZ240" s="4"/>
      <c r="DGA240" s="4"/>
      <c r="DGB240" s="4"/>
      <c r="DGC240" s="4"/>
      <c r="DGD240" s="4"/>
      <c r="DGE240" s="4"/>
      <c r="DGF240" s="4"/>
      <c r="DGG240" s="4"/>
      <c r="DGH240" s="4"/>
      <c r="DGI240" s="4"/>
      <c r="DGJ240" s="4"/>
      <c r="DGK240" s="4"/>
      <c r="DGL240" s="4"/>
      <c r="DGM240" s="4"/>
      <c r="DGN240" s="4"/>
      <c r="DGO240" s="4"/>
      <c r="DGP240" s="4"/>
      <c r="DGQ240" s="4"/>
      <c r="DGR240" s="4"/>
      <c r="DGS240" s="4"/>
      <c r="DGT240" s="4"/>
      <c r="DGU240" s="4"/>
      <c r="DGV240" s="4"/>
      <c r="DGW240" s="4"/>
      <c r="DGX240" s="4"/>
      <c r="DGY240" s="4"/>
      <c r="DGZ240" s="4"/>
      <c r="DHA240" s="4"/>
      <c r="DHB240" s="4"/>
      <c r="DHC240" s="4"/>
      <c r="DHD240" s="4"/>
      <c r="DHE240" s="4"/>
      <c r="DHF240" s="4"/>
      <c r="DHG240" s="4"/>
      <c r="DHH240" s="4"/>
      <c r="DHI240" s="4"/>
      <c r="DHJ240" s="4"/>
      <c r="DHK240" s="4"/>
      <c r="DHL240" s="4"/>
      <c r="DHM240" s="4"/>
      <c r="DHN240" s="4"/>
      <c r="DHO240" s="4"/>
      <c r="DHP240" s="4"/>
      <c r="DHQ240" s="4"/>
      <c r="DHR240" s="4"/>
      <c r="DHS240" s="4"/>
      <c r="DHT240" s="4"/>
      <c r="DHU240" s="4"/>
      <c r="DHV240" s="4"/>
      <c r="DHW240" s="4"/>
      <c r="DHX240" s="4"/>
      <c r="DHY240" s="4"/>
      <c r="DHZ240" s="4"/>
      <c r="DIA240" s="4"/>
      <c r="DIB240" s="4"/>
      <c r="DIC240" s="4"/>
      <c r="DID240" s="4"/>
      <c r="DIE240" s="4"/>
      <c r="DIF240" s="4"/>
      <c r="DIG240" s="4"/>
      <c r="DIH240" s="4"/>
      <c r="DII240" s="4"/>
      <c r="DIJ240" s="4"/>
      <c r="DIK240" s="4"/>
      <c r="DIL240" s="4"/>
      <c r="DIM240" s="4"/>
      <c r="DIN240" s="4"/>
      <c r="DIO240" s="4"/>
      <c r="DIP240" s="4"/>
      <c r="DIQ240" s="4"/>
      <c r="DIR240" s="4"/>
      <c r="DIS240" s="4"/>
      <c r="DIT240" s="4"/>
      <c r="DIU240" s="4"/>
      <c r="DIV240" s="4"/>
      <c r="DIW240" s="4"/>
      <c r="DIX240" s="4"/>
      <c r="DIY240" s="4"/>
      <c r="DIZ240" s="4"/>
      <c r="DJA240" s="4"/>
      <c r="DJB240" s="4"/>
      <c r="DJC240" s="4"/>
      <c r="DJD240" s="4"/>
      <c r="DJE240" s="4"/>
      <c r="DJF240" s="4"/>
      <c r="DJG240" s="4"/>
      <c r="DJH240" s="4"/>
      <c r="DJI240" s="4"/>
      <c r="DJJ240" s="4"/>
      <c r="DJK240" s="4"/>
      <c r="DJL240" s="4"/>
      <c r="DJM240" s="4"/>
      <c r="DJN240" s="4"/>
      <c r="DJO240" s="4"/>
      <c r="DJP240" s="4"/>
      <c r="DJQ240" s="4"/>
      <c r="DJR240" s="4"/>
      <c r="DJS240" s="4"/>
      <c r="DJT240" s="4"/>
      <c r="DJU240" s="4"/>
      <c r="DJV240" s="4"/>
      <c r="DJW240" s="4"/>
      <c r="DJX240" s="4"/>
      <c r="DJY240" s="4"/>
      <c r="DJZ240" s="4"/>
      <c r="DKA240" s="4"/>
      <c r="DKB240" s="4"/>
      <c r="DKC240" s="4"/>
      <c r="DKD240" s="4"/>
      <c r="DKE240" s="4"/>
      <c r="DKF240" s="4"/>
      <c r="DKG240" s="4"/>
      <c r="DKH240" s="4"/>
      <c r="DKI240" s="4"/>
      <c r="DKJ240" s="4"/>
      <c r="DKK240" s="4"/>
      <c r="DKL240" s="4"/>
      <c r="DKM240" s="4"/>
      <c r="DKN240" s="4"/>
      <c r="DKO240" s="4"/>
      <c r="DKP240" s="4"/>
      <c r="DKQ240" s="4"/>
      <c r="DKR240" s="4"/>
      <c r="DKS240" s="4"/>
      <c r="DKT240" s="4"/>
      <c r="DKU240" s="4"/>
      <c r="DKV240" s="4"/>
      <c r="DKW240" s="4"/>
      <c r="DKX240" s="4"/>
      <c r="DKY240" s="4"/>
      <c r="DKZ240" s="4"/>
      <c r="DLA240" s="4"/>
      <c r="DLB240" s="4"/>
      <c r="DLC240" s="4"/>
      <c r="DLD240" s="4"/>
      <c r="DLE240" s="4"/>
      <c r="DLF240" s="4"/>
      <c r="DLG240" s="4"/>
      <c r="DLH240" s="4"/>
      <c r="DLI240" s="4"/>
      <c r="DLJ240" s="4"/>
      <c r="DLK240" s="4"/>
      <c r="DLL240" s="4"/>
      <c r="DLM240" s="4"/>
      <c r="DLN240" s="4"/>
      <c r="DLO240" s="4"/>
      <c r="DLP240" s="4"/>
      <c r="DLQ240" s="4"/>
      <c r="DLR240" s="4"/>
      <c r="DLS240" s="4"/>
      <c r="DLT240" s="4"/>
      <c r="DLU240" s="4"/>
      <c r="DLV240" s="4"/>
      <c r="DLW240" s="4"/>
      <c r="DLX240" s="4"/>
      <c r="DLY240" s="4"/>
      <c r="DLZ240" s="4"/>
      <c r="DMA240" s="4"/>
      <c r="DMB240" s="4"/>
      <c r="DMC240" s="4"/>
      <c r="DMD240" s="4"/>
      <c r="DME240" s="4"/>
      <c r="DMF240" s="4"/>
      <c r="DMG240" s="4"/>
      <c r="DMH240" s="4"/>
      <c r="DMI240" s="4"/>
      <c r="DMJ240" s="4"/>
      <c r="DMK240" s="4"/>
      <c r="DML240" s="4"/>
      <c r="DMM240" s="4"/>
      <c r="DMN240" s="4"/>
      <c r="DMO240" s="4"/>
      <c r="DMP240" s="4"/>
      <c r="DMQ240" s="4"/>
      <c r="DMR240" s="4"/>
      <c r="DMS240" s="4"/>
      <c r="DMT240" s="4"/>
      <c r="DMU240" s="4"/>
      <c r="DMV240" s="4"/>
      <c r="DMW240" s="4"/>
      <c r="DMX240" s="4"/>
      <c r="DMY240" s="4"/>
      <c r="DMZ240" s="4"/>
      <c r="DNA240" s="4"/>
      <c r="DNB240" s="4"/>
      <c r="DNC240" s="4"/>
      <c r="DND240" s="4"/>
      <c r="DNE240" s="4"/>
      <c r="DNF240" s="4"/>
      <c r="DNG240" s="4"/>
      <c r="DNH240" s="4"/>
      <c r="DNI240" s="4"/>
      <c r="DNJ240" s="4"/>
      <c r="DNK240" s="4"/>
      <c r="DNL240" s="4"/>
      <c r="DNM240" s="4"/>
      <c r="DNN240" s="4"/>
      <c r="DNO240" s="4"/>
      <c r="DNP240" s="4"/>
      <c r="DNQ240" s="4"/>
      <c r="DNR240" s="4"/>
      <c r="DNS240" s="4"/>
      <c r="DNT240" s="4"/>
      <c r="DNU240" s="4"/>
      <c r="DNV240" s="4"/>
      <c r="DNW240" s="4"/>
      <c r="DNX240" s="4"/>
      <c r="DNY240" s="4"/>
      <c r="DNZ240" s="4"/>
      <c r="DOA240" s="4"/>
      <c r="DOB240" s="4"/>
      <c r="DOC240" s="4"/>
      <c r="DOD240" s="4"/>
      <c r="DOE240" s="4"/>
      <c r="DOF240" s="4"/>
      <c r="DOG240" s="4"/>
      <c r="DOH240" s="4"/>
      <c r="DOI240" s="4"/>
      <c r="DOJ240" s="4"/>
      <c r="DOK240" s="4"/>
      <c r="DOL240" s="4"/>
      <c r="DOM240" s="4"/>
      <c r="DON240" s="4"/>
      <c r="DOO240" s="4"/>
      <c r="DOP240" s="4"/>
      <c r="DOQ240" s="4"/>
      <c r="DOR240" s="4"/>
      <c r="DOS240" s="4"/>
      <c r="DOT240" s="4"/>
      <c r="DOU240" s="4"/>
      <c r="DOV240" s="4"/>
      <c r="DOW240" s="4"/>
      <c r="DOX240" s="4"/>
      <c r="DOY240" s="4"/>
      <c r="DOZ240" s="4"/>
      <c r="DPA240" s="4"/>
      <c r="DPB240" s="4"/>
      <c r="DPC240" s="4"/>
      <c r="DPD240" s="4"/>
      <c r="DPE240" s="4"/>
      <c r="DPF240" s="4"/>
      <c r="DPG240" s="4"/>
      <c r="DPH240" s="4"/>
      <c r="DPI240" s="4"/>
      <c r="DPJ240" s="4"/>
      <c r="DPK240" s="4"/>
      <c r="DPL240" s="4"/>
      <c r="DPM240" s="4"/>
      <c r="DPN240" s="4"/>
      <c r="DPO240" s="4"/>
      <c r="DPP240" s="4"/>
      <c r="DPQ240" s="4"/>
      <c r="DPR240" s="4"/>
      <c r="DPS240" s="4"/>
      <c r="DPT240" s="4"/>
      <c r="DPU240" s="4"/>
      <c r="DPV240" s="4"/>
      <c r="DPW240" s="4"/>
      <c r="DPX240" s="4"/>
      <c r="DPY240" s="4"/>
      <c r="DPZ240" s="4"/>
      <c r="DQA240" s="4"/>
      <c r="DQB240" s="4"/>
      <c r="DQC240" s="4"/>
      <c r="DQD240" s="4"/>
      <c r="DQE240" s="4"/>
      <c r="DQF240" s="4"/>
      <c r="DQG240" s="4"/>
      <c r="DQH240" s="4"/>
      <c r="DQI240" s="4"/>
      <c r="DQJ240" s="4"/>
      <c r="DQK240" s="4"/>
      <c r="DQL240" s="4"/>
      <c r="DQM240" s="4"/>
      <c r="DQN240" s="4"/>
      <c r="DQO240" s="4"/>
      <c r="DQP240" s="4"/>
      <c r="DQQ240" s="4"/>
      <c r="DQR240" s="4"/>
      <c r="DQS240" s="4"/>
      <c r="DQT240" s="4"/>
      <c r="DQU240" s="4"/>
      <c r="DQV240" s="4"/>
      <c r="DQW240" s="4"/>
      <c r="DQX240" s="4"/>
      <c r="DQY240" s="4"/>
      <c r="DQZ240" s="4"/>
      <c r="DRA240" s="4"/>
      <c r="DRB240" s="4"/>
      <c r="DRC240" s="4"/>
      <c r="DRD240" s="4"/>
      <c r="DRE240" s="4"/>
      <c r="DRF240" s="4"/>
      <c r="DRG240" s="4"/>
      <c r="DRH240" s="4"/>
      <c r="DRI240" s="4"/>
      <c r="DRJ240" s="4"/>
      <c r="DRK240" s="4"/>
      <c r="DRL240" s="4"/>
      <c r="DRM240" s="4"/>
      <c r="DRN240" s="4"/>
      <c r="DRO240" s="4"/>
      <c r="DRP240" s="4"/>
      <c r="DRQ240" s="4"/>
      <c r="DRR240" s="4"/>
      <c r="DRS240" s="4"/>
      <c r="DRT240" s="4"/>
      <c r="DRU240" s="4"/>
      <c r="DRV240" s="4"/>
      <c r="DRW240" s="4"/>
      <c r="DRX240" s="4"/>
      <c r="DRY240" s="4"/>
      <c r="DRZ240" s="4"/>
      <c r="DSA240" s="4"/>
      <c r="DSB240" s="4"/>
      <c r="DSC240" s="4"/>
      <c r="DSD240" s="4"/>
      <c r="DSE240" s="4"/>
      <c r="DSF240" s="4"/>
      <c r="DSG240" s="4"/>
      <c r="DSH240" s="4"/>
      <c r="DSI240" s="4"/>
      <c r="DSJ240" s="4"/>
      <c r="DSK240" s="4"/>
      <c r="DSL240" s="4"/>
      <c r="DSM240" s="4"/>
      <c r="DSN240" s="4"/>
      <c r="DSO240" s="4"/>
      <c r="DSP240" s="4"/>
      <c r="DSQ240" s="4"/>
      <c r="DSR240" s="4"/>
      <c r="DSS240" s="4"/>
      <c r="DST240" s="4"/>
      <c r="DSU240" s="4"/>
      <c r="DSV240" s="4"/>
      <c r="DSW240" s="4"/>
      <c r="DSX240" s="4"/>
      <c r="DSY240" s="4"/>
      <c r="DSZ240" s="4"/>
      <c r="DTA240" s="4"/>
      <c r="DTB240" s="4"/>
      <c r="DTC240" s="4"/>
      <c r="DTD240" s="4"/>
      <c r="DTE240" s="4"/>
      <c r="DTF240" s="4"/>
      <c r="DTG240" s="4"/>
      <c r="DTH240" s="4"/>
      <c r="DTI240" s="4"/>
      <c r="DTJ240" s="4"/>
      <c r="DTK240" s="4"/>
      <c r="DTL240" s="4"/>
      <c r="DTM240" s="4"/>
      <c r="DTN240" s="4"/>
      <c r="DTO240" s="4"/>
      <c r="DTP240" s="4"/>
      <c r="DTQ240" s="4"/>
      <c r="DTR240" s="4"/>
      <c r="DTS240" s="4"/>
      <c r="DTT240" s="4"/>
      <c r="DTU240" s="4"/>
      <c r="DTV240" s="4"/>
      <c r="DTW240" s="4"/>
      <c r="DTX240" s="4"/>
      <c r="DTY240" s="4"/>
      <c r="DTZ240" s="4"/>
      <c r="DUA240" s="4"/>
      <c r="DUB240" s="4"/>
      <c r="DUC240" s="4"/>
      <c r="DUD240" s="4"/>
      <c r="DUE240" s="4"/>
      <c r="DUF240" s="4"/>
      <c r="DUG240" s="4"/>
      <c r="DUH240" s="4"/>
      <c r="DUI240" s="4"/>
      <c r="DUJ240" s="4"/>
      <c r="DUK240" s="4"/>
      <c r="DUL240" s="4"/>
      <c r="DUM240" s="4"/>
      <c r="DUN240" s="4"/>
      <c r="DUO240" s="4"/>
      <c r="DUP240" s="4"/>
      <c r="DUQ240" s="4"/>
      <c r="DUR240" s="4"/>
      <c r="DUS240" s="4"/>
      <c r="DUT240" s="4"/>
      <c r="DUU240" s="4"/>
      <c r="DUV240" s="4"/>
      <c r="DUW240" s="4"/>
      <c r="DUX240" s="4"/>
      <c r="DUY240" s="4"/>
      <c r="DUZ240" s="4"/>
      <c r="DVA240" s="4"/>
      <c r="DVB240" s="4"/>
      <c r="DVC240" s="4"/>
      <c r="DVD240" s="4"/>
      <c r="DVE240" s="4"/>
      <c r="DVF240" s="4"/>
      <c r="DVG240" s="4"/>
      <c r="DVH240" s="4"/>
      <c r="DVI240" s="4"/>
      <c r="DVJ240" s="4"/>
      <c r="DVK240" s="4"/>
      <c r="DVL240" s="4"/>
      <c r="DVM240" s="4"/>
      <c r="DVN240" s="4"/>
      <c r="DVO240" s="4"/>
      <c r="DVP240" s="4"/>
      <c r="DVQ240" s="4"/>
      <c r="DVR240" s="4"/>
      <c r="DVS240" s="4"/>
      <c r="DVT240" s="4"/>
      <c r="DVU240" s="4"/>
      <c r="DVV240" s="4"/>
      <c r="DVW240" s="4"/>
      <c r="DVX240" s="4"/>
      <c r="DVY240" s="4"/>
      <c r="DVZ240" s="4"/>
      <c r="DWA240" s="4"/>
      <c r="DWB240" s="4"/>
      <c r="DWC240" s="4"/>
      <c r="DWD240" s="4"/>
      <c r="DWE240" s="4"/>
      <c r="DWF240" s="4"/>
      <c r="DWG240" s="4"/>
      <c r="DWH240" s="4"/>
      <c r="DWI240" s="4"/>
      <c r="DWJ240" s="4"/>
      <c r="DWK240" s="4"/>
      <c r="DWL240" s="4"/>
      <c r="DWM240" s="4"/>
      <c r="DWN240" s="4"/>
      <c r="DWO240" s="4"/>
      <c r="DWP240" s="4"/>
      <c r="DWQ240" s="4"/>
      <c r="DWR240" s="4"/>
      <c r="DWS240" s="4"/>
      <c r="DWT240" s="4"/>
      <c r="DWU240" s="4"/>
      <c r="DWV240" s="4"/>
      <c r="DWW240" s="4"/>
      <c r="DWX240" s="4"/>
      <c r="DWY240" s="4"/>
      <c r="DWZ240" s="4"/>
      <c r="DXA240" s="4"/>
      <c r="DXB240" s="4"/>
      <c r="DXC240" s="4"/>
      <c r="DXD240" s="4"/>
      <c r="DXE240" s="4"/>
      <c r="DXF240" s="4"/>
      <c r="DXG240" s="4"/>
      <c r="DXH240" s="4"/>
      <c r="DXI240" s="4"/>
      <c r="DXJ240" s="4"/>
      <c r="DXK240" s="4"/>
      <c r="DXL240" s="4"/>
      <c r="DXM240" s="4"/>
      <c r="DXN240" s="4"/>
      <c r="DXO240" s="4"/>
      <c r="DXP240" s="4"/>
      <c r="DXQ240" s="4"/>
      <c r="DXR240" s="4"/>
      <c r="DXS240" s="4"/>
      <c r="DXT240" s="4"/>
      <c r="DXU240" s="4"/>
      <c r="DXV240" s="4"/>
      <c r="DXW240" s="4"/>
      <c r="DXX240" s="4"/>
      <c r="DXY240" s="4"/>
      <c r="DXZ240" s="4"/>
      <c r="DYA240" s="4"/>
      <c r="DYB240" s="4"/>
      <c r="DYC240" s="4"/>
      <c r="DYD240" s="4"/>
      <c r="DYE240" s="4"/>
      <c r="DYF240" s="4"/>
      <c r="DYG240" s="4"/>
      <c r="DYH240" s="4"/>
      <c r="DYI240" s="4"/>
      <c r="DYJ240" s="4"/>
      <c r="DYK240" s="4"/>
      <c r="DYL240" s="4"/>
      <c r="DYM240" s="4"/>
      <c r="DYN240" s="4"/>
      <c r="DYO240" s="4"/>
      <c r="DYP240" s="4"/>
      <c r="DYQ240" s="4"/>
      <c r="DYR240" s="4"/>
      <c r="DYS240" s="4"/>
      <c r="DYT240" s="4"/>
      <c r="DYU240" s="4"/>
      <c r="DYV240" s="4"/>
      <c r="DYW240" s="4"/>
      <c r="DYX240" s="4"/>
      <c r="DYY240" s="4"/>
      <c r="DYZ240" s="4"/>
      <c r="DZA240" s="4"/>
      <c r="DZB240" s="4"/>
      <c r="DZC240" s="4"/>
      <c r="DZD240" s="4"/>
      <c r="DZE240" s="4"/>
      <c r="DZF240" s="4"/>
      <c r="DZG240" s="4"/>
      <c r="DZH240" s="4"/>
      <c r="DZI240" s="4"/>
      <c r="DZJ240" s="4"/>
      <c r="DZK240" s="4"/>
      <c r="DZL240" s="4"/>
      <c r="DZM240" s="4"/>
      <c r="DZN240" s="4"/>
      <c r="DZO240" s="4"/>
      <c r="DZP240" s="4"/>
      <c r="DZQ240" s="4"/>
      <c r="DZR240" s="4"/>
      <c r="DZS240" s="4"/>
      <c r="DZT240" s="4"/>
      <c r="DZU240" s="4"/>
      <c r="DZV240" s="4"/>
      <c r="DZW240" s="4"/>
      <c r="DZX240" s="4"/>
      <c r="DZY240" s="4"/>
      <c r="DZZ240" s="4"/>
      <c r="EAA240" s="4"/>
      <c r="EAB240" s="4"/>
      <c r="EAC240" s="4"/>
      <c r="EAD240" s="4"/>
      <c r="EAE240" s="4"/>
      <c r="EAF240" s="4"/>
      <c r="EAG240" s="4"/>
      <c r="EAH240" s="4"/>
      <c r="EAI240" s="4"/>
      <c r="EAJ240" s="4"/>
      <c r="EAK240" s="4"/>
      <c r="EAL240" s="4"/>
      <c r="EAM240" s="4"/>
      <c r="EAN240" s="4"/>
      <c r="EAO240" s="4"/>
      <c r="EAP240" s="4"/>
      <c r="EAQ240" s="4"/>
      <c r="EAR240" s="4"/>
      <c r="EAS240" s="4"/>
      <c r="EAT240" s="4"/>
      <c r="EAU240" s="4"/>
      <c r="EAV240" s="4"/>
      <c r="EAW240" s="4"/>
      <c r="EAX240" s="4"/>
      <c r="EAY240" s="4"/>
      <c r="EAZ240" s="4"/>
      <c r="EBA240" s="4"/>
      <c r="EBB240" s="4"/>
      <c r="EBC240" s="4"/>
      <c r="EBD240" s="4"/>
      <c r="EBE240" s="4"/>
      <c r="EBF240" s="4"/>
      <c r="EBG240" s="4"/>
      <c r="EBH240" s="4"/>
      <c r="EBI240" s="4"/>
      <c r="EBJ240" s="4"/>
      <c r="EBK240" s="4"/>
      <c r="EBL240" s="4"/>
      <c r="EBM240" s="4"/>
      <c r="EBN240" s="4"/>
      <c r="EBO240" s="4"/>
      <c r="EBP240" s="4"/>
      <c r="EBQ240" s="4"/>
      <c r="EBR240" s="4"/>
      <c r="EBS240" s="4"/>
      <c r="EBT240" s="4"/>
      <c r="EBU240" s="4"/>
      <c r="EBV240" s="4"/>
      <c r="EBW240" s="4"/>
      <c r="EBX240" s="4"/>
      <c r="EBY240" s="4"/>
      <c r="EBZ240" s="4"/>
      <c r="ECA240" s="4"/>
      <c r="ECB240" s="4"/>
      <c r="ECC240" s="4"/>
      <c r="ECD240" s="4"/>
      <c r="ECE240" s="4"/>
      <c r="ECF240" s="4"/>
      <c r="ECG240" s="4"/>
      <c r="ECH240" s="4"/>
      <c r="ECI240" s="4"/>
      <c r="ECJ240" s="4"/>
      <c r="ECK240" s="4"/>
      <c r="ECL240" s="4"/>
      <c r="ECM240" s="4"/>
      <c r="ECN240" s="4"/>
      <c r="ECO240" s="4"/>
      <c r="ECP240" s="4"/>
      <c r="ECQ240" s="4"/>
      <c r="ECR240" s="4"/>
      <c r="ECS240" s="4"/>
      <c r="ECT240" s="4"/>
      <c r="ECU240" s="4"/>
      <c r="ECV240" s="4"/>
      <c r="ECW240" s="4"/>
      <c r="ECX240" s="4"/>
      <c r="ECY240" s="4"/>
      <c r="ECZ240" s="4"/>
      <c r="EDA240" s="4"/>
      <c r="EDB240" s="4"/>
      <c r="EDC240" s="4"/>
      <c r="EDD240" s="4"/>
      <c r="EDE240" s="4"/>
      <c r="EDF240" s="4"/>
      <c r="EDG240" s="4"/>
      <c r="EDH240" s="4"/>
      <c r="EDI240" s="4"/>
      <c r="EDJ240" s="4"/>
      <c r="EDK240" s="4"/>
      <c r="EDL240" s="4"/>
      <c r="EDM240" s="4"/>
      <c r="EDN240" s="4"/>
      <c r="EDO240" s="4"/>
      <c r="EDP240" s="4"/>
      <c r="EDQ240" s="4"/>
      <c r="EDR240" s="4"/>
      <c r="EDS240" s="4"/>
      <c r="EDT240" s="4"/>
      <c r="EDU240" s="4"/>
      <c r="EDV240" s="4"/>
      <c r="EDW240" s="4"/>
      <c r="EDX240" s="4"/>
      <c r="EDY240" s="4"/>
      <c r="EDZ240" s="4"/>
      <c r="EEA240" s="4"/>
      <c r="EEB240" s="4"/>
      <c r="EEC240" s="4"/>
      <c r="EED240" s="4"/>
      <c r="EEE240" s="4"/>
      <c r="EEF240" s="4"/>
      <c r="EEG240" s="4"/>
      <c r="EEH240" s="4"/>
      <c r="EEI240" s="4"/>
      <c r="EEJ240" s="4"/>
      <c r="EEK240" s="4"/>
      <c r="EEL240" s="4"/>
      <c r="EEM240" s="4"/>
      <c r="EEN240" s="4"/>
      <c r="EEO240" s="4"/>
      <c r="EEP240" s="4"/>
      <c r="EEQ240" s="4"/>
      <c r="EER240" s="4"/>
      <c r="EES240" s="4"/>
      <c r="EET240" s="4"/>
      <c r="EEU240" s="4"/>
      <c r="EEV240" s="4"/>
      <c r="EEW240" s="4"/>
      <c r="EEX240" s="4"/>
      <c r="EEY240" s="4"/>
      <c r="EEZ240" s="4"/>
      <c r="EFA240" s="4"/>
      <c r="EFB240" s="4"/>
      <c r="EFC240" s="4"/>
      <c r="EFD240" s="4"/>
      <c r="EFE240" s="4"/>
      <c r="EFF240" s="4"/>
      <c r="EFG240" s="4"/>
      <c r="EFH240" s="4"/>
      <c r="EFI240" s="4"/>
      <c r="EFJ240" s="4"/>
      <c r="EFK240" s="4"/>
      <c r="EFL240" s="4"/>
      <c r="EFM240" s="4"/>
      <c r="EFN240" s="4"/>
      <c r="EFO240" s="4"/>
      <c r="EFP240" s="4"/>
      <c r="EFQ240" s="4"/>
      <c r="EFR240" s="4"/>
      <c r="EFS240" s="4"/>
      <c r="EFT240" s="4"/>
      <c r="EFU240" s="4"/>
      <c r="EFV240" s="4"/>
      <c r="EFW240" s="4"/>
      <c r="EFX240" s="4"/>
      <c r="EFY240" s="4"/>
      <c r="EFZ240" s="4"/>
      <c r="EGA240" s="4"/>
      <c r="EGB240" s="4"/>
      <c r="EGC240" s="4"/>
      <c r="EGD240" s="4"/>
      <c r="EGE240" s="4"/>
      <c r="EGF240" s="4"/>
      <c r="EGG240" s="4"/>
      <c r="EGH240" s="4"/>
      <c r="EGI240" s="4"/>
      <c r="EGJ240" s="4"/>
      <c r="EGK240" s="4"/>
      <c r="EGL240" s="4"/>
      <c r="EGM240" s="4"/>
      <c r="EGN240" s="4"/>
      <c r="EGO240" s="4"/>
      <c r="EGP240" s="4"/>
      <c r="EGQ240" s="4"/>
      <c r="EGR240" s="4"/>
      <c r="EGS240" s="4"/>
      <c r="EGT240" s="4"/>
      <c r="EGU240" s="4"/>
      <c r="EGV240" s="4"/>
      <c r="EGW240" s="4"/>
      <c r="EGX240" s="4"/>
      <c r="EGY240" s="4"/>
      <c r="EGZ240" s="4"/>
      <c r="EHA240" s="4"/>
      <c r="EHB240" s="4"/>
      <c r="EHC240" s="4"/>
      <c r="EHD240" s="4"/>
      <c r="EHE240" s="4"/>
      <c r="EHF240" s="4"/>
      <c r="EHG240" s="4"/>
      <c r="EHH240" s="4"/>
      <c r="EHI240" s="4"/>
      <c r="EHJ240" s="4"/>
      <c r="EHK240" s="4"/>
      <c r="EHL240" s="4"/>
      <c r="EHM240" s="4"/>
      <c r="EHN240" s="4"/>
      <c r="EHO240" s="4"/>
      <c r="EHP240" s="4"/>
      <c r="EHQ240" s="4"/>
      <c r="EHR240" s="4"/>
      <c r="EHS240" s="4"/>
      <c r="EHT240" s="4"/>
      <c r="EHU240" s="4"/>
      <c r="EHV240" s="4"/>
      <c r="EHW240" s="4"/>
      <c r="EHX240" s="4"/>
      <c r="EHY240" s="4"/>
      <c r="EHZ240" s="4"/>
      <c r="EIA240" s="4"/>
      <c r="EIB240" s="4"/>
      <c r="EIC240" s="4"/>
      <c r="EID240" s="4"/>
      <c r="EIE240" s="4"/>
      <c r="EIF240" s="4"/>
      <c r="EIG240" s="4"/>
      <c r="EIH240" s="4"/>
      <c r="EII240" s="4"/>
      <c r="EIJ240" s="4"/>
      <c r="EIK240" s="4"/>
      <c r="EIL240" s="4"/>
      <c r="EIM240" s="4"/>
      <c r="EIN240" s="4"/>
      <c r="EIO240" s="4"/>
      <c r="EIP240" s="4"/>
      <c r="EIQ240" s="4"/>
      <c r="EIR240" s="4"/>
      <c r="EIS240" s="4"/>
      <c r="EIT240" s="4"/>
      <c r="EIU240" s="4"/>
      <c r="EIV240" s="4"/>
      <c r="EIW240" s="4"/>
      <c r="EIX240" s="4"/>
      <c r="EIY240" s="4"/>
      <c r="EIZ240" s="4"/>
      <c r="EJA240" s="4"/>
      <c r="EJB240" s="4"/>
      <c r="EJC240" s="4"/>
      <c r="EJD240" s="4"/>
      <c r="EJE240" s="4"/>
      <c r="EJF240" s="4"/>
      <c r="EJG240" s="4"/>
      <c r="EJH240" s="4"/>
      <c r="EJI240" s="4"/>
      <c r="EJJ240" s="4"/>
      <c r="EJK240" s="4"/>
      <c r="EJL240" s="4"/>
      <c r="EJM240" s="4"/>
      <c r="EJN240" s="4"/>
      <c r="EJO240" s="4"/>
      <c r="EJP240" s="4"/>
      <c r="EJQ240" s="4"/>
      <c r="EJR240" s="4"/>
      <c r="EJS240" s="4"/>
      <c r="EJT240" s="4"/>
      <c r="EJU240" s="4"/>
      <c r="EJV240" s="4"/>
      <c r="EJW240" s="4"/>
      <c r="EJX240" s="4"/>
      <c r="EJY240" s="4"/>
      <c r="EJZ240" s="4"/>
      <c r="EKA240" s="4"/>
      <c r="EKB240" s="4"/>
      <c r="EKC240" s="4"/>
      <c r="EKD240" s="4"/>
      <c r="EKE240" s="4"/>
      <c r="EKF240" s="4"/>
      <c r="EKG240" s="4"/>
      <c r="EKH240" s="4"/>
      <c r="EKI240" s="4"/>
      <c r="EKJ240" s="4"/>
      <c r="EKK240" s="4"/>
      <c r="EKL240" s="4"/>
      <c r="EKM240" s="4"/>
      <c r="EKN240" s="4"/>
      <c r="EKO240" s="4"/>
      <c r="EKP240" s="4"/>
      <c r="EKQ240" s="4"/>
      <c r="EKR240" s="4"/>
      <c r="EKS240" s="4"/>
      <c r="EKT240" s="4"/>
      <c r="EKU240" s="4"/>
      <c r="EKV240" s="4"/>
      <c r="EKW240" s="4"/>
      <c r="EKX240" s="4"/>
      <c r="EKY240" s="4"/>
      <c r="EKZ240" s="4"/>
      <c r="ELA240" s="4"/>
      <c r="ELB240" s="4"/>
      <c r="ELC240" s="4"/>
      <c r="ELD240" s="4"/>
      <c r="ELE240" s="4"/>
      <c r="ELF240" s="4"/>
      <c r="ELG240" s="4"/>
      <c r="ELH240" s="4"/>
      <c r="ELI240" s="4"/>
      <c r="ELJ240" s="4"/>
      <c r="ELK240" s="4"/>
      <c r="ELL240" s="4"/>
      <c r="ELM240" s="4"/>
      <c r="ELN240" s="4"/>
      <c r="ELO240" s="4"/>
      <c r="ELP240" s="4"/>
      <c r="ELQ240" s="4"/>
      <c r="ELR240" s="4"/>
      <c r="ELS240" s="4"/>
      <c r="ELT240" s="4"/>
      <c r="ELU240" s="4"/>
      <c r="ELV240" s="4"/>
      <c r="ELW240" s="4"/>
      <c r="ELX240" s="4"/>
      <c r="ELY240" s="4"/>
      <c r="ELZ240" s="4"/>
      <c r="EMA240" s="4"/>
      <c r="EMB240" s="4"/>
      <c r="EMC240" s="4"/>
      <c r="EMD240" s="4"/>
      <c r="EME240" s="4"/>
      <c r="EMF240" s="4"/>
      <c r="EMG240" s="4"/>
      <c r="EMH240" s="4"/>
      <c r="EMI240" s="4"/>
      <c r="EMJ240" s="4"/>
      <c r="EMK240" s="4"/>
      <c r="EML240" s="4"/>
      <c r="EMM240" s="4"/>
      <c r="EMN240" s="4"/>
      <c r="EMO240" s="4"/>
      <c r="EMP240" s="4"/>
      <c r="EMQ240" s="4"/>
      <c r="EMR240" s="4"/>
      <c r="EMS240" s="4"/>
      <c r="EMT240" s="4"/>
      <c r="EMU240" s="4"/>
      <c r="EMV240" s="4"/>
      <c r="EMW240" s="4"/>
      <c r="EMX240" s="4"/>
      <c r="EMY240" s="4"/>
      <c r="EMZ240" s="4"/>
      <c r="ENA240" s="4"/>
      <c r="ENB240" s="4"/>
      <c r="ENC240" s="4"/>
      <c r="END240" s="4"/>
      <c r="ENE240" s="4"/>
      <c r="ENF240" s="4"/>
      <c r="ENG240" s="4"/>
      <c r="ENH240" s="4"/>
      <c r="ENI240" s="4"/>
      <c r="ENJ240" s="4"/>
      <c r="ENK240" s="4"/>
      <c r="ENL240" s="4"/>
      <c r="ENM240" s="4"/>
      <c r="ENN240" s="4"/>
      <c r="ENO240" s="4"/>
      <c r="ENP240" s="4"/>
      <c r="ENQ240" s="4"/>
      <c r="ENR240" s="4"/>
      <c r="ENS240" s="4"/>
      <c r="ENT240" s="4"/>
      <c r="ENU240" s="4"/>
      <c r="ENV240" s="4"/>
      <c r="ENW240" s="4"/>
      <c r="ENX240" s="4"/>
      <c r="ENY240" s="4"/>
      <c r="ENZ240" s="4"/>
      <c r="EOA240" s="4"/>
      <c r="EOB240" s="4"/>
      <c r="EOC240" s="4"/>
      <c r="EOD240" s="4"/>
      <c r="EOE240" s="4"/>
      <c r="EOF240" s="4"/>
      <c r="EOG240" s="4"/>
      <c r="EOH240" s="4"/>
      <c r="EOI240" s="4"/>
      <c r="EOJ240" s="4"/>
      <c r="EOK240" s="4"/>
      <c r="EOL240" s="4"/>
      <c r="EOM240" s="4"/>
      <c r="EON240" s="4"/>
      <c r="EOO240" s="4"/>
      <c r="EOP240" s="4"/>
      <c r="EOQ240" s="4"/>
      <c r="EOR240" s="4"/>
      <c r="EOS240" s="4"/>
      <c r="EOT240" s="4"/>
      <c r="EOU240" s="4"/>
      <c r="EOV240" s="4"/>
      <c r="EOW240" s="4"/>
      <c r="EOX240" s="4"/>
      <c r="EOY240" s="4"/>
      <c r="EOZ240" s="4"/>
      <c r="EPA240" s="4"/>
      <c r="EPB240" s="4"/>
      <c r="EPC240" s="4"/>
      <c r="EPD240" s="4"/>
      <c r="EPE240" s="4"/>
      <c r="EPF240" s="4"/>
      <c r="EPG240" s="4"/>
      <c r="EPH240" s="4"/>
      <c r="EPI240" s="4"/>
      <c r="EPJ240" s="4"/>
      <c r="EPK240" s="4"/>
      <c r="EPL240" s="4"/>
      <c r="EPM240" s="4"/>
      <c r="EPN240" s="4"/>
      <c r="EPO240" s="4"/>
      <c r="EPP240" s="4"/>
      <c r="EPQ240" s="4"/>
      <c r="EPR240" s="4"/>
      <c r="EPS240" s="4"/>
      <c r="EPT240" s="4"/>
      <c r="EPU240" s="4"/>
      <c r="EPV240" s="4"/>
      <c r="EPW240" s="4"/>
      <c r="EPX240" s="4"/>
      <c r="EPY240" s="4"/>
      <c r="EPZ240" s="4"/>
      <c r="EQA240" s="4"/>
      <c r="EQB240" s="4"/>
      <c r="EQC240" s="4"/>
      <c r="EQD240" s="4"/>
      <c r="EQE240" s="4"/>
      <c r="EQF240" s="4"/>
      <c r="EQG240" s="4"/>
      <c r="EQH240" s="4"/>
      <c r="EQI240" s="4"/>
      <c r="EQJ240" s="4"/>
      <c r="EQK240" s="4"/>
      <c r="EQL240" s="4"/>
      <c r="EQM240" s="4"/>
      <c r="EQN240" s="4"/>
      <c r="EQO240" s="4"/>
      <c r="EQP240" s="4"/>
      <c r="EQQ240" s="4"/>
      <c r="EQR240" s="4"/>
      <c r="EQS240" s="4"/>
      <c r="EQT240" s="4"/>
      <c r="EQU240" s="4"/>
      <c r="EQV240" s="4"/>
      <c r="EQW240" s="4"/>
      <c r="EQX240" s="4"/>
      <c r="EQY240" s="4"/>
      <c r="EQZ240" s="4"/>
      <c r="ERA240" s="4"/>
      <c r="ERB240" s="4"/>
      <c r="ERC240" s="4"/>
      <c r="ERD240" s="4"/>
      <c r="ERE240" s="4"/>
      <c r="ERF240" s="4"/>
      <c r="ERG240" s="4"/>
      <c r="ERH240" s="4"/>
      <c r="ERI240" s="4"/>
      <c r="ERJ240" s="4"/>
      <c r="ERK240" s="4"/>
      <c r="ERL240" s="4"/>
      <c r="ERM240" s="4"/>
      <c r="ERN240" s="4"/>
      <c r="ERO240" s="4"/>
      <c r="ERP240" s="4"/>
      <c r="ERQ240" s="4"/>
      <c r="ERR240" s="4"/>
      <c r="ERS240" s="4"/>
      <c r="ERT240" s="4"/>
      <c r="ERU240" s="4"/>
      <c r="ERV240" s="4"/>
      <c r="ERW240" s="4"/>
      <c r="ERX240" s="4"/>
      <c r="ERY240" s="4"/>
      <c r="ERZ240" s="4"/>
      <c r="ESA240" s="4"/>
      <c r="ESB240" s="4"/>
      <c r="ESC240" s="4"/>
      <c r="ESD240" s="4"/>
      <c r="ESE240" s="4"/>
      <c r="ESF240" s="4"/>
      <c r="ESG240" s="4"/>
      <c r="ESH240" s="4"/>
      <c r="ESI240" s="4"/>
      <c r="ESJ240" s="4"/>
      <c r="ESK240" s="4"/>
      <c r="ESL240" s="4"/>
      <c r="ESM240" s="4"/>
      <c r="ESN240" s="4"/>
      <c r="ESO240" s="4"/>
      <c r="ESP240" s="4"/>
      <c r="ESQ240" s="4"/>
      <c r="ESR240" s="4"/>
      <c r="ESS240" s="4"/>
      <c r="EST240" s="4"/>
      <c r="ESU240" s="4"/>
      <c r="ESV240" s="4"/>
      <c r="ESW240" s="4"/>
      <c r="ESX240" s="4"/>
      <c r="ESY240" s="4"/>
      <c r="ESZ240" s="4"/>
      <c r="ETA240" s="4"/>
      <c r="ETB240" s="4"/>
      <c r="ETC240" s="4"/>
      <c r="ETD240" s="4"/>
      <c r="ETE240" s="4"/>
      <c r="ETF240" s="4"/>
      <c r="ETG240" s="4"/>
      <c r="ETH240" s="4"/>
      <c r="ETI240" s="4"/>
      <c r="ETJ240" s="4"/>
      <c r="ETK240" s="4"/>
      <c r="ETL240" s="4"/>
      <c r="ETM240" s="4"/>
      <c r="ETN240" s="4"/>
      <c r="ETO240" s="4"/>
      <c r="ETP240" s="4"/>
      <c r="ETQ240" s="4"/>
      <c r="ETR240" s="4"/>
      <c r="ETS240" s="4"/>
      <c r="ETT240" s="4"/>
      <c r="ETU240" s="4"/>
      <c r="ETV240" s="4"/>
      <c r="ETW240" s="4"/>
      <c r="ETX240" s="4"/>
      <c r="ETY240" s="4"/>
      <c r="ETZ240" s="4"/>
      <c r="EUA240" s="4"/>
      <c r="EUB240" s="4"/>
      <c r="EUC240" s="4"/>
      <c r="EUD240" s="4"/>
      <c r="EUE240" s="4"/>
      <c r="EUF240" s="4"/>
      <c r="EUG240" s="4"/>
      <c r="EUH240" s="4"/>
      <c r="EUI240" s="4"/>
      <c r="EUJ240" s="4"/>
      <c r="EUK240" s="4"/>
      <c r="EUL240" s="4"/>
      <c r="EUM240" s="4"/>
      <c r="EUN240" s="4"/>
      <c r="EUO240" s="4"/>
      <c r="EUP240" s="4"/>
      <c r="EUQ240" s="4"/>
      <c r="EUR240" s="4"/>
      <c r="EUS240" s="4"/>
      <c r="EUT240" s="4"/>
      <c r="EUU240" s="4"/>
      <c r="EUV240" s="4"/>
      <c r="EUW240" s="4"/>
      <c r="EUX240" s="4"/>
      <c r="EUY240" s="4"/>
      <c r="EUZ240" s="4"/>
      <c r="EVA240" s="4"/>
      <c r="EVB240" s="4"/>
      <c r="EVC240" s="4"/>
      <c r="EVD240" s="4"/>
      <c r="EVE240" s="4"/>
      <c r="EVF240" s="4"/>
      <c r="EVG240" s="4"/>
      <c r="EVH240" s="4"/>
      <c r="EVI240" s="4"/>
      <c r="EVJ240" s="4"/>
      <c r="EVK240" s="4"/>
      <c r="EVL240" s="4"/>
      <c r="EVM240" s="4"/>
      <c r="EVN240" s="4"/>
      <c r="EVO240" s="4"/>
      <c r="EVP240" s="4"/>
      <c r="EVQ240" s="4"/>
      <c r="EVR240" s="4"/>
      <c r="EVS240" s="4"/>
      <c r="EVT240" s="4"/>
      <c r="EVU240" s="4"/>
      <c r="EVV240" s="4"/>
      <c r="EVW240" s="4"/>
      <c r="EVX240" s="4"/>
      <c r="EVY240" s="4"/>
      <c r="EVZ240" s="4"/>
      <c r="EWA240" s="4"/>
      <c r="EWB240" s="4"/>
      <c r="EWC240" s="4"/>
      <c r="EWD240" s="4"/>
      <c r="EWE240" s="4"/>
      <c r="EWF240" s="4"/>
      <c r="EWG240" s="4"/>
      <c r="EWH240" s="4"/>
      <c r="EWI240" s="4"/>
      <c r="EWJ240" s="4"/>
      <c r="EWK240" s="4"/>
      <c r="EWL240" s="4"/>
      <c r="EWM240" s="4"/>
      <c r="EWN240" s="4"/>
      <c r="EWO240" s="4"/>
      <c r="EWP240" s="4"/>
      <c r="EWQ240" s="4"/>
      <c r="EWR240" s="4"/>
      <c r="EWS240" s="4"/>
      <c r="EWT240" s="4"/>
      <c r="EWU240" s="4"/>
      <c r="EWV240" s="4"/>
      <c r="EWW240" s="4"/>
      <c r="EWX240" s="4"/>
      <c r="EWY240" s="4"/>
      <c r="EWZ240" s="4"/>
      <c r="EXA240" s="4"/>
      <c r="EXB240" s="4"/>
      <c r="EXC240" s="4"/>
      <c r="EXD240" s="4"/>
      <c r="EXE240" s="4"/>
      <c r="EXF240" s="4"/>
      <c r="EXG240" s="4"/>
      <c r="EXH240" s="4"/>
      <c r="EXI240" s="4"/>
      <c r="EXJ240" s="4"/>
      <c r="EXK240" s="4"/>
      <c r="EXL240" s="4"/>
      <c r="EXM240" s="4"/>
      <c r="EXN240" s="4"/>
      <c r="EXO240" s="4"/>
      <c r="EXP240" s="4"/>
      <c r="EXQ240" s="4"/>
      <c r="EXR240" s="4"/>
      <c r="EXS240" s="4"/>
      <c r="EXT240" s="4"/>
      <c r="EXU240" s="4"/>
      <c r="EXV240" s="4"/>
      <c r="EXW240" s="4"/>
      <c r="EXX240" s="4"/>
      <c r="EXY240" s="4"/>
      <c r="EXZ240" s="4"/>
      <c r="EYA240" s="4"/>
      <c r="EYB240" s="4"/>
      <c r="EYC240" s="4"/>
      <c r="EYD240" s="4"/>
      <c r="EYE240" s="4"/>
      <c r="EYF240" s="4"/>
      <c r="EYG240" s="4"/>
      <c r="EYH240" s="4"/>
      <c r="EYI240" s="4"/>
      <c r="EYJ240" s="4"/>
      <c r="EYK240" s="4"/>
      <c r="EYL240" s="4"/>
      <c r="EYM240" s="4"/>
      <c r="EYN240" s="4"/>
      <c r="EYO240" s="4"/>
      <c r="EYP240" s="4"/>
      <c r="EYQ240" s="4"/>
      <c r="EYR240" s="4"/>
      <c r="EYS240" s="4"/>
      <c r="EYT240" s="4"/>
      <c r="EYU240" s="4"/>
      <c r="EYV240" s="4"/>
      <c r="EYW240" s="4"/>
      <c r="EYX240" s="4"/>
      <c r="EYY240" s="4"/>
      <c r="EYZ240" s="4"/>
      <c r="EZA240" s="4"/>
      <c r="EZB240" s="4"/>
      <c r="EZC240" s="4"/>
      <c r="EZD240" s="4"/>
      <c r="EZE240" s="4"/>
      <c r="EZF240" s="4"/>
      <c r="EZG240" s="4"/>
      <c r="EZH240" s="4"/>
      <c r="EZI240" s="4"/>
      <c r="EZJ240" s="4"/>
      <c r="EZK240" s="4"/>
      <c r="EZL240" s="4"/>
      <c r="EZM240" s="4"/>
      <c r="EZN240" s="4"/>
      <c r="EZO240" s="4"/>
      <c r="EZP240" s="4"/>
      <c r="EZQ240" s="4"/>
      <c r="EZR240" s="4"/>
      <c r="EZS240" s="4"/>
      <c r="EZT240" s="4"/>
      <c r="EZU240" s="4"/>
      <c r="EZV240" s="4"/>
      <c r="EZW240" s="4"/>
      <c r="EZX240" s="4"/>
      <c r="EZY240" s="4"/>
      <c r="EZZ240" s="4"/>
      <c r="FAA240" s="4"/>
      <c r="FAB240" s="4"/>
      <c r="FAC240" s="4"/>
      <c r="FAD240" s="4"/>
      <c r="FAE240" s="4"/>
      <c r="FAF240" s="4"/>
      <c r="FAG240" s="4"/>
      <c r="FAH240" s="4"/>
      <c r="FAI240" s="4"/>
      <c r="FAJ240" s="4"/>
      <c r="FAK240" s="4"/>
      <c r="FAL240" s="4"/>
      <c r="FAM240" s="4"/>
      <c r="FAN240" s="4"/>
      <c r="FAO240" s="4"/>
      <c r="FAP240" s="4"/>
      <c r="FAQ240" s="4"/>
      <c r="FAR240" s="4"/>
      <c r="FAS240" s="4"/>
      <c r="FAT240" s="4"/>
      <c r="FAU240" s="4"/>
      <c r="FAV240" s="4"/>
      <c r="FAW240" s="4"/>
      <c r="FAX240" s="4"/>
      <c r="FAY240" s="4"/>
      <c r="FAZ240" s="4"/>
      <c r="FBA240" s="4"/>
      <c r="FBB240" s="4"/>
      <c r="FBC240" s="4"/>
      <c r="FBD240" s="4"/>
      <c r="FBE240" s="4"/>
      <c r="FBF240" s="4"/>
      <c r="FBG240" s="4"/>
      <c r="FBH240" s="4"/>
      <c r="FBI240" s="4"/>
      <c r="FBJ240" s="4"/>
      <c r="FBK240" s="4"/>
      <c r="FBL240" s="4"/>
      <c r="FBM240" s="4"/>
      <c r="FBN240" s="4"/>
      <c r="FBO240" s="4"/>
      <c r="FBP240" s="4"/>
      <c r="FBQ240" s="4"/>
      <c r="FBR240" s="4"/>
      <c r="FBS240" s="4"/>
      <c r="FBT240" s="4"/>
      <c r="FBU240" s="4"/>
      <c r="FBV240" s="4"/>
      <c r="FBW240" s="4"/>
      <c r="FBX240" s="4"/>
      <c r="FBY240" s="4"/>
      <c r="FBZ240" s="4"/>
      <c r="FCA240" s="4"/>
      <c r="FCB240" s="4"/>
      <c r="FCC240" s="4"/>
      <c r="FCD240" s="4"/>
      <c r="FCE240" s="4"/>
      <c r="FCF240" s="4"/>
      <c r="FCG240" s="4"/>
      <c r="FCH240" s="4"/>
      <c r="FCI240" s="4"/>
      <c r="FCJ240" s="4"/>
      <c r="FCK240" s="4"/>
      <c r="FCL240" s="4"/>
      <c r="FCM240" s="4"/>
      <c r="FCN240" s="4"/>
      <c r="FCO240" s="4"/>
      <c r="FCP240" s="4"/>
      <c r="FCQ240" s="4"/>
      <c r="FCR240" s="4"/>
      <c r="FCS240" s="4"/>
      <c r="FCT240" s="4"/>
      <c r="FCU240" s="4"/>
      <c r="FCV240" s="4"/>
      <c r="FCW240" s="4"/>
      <c r="FCX240" s="4"/>
      <c r="FCY240" s="4"/>
      <c r="FCZ240" s="4"/>
      <c r="FDA240" s="4"/>
      <c r="FDB240" s="4"/>
      <c r="FDC240" s="4"/>
      <c r="FDD240" s="4"/>
      <c r="FDE240" s="4"/>
      <c r="FDF240" s="4"/>
      <c r="FDG240" s="4"/>
      <c r="FDH240" s="4"/>
      <c r="FDI240" s="4"/>
      <c r="FDJ240" s="4"/>
      <c r="FDK240" s="4"/>
      <c r="FDL240" s="4"/>
      <c r="FDM240" s="4"/>
      <c r="FDN240" s="4"/>
      <c r="FDO240" s="4"/>
      <c r="FDP240" s="4"/>
      <c r="FDQ240" s="4"/>
      <c r="FDR240" s="4"/>
      <c r="FDS240" s="4"/>
      <c r="FDT240" s="4"/>
      <c r="FDU240" s="4"/>
      <c r="FDV240" s="4"/>
      <c r="FDW240" s="4"/>
      <c r="FDX240" s="4"/>
      <c r="FDY240" s="4"/>
      <c r="FDZ240" s="4"/>
      <c r="FEA240" s="4"/>
      <c r="FEB240" s="4"/>
      <c r="FEC240" s="4"/>
      <c r="FED240" s="4"/>
      <c r="FEE240" s="4"/>
      <c r="FEF240" s="4"/>
      <c r="FEG240" s="4"/>
      <c r="FEH240" s="4"/>
      <c r="FEI240" s="4"/>
      <c r="FEJ240" s="4"/>
      <c r="FEK240" s="4"/>
      <c r="FEL240" s="4"/>
      <c r="FEM240" s="4"/>
      <c r="FEN240" s="4"/>
      <c r="FEO240" s="4"/>
      <c r="FEP240" s="4"/>
      <c r="FEQ240" s="4"/>
      <c r="FER240" s="4"/>
      <c r="FES240" s="4"/>
      <c r="FET240" s="4"/>
      <c r="FEU240" s="4"/>
      <c r="FEV240" s="4"/>
      <c r="FEW240" s="4"/>
      <c r="FEX240" s="4"/>
      <c r="FEY240" s="4"/>
      <c r="FEZ240" s="4"/>
      <c r="FFA240" s="4"/>
      <c r="FFB240" s="4"/>
      <c r="FFC240" s="4"/>
      <c r="FFD240" s="4"/>
      <c r="FFE240" s="4"/>
      <c r="FFF240" s="4"/>
      <c r="FFG240" s="4"/>
      <c r="FFH240" s="4"/>
      <c r="FFI240" s="4"/>
      <c r="FFJ240" s="4"/>
      <c r="FFK240" s="4"/>
      <c r="FFL240" s="4"/>
      <c r="FFM240" s="4"/>
      <c r="FFN240" s="4"/>
      <c r="FFO240" s="4"/>
      <c r="FFP240" s="4"/>
      <c r="FFQ240" s="4"/>
      <c r="FFR240" s="4"/>
      <c r="FFS240" s="4"/>
      <c r="FFT240" s="4"/>
      <c r="FFU240" s="4"/>
      <c r="FFV240" s="4"/>
      <c r="FFW240" s="4"/>
      <c r="FFX240" s="4"/>
      <c r="FFY240" s="4"/>
      <c r="FFZ240" s="4"/>
      <c r="FGA240" s="4"/>
      <c r="FGB240" s="4"/>
      <c r="FGC240" s="4"/>
      <c r="FGD240" s="4"/>
      <c r="FGE240" s="4"/>
      <c r="FGF240" s="4"/>
      <c r="FGG240" s="4"/>
      <c r="FGH240" s="4"/>
      <c r="FGI240" s="4"/>
      <c r="FGJ240" s="4"/>
      <c r="FGK240" s="4"/>
      <c r="FGL240" s="4"/>
      <c r="FGM240" s="4"/>
      <c r="FGN240" s="4"/>
      <c r="FGO240" s="4"/>
      <c r="FGP240" s="4"/>
      <c r="FGQ240" s="4"/>
      <c r="FGR240" s="4"/>
      <c r="FGS240" s="4"/>
      <c r="FGT240" s="4"/>
      <c r="FGU240" s="4"/>
      <c r="FGV240" s="4"/>
      <c r="FGW240" s="4"/>
      <c r="FGX240" s="4"/>
      <c r="FGY240" s="4"/>
      <c r="FGZ240" s="4"/>
      <c r="FHA240" s="4"/>
      <c r="FHB240" s="4"/>
      <c r="FHC240" s="4"/>
      <c r="FHD240" s="4"/>
      <c r="FHE240" s="4"/>
      <c r="FHF240" s="4"/>
      <c r="FHG240" s="4"/>
      <c r="FHH240" s="4"/>
      <c r="FHI240" s="4"/>
      <c r="FHJ240" s="4"/>
      <c r="FHK240" s="4"/>
      <c r="FHL240" s="4"/>
      <c r="FHM240" s="4"/>
      <c r="FHN240" s="4"/>
      <c r="FHO240" s="4"/>
      <c r="FHP240" s="4"/>
      <c r="FHQ240" s="4"/>
      <c r="FHR240" s="4"/>
      <c r="FHS240" s="4"/>
      <c r="FHT240" s="4"/>
      <c r="FHU240" s="4"/>
      <c r="FHV240" s="4"/>
      <c r="FHW240" s="4"/>
      <c r="FHX240" s="4"/>
      <c r="FHY240" s="4"/>
      <c r="FHZ240" s="4"/>
      <c r="FIA240" s="4"/>
      <c r="FIB240" s="4"/>
      <c r="FIC240" s="4"/>
      <c r="FID240" s="4"/>
      <c r="FIE240" s="4"/>
      <c r="FIF240" s="4"/>
      <c r="FIG240" s="4"/>
      <c r="FIH240" s="4"/>
      <c r="FII240" s="4"/>
      <c r="FIJ240" s="4"/>
      <c r="FIK240" s="4"/>
      <c r="FIL240" s="4"/>
      <c r="FIM240" s="4"/>
      <c r="FIN240" s="4"/>
      <c r="FIO240" s="4"/>
      <c r="FIP240" s="4"/>
      <c r="FIQ240" s="4"/>
      <c r="FIR240" s="4"/>
      <c r="FIS240" s="4"/>
      <c r="FIT240" s="4"/>
      <c r="FIU240" s="4"/>
      <c r="FIV240" s="4"/>
      <c r="FIW240" s="4"/>
      <c r="FIX240" s="4"/>
      <c r="FIY240" s="4"/>
      <c r="FIZ240" s="4"/>
      <c r="FJA240" s="4"/>
      <c r="FJB240" s="4"/>
      <c r="FJC240" s="4"/>
      <c r="FJD240" s="4"/>
      <c r="FJE240" s="4"/>
      <c r="FJF240" s="4"/>
      <c r="FJG240" s="4"/>
      <c r="FJH240" s="4"/>
      <c r="FJI240" s="4"/>
      <c r="FJJ240" s="4"/>
      <c r="FJK240" s="4"/>
      <c r="FJL240" s="4"/>
      <c r="FJM240" s="4"/>
      <c r="FJN240" s="4"/>
      <c r="FJO240" s="4"/>
      <c r="FJP240" s="4"/>
      <c r="FJQ240" s="4"/>
      <c r="FJR240" s="4"/>
      <c r="FJS240" s="4"/>
      <c r="FJT240" s="4"/>
      <c r="FJU240" s="4"/>
      <c r="FJV240" s="4"/>
      <c r="FJW240" s="4"/>
      <c r="FJX240" s="4"/>
      <c r="FJY240" s="4"/>
      <c r="FJZ240" s="4"/>
      <c r="FKA240" s="4"/>
      <c r="FKB240" s="4"/>
      <c r="FKC240" s="4"/>
      <c r="FKD240" s="4"/>
      <c r="FKE240" s="4"/>
      <c r="FKF240" s="4"/>
      <c r="FKG240" s="4"/>
      <c r="FKH240" s="4"/>
      <c r="FKI240" s="4"/>
      <c r="FKJ240" s="4"/>
      <c r="FKK240" s="4"/>
      <c r="FKL240" s="4"/>
      <c r="FKM240" s="4"/>
      <c r="FKN240" s="4"/>
      <c r="FKO240" s="4"/>
      <c r="FKP240" s="4"/>
      <c r="FKQ240" s="4"/>
      <c r="FKR240" s="4"/>
      <c r="FKS240" s="4"/>
      <c r="FKT240" s="4"/>
      <c r="FKU240" s="4"/>
      <c r="FKV240" s="4"/>
      <c r="FKW240" s="4"/>
      <c r="FKX240" s="4"/>
      <c r="FKY240" s="4"/>
      <c r="FKZ240" s="4"/>
      <c r="FLA240" s="4"/>
      <c r="FLB240" s="4"/>
      <c r="FLC240" s="4"/>
      <c r="FLD240" s="4"/>
      <c r="FLE240" s="4"/>
      <c r="FLF240" s="4"/>
      <c r="FLG240" s="4"/>
      <c r="FLH240" s="4"/>
      <c r="FLI240" s="4"/>
      <c r="FLJ240" s="4"/>
      <c r="FLK240" s="4"/>
      <c r="FLL240" s="4"/>
      <c r="FLM240" s="4"/>
      <c r="FLN240" s="4"/>
      <c r="FLO240" s="4"/>
      <c r="FLP240" s="4"/>
      <c r="FLQ240" s="4"/>
      <c r="FLR240" s="4"/>
      <c r="FLS240" s="4"/>
      <c r="FLT240" s="4"/>
      <c r="FLU240" s="4"/>
      <c r="FLV240" s="4"/>
      <c r="FLW240" s="4"/>
      <c r="FLX240" s="4"/>
      <c r="FLY240" s="4"/>
      <c r="FLZ240" s="4"/>
      <c r="FMA240" s="4"/>
      <c r="FMB240" s="4"/>
      <c r="FMC240" s="4"/>
      <c r="FMD240" s="4"/>
      <c r="FME240" s="4"/>
      <c r="FMF240" s="4"/>
      <c r="FMG240" s="4"/>
      <c r="FMH240" s="4"/>
      <c r="FMI240" s="4"/>
      <c r="FMJ240" s="4"/>
      <c r="FMK240" s="4"/>
      <c r="FML240" s="4"/>
      <c r="FMM240" s="4"/>
      <c r="FMN240" s="4"/>
      <c r="FMO240" s="4"/>
      <c r="FMP240" s="4"/>
      <c r="FMQ240" s="4"/>
      <c r="FMR240" s="4"/>
      <c r="FMS240" s="4"/>
      <c r="FMT240" s="4"/>
      <c r="FMU240" s="4"/>
      <c r="FMV240" s="4"/>
      <c r="FMW240" s="4"/>
      <c r="FMX240" s="4"/>
      <c r="FMY240" s="4"/>
      <c r="FMZ240" s="4"/>
      <c r="FNA240" s="4"/>
      <c r="FNB240" s="4"/>
      <c r="FNC240" s="4"/>
      <c r="FND240" s="4"/>
      <c r="FNE240" s="4"/>
      <c r="FNF240" s="4"/>
      <c r="FNG240" s="4"/>
      <c r="FNH240" s="4"/>
      <c r="FNI240" s="4"/>
      <c r="FNJ240" s="4"/>
      <c r="FNK240" s="4"/>
      <c r="FNL240" s="4"/>
      <c r="FNM240" s="4"/>
      <c r="FNN240" s="4"/>
      <c r="FNO240" s="4"/>
      <c r="FNP240" s="4"/>
      <c r="FNQ240" s="4"/>
      <c r="FNR240" s="4"/>
      <c r="FNS240" s="4"/>
      <c r="FNT240" s="4"/>
      <c r="FNU240" s="4"/>
      <c r="FNV240" s="4"/>
      <c r="FNW240" s="4"/>
      <c r="FNX240" s="4"/>
      <c r="FNY240" s="4"/>
      <c r="FNZ240" s="4"/>
      <c r="FOA240" s="4"/>
      <c r="FOB240" s="4"/>
      <c r="FOC240" s="4"/>
      <c r="FOD240" s="4"/>
      <c r="FOE240" s="4"/>
      <c r="FOF240" s="4"/>
      <c r="FOG240" s="4"/>
      <c r="FOH240" s="4"/>
      <c r="FOI240" s="4"/>
      <c r="FOJ240" s="4"/>
      <c r="FOK240" s="4"/>
      <c r="FOL240" s="4"/>
      <c r="FOM240" s="4"/>
      <c r="FON240" s="4"/>
      <c r="FOO240" s="4"/>
      <c r="FOP240" s="4"/>
      <c r="FOQ240" s="4"/>
      <c r="FOR240" s="4"/>
      <c r="FOS240" s="4"/>
      <c r="FOT240" s="4"/>
      <c r="FOU240" s="4"/>
      <c r="FOV240" s="4"/>
      <c r="FOW240" s="4"/>
      <c r="FOX240" s="4"/>
      <c r="FOY240" s="4"/>
      <c r="FOZ240" s="4"/>
      <c r="FPA240" s="4"/>
      <c r="FPB240" s="4"/>
      <c r="FPC240" s="4"/>
      <c r="FPD240" s="4"/>
      <c r="FPE240" s="4"/>
      <c r="FPF240" s="4"/>
      <c r="FPG240" s="4"/>
      <c r="FPH240" s="4"/>
      <c r="FPI240" s="4"/>
      <c r="FPJ240" s="4"/>
      <c r="FPK240" s="4"/>
      <c r="FPL240" s="4"/>
      <c r="FPM240" s="4"/>
      <c r="FPN240" s="4"/>
      <c r="FPO240" s="4"/>
      <c r="FPP240" s="4"/>
      <c r="FPQ240" s="4"/>
      <c r="FPR240" s="4"/>
      <c r="FPS240" s="4"/>
      <c r="FPT240" s="4"/>
      <c r="FPU240" s="4"/>
      <c r="FPV240" s="4"/>
      <c r="FPW240" s="4"/>
      <c r="FPX240" s="4"/>
      <c r="FPY240" s="4"/>
      <c r="FPZ240" s="4"/>
      <c r="FQA240" s="4"/>
      <c r="FQB240" s="4"/>
      <c r="FQC240" s="4"/>
      <c r="FQD240" s="4"/>
      <c r="FQE240" s="4"/>
      <c r="FQF240" s="4"/>
      <c r="FQG240" s="4"/>
      <c r="FQH240" s="4"/>
      <c r="FQI240" s="4"/>
      <c r="FQJ240" s="4"/>
      <c r="FQK240" s="4"/>
      <c r="FQL240" s="4"/>
      <c r="FQM240" s="4"/>
      <c r="FQN240" s="4"/>
      <c r="FQO240" s="4"/>
      <c r="FQP240" s="4"/>
      <c r="FQQ240" s="4"/>
      <c r="FQR240" s="4"/>
      <c r="FQS240" s="4"/>
      <c r="FQT240" s="4"/>
      <c r="FQU240" s="4"/>
      <c r="FQV240" s="4"/>
      <c r="FQW240" s="4"/>
      <c r="FQX240" s="4"/>
      <c r="FQY240" s="4"/>
      <c r="FQZ240" s="4"/>
      <c r="FRA240" s="4"/>
      <c r="FRB240" s="4"/>
      <c r="FRC240" s="4"/>
      <c r="FRD240" s="4"/>
      <c r="FRE240" s="4"/>
      <c r="FRF240" s="4"/>
      <c r="FRG240" s="4"/>
      <c r="FRH240" s="4"/>
      <c r="FRI240" s="4"/>
      <c r="FRJ240" s="4"/>
      <c r="FRK240" s="4"/>
      <c r="FRL240" s="4"/>
      <c r="FRM240" s="4"/>
      <c r="FRN240" s="4"/>
      <c r="FRO240" s="4"/>
      <c r="FRP240" s="4"/>
      <c r="FRQ240" s="4"/>
      <c r="FRR240" s="4"/>
      <c r="FRS240" s="4"/>
      <c r="FRT240" s="4"/>
      <c r="FRU240" s="4"/>
      <c r="FRV240" s="4"/>
      <c r="FRW240" s="4"/>
      <c r="FRX240" s="4"/>
      <c r="FRY240" s="4"/>
      <c r="FRZ240" s="4"/>
      <c r="FSA240" s="4"/>
      <c r="FSB240" s="4"/>
      <c r="FSC240" s="4"/>
      <c r="FSD240" s="4"/>
      <c r="FSE240" s="4"/>
      <c r="FSF240" s="4"/>
      <c r="FSG240" s="4"/>
      <c r="FSH240" s="4"/>
      <c r="FSI240" s="4"/>
      <c r="FSJ240" s="4"/>
      <c r="FSK240" s="4"/>
      <c r="FSL240" s="4"/>
      <c r="FSM240" s="4"/>
      <c r="FSN240" s="4"/>
      <c r="FSO240" s="4"/>
      <c r="FSP240" s="4"/>
      <c r="FSQ240" s="4"/>
      <c r="FSR240" s="4"/>
      <c r="FSS240" s="4"/>
      <c r="FST240" s="4"/>
      <c r="FSU240" s="4"/>
      <c r="FSV240" s="4"/>
      <c r="FSW240" s="4"/>
      <c r="FSX240" s="4"/>
      <c r="FSY240" s="4"/>
      <c r="FSZ240" s="4"/>
      <c r="FTA240" s="4"/>
      <c r="FTB240" s="4"/>
      <c r="FTC240" s="4"/>
      <c r="FTD240" s="4"/>
      <c r="FTE240" s="4"/>
      <c r="FTF240" s="4"/>
      <c r="FTG240" s="4"/>
      <c r="FTH240" s="4"/>
      <c r="FTI240" s="4"/>
      <c r="FTJ240" s="4"/>
      <c r="FTK240" s="4"/>
      <c r="FTL240" s="4"/>
      <c r="FTM240" s="4"/>
      <c r="FTN240" s="4"/>
      <c r="FTO240" s="4"/>
      <c r="FTP240" s="4"/>
      <c r="FTQ240" s="4"/>
      <c r="FTR240" s="4"/>
      <c r="FTS240" s="4"/>
      <c r="FTT240" s="4"/>
      <c r="FTU240" s="4"/>
      <c r="FTV240" s="4"/>
      <c r="FTW240" s="4"/>
      <c r="FTX240" s="4"/>
      <c r="FTY240" s="4"/>
      <c r="FTZ240" s="4"/>
      <c r="FUA240" s="4"/>
      <c r="FUB240" s="4"/>
      <c r="FUC240" s="4"/>
      <c r="FUD240" s="4"/>
      <c r="FUE240" s="4"/>
      <c r="FUF240" s="4"/>
      <c r="FUG240" s="4"/>
      <c r="FUH240" s="4"/>
      <c r="FUI240" s="4"/>
      <c r="FUJ240" s="4"/>
      <c r="FUK240" s="4"/>
      <c r="FUL240" s="4"/>
      <c r="FUM240" s="4"/>
      <c r="FUN240" s="4"/>
      <c r="FUO240" s="4"/>
      <c r="FUP240" s="4"/>
      <c r="FUQ240" s="4"/>
      <c r="FUR240" s="4"/>
      <c r="FUS240" s="4"/>
      <c r="FUT240" s="4"/>
      <c r="FUU240" s="4"/>
      <c r="FUV240" s="4"/>
      <c r="FUW240" s="4"/>
      <c r="FUX240" s="4"/>
      <c r="FUY240" s="4"/>
      <c r="FUZ240" s="4"/>
      <c r="FVA240" s="4"/>
      <c r="FVB240" s="4"/>
      <c r="FVC240" s="4"/>
      <c r="FVD240" s="4"/>
      <c r="FVE240" s="4"/>
      <c r="FVF240" s="4"/>
      <c r="FVG240" s="4"/>
      <c r="FVH240" s="4"/>
      <c r="FVI240" s="4"/>
      <c r="FVJ240" s="4"/>
      <c r="FVK240" s="4"/>
      <c r="FVL240" s="4"/>
      <c r="FVM240" s="4"/>
      <c r="FVN240" s="4"/>
      <c r="FVO240" s="4"/>
      <c r="FVP240" s="4"/>
      <c r="FVQ240" s="4"/>
      <c r="FVR240" s="4"/>
      <c r="FVS240" s="4"/>
      <c r="FVT240" s="4"/>
      <c r="FVU240" s="4"/>
      <c r="FVV240" s="4"/>
      <c r="FVW240" s="4"/>
      <c r="FVX240" s="4"/>
      <c r="FVY240" s="4"/>
      <c r="FVZ240" s="4"/>
      <c r="FWA240" s="4"/>
      <c r="FWB240" s="4"/>
      <c r="FWC240" s="4"/>
      <c r="FWD240" s="4"/>
      <c r="FWE240" s="4"/>
      <c r="FWF240" s="4"/>
      <c r="FWG240" s="4"/>
      <c r="FWH240" s="4"/>
      <c r="FWI240" s="4"/>
      <c r="FWJ240" s="4"/>
      <c r="FWK240" s="4"/>
      <c r="FWL240" s="4"/>
      <c r="FWM240" s="4"/>
      <c r="FWN240" s="4"/>
      <c r="FWO240" s="4"/>
      <c r="FWP240" s="4"/>
      <c r="FWQ240" s="4"/>
      <c r="FWR240" s="4"/>
      <c r="FWS240" s="4"/>
      <c r="FWT240" s="4"/>
      <c r="FWU240" s="4"/>
      <c r="FWV240" s="4"/>
      <c r="FWW240" s="4"/>
      <c r="FWX240" s="4"/>
      <c r="FWY240" s="4"/>
      <c r="FWZ240" s="4"/>
      <c r="FXA240" s="4"/>
      <c r="FXB240" s="4"/>
      <c r="FXC240" s="4"/>
      <c r="FXD240" s="4"/>
      <c r="FXE240" s="4"/>
      <c r="FXF240" s="4"/>
      <c r="FXG240" s="4"/>
      <c r="FXH240" s="4"/>
      <c r="FXI240" s="4"/>
      <c r="FXJ240" s="4"/>
      <c r="FXK240" s="4"/>
      <c r="FXL240" s="4"/>
      <c r="FXM240" s="4"/>
      <c r="FXN240" s="4"/>
      <c r="FXO240" s="4"/>
      <c r="FXP240" s="4"/>
      <c r="FXQ240" s="4"/>
      <c r="FXR240" s="4"/>
      <c r="FXS240" s="4"/>
      <c r="FXT240" s="4"/>
      <c r="FXU240" s="4"/>
      <c r="FXV240" s="4"/>
      <c r="FXW240" s="4"/>
      <c r="FXX240" s="4"/>
      <c r="FXY240" s="4"/>
      <c r="FXZ240" s="4"/>
      <c r="FYA240" s="4"/>
      <c r="FYB240" s="4"/>
      <c r="FYC240" s="4"/>
      <c r="FYD240" s="4"/>
      <c r="FYE240" s="4"/>
      <c r="FYF240" s="4"/>
      <c r="FYG240" s="4"/>
      <c r="FYH240" s="4"/>
      <c r="FYI240" s="4"/>
      <c r="FYJ240" s="4"/>
      <c r="FYK240" s="4"/>
      <c r="FYL240" s="4"/>
      <c r="FYM240" s="4"/>
      <c r="FYN240" s="4"/>
      <c r="FYO240" s="4"/>
      <c r="FYP240" s="4"/>
      <c r="FYQ240" s="4"/>
      <c r="FYR240" s="4"/>
      <c r="FYS240" s="4"/>
      <c r="FYT240" s="4"/>
      <c r="FYU240" s="4"/>
      <c r="FYV240" s="4"/>
      <c r="FYW240" s="4"/>
      <c r="FYX240" s="4"/>
      <c r="FYY240" s="4"/>
      <c r="FYZ240" s="4"/>
      <c r="FZA240" s="4"/>
      <c r="FZB240" s="4"/>
      <c r="FZC240" s="4"/>
      <c r="FZD240" s="4"/>
      <c r="FZE240" s="4"/>
      <c r="FZF240" s="4"/>
      <c r="FZG240" s="4"/>
      <c r="FZH240" s="4"/>
      <c r="FZI240" s="4"/>
      <c r="FZJ240" s="4"/>
      <c r="FZK240" s="4"/>
      <c r="FZL240" s="4"/>
      <c r="FZM240" s="4"/>
      <c r="FZN240" s="4"/>
      <c r="FZO240" s="4"/>
      <c r="FZP240" s="4"/>
      <c r="FZQ240" s="4"/>
      <c r="FZR240" s="4"/>
      <c r="FZS240" s="4"/>
      <c r="FZT240" s="4"/>
      <c r="FZU240" s="4"/>
      <c r="FZV240" s="4"/>
      <c r="FZW240" s="4"/>
      <c r="FZX240" s="4"/>
      <c r="FZY240" s="4"/>
      <c r="FZZ240" s="4"/>
      <c r="GAA240" s="4"/>
      <c r="GAB240" s="4"/>
      <c r="GAC240" s="4"/>
      <c r="GAD240" s="4"/>
      <c r="GAE240" s="4"/>
      <c r="GAF240" s="4"/>
      <c r="GAG240" s="4"/>
      <c r="GAH240" s="4"/>
      <c r="GAI240" s="4"/>
      <c r="GAJ240" s="4"/>
      <c r="GAK240" s="4"/>
      <c r="GAL240" s="4"/>
      <c r="GAM240" s="4"/>
      <c r="GAN240" s="4"/>
      <c r="GAO240" s="4"/>
      <c r="GAP240" s="4"/>
      <c r="GAQ240" s="4"/>
      <c r="GAR240" s="4"/>
      <c r="GAS240" s="4"/>
      <c r="GAT240" s="4"/>
      <c r="GAU240" s="4"/>
      <c r="GAV240" s="4"/>
      <c r="GAW240" s="4"/>
      <c r="GAX240" s="4"/>
      <c r="GAY240" s="4"/>
      <c r="GAZ240" s="4"/>
      <c r="GBA240" s="4"/>
      <c r="GBB240" s="4"/>
      <c r="GBC240" s="4"/>
      <c r="GBD240" s="4"/>
      <c r="GBE240" s="4"/>
      <c r="GBF240" s="4"/>
      <c r="GBG240" s="4"/>
      <c r="GBH240" s="4"/>
      <c r="GBI240" s="4"/>
      <c r="GBJ240" s="4"/>
      <c r="GBK240" s="4"/>
      <c r="GBL240" s="4"/>
      <c r="GBM240" s="4"/>
      <c r="GBN240" s="4"/>
      <c r="GBO240" s="4"/>
      <c r="GBP240" s="4"/>
      <c r="GBQ240" s="4"/>
      <c r="GBR240" s="4"/>
      <c r="GBS240" s="4"/>
      <c r="GBT240" s="4"/>
      <c r="GBU240" s="4"/>
      <c r="GBV240" s="4"/>
      <c r="GBW240" s="4"/>
      <c r="GBX240" s="4"/>
      <c r="GBY240" s="4"/>
      <c r="GBZ240" s="4"/>
      <c r="GCA240" s="4"/>
      <c r="GCB240" s="4"/>
      <c r="GCC240" s="4"/>
      <c r="GCD240" s="4"/>
      <c r="GCE240" s="4"/>
      <c r="GCF240" s="4"/>
      <c r="GCG240" s="4"/>
      <c r="GCH240" s="4"/>
      <c r="GCI240" s="4"/>
      <c r="GCJ240" s="4"/>
      <c r="GCK240" s="4"/>
      <c r="GCL240" s="4"/>
      <c r="GCM240" s="4"/>
      <c r="GCN240" s="4"/>
      <c r="GCO240" s="4"/>
      <c r="GCP240" s="4"/>
      <c r="GCQ240" s="4"/>
      <c r="GCR240" s="4"/>
      <c r="GCS240" s="4"/>
      <c r="GCT240" s="4"/>
      <c r="GCU240" s="4"/>
      <c r="GCV240" s="4"/>
      <c r="GCW240" s="4"/>
      <c r="GCX240" s="4"/>
      <c r="GCY240" s="4"/>
      <c r="GCZ240" s="4"/>
      <c r="GDA240" s="4"/>
      <c r="GDB240" s="4"/>
      <c r="GDC240" s="4"/>
      <c r="GDD240" s="4"/>
      <c r="GDE240" s="4"/>
      <c r="GDF240" s="4"/>
      <c r="GDG240" s="4"/>
      <c r="GDH240" s="4"/>
      <c r="GDI240" s="4"/>
      <c r="GDJ240" s="4"/>
      <c r="GDK240" s="4"/>
      <c r="GDL240" s="4"/>
      <c r="GDM240" s="4"/>
      <c r="GDN240" s="4"/>
      <c r="GDO240" s="4"/>
      <c r="GDP240" s="4"/>
      <c r="GDQ240" s="4"/>
      <c r="GDR240" s="4"/>
      <c r="GDS240" s="4"/>
      <c r="GDT240" s="4"/>
      <c r="GDU240" s="4"/>
      <c r="GDV240" s="4"/>
      <c r="GDW240" s="4"/>
      <c r="GDX240" s="4"/>
      <c r="GDY240" s="4"/>
      <c r="GDZ240" s="4"/>
      <c r="GEA240" s="4"/>
      <c r="GEB240" s="4"/>
      <c r="GEC240" s="4"/>
      <c r="GED240" s="4"/>
      <c r="GEE240" s="4"/>
      <c r="GEF240" s="4"/>
      <c r="GEG240" s="4"/>
      <c r="GEH240" s="4"/>
      <c r="GEI240" s="4"/>
      <c r="GEJ240" s="4"/>
      <c r="GEK240" s="4"/>
      <c r="GEL240" s="4"/>
      <c r="GEM240" s="4"/>
      <c r="GEN240" s="4"/>
      <c r="GEO240" s="4"/>
      <c r="GEP240" s="4"/>
      <c r="GEQ240" s="4"/>
      <c r="GER240" s="4"/>
      <c r="GES240" s="4"/>
      <c r="GET240" s="4"/>
      <c r="GEU240" s="4"/>
      <c r="GEV240" s="4"/>
      <c r="GEW240" s="4"/>
      <c r="GEX240" s="4"/>
      <c r="GEY240" s="4"/>
      <c r="GEZ240" s="4"/>
      <c r="GFA240" s="4"/>
      <c r="GFB240" s="4"/>
      <c r="GFC240" s="4"/>
      <c r="GFD240" s="4"/>
      <c r="GFE240" s="4"/>
      <c r="GFF240" s="4"/>
      <c r="GFG240" s="4"/>
      <c r="GFH240" s="4"/>
      <c r="GFI240" s="4"/>
      <c r="GFJ240" s="4"/>
      <c r="GFK240" s="4"/>
      <c r="GFL240" s="4"/>
      <c r="GFM240" s="4"/>
      <c r="GFN240" s="4"/>
      <c r="GFO240" s="4"/>
      <c r="GFP240" s="4"/>
      <c r="GFQ240" s="4"/>
      <c r="GFR240" s="4"/>
      <c r="GFS240" s="4"/>
      <c r="GFT240" s="4"/>
      <c r="GFU240" s="4"/>
      <c r="GFV240" s="4"/>
      <c r="GFW240" s="4"/>
      <c r="GFX240" s="4"/>
      <c r="GFY240" s="4"/>
      <c r="GFZ240" s="4"/>
      <c r="GGA240" s="4"/>
      <c r="GGB240" s="4"/>
      <c r="GGC240" s="4"/>
      <c r="GGD240" s="4"/>
      <c r="GGE240" s="4"/>
      <c r="GGF240" s="4"/>
      <c r="GGG240" s="4"/>
      <c r="GGH240" s="4"/>
      <c r="GGI240" s="4"/>
      <c r="GGJ240" s="4"/>
      <c r="GGK240" s="4"/>
      <c r="GGL240" s="4"/>
      <c r="GGM240" s="4"/>
      <c r="GGN240" s="4"/>
      <c r="GGO240" s="4"/>
      <c r="GGP240" s="4"/>
      <c r="GGQ240" s="4"/>
      <c r="GGR240" s="4"/>
      <c r="GGS240" s="4"/>
      <c r="GGT240" s="4"/>
      <c r="GGU240" s="4"/>
      <c r="GGV240" s="4"/>
      <c r="GGW240" s="4"/>
      <c r="GGX240" s="4"/>
      <c r="GGY240" s="4"/>
      <c r="GGZ240" s="4"/>
      <c r="GHA240" s="4"/>
      <c r="GHB240" s="4"/>
      <c r="GHC240" s="4"/>
      <c r="GHD240" s="4"/>
      <c r="GHE240" s="4"/>
      <c r="GHF240" s="4"/>
      <c r="GHG240" s="4"/>
      <c r="GHH240" s="4"/>
      <c r="GHI240" s="4"/>
      <c r="GHJ240" s="4"/>
      <c r="GHK240" s="4"/>
      <c r="GHL240" s="4"/>
      <c r="GHM240" s="4"/>
      <c r="GHN240" s="4"/>
      <c r="GHO240" s="4"/>
      <c r="GHP240" s="4"/>
      <c r="GHQ240" s="4"/>
      <c r="GHR240" s="4"/>
      <c r="GHS240" s="4"/>
      <c r="GHT240" s="4"/>
      <c r="GHU240" s="4"/>
      <c r="GHV240" s="4"/>
      <c r="GHW240" s="4"/>
      <c r="GHX240" s="4"/>
      <c r="GHY240" s="4"/>
      <c r="GHZ240" s="4"/>
      <c r="GIA240" s="4"/>
      <c r="GIB240" s="4"/>
      <c r="GIC240" s="4"/>
      <c r="GID240" s="4"/>
      <c r="GIE240" s="4"/>
      <c r="GIF240" s="4"/>
      <c r="GIG240" s="4"/>
      <c r="GIH240" s="4"/>
      <c r="GII240" s="4"/>
      <c r="GIJ240" s="4"/>
      <c r="GIK240" s="4"/>
      <c r="GIL240" s="4"/>
      <c r="GIM240" s="4"/>
      <c r="GIN240" s="4"/>
      <c r="GIO240" s="4"/>
      <c r="GIP240" s="4"/>
      <c r="GIQ240" s="4"/>
      <c r="GIR240" s="4"/>
      <c r="GIS240" s="4"/>
      <c r="GIT240" s="4"/>
      <c r="GIU240" s="4"/>
      <c r="GIV240" s="4"/>
      <c r="GIW240" s="4"/>
      <c r="GIX240" s="4"/>
      <c r="GIY240" s="4"/>
      <c r="GIZ240" s="4"/>
      <c r="GJA240" s="4"/>
      <c r="GJB240" s="4"/>
      <c r="GJC240" s="4"/>
      <c r="GJD240" s="4"/>
      <c r="GJE240" s="4"/>
      <c r="GJF240" s="4"/>
      <c r="GJG240" s="4"/>
      <c r="GJH240" s="4"/>
      <c r="GJI240" s="4"/>
      <c r="GJJ240" s="4"/>
      <c r="GJK240" s="4"/>
      <c r="GJL240" s="4"/>
      <c r="GJM240" s="4"/>
      <c r="GJN240" s="4"/>
      <c r="GJO240" s="4"/>
      <c r="GJP240" s="4"/>
      <c r="GJQ240" s="4"/>
      <c r="GJR240" s="4"/>
      <c r="GJS240" s="4"/>
      <c r="GJT240" s="4"/>
      <c r="GJU240" s="4"/>
      <c r="GJV240" s="4"/>
      <c r="GJW240" s="4"/>
      <c r="GJX240" s="4"/>
      <c r="GJY240" s="4"/>
      <c r="GJZ240" s="4"/>
      <c r="GKA240" s="4"/>
      <c r="GKB240" s="4"/>
      <c r="GKC240" s="4"/>
      <c r="GKD240" s="4"/>
      <c r="GKE240" s="4"/>
      <c r="GKF240" s="4"/>
      <c r="GKG240" s="4"/>
      <c r="GKH240" s="4"/>
      <c r="GKI240" s="4"/>
      <c r="GKJ240" s="4"/>
      <c r="GKK240" s="4"/>
      <c r="GKL240" s="4"/>
      <c r="GKM240" s="4"/>
      <c r="GKN240" s="4"/>
      <c r="GKO240" s="4"/>
      <c r="GKP240" s="4"/>
      <c r="GKQ240" s="4"/>
      <c r="GKR240" s="4"/>
      <c r="GKS240" s="4"/>
      <c r="GKT240" s="4"/>
      <c r="GKU240" s="4"/>
      <c r="GKV240" s="4"/>
      <c r="GKW240" s="4"/>
      <c r="GKX240" s="4"/>
      <c r="GKY240" s="4"/>
      <c r="GKZ240" s="4"/>
      <c r="GLA240" s="4"/>
      <c r="GLB240" s="4"/>
      <c r="GLC240" s="4"/>
      <c r="GLD240" s="4"/>
      <c r="GLE240" s="4"/>
      <c r="GLF240" s="4"/>
      <c r="GLG240" s="4"/>
      <c r="GLH240" s="4"/>
      <c r="GLI240" s="4"/>
      <c r="GLJ240" s="4"/>
      <c r="GLK240" s="4"/>
      <c r="GLL240" s="4"/>
      <c r="GLM240" s="4"/>
      <c r="GLN240" s="4"/>
      <c r="GLO240" s="4"/>
      <c r="GLP240" s="4"/>
      <c r="GLQ240" s="4"/>
      <c r="GLR240" s="4"/>
      <c r="GLS240" s="4"/>
      <c r="GLT240" s="4"/>
      <c r="GLU240" s="4"/>
      <c r="GLV240" s="4"/>
      <c r="GLW240" s="4"/>
      <c r="GLX240" s="4"/>
      <c r="GLY240" s="4"/>
      <c r="GLZ240" s="4"/>
      <c r="GMA240" s="4"/>
      <c r="GMB240" s="4"/>
      <c r="GMC240" s="4"/>
      <c r="GMD240" s="4"/>
      <c r="GME240" s="4"/>
      <c r="GMF240" s="4"/>
      <c r="GMG240" s="4"/>
      <c r="GMH240" s="4"/>
      <c r="GMI240" s="4"/>
      <c r="GMJ240" s="4"/>
      <c r="GMK240" s="4"/>
      <c r="GML240" s="4"/>
      <c r="GMM240" s="4"/>
      <c r="GMN240" s="4"/>
      <c r="GMO240" s="4"/>
      <c r="GMP240" s="4"/>
      <c r="GMQ240" s="4"/>
      <c r="GMR240" s="4"/>
      <c r="GMS240" s="4"/>
      <c r="GMT240" s="4"/>
      <c r="GMU240" s="4"/>
      <c r="GMV240" s="4"/>
      <c r="GMW240" s="4"/>
      <c r="GMX240" s="4"/>
      <c r="GMY240" s="4"/>
      <c r="GMZ240" s="4"/>
      <c r="GNA240" s="4"/>
      <c r="GNB240" s="4"/>
      <c r="GNC240" s="4"/>
      <c r="GND240" s="4"/>
      <c r="GNE240" s="4"/>
      <c r="GNF240" s="4"/>
      <c r="GNG240" s="4"/>
      <c r="GNH240" s="4"/>
      <c r="GNI240" s="4"/>
      <c r="GNJ240" s="4"/>
      <c r="GNK240" s="4"/>
      <c r="GNL240" s="4"/>
      <c r="GNM240" s="4"/>
      <c r="GNN240" s="4"/>
      <c r="GNO240" s="4"/>
      <c r="GNP240" s="4"/>
      <c r="GNQ240" s="4"/>
      <c r="GNR240" s="4"/>
      <c r="GNS240" s="4"/>
      <c r="GNT240" s="4"/>
      <c r="GNU240" s="4"/>
      <c r="GNV240" s="4"/>
      <c r="GNW240" s="4"/>
      <c r="GNX240" s="4"/>
      <c r="GNY240" s="4"/>
      <c r="GNZ240" s="4"/>
      <c r="GOA240" s="4"/>
      <c r="GOB240" s="4"/>
      <c r="GOC240" s="4"/>
      <c r="GOD240" s="4"/>
      <c r="GOE240" s="4"/>
      <c r="GOF240" s="4"/>
      <c r="GOG240" s="4"/>
      <c r="GOH240" s="4"/>
      <c r="GOI240" s="4"/>
      <c r="GOJ240" s="4"/>
      <c r="GOK240" s="4"/>
      <c r="GOL240" s="4"/>
      <c r="GOM240" s="4"/>
      <c r="GON240" s="4"/>
      <c r="GOO240" s="4"/>
      <c r="GOP240" s="4"/>
      <c r="GOQ240" s="4"/>
      <c r="GOR240" s="4"/>
      <c r="GOS240" s="4"/>
      <c r="GOT240" s="4"/>
      <c r="GOU240" s="4"/>
      <c r="GOV240" s="4"/>
      <c r="GOW240" s="4"/>
      <c r="GOX240" s="4"/>
      <c r="GOY240" s="4"/>
      <c r="GOZ240" s="4"/>
      <c r="GPA240" s="4"/>
      <c r="GPB240" s="4"/>
      <c r="GPC240" s="4"/>
      <c r="GPD240" s="4"/>
      <c r="GPE240" s="4"/>
      <c r="GPF240" s="4"/>
      <c r="GPG240" s="4"/>
      <c r="GPH240" s="4"/>
      <c r="GPI240" s="4"/>
      <c r="GPJ240" s="4"/>
      <c r="GPK240" s="4"/>
      <c r="GPL240" s="4"/>
      <c r="GPM240" s="4"/>
      <c r="GPN240" s="4"/>
      <c r="GPO240" s="4"/>
      <c r="GPP240" s="4"/>
      <c r="GPQ240" s="4"/>
      <c r="GPR240" s="4"/>
      <c r="GPS240" s="4"/>
      <c r="GPT240" s="4"/>
      <c r="GPU240" s="4"/>
      <c r="GPV240" s="4"/>
      <c r="GPW240" s="4"/>
      <c r="GPX240" s="4"/>
      <c r="GPY240" s="4"/>
      <c r="GPZ240" s="4"/>
      <c r="GQA240" s="4"/>
      <c r="GQB240" s="4"/>
      <c r="GQC240" s="4"/>
      <c r="GQD240" s="4"/>
      <c r="GQE240" s="4"/>
      <c r="GQF240" s="4"/>
      <c r="GQG240" s="4"/>
      <c r="GQH240" s="4"/>
      <c r="GQI240" s="4"/>
      <c r="GQJ240" s="4"/>
      <c r="GQK240" s="4"/>
      <c r="GQL240" s="4"/>
      <c r="GQM240" s="4"/>
      <c r="GQN240" s="4"/>
      <c r="GQO240" s="4"/>
      <c r="GQP240" s="4"/>
      <c r="GQQ240" s="4"/>
      <c r="GQR240" s="4"/>
      <c r="GQS240" s="4"/>
      <c r="GQT240" s="4"/>
      <c r="GQU240" s="4"/>
      <c r="GQV240" s="4"/>
      <c r="GQW240" s="4"/>
      <c r="GQX240" s="4"/>
      <c r="GQY240" s="4"/>
      <c r="GQZ240" s="4"/>
      <c r="GRA240" s="4"/>
      <c r="GRB240" s="4"/>
      <c r="GRC240" s="4"/>
      <c r="GRD240" s="4"/>
      <c r="GRE240" s="4"/>
      <c r="GRF240" s="4"/>
      <c r="GRG240" s="4"/>
      <c r="GRH240" s="4"/>
      <c r="GRI240" s="4"/>
      <c r="GRJ240" s="4"/>
      <c r="GRK240" s="4"/>
      <c r="GRL240" s="4"/>
      <c r="GRM240" s="4"/>
      <c r="GRN240" s="4"/>
      <c r="GRO240" s="4"/>
      <c r="GRP240" s="4"/>
      <c r="GRQ240" s="4"/>
      <c r="GRR240" s="4"/>
      <c r="GRS240" s="4"/>
      <c r="GRT240" s="4"/>
      <c r="GRU240" s="4"/>
      <c r="GRV240" s="4"/>
      <c r="GRW240" s="4"/>
      <c r="GRX240" s="4"/>
      <c r="GRY240" s="4"/>
      <c r="GRZ240" s="4"/>
      <c r="GSA240" s="4"/>
      <c r="GSB240" s="4"/>
      <c r="GSC240" s="4"/>
      <c r="GSD240" s="4"/>
      <c r="GSE240" s="4"/>
      <c r="GSF240" s="4"/>
      <c r="GSG240" s="4"/>
      <c r="GSH240" s="4"/>
      <c r="GSI240" s="4"/>
      <c r="GSJ240" s="4"/>
      <c r="GSK240" s="4"/>
      <c r="GSL240" s="4"/>
      <c r="GSM240" s="4"/>
      <c r="GSN240" s="4"/>
      <c r="GSO240" s="4"/>
      <c r="GSP240" s="4"/>
      <c r="GSQ240" s="4"/>
      <c r="GSR240" s="4"/>
      <c r="GSS240" s="4"/>
      <c r="GST240" s="4"/>
      <c r="GSU240" s="4"/>
      <c r="GSV240" s="4"/>
      <c r="GSW240" s="4"/>
      <c r="GSX240" s="4"/>
      <c r="GSY240" s="4"/>
      <c r="GSZ240" s="4"/>
      <c r="GTA240" s="4"/>
      <c r="GTB240" s="4"/>
      <c r="GTC240" s="4"/>
      <c r="GTD240" s="4"/>
      <c r="GTE240" s="4"/>
      <c r="GTF240" s="4"/>
      <c r="GTG240" s="4"/>
      <c r="GTH240" s="4"/>
      <c r="GTI240" s="4"/>
      <c r="GTJ240" s="4"/>
      <c r="GTK240" s="4"/>
      <c r="GTL240" s="4"/>
      <c r="GTM240" s="4"/>
      <c r="GTN240" s="4"/>
      <c r="GTO240" s="4"/>
      <c r="GTP240" s="4"/>
      <c r="GTQ240" s="4"/>
      <c r="GTR240" s="4"/>
      <c r="GTS240" s="4"/>
      <c r="GTT240" s="4"/>
      <c r="GTU240" s="4"/>
      <c r="GTV240" s="4"/>
      <c r="GTW240" s="4"/>
      <c r="GTX240" s="4"/>
      <c r="GTY240" s="4"/>
      <c r="GTZ240" s="4"/>
      <c r="GUA240" s="4"/>
      <c r="GUB240" s="4"/>
      <c r="GUC240" s="4"/>
      <c r="GUD240" s="4"/>
      <c r="GUE240" s="4"/>
      <c r="GUF240" s="4"/>
      <c r="GUG240" s="4"/>
      <c r="GUH240" s="4"/>
      <c r="GUI240" s="4"/>
      <c r="GUJ240" s="4"/>
      <c r="GUK240" s="4"/>
      <c r="GUL240" s="4"/>
      <c r="GUM240" s="4"/>
      <c r="GUN240" s="4"/>
      <c r="GUO240" s="4"/>
      <c r="GUP240" s="4"/>
      <c r="GUQ240" s="4"/>
      <c r="GUR240" s="4"/>
      <c r="GUS240" s="4"/>
      <c r="GUT240" s="4"/>
      <c r="GUU240" s="4"/>
      <c r="GUV240" s="4"/>
      <c r="GUW240" s="4"/>
      <c r="GUX240" s="4"/>
      <c r="GUY240" s="4"/>
      <c r="GUZ240" s="4"/>
      <c r="GVA240" s="4"/>
      <c r="GVB240" s="4"/>
      <c r="GVC240" s="4"/>
      <c r="GVD240" s="4"/>
      <c r="GVE240" s="4"/>
      <c r="GVF240" s="4"/>
      <c r="GVG240" s="4"/>
      <c r="GVH240" s="4"/>
      <c r="GVI240" s="4"/>
      <c r="GVJ240" s="4"/>
      <c r="GVK240" s="4"/>
      <c r="GVL240" s="4"/>
      <c r="GVM240" s="4"/>
      <c r="GVN240" s="4"/>
      <c r="GVO240" s="4"/>
      <c r="GVP240" s="4"/>
      <c r="GVQ240" s="4"/>
      <c r="GVR240" s="4"/>
      <c r="GVS240" s="4"/>
      <c r="GVT240" s="4"/>
      <c r="GVU240" s="4"/>
      <c r="GVV240" s="4"/>
      <c r="GVW240" s="4"/>
      <c r="GVX240" s="4"/>
      <c r="GVY240" s="4"/>
      <c r="GVZ240" s="4"/>
      <c r="GWA240" s="4"/>
      <c r="GWB240" s="4"/>
      <c r="GWC240" s="4"/>
      <c r="GWD240" s="4"/>
      <c r="GWE240" s="4"/>
      <c r="GWF240" s="4"/>
      <c r="GWG240" s="4"/>
      <c r="GWH240" s="4"/>
      <c r="GWI240" s="4"/>
      <c r="GWJ240" s="4"/>
      <c r="GWK240" s="4"/>
      <c r="GWL240" s="4"/>
      <c r="GWM240" s="4"/>
      <c r="GWN240" s="4"/>
      <c r="GWO240" s="4"/>
      <c r="GWP240" s="4"/>
      <c r="GWQ240" s="4"/>
      <c r="GWR240" s="4"/>
      <c r="GWS240" s="4"/>
      <c r="GWT240" s="4"/>
      <c r="GWU240" s="4"/>
      <c r="GWV240" s="4"/>
      <c r="GWW240" s="4"/>
      <c r="GWX240" s="4"/>
      <c r="GWY240" s="4"/>
      <c r="GWZ240" s="4"/>
      <c r="GXA240" s="4"/>
      <c r="GXB240" s="4"/>
      <c r="GXC240" s="4"/>
      <c r="GXD240" s="4"/>
      <c r="GXE240" s="4"/>
      <c r="GXF240" s="4"/>
      <c r="GXG240" s="4"/>
      <c r="GXH240" s="4"/>
      <c r="GXI240" s="4"/>
      <c r="GXJ240" s="4"/>
      <c r="GXK240" s="4"/>
      <c r="GXL240" s="4"/>
      <c r="GXM240" s="4"/>
      <c r="GXN240" s="4"/>
      <c r="GXO240" s="4"/>
      <c r="GXP240" s="4"/>
      <c r="GXQ240" s="4"/>
      <c r="GXR240" s="4"/>
      <c r="GXS240" s="4"/>
      <c r="GXT240" s="4"/>
      <c r="GXU240" s="4"/>
      <c r="GXV240" s="4"/>
      <c r="GXW240" s="4"/>
      <c r="GXX240" s="4"/>
      <c r="GXY240" s="4"/>
      <c r="GXZ240" s="4"/>
      <c r="GYA240" s="4"/>
      <c r="GYB240" s="4"/>
      <c r="GYC240" s="4"/>
      <c r="GYD240" s="4"/>
      <c r="GYE240" s="4"/>
      <c r="GYF240" s="4"/>
      <c r="GYG240" s="4"/>
      <c r="GYH240" s="4"/>
      <c r="GYI240" s="4"/>
      <c r="GYJ240" s="4"/>
      <c r="GYK240" s="4"/>
      <c r="GYL240" s="4"/>
      <c r="GYM240" s="4"/>
      <c r="GYN240" s="4"/>
      <c r="GYO240" s="4"/>
      <c r="GYP240" s="4"/>
      <c r="GYQ240" s="4"/>
      <c r="GYR240" s="4"/>
      <c r="GYS240" s="4"/>
      <c r="GYT240" s="4"/>
      <c r="GYU240" s="4"/>
      <c r="GYV240" s="4"/>
      <c r="GYW240" s="4"/>
      <c r="GYX240" s="4"/>
      <c r="GYY240" s="4"/>
      <c r="GYZ240" s="4"/>
      <c r="GZA240" s="4"/>
      <c r="GZB240" s="4"/>
      <c r="GZC240" s="4"/>
      <c r="GZD240" s="4"/>
      <c r="GZE240" s="4"/>
      <c r="GZF240" s="4"/>
      <c r="GZG240" s="4"/>
      <c r="GZH240" s="4"/>
      <c r="GZI240" s="4"/>
      <c r="GZJ240" s="4"/>
      <c r="GZK240" s="4"/>
      <c r="GZL240" s="4"/>
      <c r="GZM240" s="4"/>
      <c r="GZN240" s="4"/>
      <c r="GZO240" s="4"/>
      <c r="GZP240" s="4"/>
      <c r="GZQ240" s="4"/>
      <c r="GZR240" s="4"/>
      <c r="GZS240" s="4"/>
      <c r="GZT240" s="4"/>
      <c r="GZU240" s="4"/>
      <c r="GZV240" s="4"/>
      <c r="GZW240" s="4"/>
      <c r="GZX240" s="4"/>
      <c r="GZY240" s="4"/>
      <c r="GZZ240" s="4"/>
      <c r="HAA240" s="4"/>
      <c r="HAB240" s="4"/>
      <c r="HAC240" s="4"/>
      <c r="HAD240" s="4"/>
      <c r="HAE240" s="4"/>
      <c r="HAF240" s="4"/>
      <c r="HAG240" s="4"/>
      <c r="HAH240" s="4"/>
      <c r="HAI240" s="4"/>
      <c r="HAJ240" s="4"/>
      <c r="HAK240" s="4"/>
      <c r="HAL240" s="4"/>
      <c r="HAM240" s="4"/>
      <c r="HAN240" s="4"/>
      <c r="HAO240" s="4"/>
      <c r="HAP240" s="4"/>
      <c r="HAQ240" s="4"/>
      <c r="HAR240" s="4"/>
      <c r="HAS240" s="4"/>
      <c r="HAT240" s="4"/>
      <c r="HAU240" s="4"/>
      <c r="HAV240" s="4"/>
      <c r="HAW240" s="4"/>
      <c r="HAX240" s="4"/>
      <c r="HAY240" s="4"/>
      <c r="HAZ240" s="4"/>
      <c r="HBA240" s="4"/>
      <c r="HBB240" s="4"/>
      <c r="HBC240" s="4"/>
      <c r="HBD240" s="4"/>
      <c r="HBE240" s="4"/>
      <c r="HBF240" s="4"/>
      <c r="HBG240" s="4"/>
      <c r="HBH240" s="4"/>
      <c r="HBI240" s="4"/>
      <c r="HBJ240" s="4"/>
      <c r="HBK240" s="4"/>
      <c r="HBL240" s="4"/>
      <c r="HBM240" s="4"/>
      <c r="HBN240" s="4"/>
      <c r="HBO240" s="4"/>
      <c r="HBP240" s="4"/>
      <c r="HBQ240" s="4"/>
      <c r="HBR240" s="4"/>
      <c r="HBS240" s="4"/>
      <c r="HBT240" s="4"/>
      <c r="HBU240" s="4"/>
      <c r="HBV240" s="4"/>
      <c r="HBW240" s="4"/>
      <c r="HBX240" s="4"/>
      <c r="HBY240" s="4"/>
      <c r="HBZ240" s="4"/>
      <c r="HCA240" s="4"/>
      <c r="HCB240" s="4"/>
      <c r="HCC240" s="4"/>
      <c r="HCD240" s="4"/>
      <c r="HCE240" s="4"/>
      <c r="HCF240" s="4"/>
      <c r="HCG240" s="4"/>
      <c r="HCH240" s="4"/>
      <c r="HCI240" s="4"/>
      <c r="HCJ240" s="4"/>
      <c r="HCK240" s="4"/>
      <c r="HCL240" s="4"/>
      <c r="HCM240" s="4"/>
      <c r="HCN240" s="4"/>
      <c r="HCO240" s="4"/>
      <c r="HCP240" s="4"/>
      <c r="HCQ240" s="4"/>
      <c r="HCR240" s="4"/>
      <c r="HCS240" s="4"/>
      <c r="HCT240" s="4"/>
      <c r="HCU240" s="4"/>
      <c r="HCV240" s="4"/>
      <c r="HCW240" s="4"/>
      <c r="HCX240" s="4"/>
      <c r="HCY240" s="4"/>
      <c r="HCZ240" s="4"/>
      <c r="HDA240" s="4"/>
      <c r="HDB240" s="4"/>
      <c r="HDC240" s="4"/>
      <c r="HDD240" s="4"/>
      <c r="HDE240" s="4"/>
      <c r="HDF240" s="4"/>
      <c r="HDG240" s="4"/>
      <c r="HDH240" s="4"/>
      <c r="HDI240" s="4"/>
      <c r="HDJ240" s="4"/>
      <c r="HDK240" s="4"/>
      <c r="HDL240" s="4"/>
      <c r="HDM240" s="4"/>
      <c r="HDN240" s="4"/>
      <c r="HDO240" s="4"/>
      <c r="HDP240" s="4"/>
      <c r="HDQ240" s="4"/>
      <c r="HDR240" s="4"/>
      <c r="HDS240" s="4"/>
      <c r="HDT240" s="4"/>
      <c r="HDU240" s="4"/>
      <c r="HDV240" s="4"/>
      <c r="HDW240" s="4"/>
      <c r="HDX240" s="4"/>
      <c r="HDY240" s="4"/>
      <c r="HDZ240" s="4"/>
      <c r="HEA240" s="4"/>
      <c r="HEB240" s="4"/>
      <c r="HEC240" s="4"/>
      <c r="HED240" s="4"/>
      <c r="HEE240" s="4"/>
      <c r="HEF240" s="4"/>
      <c r="HEG240" s="4"/>
      <c r="HEH240" s="4"/>
      <c r="HEI240" s="4"/>
      <c r="HEJ240" s="4"/>
      <c r="HEK240" s="4"/>
      <c r="HEL240" s="4"/>
      <c r="HEM240" s="4"/>
      <c r="HEN240" s="4"/>
      <c r="HEO240" s="4"/>
      <c r="HEP240" s="4"/>
      <c r="HEQ240" s="4"/>
      <c r="HER240" s="4"/>
      <c r="HES240" s="4"/>
      <c r="HET240" s="4"/>
      <c r="HEU240" s="4"/>
      <c r="HEV240" s="4"/>
      <c r="HEW240" s="4"/>
      <c r="HEX240" s="4"/>
      <c r="HEY240" s="4"/>
      <c r="HEZ240" s="4"/>
      <c r="HFA240" s="4"/>
      <c r="HFB240" s="4"/>
      <c r="HFC240" s="4"/>
      <c r="HFD240" s="4"/>
      <c r="HFE240" s="4"/>
      <c r="HFF240" s="4"/>
      <c r="HFG240" s="4"/>
      <c r="HFH240" s="4"/>
      <c r="HFI240" s="4"/>
      <c r="HFJ240" s="4"/>
      <c r="HFK240" s="4"/>
      <c r="HFL240" s="4"/>
      <c r="HFM240" s="4"/>
      <c r="HFN240" s="4"/>
      <c r="HFO240" s="4"/>
      <c r="HFP240" s="4"/>
      <c r="HFQ240" s="4"/>
      <c r="HFR240" s="4"/>
      <c r="HFS240" s="4"/>
      <c r="HFT240" s="4"/>
      <c r="HFU240" s="4"/>
      <c r="HFV240" s="4"/>
      <c r="HFW240" s="4"/>
      <c r="HFX240" s="4"/>
      <c r="HFY240" s="4"/>
      <c r="HFZ240" s="4"/>
      <c r="HGA240" s="4"/>
      <c r="HGB240" s="4"/>
      <c r="HGC240" s="4"/>
      <c r="HGD240" s="4"/>
      <c r="HGE240" s="4"/>
      <c r="HGF240" s="4"/>
      <c r="HGG240" s="4"/>
      <c r="HGH240" s="4"/>
      <c r="HGI240" s="4"/>
      <c r="HGJ240" s="4"/>
      <c r="HGK240" s="4"/>
      <c r="HGL240" s="4"/>
      <c r="HGM240" s="4"/>
      <c r="HGN240" s="4"/>
      <c r="HGO240" s="4"/>
      <c r="HGP240" s="4"/>
      <c r="HGQ240" s="4"/>
      <c r="HGR240" s="4"/>
      <c r="HGS240" s="4"/>
      <c r="HGT240" s="4"/>
      <c r="HGU240" s="4"/>
      <c r="HGV240" s="4"/>
      <c r="HGW240" s="4"/>
      <c r="HGX240" s="4"/>
      <c r="HGY240" s="4"/>
      <c r="HGZ240" s="4"/>
      <c r="HHA240" s="4"/>
      <c r="HHB240" s="4"/>
      <c r="HHC240" s="4"/>
      <c r="HHD240" s="4"/>
      <c r="HHE240" s="4"/>
      <c r="HHF240" s="4"/>
      <c r="HHG240" s="4"/>
      <c r="HHH240" s="4"/>
      <c r="HHI240" s="4"/>
      <c r="HHJ240" s="4"/>
      <c r="HHK240" s="4"/>
      <c r="HHL240" s="4"/>
      <c r="HHM240" s="4"/>
      <c r="HHN240" s="4"/>
      <c r="HHO240" s="4"/>
      <c r="HHP240" s="4"/>
      <c r="HHQ240" s="4"/>
      <c r="HHR240" s="4"/>
      <c r="HHS240" s="4"/>
      <c r="HHT240" s="4"/>
      <c r="HHU240" s="4"/>
      <c r="HHV240" s="4"/>
      <c r="HHW240" s="4"/>
      <c r="HHX240" s="4"/>
      <c r="HHY240" s="4"/>
      <c r="HHZ240" s="4"/>
      <c r="HIA240" s="4"/>
      <c r="HIB240" s="4"/>
      <c r="HIC240" s="4"/>
      <c r="HID240" s="4"/>
      <c r="HIE240" s="4"/>
      <c r="HIF240" s="4"/>
      <c r="HIG240" s="4"/>
      <c r="HIH240" s="4"/>
      <c r="HII240" s="4"/>
      <c r="HIJ240" s="4"/>
      <c r="HIK240" s="4"/>
      <c r="HIL240" s="4"/>
      <c r="HIM240" s="4"/>
      <c r="HIN240" s="4"/>
      <c r="HIO240" s="4"/>
      <c r="HIP240" s="4"/>
      <c r="HIQ240" s="4"/>
      <c r="HIR240" s="4"/>
      <c r="HIS240" s="4"/>
      <c r="HIT240" s="4"/>
      <c r="HIU240" s="4"/>
      <c r="HIV240" s="4"/>
      <c r="HIW240" s="4"/>
      <c r="HIX240" s="4"/>
      <c r="HIY240" s="4"/>
      <c r="HIZ240" s="4"/>
      <c r="HJA240" s="4"/>
      <c r="HJB240" s="4"/>
      <c r="HJC240" s="4"/>
      <c r="HJD240" s="4"/>
      <c r="HJE240" s="4"/>
      <c r="HJF240" s="4"/>
      <c r="HJG240" s="4"/>
      <c r="HJH240" s="4"/>
      <c r="HJI240" s="4"/>
      <c r="HJJ240" s="4"/>
      <c r="HJK240" s="4"/>
      <c r="HJL240" s="4"/>
      <c r="HJM240" s="4"/>
      <c r="HJN240" s="4"/>
      <c r="HJO240" s="4"/>
      <c r="HJP240" s="4"/>
      <c r="HJQ240" s="4"/>
      <c r="HJR240" s="4"/>
      <c r="HJS240" s="4"/>
      <c r="HJT240" s="4"/>
      <c r="HJU240" s="4"/>
      <c r="HJV240" s="4"/>
      <c r="HJW240" s="4"/>
      <c r="HJX240" s="4"/>
      <c r="HJY240" s="4"/>
      <c r="HJZ240" s="4"/>
      <c r="HKA240" s="4"/>
      <c r="HKB240" s="4"/>
      <c r="HKC240" s="4"/>
      <c r="HKD240" s="4"/>
      <c r="HKE240" s="4"/>
      <c r="HKF240" s="4"/>
      <c r="HKG240" s="4"/>
      <c r="HKH240" s="4"/>
      <c r="HKI240" s="4"/>
      <c r="HKJ240" s="4"/>
      <c r="HKK240" s="4"/>
      <c r="HKL240" s="4"/>
      <c r="HKM240" s="4"/>
      <c r="HKN240" s="4"/>
      <c r="HKO240" s="4"/>
      <c r="HKP240" s="4"/>
      <c r="HKQ240" s="4"/>
      <c r="HKR240" s="4"/>
      <c r="HKS240" s="4"/>
      <c r="HKT240" s="4"/>
      <c r="HKU240" s="4"/>
      <c r="HKV240" s="4"/>
      <c r="HKW240" s="4"/>
      <c r="HKX240" s="4"/>
      <c r="HKY240" s="4"/>
      <c r="HKZ240" s="4"/>
      <c r="HLA240" s="4"/>
      <c r="HLB240" s="4"/>
      <c r="HLC240" s="4"/>
      <c r="HLD240" s="4"/>
      <c r="HLE240" s="4"/>
      <c r="HLF240" s="4"/>
      <c r="HLG240" s="4"/>
      <c r="HLH240" s="4"/>
      <c r="HLI240" s="4"/>
      <c r="HLJ240" s="4"/>
      <c r="HLK240" s="4"/>
      <c r="HLL240" s="4"/>
      <c r="HLM240" s="4"/>
      <c r="HLN240" s="4"/>
      <c r="HLO240" s="4"/>
      <c r="HLP240" s="4"/>
      <c r="HLQ240" s="4"/>
      <c r="HLR240" s="4"/>
      <c r="HLS240" s="4"/>
      <c r="HLT240" s="4"/>
      <c r="HLU240" s="4"/>
      <c r="HLV240" s="4"/>
      <c r="HLW240" s="4"/>
      <c r="HLX240" s="4"/>
      <c r="HLY240" s="4"/>
      <c r="HLZ240" s="4"/>
      <c r="HMA240" s="4"/>
      <c r="HMB240" s="4"/>
      <c r="HMC240" s="4"/>
      <c r="HMD240" s="4"/>
      <c r="HME240" s="4"/>
      <c r="HMF240" s="4"/>
      <c r="HMG240" s="4"/>
      <c r="HMH240" s="4"/>
      <c r="HMI240" s="4"/>
      <c r="HMJ240" s="4"/>
      <c r="HMK240" s="4"/>
      <c r="HML240" s="4"/>
      <c r="HMM240" s="4"/>
      <c r="HMN240" s="4"/>
      <c r="HMO240" s="4"/>
      <c r="HMP240" s="4"/>
      <c r="HMQ240" s="4"/>
      <c r="HMR240" s="4"/>
      <c r="HMS240" s="4"/>
      <c r="HMT240" s="4"/>
      <c r="HMU240" s="4"/>
      <c r="HMV240" s="4"/>
      <c r="HMW240" s="4"/>
      <c r="HMX240" s="4"/>
      <c r="HMY240" s="4"/>
      <c r="HMZ240" s="4"/>
      <c r="HNA240" s="4"/>
      <c r="HNB240" s="4"/>
      <c r="HNC240" s="4"/>
      <c r="HND240" s="4"/>
      <c r="HNE240" s="4"/>
      <c r="HNF240" s="4"/>
      <c r="HNG240" s="4"/>
      <c r="HNH240" s="4"/>
      <c r="HNI240" s="4"/>
      <c r="HNJ240" s="4"/>
      <c r="HNK240" s="4"/>
      <c r="HNL240" s="4"/>
      <c r="HNM240" s="4"/>
      <c r="HNN240" s="4"/>
      <c r="HNO240" s="4"/>
      <c r="HNP240" s="4"/>
      <c r="HNQ240" s="4"/>
      <c r="HNR240" s="4"/>
      <c r="HNS240" s="4"/>
      <c r="HNT240" s="4"/>
      <c r="HNU240" s="4"/>
      <c r="HNV240" s="4"/>
      <c r="HNW240" s="4"/>
      <c r="HNX240" s="4"/>
      <c r="HNY240" s="4"/>
      <c r="HNZ240" s="4"/>
      <c r="HOA240" s="4"/>
      <c r="HOB240" s="4"/>
      <c r="HOC240" s="4"/>
      <c r="HOD240" s="4"/>
      <c r="HOE240" s="4"/>
      <c r="HOF240" s="4"/>
      <c r="HOG240" s="4"/>
      <c r="HOH240" s="4"/>
      <c r="HOI240" s="4"/>
      <c r="HOJ240" s="4"/>
      <c r="HOK240" s="4"/>
      <c r="HOL240" s="4"/>
      <c r="HOM240" s="4"/>
      <c r="HON240" s="4"/>
      <c r="HOO240" s="4"/>
      <c r="HOP240" s="4"/>
      <c r="HOQ240" s="4"/>
      <c r="HOR240" s="4"/>
      <c r="HOS240" s="4"/>
      <c r="HOT240" s="4"/>
      <c r="HOU240" s="4"/>
      <c r="HOV240" s="4"/>
      <c r="HOW240" s="4"/>
      <c r="HOX240" s="4"/>
      <c r="HOY240" s="4"/>
      <c r="HOZ240" s="4"/>
      <c r="HPA240" s="4"/>
      <c r="HPB240" s="4"/>
      <c r="HPC240" s="4"/>
      <c r="HPD240" s="4"/>
      <c r="HPE240" s="4"/>
      <c r="HPF240" s="4"/>
      <c r="HPG240" s="4"/>
      <c r="HPH240" s="4"/>
      <c r="HPI240" s="4"/>
      <c r="HPJ240" s="4"/>
      <c r="HPK240" s="4"/>
      <c r="HPL240" s="4"/>
      <c r="HPM240" s="4"/>
      <c r="HPN240" s="4"/>
      <c r="HPO240" s="4"/>
      <c r="HPP240" s="4"/>
      <c r="HPQ240" s="4"/>
      <c r="HPR240" s="4"/>
      <c r="HPS240" s="4"/>
      <c r="HPT240" s="4"/>
      <c r="HPU240" s="4"/>
      <c r="HPV240" s="4"/>
      <c r="HPW240" s="4"/>
      <c r="HPX240" s="4"/>
      <c r="HPY240" s="4"/>
      <c r="HPZ240" s="4"/>
      <c r="HQA240" s="4"/>
      <c r="HQB240" s="4"/>
      <c r="HQC240" s="4"/>
      <c r="HQD240" s="4"/>
      <c r="HQE240" s="4"/>
      <c r="HQF240" s="4"/>
      <c r="HQG240" s="4"/>
      <c r="HQH240" s="4"/>
      <c r="HQI240" s="4"/>
      <c r="HQJ240" s="4"/>
      <c r="HQK240" s="4"/>
      <c r="HQL240" s="4"/>
      <c r="HQM240" s="4"/>
      <c r="HQN240" s="4"/>
      <c r="HQO240" s="4"/>
      <c r="HQP240" s="4"/>
      <c r="HQQ240" s="4"/>
      <c r="HQR240" s="4"/>
      <c r="HQS240" s="4"/>
      <c r="HQT240" s="4"/>
      <c r="HQU240" s="4"/>
      <c r="HQV240" s="4"/>
      <c r="HQW240" s="4"/>
      <c r="HQX240" s="4"/>
      <c r="HQY240" s="4"/>
      <c r="HQZ240" s="4"/>
      <c r="HRA240" s="4"/>
      <c r="HRB240" s="4"/>
      <c r="HRC240" s="4"/>
      <c r="HRD240" s="4"/>
      <c r="HRE240" s="4"/>
      <c r="HRF240" s="4"/>
      <c r="HRG240" s="4"/>
      <c r="HRH240" s="4"/>
      <c r="HRI240" s="4"/>
      <c r="HRJ240" s="4"/>
      <c r="HRK240" s="4"/>
      <c r="HRL240" s="4"/>
      <c r="HRM240" s="4"/>
      <c r="HRN240" s="4"/>
      <c r="HRO240" s="4"/>
      <c r="HRP240" s="4"/>
      <c r="HRQ240" s="4"/>
      <c r="HRR240" s="4"/>
      <c r="HRS240" s="4"/>
      <c r="HRT240" s="4"/>
      <c r="HRU240" s="4"/>
      <c r="HRV240" s="4"/>
      <c r="HRW240" s="4"/>
      <c r="HRX240" s="4"/>
      <c r="HRY240" s="4"/>
      <c r="HRZ240" s="4"/>
      <c r="HSA240" s="4"/>
      <c r="HSB240" s="4"/>
      <c r="HSC240" s="4"/>
      <c r="HSD240" s="4"/>
      <c r="HSE240" s="4"/>
      <c r="HSF240" s="4"/>
      <c r="HSG240" s="4"/>
      <c r="HSH240" s="4"/>
      <c r="HSI240" s="4"/>
      <c r="HSJ240" s="4"/>
      <c r="HSK240" s="4"/>
      <c r="HSL240" s="4"/>
      <c r="HSM240" s="4"/>
      <c r="HSN240" s="4"/>
      <c r="HSO240" s="4"/>
      <c r="HSP240" s="4"/>
      <c r="HSQ240" s="4"/>
      <c r="HSR240" s="4"/>
      <c r="HSS240" s="4"/>
      <c r="HST240" s="4"/>
      <c r="HSU240" s="4"/>
      <c r="HSV240" s="4"/>
      <c r="HSW240" s="4"/>
      <c r="HSX240" s="4"/>
      <c r="HSY240" s="4"/>
      <c r="HSZ240" s="4"/>
      <c r="HTA240" s="4"/>
      <c r="HTB240" s="4"/>
      <c r="HTC240" s="4"/>
      <c r="HTD240" s="4"/>
      <c r="HTE240" s="4"/>
      <c r="HTF240" s="4"/>
      <c r="HTG240" s="4"/>
      <c r="HTH240" s="4"/>
      <c r="HTI240" s="4"/>
      <c r="HTJ240" s="4"/>
      <c r="HTK240" s="4"/>
      <c r="HTL240" s="4"/>
      <c r="HTM240" s="4"/>
      <c r="HTN240" s="4"/>
      <c r="HTO240" s="4"/>
      <c r="HTP240" s="4"/>
      <c r="HTQ240" s="4"/>
      <c r="HTR240" s="4"/>
      <c r="HTS240" s="4"/>
      <c r="HTT240" s="4"/>
      <c r="HTU240" s="4"/>
      <c r="HTV240" s="4"/>
      <c r="HTW240" s="4"/>
      <c r="HTX240" s="4"/>
      <c r="HTY240" s="4"/>
      <c r="HTZ240" s="4"/>
      <c r="HUA240" s="4"/>
      <c r="HUB240" s="4"/>
      <c r="HUC240" s="4"/>
      <c r="HUD240" s="4"/>
      <c r="HUE240" s="4"/>
      <c r="HUF240" s="4"/>
      <c r="HUG240" s="4"/>
      <c r="HUH240" s="4"/>
      <c r="HUI240" s="4"/>
      <c r="HUJ240" s="4"/>
      <c r="HUK240" s="4"/>
      <c r="HUL240" s="4"/>
      <c r="HUM240" s="4"/>
      <c r="HUN240" s="4"/>
      <c r="HUO240" s="4"/>
      <c r="HUP240" s="4"/>
      <c r="HUQ240" s="4"/>
      <c r="HUR240" s="4"/>
      <c r="HUS240" s="4"/>
      <c r="HUT240" s="4"/>
      <c r="HUU240" s="4"/>
      <c r="HUV240" s="4"/>
      <c r="HUW240" s="4"/>
      <c r="HUX240" s="4"/>
      <c r="HUY240" s="4"/>
      <c r="HUZ240" s="4"/>
      <c r="HVA240" s="4"/>
      <c r="HVB240" s="4"/>
      <c r="HVC240" s="4"/>
      <c r="HVD240" s="4"/>
      <c r="HVE240" s="4"/>
      <c r="HVF240" s="4"/>
      <c r="HVG240" s="4"/>
      <c r="HVH240" s="4"/>
      <c r="HVI240" s="4"/>
      <c r="HVJ240" s="4"/>
      <c r="HVK240" s="4"/>
      <c r="HVL240" s="4"/>
      <c r="HVM240" s="4"/>
      <c r="HVN240" s="4"/>
      <c r="HVO240" s="4"/>
      <c r="HVP240" s="4"/>
      <c r="HVQ240" s="4"/>
      <c r="HVR240" s="4"/>
      <c r="HVS240" s="4"/>
      <c r="HVT240" s="4"/>
      <c r="HVU240" s="4"/>
      <c r="HVV240" s="4"/>
      <c r="HVW240" s="4"/>
      <c r="HVX240" s="4"/>
      <c r="HVY240" s="4"/>
      <c r="HVZ240" s="4"/>
      <c r="HWA240" s="4"/>
      <c r="HWB240" s="4"/>
      <c r="HWC240" s="4"/>
      <c r="HWD240" s="4"/>
      <c r="HWE240" s="4"/>
      <c r="HWF240" s="4"/>
      <c r="HWG240" s="4"/>
      <c r="HWH240" s="4"/>
      <c r="HWI240" s="4"/>
      <c r="HWJ240" s="4"/>
      <c r="HWK240" s="4"/>
      <c r="HWL240" s="4"/>
      <c r="HWM240" s="4"/>
      <c r="HWN240" s="4"/>
      <c r="HWO240" s="4"/>
      <c r="HWP240" s="4"/>
      <c r="HWQ240" s="4"/>
      <c r="HWR240" s="4"/>
      <c r="HWS240" s="4"/>
      <c r="HWT240" s="4"/>
      <c r="HWU240" s="4"/>
      <c r="HWV240" s="4"/>
      <c r="HWW240" s="4"/>
      <c r="HWX240" s="4"/>
      <c r="HWY240" s="4"/>
      <c r="HWZ240" s="4"/>
      <c r="HXA240" s="4"/>
      <c r="HXB240" s="4"/>
      <c r="HXC240" s="4"/>
      <c r="HXD240" s="4"/>
      <c r="HXE240" s="4"/>
      <c r="HXF240" s="4"/>
      <c r="HXG240" s="4"/>
      <c r="HXH240" s="4"/>
      <c r="HXI240" s="4"/>
      <c r="HXJ240" s="4"/>
      <c r="HXK240" s="4"/>
      <c r="HXL240" s="4"/>
      <c r="HXM240" s="4"/>
      <c r="HXN240" s="4"/>
      <c r="HXO240" s="4"/>
      <c r="HXP240" s="4"/>
      <c r="HXQ240" s="4"/>
      <c r="HXR240" s="4"/>
      <c r="HXS240" s="4"/>
      <c r="HXT240" s="4"/>
      <c r="HXU240" s="4"/>
      <c r="HXV240" s="4"/>
      <c r="HXW240" s="4"/>
      <c r="HXX240" s="4"/>
      <c r="HXY240" s="4"/>
      <c r="HXZ240" s="4"/>
      <c r="HYA240" s="4"/>
      <c r="HYB240" s="4"/>
      <c r="HYC240" s="4"/>
      <c r="HYD240" s="4"/>
      <c r="HYE240" s="4"/>
      <c r="HYF240" s="4"/>
      <c r="HYG240" s="4"/>
      <c r="HYH240" s="4"/>
      <c r="HYI240" s="4"/>
      <c r="HYJ240" s="4"/>
      <c r="HYK240" s="4"/>
      <c r="HYL240" s="4"/>
      <c r="HYM240" s="4"/>
      <c r="HYN240" s="4"/>
      <c r="HYO240" s="4"/>
      <c r="HYP240" s="4"/>
      <c r="HYQ240" s="4"/>
      <c r="HYR240" s="4"/>
      <c r="HYS240" s="4"/>
      <c r="HYT240" s="4"/>
      <c r="HYU240" s="4"/>
      <c r="HYV240" s="4"/>
      <c r="HYW240" s="4"/>
      <c r="HYX240" s="4"/>
      <c r="HYY240" s="4"/>
      <c r="HYZ240" s="4"/>
      <c r="HZA240" s="4"/>
      <c r="HZB240" s="4"/>
      <c r="HZC240" s="4"/>
      <c r="HZD240" s="4"/>
      <c r="HZE240" s="4"/>
      <c r="HZF240" s="4"/>
      <c r="HZG240" s="4"/>
      <c r="HZH240" s="4"/>
      <c r="HZI240" s="4"/>
      <c r="HZJ240" s="4"/>
      <c r="HZK240" s="4"/>
      <c r="HZL240" s="4"/>
      <c r="HZM240" s="4"/>
      <c r="HZN240" s="4"/>
      <c r="HZO240" s="4"/>
      <c r="HZP240" s="4"/>
      <c r="HZQ240" s="4"/>
      <c r="HZR240" s="4"/>
      <c r="HZS240" s="4"/>
      <c r="HZT240" s="4"/>
      <c r="HZU240" s="4"/>
      <c r="HZV240" s="4"/>
      <c r="HZW240" s="4"/>
      <c r="HZX240" s="4"/>
      <c r="HZY240" s="4"/>
      <c r="HZZ240" s="4"/>
      <c r="IAA240" s="4"/>
      <c r="IAB240" s="4"/>
      <c r="IAC240" s="4"/>
      <c r="IAD240" s="4"/>
      <c r="IAE240" s="4"/>
      <c r="IAF240" s="4"/>
      <c r="IAG240" s="4"/>
      <c r="IAH240" s="4"/>
      <c r="IAI240" s="4"/>
      <c r="IAJ240" s="4"/>
      <c r="IAK240" s="4"/>
      <c r="IAL240" s="4"/>
      <c r="IAM240" s="4"/>
      <c r="IAN240" s="4"/>
      <c r="IAO240" s="4"/>
      <c r="IAP240" s="4"/>
      <c r="IAQ240" s="4"/>
      <c r="IAR240" s="4"/>
      <c r="IAS240" s="4"/>
      <c r="IAT240" s="4"/>
      <c r="IAU240" s="4"/>
      <c r="IAV240" s="4"/>
      <c r="IAW240" s="4"/>
      <c r="IAX240" s="4"/>
      <c r="IAY240" s="4"/>
      <c r="IAZ240" s="4"/>
      <c r="IBA240" s="4"/>
      <c r="IBB240" s="4"/>
      <c r="IBC240" s="4"/>
      <c r="IBD240" s="4"/>
      <c r="IBE240" s="4"/>
      <c r="IBF240" s="4"/>
      <c r="IBG240" s="4"/>
      <c r="IBH240" s="4"/>
      <c r="IBI240" s="4"/>
      <c r="IBJ240" s="4"/>
      <c r="IBK240" s="4"/>
      <c r="IBL240" s="4"/>
      <c r="IBM240" s="4"/>
      <c r="IBN240" s="4"/>
      <c r="IBO240" s="4"/>
      <c r="IBP240" s="4"/>
      <c r="IBQ240" s="4"/>
      <c r="IBR240" s="4"/>
      <c r="IBS240" s="4"/>
      <c r="IBT240" s="4"/>
      <c r="IBU240" s="4"/>
      <c r="IBV240" s="4"/>
      <c r="IBW240" s="4"/>
      <c r="IBX240" s="4"/>
      <c r="IBY240" s="4"/>
      <c r="IBZ240" s="4"/>
      <c r="ICA240" s="4"/>
      <c r="ICB240" s="4"/>
      <c r="ICC240" s="4"/>
      <c r="ICD240" s="4"/>
      <c r="ICE240" s="4"/>
      <c r="ICF240" s="4"/>
      <c r="ICG240" s="4"/>
      <c r="ICH240" s="4"/>
      <c r="ICI240" s="4"/>
      <c r="ICJ240" s="4"/>
      <c r="ICK240" s="4"/>
      <c r="ICL240" s="4"/>
      <c r="ICM240" s="4"/>
      <c r="ICN240" s="4"/>
      <c r="ICO240" s="4"/>
      <c r="ICP240" s="4"/>
      <c r="ICQ240" s="4"/>
      <c r="ICR240" s="4"/>
      <c r="ICS240" s="4"/>
      <c r="ICT240" s="4"/>
      <c r="ICU240" s="4"/>
      <c r="ICV240" s="4"/>
      <c r="ICW240" s="4"/>
      <c r="ICX240" s="4"/>
      <c r="ICY240" s="4"/>
      <c r="ICZ240" s="4"/>
      <c r="IDA240" s="4"/>
      <c r="IDB240" s="4"/>
      <c r="IDC240" s="4"/>
      <c r="IDD240" s="4"/>
      <c r="IDE240" s="4"/>
      <c r="IDF240" s="4"/>
      <c r="IDG240" s="4"/>
      <c r="IDH240" s="4"/>
      <c r="IDI240" s="4"/>
      <c r="IDJ240" s="4"/>
      <c r="IDK240" s="4"/>
      <c r="IDL240" s="4"/>
      <c r="IDM240" s="4"/>
      <c r="IDN240" s="4"/>
      <c r="IDO240" s="4"/>
      <c r="IDP240" s="4"/>
      <c r="IDQ240" s="4"/>
      <c r="IDR240" s="4"/>
      <c r="IDS240" s="4"/>
      <c r="IDT240" s="4"/>
      <c r="IDU240" s="4"/>
      <c r="IDV240" s="4"/>
      <c r="IDW240" s="4"/>
      <c r="IDX240" s="4"/>
      <c r="IDY240" s="4"/>
      <c r="IDZ240" s="4"/>
      <c r="IEA240" s="4"/>
      <c r="IEB240" s="4"/>
      <c r="IEC240" s="4"/>
      <c r="IED240" s="4"/>
      <c r="IEE240" s="4"/>
      <c r="IEF240" s="4"/>
      <c r="IEG240" s="4"/>
      <c r="IEH240" s="4"/>
      <c r="IEI240" s="4"/>
      <c r="IEJ240" s="4"/>
      <c r="IEK240" s="4"/>
      <c r="IEL240" s="4"/>
      <c r="IEM240" s="4"/>
      <c r="IEN240" s="4"/>
      <c r="IEO240" s="4"/>
      <c r="IEP240" s="4"/>
      <c r="IEQ240" s="4"/>
      <c r="IER240" s="4"/>
      <c r="IES240" s="4"/>
      <c r="IET240" s="4"/>
      <c r="IEU240" s="4"/>
      <c r="IEV240" s="4"/>
      <c r="IEW240" s="4"/>
      <c r="IEX240" s="4"/>
      <c r="IEY240" s="4"/>
      <c r="IEZ240" s="4"/>
      <c r="IFA240" s="4"/>
      <c r="IFB240" s="4"/>
      <c r="IFC240" s="4"/>
      <c r="IFD240" s="4"/>
      <c r="IFE240" s="4"/>
      <c r="IFF240" s="4"/>
      <c r="IFG240" s="4"/>
      <c r="IFH240" s="4"/>
      <c r="IFI240" s="4"/>
      <c r="IFJ240" s="4"/>
      <c r="IFK240" s="4"/>
      <c r="IFL240" s="4"/>
      <c r="IFM240" s="4"/>
      <c r="IFN240" s="4"/>
      <c r="IFO240" s="4"/>
      <c r="IFP240" s="4"/>
      <c r="IFQ240" s="4"/>
      <c r="IFR240" s="4"/>
      <c r="IFS240" s="4"/>
      <c r="IFT240" s="4"/>
      <c r="IFU240" s="4"/>
      <c r="IFV240" s="4"/>
      <c r="IFW240" s="4"/>
      <c r="IFX240" s="4"/>
      <c r="IFY240" s="4"/>
      <c r="IFZ240" s="4"/>
      <c r="IGA240" s="4"/>
      <c r="IGB240" s="4"/>
      <c r="IGC240" s="4"/>
      <c r="IGD240" s="4"/>
      <c r="IGE240" s="4"/>
      <c r="IGF240" s="4"/>
      <c r="IGG240" s="4"/>
      <c r="IGH240" s="4"/>
      <c r="IGI240" s="4"/>
      <c r="IGJ240" s="4"/>
      <c r="IGK240" s="4"/>
      <c r="IGL240" s="4"/>
      <c r="IGM240" s="4"/>
      <c r="IGN240" s="4"/>
      <c r="IGO240" s="4"/>
      <c r="IGP240" s="4"/>
      <c r="IGQ240" s="4"/>
      <c r="IGR240" s="4"/>
      <c r="IGS240" s="4"/>
      <c r="IGT240" s="4"/>
      <c r="IGU240" s="4"/>
      <c r="IGV240" s="4"/>
      <c r="IGW240" s="4"/>
      <c r="IGX240" s="4"/>
      <c r="IGY240" s="4"/>
      <c r="IGZ240" s="4"/>
      <c r="IHA240" s="4"/>
      <c r="IHB240" s="4"/>
      <c r="IHC240" s="4"/>
      <c r="IHD240" s="4"/>
      <c r="IHE240" s="4"/>
      <c r="IHF240" s="4"/>
      <c r="IHG240" s="4"/>
      <c r="IHH240" s="4"/>
      <c r="IHI240" s="4"/>
      <c r="IHJ240" s="4"/>
      <c r="IHK240" s="4"/>
      <c r="IHL240" s="4"/>
      <c r="IHM240" s="4"/>
      <c r="IHN240" s="4"/>
      <c r="IHO240" s="4"/>
      <c r="IHP240" s="4"/>
      <c r="IHQ240" s="4"/>
      <c r="IHR240" s="4"/>
      <c r="IHS240" s="4"/>
      <c r="IHT240" s="4"/>
      <c r="IHU240" s="4"/>
      <c r="IHV240" s="4"/>
      <c r="IHW240" s="4"/>
      <c r="IHX240" s="4"/>
      <c r="IHY240" s="4"/>
      <c r="IHZ240" s="4"/>
      <c r="IIA240" s="4"/>
      <c r="IIB240" s="4"/>
      <c r="IIC240" s="4"/>
      <c r="IID240" s="4"/>
      <c r="IIE240" s="4"/>
      <c r="IIF240" s="4"/>
      <c r="IIG240" s="4"/>
      <c r="IIH240" s="4"/>
      <c r="III240" s="4"/>
      <c r="IIJ240" s="4"/>
      <c r="IIK240" s="4"/>
      <c r="IIL240" s="4"/>
      <c r="IIM240" s="4"/>
      <c r="IIN240" s="4"/>
      <c r="IIO240" s="4"/>
      <c r="IIP240" s="4"/>
      <c r="IIQ240" s="4"/>
      <c r="IIR240" s="4"/>
      <c r="IIS240" s="4"/>
      <c r="IIT240" s="4"/>
      <c r="IIU240" s="4"/>
      <c r="IIV240" s="4"/>
      <c r="IIW240" s="4"/>
      <c r="IIX240" s="4"/>
      <c r="IIY240" s="4"/>
      <c r="IIZ240" s="4"/>
      <c r="IJA240" s="4"/>
      <c r="IJB240" s="4"/>
      <c r="IJC240" s="4"/>
      <c r="IJD240" s="4"/>
      <c r="IJE240" s="4"/>
      <c r="IJF240" s="4"/>
      <c r="IJG240" s="4"/>
      <c r="IJH240" s="4"/>
      <c r="IJI240" s="4"/>
      <c r="IJJ240" s="4"/>
      <c r="IJK240" s="4"/>
      <c r="IJL240" s="4"/>
      <c r="IJM240" s="4"/>
      <c r="IJN240" s="4"/>
      <c r="IJO240" s="4"/>
      <c r="IJP240" s="4"/>
      <c r="IJQ240" s="4"/>
      <c r="IJR240" s="4"/>
      <c r="IJS240" s="4"/>
      <c r="IJT240" s="4"/>
      <c r="IJU240" s="4"/>
      <c r="IJV240" s="4"/>
      <c r="IJW240" s="4"/>
      <c r="IJX240" s="4"/>
      <c r="IJY240" s="4"/>
      <c r="IJZ240" s="4"/>
      <c r="IKA240" s="4"/>
      <c r="IKB240" s="4"/>
      <c r="IKC240" s="4"/>
      <c r="IKD240" s="4"/>
      <c r="IKE240" s="4"/>
      <c r="IKF240" s="4"/>
      <c r="IKG240" s="4"/>
      <c r="IKH240" s="4"/>
      <c r="IKI240" s="4"/>
      <c r="IKJ240" s="4"/>
      <c r="IKK240" s="4"/>
      <c r="IKL240" s="4"/>
      <c r="IKM240" s="4"/>
      <c r="IKN240" s="4"/>
      <c r="IKO240" s="4"/>
      <c r="IKP240" s="4"/>
      <c r="IKQ240" s="4"/>
      <c r="IKR240" s="4"/>
      <c r="IKS240" s="4"/>
      <c r="IKT240" s="4"/>
      <c r="IKU240" s="4"/>
      <c r="IKV240" s="4"/>
      <c r="IKW240" s="4"/>
      <c r="IKX240" s="4"/>
      <c r="IKY240" s="4"/>
      <c r="IKZ240" s="4"/>
      <c r="ILA240" s="4"/>
      <c r="ILB240" s="4"/>
      <c r="ILC240" s="4"/>
      <c r="ILD240" s="4"/>
      <c r="ILE240" s="4"/>
      <c r="ILF240" s="4"/>
      <c r="ILG240" s="4"/>
      <c r="ILH240" s="4"/>
      <c r="ILI240" s="4"/>
      <c r="ILJ240" s="4"/>
      <c r="ILK240" s="4"/>
      <c r="ILL240" s="4"/>
      <c r="ILM240" s="4"/>
      <c r="ILN240" s="4"/>
      <c r="ILO240" s="4"/>
      <c r="ILP240" s="4"/>
      <c r="ILQ240" s="4"/>
      <c r="ILR240" s="4"/>
      <c r="ILS240" s="4"/>
      <c r="ILT240" s="4"/>
      <c r="ILU240" s="4"/>
      <c r="ILV240" s="4"/>
      <c r="ILW240" s="4"/>
      <c r="ILX240" s="4"/>
      <c r="ILY240" s="4"/>
      <c r="ILZ240" s="4"/>
      <c r="IMA240" s="4"/>
      <c r="IMB240" s="4"/>
      <c r="IMC240" s="4"/>
      <c r="IMD240" s="4"/>
      <c r="IME240" s="4"/>
      <c r="IMF240" s="4"/>
      <c r="IMG240" s="4"/>
      <c r="IMH240" s="4"/>
      <c r="IMI240" s="4"/>
      <c r="IMJ240" s="4"/>
      <c r="IMK240" s="4"/>
      <c r="IML240" s="4"/>
      <c r="IMM240" s="4"/>
      <c r="IMN240" s="4"/>
      <c r="IMO240" s="4"/>
      <c r="IMP240" s="4"/>
      <c r="IMQ240" s="4"/>
      <c r="IMR240" s="4"/>
      <c r="IMS240" s="4"/>
      <c r="IMT240" s="4"/>
      <c r="IMU240" s="4"/>
      <c r="IMV240" s="4"/>
      <c r="IMW240" s="4"/>
      <c r="IMX240" s="4"/>
      <c r="IMY240" s="4"/>
      <c r="IMZ240" s="4"/>
      <c r="INA240" s="4"/>
      <c r="INB240" s="4"/>
      <c r="INC240" s="4"/>
      <c r="IND240" s="4"/>
      <c r="INE240" s="4"/>
      <c r="INF240" s="4"/>
      <c r="ING240" s="4"/>
      <c r="INH240" s="4"/>
      <c r="INI240" s="4"/>
      <c r="INJ240" s="4"/>
      <c r="INK240" s="4"/>
      <c r="INL240" s="4"/>
      <c r="INM240" s="4"/>
      <c r="INN240" s="4"/>
      <c r="INO240" s="4"/>
      <c r="INP240" s="4"/>
      <c r="INQ240" s="4"/>
      <c r="INR240" s="4"/>
      <c r="INS240" s="4"/>
      <c r="INT240" s="4"/>
      <c r="INU240" s="4"/>
      <c r="INV240" s="4"/>
      <c r="INW240" s="4"/>
      <c r="INX240" s="4"/>
      <c r="INY240" s="4"/>
      <c r="INZ240" s="4"/>
      <c r="IOA240" s="4"/>
      <c r="IOB240" s="4"/>
      <c r="IOC240" s="4"/>
      <c r="IOD240" s="4"/>
      <c r="IOE240" s="4"/>
      <c r="IOF240" s="4"/>
      <c r="IOG240" s="4"/>
      <c r="IOH240" s="4"/>
      <c r="IOI240" s="4"/>
      <c r="IOJ240" s="4"/>
      <c r="IOK240" s="4"/>
      <c r="IOL240" s="4"/>
      <c r="IOM240" s="4"/>
      <c r="ION240" s="4"/>
      <c r="IOO240" s="4"/>
      <c r="IOP240" s="4"/>
      <c r="IOQ240" s="4"/>
      <c r="IOR240" s="4"/>
      <c r="IOS240" s="4"/>
      <c r="IOT240" s="4"/>
      <c r="IOU240" s="4"/>
      <c r="IOV240" s="4"/>
      <c r="IOW240" s="4"/>
      <c r="IOX240" s="4"/>
      <c r="IOY240" s="4"/>
      <c r="IOZ240" s="4"/>
      <c r="IPA240" s="4"/>
      <c r="IPB240" s="4"/>
      <c r="IPC240" s="4"/>
      <c r="IPD240" s="4"/>
      <c r="IPE240" s="4"/>
      <c r="IPF240" s="4"/>
      <c r="IPG240" s="4"/>
      <c r="IPH240" s="4"/>
      <c r="IPI240" s="4"/>
      <c r="IPJ240" s="4"/>
      <c r="IPK240" s="4"/>
      <c r="IPL240" s="4"/>
      <c r="IPM240" s="4"/>
      <c r="IPN240" s="4"/>
      <c r="IPO240" s="4"/>
      <c r="IPP240" s="4"/>
      <c r="IPQ240" s="4"/>
      <c r="IPR240" s="4"/>
      <c r="IPS240" s="4"/>
      <c r="IPT240" s="4"/>
      <c r="IPU240" s="4"/>
      <c r="IPV240" s="4"/>
      <c r="IPW240" s="4"/>
      <c r="IPX240" s="4"/>
      <c r="IPY240" s="4"/>
      <c r="IPZ240" s="4"/>
      <c r="IQA240" s="4"/>
      <c r="IQB240" s="4"/>
      <c r="IQC240" s="4"/>
      <c r="IQD240" s="4"/>
      <c r="IQE240" s="4"/>
      <c r="IQF240" s="4"/>
      <c r="IQG240" s="4"/>
      <c r="IQH240" s="4"/>
      <c r="IQI240" s="4"/>
      <c r="IQJ240" s="4"/>
      <c r="IQK240" s="4"/>
      <c r="IQL240" s="4"/>
      <c r="IQM240" s="4"/>
      <c r="IQN240" s="4"/>
      <c r="IQO240" s="4"/>
      <c r="IQP240" s="4"/>
      <c r="IQQ240" s="4"/>
      <c r="IQR240" s="4"/>
      <c r="IQS240" s="4"/>
      <c r="IQT240" s="4"/>
      <c r="IQU240" s="4"/>
      <c r="IQV240" s="4"/>
      <c r="IQW240" s="4"/>
      <c r="IQX240" s="4"/>
      <c r="IQY240" s="4"/>
      <c r="IQZ240" s="4"/>
      <c r="IRA240" s="4"/>
      <c r="IRB240" s="4"/>
      <c r="IRC240" s="4"/>
      <c r="IRD240" s="4"/>
      <c r="IRE240" s="4"/>
      <c r="IRF240" s="4"/>
      <c r="IRG240" s="4"/>
      <c r="IRH240" s="4"/>
      <c r="IRI240" s="4"/>
      <c r="IRJ240" s="4"/>
      <c r="IRK240" s="4"/>
      <c r="IRL240" s="4"/>
      <c r="IRM240" s="4"/>
      <c r="IRN240" s="4"/>
      <c r="IRO240" s="4"/>
      <c r="IRP240" s="4"/>
      <c r="IRQ240" s="4"/>
      <c r="IRR240" s="4"/>
      <c r="IRS240" s="4"/>
      <c r="IRT240" s="4"/>
      <c r="IRU240" s="4"/>
      <c r="IRV240" s="4"/>
      <c r="IRW240" s="4"/>
      <c r="IRX240" s="4"/>
      <c r="IRY240" s="4"/>
      <c r="IRZ240" s="4"/>
      <c r="ISA240" s="4"/>
      <c r="ISB240" s="4"/>
      <c r="ISC240" s="4"/>
      <c r="ISD240" s="4"/>
      <c r="ISE240" s="4"/>
      <c r="ISF240" s="4"/>
      <c r="ISG240" s="4"/>
      <c r="ISH240" s="4"/>
      <c r="ISI240" s="4"/>
      <c r="ISJ240" s="4"/>
      <c r="ISK240" s="4"/>
      <c r="ISL240" s="4"/>
      <c r="ISM240" s="4"/>
      <c r="ISN240" s="4"/>
      <c r="ISO240" s="4"/>
      <c r="ISP240" s="4"/>
      <c r="ISQ240" s="4"/>
      <c r="ISR240" s="4"/>
      <c r="ISS240" s="4"/>
      <c r="IST240" s="4"/>
      <c r="ISU240" s="4"/>
      <c r="ISV240" s="4"/>
      <c r="ISW240" s="4"/>
      <c r="ISX240" s="4"/>
      <c r="ISY240" s="4"/>
      <c r="ISZ240" s="4"/>
      <c r="ITA240" s="4"/>
      <c r="ITB240" s="4"/>
      <c r="ITC240" s="4"/>
      <c r="ITD240" s="4"/>
      <c r="ITE240" s="4"/>
      <c r="ITF240" s="4"/>
      <c r="ITG240" s="4"/>
      <c r="ITH240" s="4"/>
      <c r="ITI240" s="4"/>
      <c r="ITJ240" s="4"/>
      <c r="ITK240" s="4"/>
      <c r="ITL240" s="4"/>
      <c r="ITM240" s="4"/>
      <c r="ITN240" s="4"/>
      <c r="ITO240" s="4"/>
      <c r="ITP240" s="4"/>
      <c r="ITQ240" s="4"/>
      <c r="ITR240" s="4"/>
      <c r="ITS240" s="4"/>
      <c r="ITT240" s="4"/>
      <c r="ITU240" s="4"/>
      <c r="ITV240" s="4"/>
      <c r="ITW240" s="4"/>
      <c r="ITX240" s="4"/>
      <c r="ITY240" s="4"/>
      <c r="ITZ240" s="4"/>
      <c r="IUA240" s="4"/>
      <c r="IUB240" s="4"/>
      <c r="IUC240" s="4"/>
      <c r="IUD240" s="4"/>
      <c r="IUE240" s="4"/>
      <c r="IUF240" s="4"/>
      <c r="IUG240" s="4"/>
      <c r="IUH240" s="4"/>
      <c r="IUI240" s="4"/>
      <c r="IUJ240" s="4"/>
      <c r="IUK240" s="4"/>
      <c r="IUL240" s="4"/>
      <c r="IUM240" s="4"/>
      <c r="IUN240" s="4"/>
      <c r="IUO240" s="4"/>
      <c r="IUP240" s="4"/>
      <c r="IUQ240" s="4"/>
      <c r="IUR240" s="4"/>
      <c r="IUS240" s="4"/>
      <c r="IUT240" s="4"/>
      <c r="IUU240" s="4"/>
      <c r="IUV240" s="4"/>
      <c r="IUW240" s="4"/>
      <c r="IUX240" s="4"/>
      <c r="IUY240" s="4"/>
      <c r="IUZ240" s="4"/>
      <c r="IVA240" s="4"/>
      <c r="IVB240" s="4"/>
      <c r="IVC240" s="4"/>
      <c r="IVD240" s="4"/>
      <c r="IVE240" s="4"/>
      <c r="IVF240" s="4"/>
      <c r="IVG240" s="4"/>
      <c r="IVH240" s="4"/>
      <c r="IVI240" s="4"/>
      <c r="IVJ240" s="4"/>
      <c r="IVK240" s="4"/>
      <c r="IVL240" s="4"/>
      <c r="IVM240" s="4"/>
      <c r="IVN240" s="4"/>
      <c r="IVO240" s="4"/>
      <c r="IVP240" s="4"/>
      <c r="IVQ240" s="4"/>
      <c r="IVR240" s="4"/>
      <c r="IVS240" s="4"/>
      <c r="IVT240" s="4"/>
      <c r="IVU240" s="4"/>
      <c r="IVV240" s="4"/>
      <c r="IVW240" s="4"/>
      <c r="IVX240" s="4"/>
      <c r="IVY240" s="4"/>
      <c r="IVZ240" s="4"/>
      <c r="IWA240" s="4"/>
      <c r="IWB240" s="4"/>
      <c r="IWC240" s="4"/>
      <c r="IWD240" s="4"/>
      <c r="IWE240" s="4"/>
      <c r="IWF240" s="4"/>
      <c r="IWG240" s="4"/>
      <c r="IWH240" s="4"/>
      <c r="IWI240" s="4"/>
      <c r="IWJ240" s="4"/>
      <c r="IWK240" s="4"/>
      <c r="IWL240" s="4"/>
      <c r="IWM240" s="4"/>
      <c r="IWN240" s="4"/>
      <c r="IWO240" s="4"/>
      <c r="IWP240" s="4"/>
      <c r="IWQ240" s="4"/>
      <c r="IWR240" s="4"/>
      <c r="IWS240" s="4"/>
      <c r="IWT240" s="4"/>
      <c r="IWU240" s="4"/>
      <c r="IWV240" s="4"/>
      <c r="IWW240" s="4"/>
      <c r="IWX240" s="4"/>
      <c r="IWY240" s="4"/>
      <c r="IWZ240" s="4"/>
      <c r="IXA240" s="4"/>
      <c r="IXB240" s="4"/>
      <c r="IXC240" s="4"/>
      <c r="IXD240" s="4"/>
      <c r="IXE240" s="4"/>
      <c r="IXF240" s="4"/>
      <c r="IXG240" s="4"/>
      <c r="IXH240" s="4"/>
      <c r="IXI240" s="4"/>
      <c r="IXJ240" s="4"/>
      <c r="IXK240" s="4"/>
      <c r="IXL240" s="4"/>
      <c r="IXM240" s="4"/>
      <c r="IXN240" s="4"/>
      <c r="IXO240" s="4"/>
      <c r="IXP240" s="4"/>
      <c r="IXQ240" s="4"/>
      <c r="IXR240" s="4"/>
      <c r="IXS240" s="4"/>
      <c r="IXT240" s="4"/>
      <c r="IXU240" s="4"/>
      <c r="IXV240" s="4"/>
      <c r="IXW240" s="4"/>
      <c r="IXX240" s="4"/>
      <c r="IXY240" s="4"/>
      <c r="IXZ240" s="4"/>
      <c r="IYA240" s="4"/>
      <c r="IYB240" s="4"/>
      <c r="IYC240" s="4"/>
      <c r="IYD240" s="4"/>
      <c r="IYE240" s="4"/>
      <c r="IYF240" s="4"/>
      <c r="IYG240" s="4"/>
      <c r="IYH240" s="4"/>
      <c r="IYI240" s="4"/>
      <c r="IYJ240" s="4"/>
      <c r="IYK240" s="4"/>
      <c r="IYL240" s="4"/>
      <c r="IYM240" s="4"/>
      <c r="IYN240" s="4"/>
      <c r="IYO240" s="4"/>
      <c r="IYP240" s="4"/>
      <c r="IYQ240" s="4"/>
      <c r="IYR240" s="4"/>
      <c r="IYS240" s="4"/>
      <c r="IYT240" s="4"/>
      <c r="IYU240" s="4"/>
      <c r="IYV240" s="4"/>
      <c r="IYW240" s="4"/>
      <c r="IYX240" s="4"/>
      <c r="IYY240" s="4"/>
      <c r="IYZ240" s="4"/>
      <c r="IZA240" s="4"/>
      <c r="IZB240" s="4"/>
      <c r="IZC240" s="4"/>
      <c r="IZD240" s="4"/>
      <c r="IZE240" s="4"/>
      <c r="IZF240" s="4"/>
      <c r="IZG240" s="4"/>
      <c r="IZH240" s="4"/>
      <c r="IZI240" s="4"/>
      <c r="IZJ240" s="4"/>
      <c r="IZK240" s="4"/>
      <c r="IZL240" s="4"/>
      <c r="IZM240" s="4"/>
      <c r="IZN240" s="4"/>
      <c r="IZO240" s="4"/>
      <c r="IZP240" s="4"/>
      <c r="IZQ240" s="4"/>
      <c r="IZR240" s="4"/>
      <c r="IZS240" s="4"/>
      <c r="IZT240" s="4"/>
      <c r="IZU240" s="4"/>
      <c r="IZV240" s="4"/>
      <c r="IZW240" s="4"/>
      <c r="IZX240" s="4"/>
      <c r="IZY240" s="4"/>
      <c r="IZZ240" s="4"/>
      <c r="JAA240" s="4"/>
      <c r="JAB240" s="4"/>
      <c r="JAC240" s="4"/>
      <c r="JAD240" s="4"/>
      <c r="JAE240" s="4"/>
      <c r="JAF240" s="4"/>
      <c r="JAG240" s="4"/>
      <c r="JAH240" s="4"/>
      <c r="JAI240" s="4"/>
      <c r="JAJ240" s="4"/>
      <c r="JAK240" s="4"/>
      <c r="JAL240" s="4"/>
      <c r="JAM240" s="4"/>
      <c r="JAN240" s="4"/>
      <c r="JAO240" s="4"/>
      <c r="JAP240" s="4"/>
      <c r="JAQ240" s="4"/>
      <c r="JAR240" s="4"/>
      <c r="JAS240" s="4"/>
      <c r="JAT240" s="4"/>
      <c r="JAU240" s="4"/>
      <c r="JAV240" s="4"/>
      <c r="JAW240" s="4"/>
      <c r="JAX240" s="4"/>
      <c r="JAY240" s="4"/>
      <c r="JAZ240" s="4"/>
      <c r="JBA240" s="4"/>
      <c r="JBB240" s="4"/>
      <c r="JBC240" s="4"/>
      <c r="JBD240" s="4"/>
      <c r="JBE240" s="4"/>
      <c r="JBF240" s="4"/>
      <c r="JBG240" s="4"/>
      <c r="JBH240" s="4"/>
      <c r="JBI240" s="4"/>
      <c r="JBJ240" s="4"/>
      <c r="JBK240" s="4"/>
      <c r="JBL240" s="4"/>
      <c r="JBM240" s="4"/>
      <c r="JBN240" s="4"/>
      <c r="JBO240" s="4"/>
      <c r="JBP240" s="4"/>
      <c r="JBQ240" s="4"/>
      <c r="JBR240" s="4"/>
      <c r="JBS240" s="4"/>
      <c r="JBT240" s="4"/>
      <c r="JBU240" s="4"/>
      <c r="JBV240" s="4"/>
      <c r="JBW240" s="4"/>
      <c r="JBX240" s="4"/>
      <c r="JBY240" s="4"/>
      <c r="JBZ240" s="4"/>
      <c r="JCA240" s="4"/>
      <c r="JCB240" s="4"/>
      <c r="JCC240" s="4"/>
      <c r="JCD240" s="4"/>
      <c r="JCE240" s="4"/>
      <c r="JCF240" s="4"/>
      <c r="JCG240" s="4"/>
      <c r="JCH240" s="4"/>
      <c r="JCI240" s="4"/>
      <c r="JCJ240" s="4"/>
      <c r="JCK240" s="4"/>
      <c r="JCL240" s="4"/>
      <c r="JCM240" s="4"/>
      <c r="JCN240" s="4"/>
      <c r="JCO240" s="4"/>
      <c r="JCP240" s="4"/>
      <c r="JCQ240" s="4"/>
      <c r="JCR240" s="4"/>
      <c r="JCS240" s="4"/>
      <c r="JCT240" s="4"/>
      <c r="JCU240" s="4"/>
      <c r="JCV240" s="4"/>
      <c r="JCW240" s="4"/>
      <c r="JCX240" s="4"/>
      <c r="JCY240" s="4"/>
      <c r="JCZ240" s="4"/>
      <c r="JDA240" s="4"/>
      <c r="JDB240" s="4"/>
      <c r="JDC240" s="4"/>
      <c r="JDD240" s="4"/>
      <c r="JDE240" s="4"/>
      <c r="JDF240" s="4"/>
      <c r="JDG240" s="4"/>
      <c r="JDH240" s="4"/>
      <c r="JDI240" s="4"/>
      <c r="JDJ240" s="4"/>
      <c r="JDK240" s="4"/>
      <c r="JDL240" s="4"/>
      <c r="JDM240" s="4"/>
      <c r="JDN240" s="4"/>
      <c r="JDO240" s="4"/>
      <c r="JDP240" s="4"/>
      <c r="JDQ240" s="4"/>
      <c r="JDR240" s="4"/>
      <c r="JDS240" s="4"/>
      <c r="JDT240" s="4"/>
      <c r="JDU240" s="4"/>
      <c r="JDV240" s="4"/>
      <c r="JDW240" s="4"/>
      <c r="JDX240" s="4"/>
      <c r="JDY240" s="4"/>
      <c r="JDZ240" s="4"/>
      <c r="JEA240" s="4"/>
      <c r="JEB240" s="4"/>
      <c r="JEC240" s="4"/>
      <c r="JED240" s="4"/>
      <c r="JEE240" s="4"/>
      <c r="JEF240" s="4"/>
      <c r="JEG240" s="4"/>
      <c r="JEH240" s="4"/>
      <c r="JEI240" s="4"/>
      <c r="JEJ240" s="4"/>
      <c r="JEK240" s="4"/>
      <c r="JEL240" s="4"/>
      <c r="JEM240" s="4"/>
      <c r="JEN240" s="4"/>
      <c r="JEO240" s="4"/>
      <c r="JEP240" s="4"/>
      <c r="JEQ240" s="4"/>
      <c r="JER240" s="4"/>
      <c r="JES240" s="4"/>
      <c r="JET240" s="4"/>
      <c r="JEU240" s="4"/>
      <c r="JEV240" s="4"/>
      <c r="JEW240" s="4"/>
      <c r="JEX240" s="4"/>
      <c r="JEY240" s="4"/>
      <c r="JEZ240" s="4"/>
      <c r="JFA240" s="4"/>
      <c r="JFB240" s="4"/>
      <c r="JFC240" s="4"/>
      <c r="JFD240" s="4"/>
      <c r="JFE240" s="4"/>
      <c r="JFF240" s="4"/>
      <c r="JFG240" s="4"/>
      <c r="JFH240" s="4"/>
      <c r="JFI240" s="4"/>
      <c r="JFJ240" s="4"/>
      <c r="JFK240" s="4"/>
      <c r="JFL240" s="4"/>
      <c r="JFM240" s="4"/>
      <c r="JFN240" s="4"/>
      <c r="JFO240" s="4"/>
      <c r="JFP240" s="4"/>
      <c r="JFQ240" s="4"/>
      <c r="JFR240" s="4"/>
      <c r="JFS240" s="4"/>
      <c r="JFT240" s="4"/>
      <c r="JFU240" s="4"/>
      <c r="JFV240" s="4"/>
      <c r="JFW240" s="4"/>
      <c r="JFX240" s="4"/>
      <c r="JFY240" s="4"/>
      <c r="JFZ240" s="4"/>
      <c r="JGA240" s="4"/>
      <c r="JGB240" s="4"/>
      <c r="JGC240" s="4"/>
      <c r="JGD240" s="4"/>
      <c r="JGE240" s="4"/>
      <c r="JGF240" s="4"/>
      <c r="JGG240" s="4"/>
      <c r="JGH240" s="4"/>
      <c r="JGI240" s="4"/>
      <c r="JGJ240" s="4"/>
      <c r="JGK240" s="4"/>
      <c r="JGL240" s="4"/>
      <c r="JGM240" s="4"/>
      <c r="JGN240" s="4"/>
      <c r="JGO240" s="4"/>
      <c r="JGP240" s="4"/>
      <c r="JGQ240" s="4"/>
      <c r="JGR240" s="4"/>
      <c r="JGS240" s="4"/>
      <c r="JGT240" s="4"/>
      <c r="JGU240" s="4"/>
      <c r="JGV240" s="4"/>
      <c r="JGW240" s="4"/>
      <c r="JGX240" s="4"/>
      <c r="JGY240" s="4"/>
      <c r="JGZ240" s="4"/>
      <c r="JHA240" s="4"/>
      <c r="JHB240" s="4"/>
      <c r="JHC240" s="4"/>
      <c r="JHD240" s="4"/>
      <c r="JHE240" s="4"/>
      <c r="JHF240" s="4"/>
      <c r="JHG240" s="4"/>
      <c r="JHH240" s="4"/>
      <c r="JHI240" s="4"/>
      <c r="JHJ240" s="4"/>
      <c r="JHK240" s="4"/>
      <c r="JHL240" s="4"/>
      <c r="JHM240" s="4"/>
      <c r="JHN240" s="4"/>
      <c r="JHO240" s="4"/>
      <c r="JHP240" s="4"/>
      <c r="JHQ240" s="4"/>
      <c r="JHR240" s="4"/>
      <c r="JHS240" s="4"/>
      <c r="JHT240" s="4"/>
      <c r="JHU240" s="4"/>
      <c r="JHV240" s="4"/>
      <c r="JHW240" s="4"/>
      <c r="JHX240" s="4"/>
      <c r="JHY240" s="4"/>
      <c r="JHZ240" s="4"/>
      <c r="JIA240" s="4"/>
      <c r="JIB240" s="4"/>
      <c r="JIC240" s="4"/>
      <c r="JID240" s="4"/>
      <c r="JIE240" s="4"/>
      <c r="JIF240" s="4"/>
      <c r="JIG240" s="4"/>
      <c r="JIH240" s="4"/>
      <c r="JII240" s="4"/>
      <c r="JIJ240" s="4"/>
      <c r="JIK240" s="4"/>
      <c r="JIL240" s="4"/>
      <c r="JIM240" s="4"/>
      <c r="JIN240" s="4"/>
      <c r="JIO240" s="4"/>
      <c r="JIP240" s="4"/>
      <c r="JIQ240" s="4"/>
      <c r="JIR240" s="4"/>
      <c r="JIS240" s="4"/>
      <c r="JIT240" s="4"/>
      <c r="JIU240" s="4"/>
      <c r="JIV240" s="4"/>
      <c r="JIW240" s="4"/>
      <c r="JIX240" s="4"/>
      <c r="JIY240" s="4"/>
      <c r="JIZ240" s="4"/>
      <c r="JJA240" s="4"/>
      <c r="JJB240" s="4"/>
      <c r="JJC240" s="4"/>
      <c r="JJD240" s="4"/>
      <c r="JJE240" s="4"/>
      <c r="JJF240" s="4"/>
      <c r="JJG240" s="4"/>
      <c r="JJH240" s="4"/>
      <c r="JJI240" s="4"/>
      <c r="JJJ240" s="4"/>
      <c r="JJK240" s="4"/>
      <c r="JJL240" s="4"/>
      <c r="JJM240" s="4"/>
      <c r="JJN240" s="4"/>
      <c r="JJO240" s="4"/>
      <c r="JJP240" s="4"/>
      <c r="JJQ240" s="4"/>
      <c r="JJR240" s="4"/>
      <c r="JJS240" s="4"/>
      <c r="JJT240" s="4"/>
      <c r="JJU240" s="4"/>
      <c r="JJV240" s="4"/>
      <c r="JJW240" s="4"/>
      <c r="JJX240" s="4"/>
      <c r="JJY240" s="4"/>
      <c r="JJZ240" s="4"/>
      <c r="JKA240" s="4"/>
      <c r="JKB240" s="4"/>
      <c r="JKC240" s="4"/>
      <c r="JKD240" s="4"/>
      <c r="JKE240" s="4"/>
      <c r="JKF240" s="4"/>
      <c r="JKG240" s="4"/>
      <c r="JKH240" s="4"/>
      <c r="JKI240" s="4"/>
      <c r="JKJ240" s="4"/>
      <c r="JKK240" s="4"/>
      <c r="JKL240" s="4"/>
      <c r="JKM240" s="4"/>
      <c r="JKN240" s="4"/>
      <c r="JKO240" s="4"/>
      <c r="JKP240" s="4"/>
      <c r="JKQ240" s="4"/>
      <c r="JKR240" s="4"/>
      <c r="JKS240" s="4"/>
      <c r="JKT240" s="4"/>
      <c r="JKU240" s="4"/>
      <c r="JKV240" s="4"/>
      <c r="JKW240" s="4"/>
      <c r="JKX240" s="4"/>
      <c r="JKY240" s="4"/>
      <c r="JKZ240" s="4"/>
      <c r="JLA240" s="4"/>
      <c r="JLB240" s="4"/>
      <c r="JLC240" s="4"/>
      <c r="JLD240" s="4"/>
      <c r="JLE240" s="4"/>
      <c r="JLF240" s="4"/>
      <c r="JLG240" s="4"/>
      <c r="JLH240" s="4"/>
      <c r="JLI240" s="4"/>
      <c r="JLJ240" s="4"/>
      <c r="JLK240" s="4"/>
      <c r="JLL240" s="4"/>
      <c r="JLM240" s="4"/>
      <c r="JLN240" s="4"/>
      <c r="JLO240" s="4"/>
      <c r="JLP240" s="4"/>
      <c r="JLQ240" s="4"/>
      <c r="JLR240" s="4"/>
      <c r="JLS240" s="4"/>
      <c r="JLT240" s="4"/>
      <c r="JLU240" s="4"/>
      <c r="JLV240" s="4"/>
      <c r="JLW240" s="4"/>
      <c r="JLX240" s="4"/>
      <c r="JLY240" s="4"/>
      <c r="JLZ240" s="4"/>
      <c r="JMA240" s="4"/>
      <c r="JMB240" s="4"/>
      <c r="JMC240" s="4"/>
      <c r="JMD240" s="4"/>
      <c r="JME240" s="4"/>
      <c r="JMF240" s="4"/>
      <c r="JMG240" s="4"/>
      <c r="JMH240" s="4"/>
      <c r="JMI240" s="4"/>
      <c r="JMJ240" s="4"/>
      <c r="JMK240" s="4"/>
      <c r="JML240" s="4"/>
      <c r="JMM240" s="4"/>
      <c r="JMN240" s="4"/>
      <c r="JMO240" s="4"/>
      <c r="JMP240" s="4"/>
      <c r="JMQ240" s="4"/>
      <c r="JMR240" s="4"/>
      <c r="JMS240" s="4"/>
      <c r="JMT240" s="4"/>
      <c r="JMU240" s="4"/>
      <c r="JMV240" s="4"/>
      <c r="JMW240" s="4"/>
      <c r="JMX240" s="4"/>
      <c r="JMY240" s="4"/>
      <c r="JMZ240" s="4"/>
      <c r="JNA240" s="4"/>
      <c r="JNB240" s="4"/>
      <c r="JNC240" s="4"/>
      <c r="JND240" s="4"/>
      <c r="JNE240" s="4"/>
      <c r="JNF240" s="4"/>
      <c r="JNG240" s="4"/>
      <c r="JNH240" s="4"/>
      <c r="JNI240" s="4"/>
      <c r="JNJ240" s="4"/>
      <c r="JNK240" s="4"/>
      <c r="JNL240" s="4"/>
      <c r="JNM240" s="4"/>
      <c r="JNN240" s="4"/>
      <c r="JNO240" s="4"/>
      <c r="JNP240" s="4"/>
      <c r="JNQ240" s="4"/>
      <c r="JNR240" s="4"/>
      <c r="JNS240" s="4"/>
      <c r="JNT240" s="4"/>
      <c r="JNU240" s="4"/>
      <c r="JNV240" s="4"/>
      <c r="JNW240" s="4"/>
      <c r="JNX240" s="4"/>
      <c r="JNY240" s="4"/>
      <c r="JNZ240" s="4"/>
      <c r="JOA240" s="4"/>
      <c r="JOB240" s="4"/>
      <c r="JOC240" s="4"/>
      <c r="JOD240" s="4"/>
      <c r="JOE240" s="4"/>
      <c r="JOF240" s="4"/>
      <c r="JOG240" s="4"/>
      <c r="JOH240" s="4"/>
      <c r="JOI240" s="4"/>
      <c r="JOJ240" s="4"/>
      <c r="JOK240" s="4"/>
      <c r="JOL240" s="4"/>
      <c r="JOM240" s="4"/>
      <c r="JON240" s="4"/>
      <c r="JOO240" s="4"/>
      <c r="JOP240" s="4"/>
      <c r="JOQ240" s="4"/>
      <c r="JOR240" s="4"/>
      <c r="JOS240" s="4"/>
      <c r="JOT240" s="4"/>
      <c r="JOU240" s="4"/>
      <c r="JOV240" s="4"/>
      <c r="JOW240" s="4"/>
      <c r="JOX240" s="4"/>
      <c r="JOY240" s="4"/>
      <c r="JOZ240" s="4"/>
      <c r="JPA240" s="4"/>
      <c r="JPB240" s="4"/>
      <c r="JPC240" s="4"/>
      <c r="JPD240" s="4"/>
      <c r="JPE240" s="4"/>
      <c r="JPF240" s="4"/>
      <c r="JPG240" s="4"/>
      <c r="JPH240" s="4"/>
      <c r="JPI240" s="4"/>
      <c r="JPJ240" s="4"/>
      <c r="JPK240" s="4"/>
      <c r="JPL240" s="4"/>
      <c r="JPM240" s="4"/>
      <c r="JPN240" s="4"/>
      <c r="JPO240" s="4"/>
      <c r="JPP240" s="4"/>
      <c r="JPQ240" s="4"/>
      <c r="JPR240" s="4"/>
      <c r="JPS240" s="4"/>
      <c r="JPT240" s="4"/>
      <c r="JPU240" s="4"/>
      <c r="JPV240" s="4"/>
      <c r="JPW240" s="4"/>
      <c r="JPX240" s="4"/>
      <c r="JPY240" s="4"/>
      <c r="JPZ240" s="4"/>
      <c r="JQA240" s="4"/>
      <c r="JQB240" s="4"/>
      <c r="JQC240" s="4"/>
      <c r="JQD240" s="4"/>
      <c r="JQE240" s="4"/>
      <c r="JQF240" s="4"/>
      <c r="JQG240" s="4"/>
      <c r="JQH240" s="4"/>
      <c r="JQI240" s="4"/>
      <c r="JQJ240" s="4"/>
      <c r="JQK240" s="4"/>
      <c r="JQL240" s="4"/>
      <c r="JQM240" s="4"/>
      <c r="JQN240" s="4"/>
      <c r="JQO240" s="4"/>
      <c r="JQP240" s="4"/>
      <c r="JQQ240" s="4"/>
      <c r="JQR240" s="4"/>
      <c r="JQS240" s="4"/>
      <c r="JQT240" s="4"/>
      <c r="JQU240" s="4"/>
      <c r="JQV240" s="4"/>
      <c r="JQW240" s="4"/>
      <c r="JQX240" s="4"/>
      <c r="JQY240" s="4"/>
      <c r="JQZ240" s="4"/>
      <c r="JRA240" s="4"/>
      <c r="JRB240" s="4"/>
      <c r="JRC240" s="4"/>
      <c r="JRD240" s="4"/>
      <c r="JRE240" s="4"/>
      <c r="JRF240" s="4"/>
      <c r="JRG240" s="4"/>
      <c r="JRH240" s="4"/>
      <c r="JRI240" s="4"/>
      <c r="JRJ240" s="4"/>
      <c r="JRK240" s="4"/>
      <c r="JRL240" s="4"/>
      <c r="JRM240" s="4"/>
      <c r="JRN240" s="4"/>
      <c r="JRO240" s="4"/>
      <c r="JRP240" s="4"/>
      <c r="JRQ240" s="4"/>
      <c r="JRR240" s="4"/>
      <c r="JRS240" s="4"/>
      <c r="JRT240" s="4"/>
      <c r="JRU240" s="4"/>
      <c r="JRV240" s="4"/>
      <c r="JRW240" s="4"/>
      <c r="JRX240" s="4"/>
      <c r="JRY240" s="4"/>
      <c r="JRZ240" s="4"/>
      <c r="JSA240" s="4"/>
      <c r="JSB240" s="4"/>
      <c r="JSC240" s="4"/>
      <c r="JSD240" s="4"/>
      <c r="JSE240" s="4"/>
      <c r="JSF240" s="4"/>
      <c r="JSG240" s="4"/>
      <c r="JSH240" s="4"/>
      <c r="JSI240" s="4"/>
      <c r="JSJ240" s="4"/>
      <c r="JSK240" s="4"/>
      <c r="JSL240" s="4"/>
      <c r="JSM240" s="4"/>
      <c r="JSN240" s="4"/>
      <c r="JSO240" s="4"/>
      <c r="JSP240" s="4"/>
      <c r="JSQ240" s="4"/>
      <c r="JSR240" s="4"/>
      <c r="JSS240" s="4"/>
      <c r="JST240" s="4"/>
      <c r="JSU240" s="4"/>
      <c r="JSV240" s="4"/>
      <c r="JSW240" s="4"/>
      <c r="JSX240" s="4"/>
      <c r="JSY240" s="4"/>
      <c r="JSZ240" s="4"/>
      <c r="JTA240" s="4"/>
      <c r="JTB240" s="4"/>
      <c r="JTC240" s="4"/>
      <c r="JTD240" s="4"/>
      <c r="JTE240" s="4"/>
      <c r="JTF240" s="4"/>
      <c r="JTG240" s="4"/>
      <c r="JTH240" s="4"/>
      <c r="JTI240" s="4"/>
      <c r="JTJ240" s="4"/>
      <c r="JTK240" s="4"/>
      <c r="JTL240" s="4"/>
      <c r="JTM240" s="4"/>
      <c r="JTN240" s="4"/>
      <c r="JTO240" s="4"/>
      <c r="JTP240" s="4"/>
      <c r="JTQ240" s="4"/>
      <c r="JTR240" s="4"/>
      <c r="JTS240" s="4"/>
      <c r="JTT240" s="4"/>
      <c r="JTU240" s="4"/>
      <c r="JTV240" s="4"/>
      <c r="JTW240" s="4"/>
      <c r="JTX240" s="4"/>
      <c r="JTY240" s="4"/>
      <c r="JTZ240" s="4"/>
      <c r="JUA240" s="4"/>
      <c r="JUB240" s="4"/>
      <c r="JUC240" s="4"/>
      <c r="JUD240" s="4"/>
      <c r="JUE240" s="4"/>
      <c r="JUF240" s="4"/>
      <c r="JUG240" s="4"/>
      <c r="JUH240" s="4"/>
      <c r="JUI240" s="4"/>
      <c r="JUJ240" s="4"/>
      <c r="JUK240" s="4"/>
      <c r="JUL240" s="4"/>
      <c r="JUM240" s="4"/>
      <c r="JUN240" s="4"/>
      <c r="JUO240" s="4"/>
      <c r="JUP240" s="4"/>
      <c r="JUQ240" s="4"/>
      <c r="JUR240" s="4"/>
      <c r="JUS240" s="4"/>
      <c r="JUT240" s="4"/>
      <c r="JUU240" s="4"/>
      <c r="JUV240" s="4"/>
      <c r="JUW240" s="4"/>
      <c r="JUX240" s="4"/>
      <c r="JUY240" s="4"/>
      <c r="JUZ240" s="4"/>
      <c r="JVA240" s="4"/>
      <c r="JVB240" s="4"/>
      <c r="JVC240" s="4"/>
      <c r="JVD240" s="4"/>
      <c r="JVE240" s="4"/>
      <c r="JVF240" s="4"/>
      <c r="JVG240" s="4"/>
      <c r="JVH240" s="4"/>
      <c r="JVI240" s="4"/>
      <c r="JVJ240" s="4"/>
      <c r="JVK240" s="4"/>
      <c r="JVL240" s="4"/>
      <c r="JVM240" s="4"/>
      <c r="JVN240" s="4"/>
      <c r="JVO240" s="4"/>
      <c r="JVP240" s="4"/>
      <c r="JVQ240" s="4"/>
      <c r="JVR240" s="4"/>
      <c r="JVS240" s="4"/>
      <c r="JVT240" s="4"/>
      <c r="JVU240" s="4"/>
      <c r="JVV240" s="4"/>
      <c r="JVW240" s="4"/>
      <c r="JVX240" s="4"/>
      <c r="JVY240" s="4"/>
      <c r="JVZ240" s="4"/>
      <c r="JWA240" s="4"/>
      <c r="JWB240" s="4"/>
      <c r="JWC240" s="4"/>
      <c r="JWD240" s="4"/>
      <c r="JWE240" s="4"/>
      <c r="JWF240" s="4"/>
      <c r="JWG240" s="4"/>
      <c r="JWH240" s="4"/>
      <c r="JWI240" s="4"/>
      <c r="JWJ240" s="4"/>
      <c r="JWK240" s="4"/>
      <c r="JWL240" s="4"/>
      <c r="JWM240" s="4"/>
      <c r="JWN240" s="4"/>
      <c r="JWO240" s="4"/>
      <c r="JWP240" s="4"/>
      <c r="JWQ240" s="4"/>
      <c r="JWR240" s="4"/>
      <c r="JWS240" s="4"/>
      <c r="JWT240" s="4"/>
      <c r="JWU240" s="4"/>
      <c r="JWV240" s="4"/>
      <c r="JWW240" s="4"/>
      <c r="JWX240" s="4"/>
      <c r="JWY240" s="4"/>
      <c r="JWZ240" s="4"/>
      <c r="JXA240" s="4"/>
      <c r="JXB240" s="4"/>
      <c r="JXC240" s="4"/>
      <c r="JXD240" s="4"/>
      <c r="JXE240" s="4"/>
      <c r="JXF240" s="4"/>
      <c r="JXG240" s="4"/>
      <c r="JXH240" s="4"/>
      <c r="JXI240" s="4"/>
      <c r="JXJ240" s="4"/>
      <c r="JXK240" s="4"/>
      <c r="JXL240" s="4"/>
      <c r="JXM240" s="4"/>
      <c r="JXN240" s="4"/>
      <c r="JXO240" s="4"/>
      <c r="JXP240" s="4"/>
      <c r="JXQ240" s="4"/>
      <c r="JXR240" s="4"/>
      <c r="JXS240" s="4"/>
      <c r="JXT240" s="4"/>
      <c r="JXU240" s="4"/>
      <c r="JXV240" s="4"/>
      <c r="JXW240" s="4"/>
      <c r="JXX240" s="4"/>
      <c r="JXY240" s="4"/>
      <c r="JXZ240" s="4"/>
      <c r="JYA240" s="4"/>
      <c r="JYB240" s="4"/>
      <c r="JYC240" s="4"/>
      <c r="JYD240" s="4"/>
      <c r="JYE240" s="4"/>
      <c r="JYF240" s="4"/>
      <c r="JYG240" s="4"/>
      <c r="JYH240" s="4"/>
      <c r="JYI240" s="4"/>
      <c r="JYJ240" s="4"/>
      <c r="JYK240" s="4"/>
      <c r="JYL240" s="4"/>
      <c r="JYM240" s="4"/>
      <c r="JYN240" s="4"/>
      <c r="JYO240" s="4"/>
      <c r="JYP240" s="4"/>
      <c r="JYQ240" s="4"/>
      <c r="JYR240" s="4"/>
      <c r="JYS240" s="4"/>
      <c r="JYT240" s="4"/>
      <c r="JYU240" s="4"/>
      <c r="JYV240" s="4"/>
      <c r="JYW240" s="4"/>
      <c r="JYX240" s="4"/>
      <c r="JYY240" s="4"/>
      <c r="JYZ240" s="4"/>
      <c r="JZA240" s="4"/>
      <c r="JZB240" s="4"/>
      <c r="JZC240" s="4"/>
      <c r="JZD240" s="4"/>
      <c r="JZE240" s="4"/>
      <c r="JZF240" s="4"/>
      <c r="JZG240" s="4"/>
      <c r="JZH240" s="4"/>
      <c r="JZI240" s="4"/>
      <c r="JZJ240" s="4"/>
      <c r="JZK240" s="4"/>
      <c r="JZL240" s="4"/>
      <c r="JZM240" s="4"/>
      <c r="JZN240" s="4"/>
      <c r="JZO240" s="4"/>
      <c r="JZP240" s="4"/>
      <c r="JZQ240" s="4"/>
      <c r="JZR240" s="4"/>
      <c r="JZS240" s="4"/>
      <c r="JZT240" s="4"/>
      <c r="JZU240" s="4"/>
      <c r="JZV240" s="4"/>
      <c r="JZW240" s="4"/>
      <c r="JZX240" s="4"/>
      <c r="JZY240" s="4"/>
      <c r="JZZ240" s="4"/>
      <c r="KAA240" s="4"/>
      <c r="KAB240" s="4"/>
      <c r="KAC240" s="4"/>
      <c r="KAD240" s="4"/>
      <c r="KAE240" s="4"/>
      <c r="KAF240" s="4"/>
      <c r="KAG240" s="4"/>
      <c r="KAH240" s="4"/>
      <c r="KAI240" s="4"/>
      <c r="KAJ240" s="4"/>
      <c r="KAK240" s="4"/>
      <c r="KAL240" s="4"/>
      <c r="KAM240" s="4"/>
      <c r="KAN240" s="4"/>
      <c r="KAO240" s="4"/>
      <c r="KAP240" s="4"/>
      <c r="KAQ240" s="4"/>
      <c r="KAR240" s="4"/>
      <c r="KAS240" s="4"/>
      <c r="KAT240" s="4"/>
      <c r="KAU240" s="4"/>
      <c r="KAV240" s="4"/>
      <c r="KAW240" s="4"/>
      <c r="KAX240" s="4"/>
      <c r="KAY240" s="4"/>
      <c r="KAZ240" s="4"/>
      <c r="KBA240" s="4"/>
      <c r="KBB240" s="4"/>
      <c r="KBC240" s="4"/>
      <c r="KBD240" s="4"/>
      <c r="KBE240" s="4"/>
      <c r="KBF240" s="4"/>
      <c r="KBG240" s="4"/>
      <c r="KBH240" s="4"/>
      <c r="KBI240" s="4"/>
      <c r="KBJ240" s="4"/>
      <c r="KBK240" s="4"/>
      <c r="KBL240" s="4"/>
      <c r="KBM240" s="4"/>
      <c r="KBN240" s="4"/>
      <c r="KBO240" s="4"/>
      <c r="KBP240" s="4"/>
      <c r="KBQ240" s="4"/>
      <c r="KBR240" s="4"/>
      <c r="KBS240" s="4"/>
      <c r="KBT240" s="4"/>
      <c r="KBU240" s="4"/>
      <c r="KBV240" s="4"/>
      <c r="KBW240" s="4"/>
      <c r="KBX240" s="4"/>
      <c r="KBY240" s="4"/>
      <c r="KBZ240" s="4"/>
      <c r="KCA240" s="4"/>
      <c r="KCB240" s="4"/>
      <c r="KCC240" s="4"/>
      <c r="KCD240" s="4"/>
      <c r="KCE240" s="4"/>
      <c r="KCF240" s="4"/>
      <c r="KCG240" s="4"/>
      <c r="KCH240" s="4"/>
      <c r="KCI240" s="4"/>
      <c r="KCJ240" s="4"/>
      <c r="KCK240" s="4"/>
      <c r="KCL240" s="4"/>
      <c r="KCM240" s="4"/>
      <c r="KCN240" s="4"/>
      <c r="KCO240" s="4"/>
      <c r="KCP240" s="4"/>
      <c r="KCQ240" s="4"/>
      <c r="KCR240" s="4"/>
      <c r="KCS240" s="4"/>
      <c r="KCT240" s="4"/>
      <c r="KCU240" s="4"/>
      <c r="KCV240" s="4"/>
      <c r="KCW240" s="4"/>
      <c r="KCX240" s="4"/>
      <c r="KCY240" s="4"/>
      <c r="KCZ240" s="4"/>
      <c r="KDA240" s="4"/>
      <c r="KDB240" s="4"/>
      <c r="KDC240" s="4"/>
      <c r="KDD240" s="4"/>
      <c r="KDE240" s="4"/>
      <c r="KDF240" s="4"/>
      <c r="KDG240" s="4"/>
      <c r="KDH240" s="4"/>
      <c r="KDI240" s="4"/>
      <c r="KDJ240" s="4"/>
      <c r="KDK240" s="4"/>
      <c r="KDL240" s="4"/>
      <c r="KDM240" s="4"/>
      <c r="KDN240" s="4"/>
      <c r="KDO240" s="4"/>
      <c r="KDP240" s="4"/>
      <c r="KDQ240" s="4"/>
      <c r="KDR240" s="4"/>
      <c r="KDS240" s="4"/>
      <c r="KDT240" s="4"/>
      <c r="KDU240" s="4"/>
      <c r="KDV240" s="4"/>
      <c r="KDW240" s="4"/>
      <c r="KDX240" s="4"/>
      <c r="KDY240" s="4"/>
      <c r="KDZ240" s="4"/>
      <c r="KEA240" s="4"/>
      <c r="KEB240" s="4"/>
      <c r="KEC240" s="4"/>
      <c r="KED240" s="4"/>
      <c r="KEE240" s="4"/>
      <c r="KEF240" s="4"/>
      <c r="KEG240" s="4"/>
      <c r="KEH240" s="4"/>
      <c r="KEI240" s="4"/>
      <c r="KEJ240" s="4"/>
      <c r="KEK240" s="4"/>
      <c r="KEL240" s="4"/>
      <c r="KEM240" s="4"/>
      <c r="KEN240" s="4"/>
      <c r="KEO240" s="4"/>
      <c r="KEP240" s="4"/>
      <c r="KEQ240" s="4"/>
      <c r="KER240" s="4"/>
      <c r="KES240" s="4"/>
      <c r="KET240" s="4"/>
      <c r="KEU240" s="4"/>
      <c r="KEV240" s="4"/>
      <c r="KEW240" s="4"/>
      <c r="KEX240" s="4"/>
      <c r="KEY240" s="4"/>
      <c r="KEZ240" s="4"/>
      <c r="KFA240" s="4"/>
      <c r="KFB240" s="4"/>
      <c r="KFC240" s="4"/>
      <c r="KFD240" s="4"/>
      <c r="KFE240" s="4"/>
      <c r="KFF240" s="4"/>
      <c r="KFG240" s="4"/>
      <c r="KFH240" s="4"/>
      <c r="KFI240" s="4"/>
      <c r="KFJ240" s="4"/>
      <c r="KFK240" s="4"/>
      <c r="KFL240" s="4"/>
      <c r="KFM240" s="4"/>
      <c r="KFN240" s="4"/>
      <c r="KFO240" s="4"/>
      <c r="KFP240" s="4"/>
      <c r="KFQ240" s="4"/>
      <c r="KFR240" s="4"/>
      <c r="KFS240" s="4"/>
      <c r="KFT240" s="4"/>
      <c r="KFU240" s="4"/>
      <c r="KFV240" s="4"/>
      <c r="KFW240" s="4"/>
      <c r="KFX240" s="4"/>
      <c r="KFY240" s="4"/>
      <c r="KFZ240" s="4"/>
      <c r="KGA240" s="4"/>
      <c r="KGB240" s="4"/>
      <c r="KGC240" s="4"/>
      <c r="KGD240" s="4"/>
      <c r="KGE240" s="4"/>
      <c r="KGF240" s="4"/>
      <c r="KGG240" s="4"/>
      <c r="KGH240" s="4"/>
      <c r="KGI240" s="4"/>
      <c r="KGJ240" s="4"/>
      <c r="KGK240" s="4"/>
      <c r="KGL240" s="4"/>
      <c r="KGM240" s="4"/>
      <c r="KGN240" s="4"/>
      <c r="KGO240" s="4"/>
      <c r="KGP240" s="4"/>
      <c r="KGQ240" s="4"/>
      <c r="KGR240" s="4"/>
      <c r="KGS240" s="4"/>
      <c r="KGT240" s="4"/>
      <c r="KGU240" s="4"/>
      <c r="KGV240" s="4"/>
      <c r="KGW240" s="4"/>
      <c r="KGX240" s="4"/>
      <c r="KGY240" s="4"/>
      <c r="KGZ240" s="4"/>
      <c r="KHA240" s="4"/>
      <c r="KHB240" s="4"/>
      <c r="KHC240" s="4"/>
      <c r="KHD240" s="4"/>
      <c r="KHE240" s="4"/>
      <c r="KHF240" s="4"/>
      <c r="KHG240" s="4"/>
      <c r="KHH240" s="4"/>
      <c r="KHI240" s="4"/>
      <c r="KHJ240" s="4"/>
      <c r="KHK240" s="4"/>
      <c r="KHL240" s="4"/>
      <c r="KHM240" s="4"/>
      <c r="KHN240" s="4"/>
      <c r="KHO240" s="4"/>
      <c r="KHP240" s="4"/>
      <c r="KHQ240" s="4"/>
      <c r="KHR240" s="4"/>
      <c r="KHS240" s="4"/>
      <c r="KHT240" s="4"/>
      <c r="KHU240" s="4"/>
      <c r="KHV240" s="4"/>
      <c r="KHW240" s="4"/>
      <c r="KHX240" s="4"/>
      <c r="KHY240" s="4"/>
      <c r="KHZ240" s="4"/>
      <c r="KIA240" s="4"/>
      <c r="KIB240" s="4"/>
      <c r="KIC240" s="4"/>
      <c r="KID240" s="4"/>
      <c r="KIE240" s="4"/>
      <c r="KIF240" s="4"/>
      <c r="KIG240" s="4"/>
      <c r="KIH240" s="4"/>
      <c r="KII240" s="4"/>
      <c r="KIJ240" s="4"/>
      <c r="KIK240" s="4"/>
      <c r="KIL240" s="4"/>
      <c r="KIM240" s="4"/>
      <c r="KIN240" s="4"/>
      <c r="KIO240" s="4"/>
      <c r="KIP240" s="4"/>
      <c r="KIQ240" s="4"/>
      <c r="KIR240" s="4"/>
      <c r="KIS240" s="4"/>
      <c r="KIT240" s="4"/>
      <c r="KIU240" s="4"/>
      <c r="KIV240" s="4"/>
      <c r="KIW240" s="4"/>
      <c r="KIX240" s="4"/>
      <c r="KIY240" s="4"/>
      <c r="KIZ240" s="4"/>
      <c r="KJA240" s="4"/>
      <c r="KJB240" s="4"/>
      <c r="KJC240" s="4"/>
      <c r="KJD240" s="4"/>
      <c r="KJE240" s="4"/>
      <c r="KJF240" s="4"/>
      <c r="KJG240" s="4"/>
      <c r="KJH240" s="4"/>
      <c r="KJI240" s="4"/>
      <c r="KJJ240" s="4"/>
      <c r="KJK240" s="4"/>
      <c r="KJL240" s="4"/>
      <c r="KJM240" s="4"/>
      <c r="KJN240" s="4"/>
      <c r="KJO240" s="4"/>
      <c r="KJP240" s="4"/>
      <c r="KJQ240" s="4"/>
      <c r="KJR240" s="4"/>
      <c r="KJS240" s="4"/>
      <c r="KJT240" s="4"/>
      <c r="KJU240" s="4"/>
      <c r="KJV240" s="4"/>
      <c r="KJW240" s="4"/>
      <c r="KJX240" s="4"/>
      <c r="KJY240" s="4"/>
      <c r="KJZ240" s="4"/>
      <c r="KKA240" s="4"/>
      <c r="KKB240" s="4"/>
      <c r="KKC240" s="4"/>
      <c r="KKD240" s="4"/>
      <c r="KKE240" s="4"/>
      <c r="KKF240" s="4"/>
      <c r="KKG240" s="4"/>
      <c r="KKH240" s="4"/>
      <c r="KKI240" s="4"/>
      <c r="KKJ240" s="4"/>
      <c r="KKK240" s="4"/>
      <c r="KKL240" s="4"/>
      <c r="KKM240" s="4"/>
      <c r="KKN240" s="4"/>
      <c r="KKO240" s="4"/>
      <c r="KKP240" s="4"/>
      <c r="KKQ240" s="4"/>
      <c r="KKR240" s="4"/>
      <c r="KKS240" s="4"/>
      <c r="KKT240" s="4"/>
      <c r="KKU240" s="4"/>
      <c r="KKV240" s="4"/>
      <c r="KKW240" s="4"/>
      <c r="KKX240" s="4"/>
      <c r="KKY240" s="4"/>
      <c r="KKZ240" s="4"/>
      <c r="KLA240" s="4"/>
      <c r="KLB240" s="4"/>
      <c r="KLC240" s="4"/>
      <c r="KLD240" s="4"/>
      <c r="KLE240" s="4"/>
      <c r="KLF240" s="4"/>
      <c r="KLG240" s="4"/>
      <c r="KLH240" s="4"/>
      <c r="KLI240" s="4"/>
      <c r="KLJ240" s="4"/>
      <c r="KLK240" s="4"/>
      <c r="KLL240" s="4"/>
      <c r="KLM240" s="4"/>
      <c r="KLN240" s="4"/>
      <c r="KLO240" s="4"/>
      <c r="KLP240" s="4"/>
      <c r="KLQ240" s="4"/>
      <c r="KLR240" s="4"/>
      <c r="KLS240" s="4"/>
      <c r="KLT240" s="4"/>
      <c r="KLU240" s="4"/>
      <c r="KLV240" s="4"/>
      <c r="KLW240" s="4"/>
      <c r="KLX240" s="4"/>
      <c r="KLY240" s="4"/>
      <c r="KLZ240" s="4"/>
      <c r="KMA240" s="4"/>
      <c r="KMB240" s="4"/>
      <c r="KMC240" s="4"/>
      <c r="KMD240" s="4"/>
      <c r="KME240" s="4"/>
      <c r="KMF240" s="4"/>
      <c r="KMG240" s="4"/>
      <c r="KMH240" s="4"/>
      <c r="KMI240" s="4"/>
      <c r="KMJ240" s="4"/>
      <c r="KMK240" s="4"/>
      <c r="KML240" s="4"/>
      <c r="KMM240" s="4"/>
      <c r="KMN240" s="4"/>
      <c r="KMO240" s="4"/>
      <c r="KMP240" s="4"/>
      <c r="KMQ240" s="4"/>
      <c r="KMR240" s="4"/>
      <c r="KMS240" s="4"/>
      <c r="KMT240" s="4"/>
      <c r="KMU240" s="4"/>
      <c r="KMV240" s="4"/>
      <c r="KMW240" s="4"/>
      <c r="KMX240" s="4"/>
      <c r="KMY240" s="4"/>
      <c r="KMZ240" s="4"/>
      <c r="KNA240" s="4"/>
      <c r="KNB240" s="4"/>
      <c r="KNC240" s="4"/>
      <c r="KND240" s="4"/>
      <c r="KNE240" s="4"/>
      <c r="KNF240" s="4"/>
      <c r="KNG240" s="4"/>
      <c r="KNH240" s="4"/>
      <c r="KNI240" s="4"/>
      <c r="KNJ240" s="4"/>
      <c r="KNK240" s="4"/>
      <c r="KNL240" s="4"/>
      <c r="KNM240" s="4"/>
      <c r="KNN240" s="4"/>
      <c r="KNO240" s="4"/>
      <c r="KNP240" s="4"/>
      <c r="KNQ240" s="4"/>
      <c r="KNR240" s="4"/>
      <c r="KNS240" s="4"/>
      <c r="KNT240" s="4"/>
      <c r="KNU240" s="4"/>
      <c r="KNV240" s="4"/>
      <c r="KNW240" s="4"/>
      <c r="KNX240" s="4"/>
      <c r="KNY240" s="4"/>
      <c r="KNZ240" s="4"/>
      <c r="KOA240" s="4"/>
      <c r="KOB240" s="4"/>
      <c r="KOC240" s="4"/>
      <c r="KOD240" s="4"/>
      <c r="KOE240" s="4"/>
      <c r="KOF240" s="4"/>
      <c r="KOG240" s="4"/>
      <c r="KOH240" s="4"/>
      <c r="KOI240" s="4"/>
      <c r="KOJ240" s="4"/>
      <c r="KOK240" s="4"/>
      <c r="KOL240" s="4"/>
      <c r="KOM240" s="4"/>
      <c r="KON240" s="4"/>
      <c r="KOO240" s="4"/>
      <c r="KOP240" s="4"/>
      <c r="KOQ240" s="4"/>
      <c r="KOR240" s="4"/>
      <c r="KOS240" s="4"/>
      <c r="KOT240" s="4"/>
      <c r="KOU240" s="4"/>
      <c r="KOV240" s="4"/>
      <c r="KOW240" s="4"/>
      <c r="KOX240" s="4"/>
      <c r="KOY240" s="4"/>
      <c r="KOZ240" s="4"/>
      <c r="KPA240" s="4"/>
      <c r="KPB240" s="4"/>
      <c r="KPC240" s="4"/>
      <c r="KPD240" s="4"/>
      <c r="KPE240" s="4"/>
      <c r="KPF240" s="4"/>
      <c r="KPG240" s="4"/>
      <c r="KPH240" s="4"/>
      <c r="KPI240" s="4"/>
      <c r="KPJ240" s="4"/>
      <c r="KPK240" s="4"/>
      <c r="KPL240" s="4"/>
      <c r="KPM240" s="4"/>
      <c r="KPN240" s="4"/>
      <c r="KPO240" s="4"/>
      <c r="KPP240" s="4"/>
      <c r="KPQ240" s="4"/>
      <c r="KPR240" s="4"/>
      <c r="KPS240" s="4"/>
      <c r="KPT240" s="4"/>
      <c r="KPU240" s="4"/>
      <c r="KPV240" s="4"/>
      <c r="KPW240" s="4"/>
      <c r="KPX240" s="4"/>
      <c r="KPY240" s="4"/>
      <c r="KPZ240" s="4"/>
      <c r="KQA240" s="4"/>
      <c r="KQB240" s="4"/>
      <c r="KQC240" s="4"/>
      <c r="KQD240" s="4"/>
      <c r="KQE240" s="4"/>
      <c r="KQF240" s="4"/>
      <c r="KQG240" s="4"/>
      <c r="KQH240" s="4"/>
      <c r="KQI240" s="4"/>
      <c r="KQJ240" s="4"/>
      <c r="KQK240" s="4"/>
      <c r="KQL240" s="4"/>
      <c r="KQM240" s="4"/>
      <c r="KQN240" s="4"/>
      <c r="KQO240" s="4"/>
      <c r="KQP240" s="4"/>
      <c r="KQQ240" s="4"/>
      <c r="KQR240" s="4"/>
      <c r="KQS240" s="4"/>
      <c r="KQT240" s="4"/>
      <c r="KQU240" s="4"/>
      <c r="KQV240" s="4"/>
      <c r="KQW240" s="4"/>
      <c r="KQX240" s="4"/>
      <c r="KQY240" s="4"/>
      <c r="KQZ240" s="4"/>
      <c r="KRA240" s="4"/>
      <c r="KRB240" s="4"/>
      <c r="KRC240" s="4"/>
      <c r="KRD240" s="4"/>
      <c r="KRE240" s="4"/>
      <c r="KRF240" s="4"/>
      <c r="KRG240" s="4"/>
      <c r="KRH240" s="4"/>
      <c r="KRI240" s="4"/>
      <c r="KRJ240" s="4"/>
      <c r="KRK240" s="4"/>
      <c r="KRL240" s="4"/>
      <c r="KRM240" s="4"/>
      <c r="KRN240" s="4"/>
      <c r="KRO240" s="4"/>
      <c r="KRP240" s="4"/>
      <c r="KRQ240" s="4"/>
      <c r="KRR240" s="4"/>
      <c r="KRS240" s="4"/>
      <c r="KRT240" s="4"/>
      <c r="KRU240" s="4"/>
      <c r="KRV240" s="4"/>
      <c r="KRW240" s="4"/>
      <c r="KRX240" s="4"/>
      <c r="KRY240" s="4"/>
      <c r="KRZ240" s="4"/>
      <c r="KSA240" s="4"/>
      <c r="KSB240" s="4"/>
      <c r="KSC240" s="4"/>
      <c r="KSD240" s="4"/>
      <c r="KSE240" s="4"/>
      <c r="KSF240" s="4"/>
      <c r="KSG240" s="4"/>
      <c r="KSH240" s="4"/>
      <c r="KSI240" s="4"/>
      <c r="KSJ240" s="4"/>
      <c r="KSK240" s="4"/>
      <c r="KSL240" s="4"/>
      <c r="KSM240" s="4"/>
      <c r="KSN240" s="4"/>
      <c r="KSO240" s="4"/>
      <c r="KSP240" s="4"/>
      <c r="KSQ240" s="4"/>
      <c r="KSR240" s="4"/>
      <c r="KSS240" s="4"/>
      <c r="KST240" s="4"/>
      <c r="KSU240" s="4"/>
      <c r="KSV240" s="4"/>
      <c r="KSW240" s="4"/>
      <c r="KSX240" s="4"/>
      <c r="KSY240" s="4"/>
      <c r="KSZ240" s="4"/>
      <c r="KTA240" s="4"/>
      <c r="KTB240" s="4"/>
      <c r="KTC240" s="4"/>
      <c r="KTD240" s="4"/>
      <c r="KTE240" s="4"/>
      <c r="KTF240" s="4"/>
      <c r="KTG240" s="4"/>
      <c r="KTH240" s="4"/>
      <c r="KTI240" s="4"/>
      <c r="KTJ240" s="4"/>
      <c r="KTK240" s="4"/>
      <c r="KTL240" s="4"/>
      <c r="KTM240" s="4"/>
      <c r="KTN240" s="4"/>
      <c r="KTO240" s="4"/>
      <c r="KTP240" s="4"/>
      <c r="KTQ240" s="4"/>
      <c r="KTR240" s="4"/>
      <c r="KTS240" s="4"/>
      <c r="KTT240" s="4"/>
      <c r="KTU240" s="4"/>
      <c r="KTV240" s="4"/>
      <c r="KTW240" s="4"/>
      <c r="KTX240" s="4"/>
      <c r="KTY240" s="4"/>
      <c r="KTZ240" s="4"/>
      <c r="KUA240" s="4"/>
      <c r="KUB240" s="4"/>
      <c r="KUC240" s="4"/>
      <c r="KUD240" s="4"/>
      <c r="KUE240" s="4"/>
      <c r="KUF240" s="4"/>
      <c r="KUG240" s="4"/>
      <c r="KUH240" s="4"/>
      <c r="KUI240" s="4"/>
      <c r="KUJ240" s="4"/>
      <c r="KUK240" s="4"/>
      <c r="KUL240" s="4"/>
      <c r="KUM240" s="4"/>
      <c r="KUN240" s="4"/>
      <c r="KUO240" s="4"/>
      <c r="KUP240" s="4"/>
      <c r="KUQ240" s="4"/>
      <c r="KUR240" s="4"/>
      <c r="KUS240" s="4"/>
      <c r="KUT240" s="4"/>
      <c r="KUU240" s="4"/>
      <c r="KUV240" s="4"/>
      <c r="KUW240" s="4"/>
      <c r="KUX240" s="4"/>
      <c r="KUY240" s="4"/>
      <c r="KUZ240" s="4"/>
      <c r="KVA240" s="4"/>
      <c r="KVB240" s="4"/>
      <c r="KVC240" s="4"/>
      <c r="KVD240" s="4"/>
      <c r="KVE240" s="4"/>
      <c r="KVF240" s="4"/>
      <c r="KVG240" s="4"/>
      <c r="KVH240" s="4"/>
      <c r="KVI240" s="4"/>
      <c r="KVJ240" s="4"/>
      <c r="KVK240" s="4"/>
      <c r="KVL240" s="4"/>
      <c r="KVM240" s="4"/>
      <c r="KVN240" s="4"/>
      <c r="KVO240" s="4"/>
      <c r="KVP240" s="4"/>
      <c r="KVQ240" s="4"/>
      <c r="KVR240" s="4"/>
      <c r="KVS240" s="4"/>
      <c r="KVT240" s="4"/>
      <c r="KVU240" s="4"/>
      <c r="KVV240" s="4"/>
      <c r="KVW240" s="4"/>
      <c r="KVX240" s="4"/>
      <c r="KVY240" s="4"/>
      <c r="KVZ240" s="4"/>
      <c r="KWA240" s="4"/>
      <c r="KWB240" s="4"/>
      <c r="KWC240" s="4"/>
      <c r="KWD240" s="4"/>
      <c r="KWE240" s="4"/>
      <c r="KWF240" s="4"/>
      <c r="KWG240" s="4"/>
      <c r="KWH240" s="4"/>
      <c r="KWI240" s="4"/>
      <c r="KWJ240" s="4"/>
      <c r="KWK240" s="4"/>
      <c r="KWL240" s="4"/>
      <c r="KWM240" s="4"/>
      <c r="KWN240" s="4"/>
      <c r="KWO240" s="4"/>
      <c r="KWP240" s="4"/>
      <c r="KWQ240" s="4"/>
      <c r="KWR240" s="4"/>
      <c r="KWS240" s="4"/>
      <c r="KWT240" s="4"/>
      <c r="KWU240" s="4"/>
      <c r="KWV240" s="4"/>
      <c r="KWW240" s="4"/>
      <c r="KWX240" s="4"/>
      <c r="KWY240" s="4"/>
      <c r="KWZ240" s="4"/>
      <c r="KXA240" s="4"/>
      <c r="KXB240" s="4"/>
      <c r="KXC240" s="4"/>
      <c r="KXD240" s="4"/>
      <c r="KXE240" s="4"/>
      <c r="KXF240" s="4"/>
      <c r="KXG240" s="4"/>
      <c r="KXH240" s="4"/>
      <c r="KXI240" s="4"/>
      <c r="KXJ240" s="4"/>
      <c r="KXK240" s="4"/>
      <c r="KXL240" s="4"/>
      <c r="KXM240" s="4"/>
      <c r="KXN240" s="4"/>
      <c r="KXO240" s="4"/>
      <c r="KXP240" s="4"/>
      <c r="KXQ240" s="4"/>
      <c r="KXR240" s="4"/>
      <c r="KXS240" s="4"/>
      <c r="KXT240" s="4"/>
      <c r="KXU240" s="4"/>
      <c r="KXV240" s="4"/>
      <c r="KXW240" s="4"/>
      <c r="KXX240" s="4"/>
      <c r="KXY240" s="4"/>
      <c r="KXZ240" s="4"/>
      <c r="KYA240" s="4"/>
      <c r="KYB240" s="4"/>
      <c r="KYC240" s="4"/>
      <c r="KYD240" s="4"/>
      <c r="KYE240" s="4"/>
      <c r="KYF240" s="4"/>
      <c r="KYG240" s="4"/>
      <c r="KYH240" s="4"/>
      <c r="KYI240" s="4"/>
      <c r="KYJ240" s="4"/>
      <c r="KYK240" s="4"/>
      <c r="KYL240" s="4"/>
      <c r="KYM240" s="4"/>
      <c r="KYN240" s="4"/>
      <c r="KYO240" s="4"/>
      <c r="KYP240" s="4"/>
      <c r="KYQ240" s="4"/>
      <c r="KYR240" s="4"/>
      <c r="KYS240" s="4"/>
      <c r="KYT240" s="4"/>
      <c r="KYU240" s="4"/>
      <c r="KYV240" s="4"/>
      <c r="KYW240" s="4"/>
      <c r="KYX240" s="4"/>
      <c r="KYY240" s="4"/>
      <c r="KYZ240" s="4"/>
      <c r="KZA240" s="4"/>
      <c r="KZB240" s="4"/>
      <c r="KZC240" s="4"/>
      <c r="KZD240" s="4"/>
      <c r="KZE240" s="4"/>
      <c r="KZF240" s="4"/>
      <c r="KZG240" s="4"/>
      <c r="KZH240" s="4"/>
      <c r="KZI240" s="4"/>
      <c r="KZJ240" s="4"/>
      <c r="KZK240" s="4"/>
      <c r="KZL240" s="4"/>
      <c r="KZM240" s="4"/>
      <c r="KZN240" s="4"/>
      <c r="KZO240" s="4"/>
      <c r="KZP240" s="4"/>
      <c r="KZQ240" s="4"/>
      <c r="KZR240" s="4"/>
      <c r="KZS240" s="4"/>
      <c r="KZT240" s="4"/>
      <c r="KZU240" s="4"/>
      <c r="KZV240" s="4"/>
      <c r="KZW240" s="4"/>
      <c r="KZX240" s="4"/>
      <c r="KZY240" s="4"/>
      <c r="KZZ240" s="4"/>
      <c r="LAA240" s="4"/>
      <c r="LAB240" s="4"/>
      <c r="LAC240" s="4"/>
      <c r="LAD240" s="4"/>
      <c r="LAE240" s="4"/>
      <c r="LAF240" s="4"/>
      <c r="LAG240" s="4"/>
      <c r="LAH240" s="4"/>
      <c r="LAI240" s="4"/>
      <c r="LAJ240" s="4"/>
      <c r="LAK240" s="4"/>
      <c r="LAL240" s="4"/>
      <c r="LAM240" s="4"/>
      <c r="LAN240" s="4"/>
      <c r="LAO240" s="4"/>
      <c r="LAP240" s="4"/>
      <c r="LAQ240" s="4"/>
      <c r="LAR240" s="4"/>
      <c r="LAS240" s="4"/>
      <c r="LAT240" s="4"/>
      <c r="LAU240" s="4"/>
      <c r="LAV240" s="4"/>
      <c r="LAW240" s="4"/>
      <c r="LAX240" s="4"/>
      <c r="LAY240" s="4"/>
      <c r="LAZ240" s="4"/>
      <c r="LBA240" s="4"/>
      <c r="LBB240" s="4"/>
      <c r="LBC240" s="4"/>
      <c r="LBD240" s="4"/>
      <c r="LBE240" s="4"/>
      <c r="LBF240" s="4"/>
      <c r="LBG240" s="4"/>
      <c r="LBH240" s="4"/>
      <c r="LBI240" s="4"/>
      <c r="LBJ240" s="4"/>
      <c r="LBK240" s="4"/>
      <c r="LBL240" s="4"/>
      <c r="LBM240" s="4"/>
      <c r="LBN240" s="4"/>
      <c r="LBO240" s="4"/>
      <c r="LBP240" s="4"/>
      <c r="LBQ240" s="4"/>
      <c r="LBR240" s="4"/>
      <c r="LBS240" s="4"/>
      <c r="LBT240" s="4"/>
      <c r="LBU240" s="4"/>
      <c r="LBV240" s="4"/>
      <c r="LBW240" s="4"/>
      <c r="LBX240" s="4"/>
      <c r="LBY240" s="4"/>
      <c r="LBZ240" s="4"/>
      <c r="LCA240" s="4"/>
      <c r="LCB240" s="4"/>
      <c r="LCC240" s="4"/>
      <c r="LCD240" s="4"/>
      <c r="LCE240" s="4"/>
      <c r="LCF240" s="4"/>
      <c r="LCG240" s="4"/>
      <c r="LCH240" s="4"/>
      <c r="LCI240" s="4"/>
      <c r="LCJ240" s="4"/>
      <c r="LCK240" s="4"/>
      <c r="LCL240" s="4"/>
      <c r="LCM240" s="4"/>
      <c r="LCN240" s="4"/>
      <c r="LCO240" s="4"/>
      <c r="LCP240" s="4"/>
      <c r="LCQ240" s="4"/>
      <c r="LCR240" s="4"/>
      <c r="LCS240" s="4"/>
      <c r="LCT240" s="4"/>
      <c r="LCU240" s="4"/>
      <c r="LCV240" s="4"/>
      <c r="LCW240" s="4"/>
      <c r="LCX240" s="4"/>
      <c r="LCY240" s="4"/>
      <c r="LCZ240" s="4"/>
      <c r="LDA240" s="4"/>
      <c r="LDB240" s="4"/>
      <c r="LDC240" s="4"/>
      <c r="LDD240" s="4"/>
      <c r="LDE240" s="4"/>
      <c r="LDF240" s="4"/>
      <c r="LDG240" s="4"/>
      <c r="LDH240" s="4"/>
      <c r="LDI240" s="4"/>
      <c r="LDJ240" s="4"/>
      <c r="LDK240" s="4"/>
      <c r="LDL240" s="4"/>
      <c r="LDM240" s="4"/>
      <c r="LDN240" s="4"/>
      <c r="LDO240" s="4"/>
      <c r="LDP240" s="4"/>
      <c r="LDQ240" s="4"/>
      <c r="LDR240" s="4"/>
      <c r="LDS240" s="4"/>
      <c r="LDT240" s="4"/>
      <c r="LDU240" s="4"/>
      <c r="LDV240" s="4"/>
      <c r="LDW240" s="4"/>
      <c r="LDX240" s="4"/>
      <c r="LDY240" s="4"/>
      <c r="LDZ240" s="4"/>
      <c r="LEA240" s="4"/>
      <c r="LEB240" s="4"/>
      <c r="LEC240" s="4"/>
      <c r="LED240" s="4"/>
      <c r="LEE240" s="4"/>
      <c r="LEF240" s="4"/>
      <c r="LEG240" s="4"/>
      <c r="LEH240" s="4"/>
      <c r="LEI240" s="4"/>
      <c r="LEJ240" s="4"/>
      <c r="LEK240" s="4"/>
      <c r="LEL240" s="4"/>
      <c r="LEM240" s="4"/>
      <c r="LEN240" s="4"/>
      <c r="LEO240" s="4"/>
      <c r="LEP240" s="4"/>
      <c r="LEQ240" s="4"/>
      <c r="LER240" s="4"/>
      <c r="LES240" s="4"/>
      <c r="LET240" s="4"/>
      <c r="LEU240" s="4"/>
      <c r="LEV240" s="4"/>
      <c r="LEW240" s="4"/>
      <c r="LEX240" s="4"/>
      <c r="LEY240" s="4"/>
      <c r="LEZ240" s="4"/>
      <c r="LFA240" s="4"/>
      <c r="LFB240" s="4"/>
      <c r="LFC240" s="4"/>
      <c r="LFD240" s="4"/>
      <c r="LFE240" s="4"/>
      <c r="LFF240" s="4"/>
      <c r="LFG240" s="4"/>
      <c r="LFH240" s="4"/>
      <c r="LFI240" s="4"/>
      <c r="LFJ240" s="4"/>
      <c r="LFK240" s="4"/>
      <c r="LFL240" s="4"/>
      <c r="LFM240" s="4"/>
      <c r="LFN240" s="4"/>
      <c r="LFO240" s="4"/>
      <c r="LFP240" s="4"/>
      <c r="LFQ240" s="4"/>
      <c r="LFR240" s="4"/>
      <c r="LFS240" s="4"/>
      <c r="LFT240" s="4"/>
      <c r="LFU240" s="4"/>
      <c r="LFV240" s="4"/>
      <c r="LFW240" s="4"/>
      <c r="LFX240" s="4"/>
      <c r="LFY240" s="4"/>
      <c r="LFZ240" s="4"/>
      <c r="LGA240" s="4"/>
      <c r="LGB240" s="4"/>
      <c r="LGC240" s="4"/>
      <c r="LGD240" s="4"/>
      <c r="LGE240" s="4"/>
      <c r="LGF240" s="4"/>
      <c r="LGG240" s="4"/>
      <c r="LGH240" s="4"/>
      <c r="LGI240" s="4"/>
      <c r="LGJ240" s="4"/>
      <c r="LGK240" s="4"/>
      <c r="LGL240" s="4"/>
      <c r="LGM240" s="4"/>
      <c r="LGN240" s="4"/>
      <c r="LGO240" s="4"/>
      <c r="LGP240" s="4"/>
      <c r="LGQ240" s="4"/>
      <c r="LGR240" s="4"/>
      <c r="LGS240" s="4"/>
      <c r="LGT240" s="4"/>
      <c r="LGU240" s="4"/>
      <c r="LGV240" s="4"/>
      <c r="LGW240" s="4"/>
      <c r="LGX240" s="4"/>
      <c r="LGY240" s="4"/>
      <c r="LGZ240" s="4"/>
      <c r="LHA240" s="4"/>
      <c r="LHB240" s="4"/>
      <c r="LHC240" s="4"/>
      <c r="LHD240" s="4"/>
      <c r="LHE240" s="4"/>
      <c r="LHF240" s="4"/>
      <c r="LHG240" s="4"/>
      <c r="LHH240" s="4"/>
      <c r="LHI240" s="4"/>
      <c r="LHJ240" s="4"/>
      <c r="LHK240" s="4"/>
      <c r="LHL240" s="4"/>
      <c r="LHM240" s="4"/>
      <c r="LHN240" s="4"/>
      <c r="LHO240" s="4"/>
      <c r="LHP240" s="4"/>
      <c r="LHQ240" s="4"/>
      <c r="LHR240" s="4"/>
      <c r="LHS240" s="4"/>
      <c r="LHT240" s="4"/>
      <c r="LHU240" s="4"/>
      <c r="LHV240" s="4"/>
      <c r="LHW240" s="4"/>
      <c r="LHX240" s="4"/>
      <c r="LHY240" s="4"/>
      <c r="LHZ240" s="4"/>
      <c r="LIA240" s="4"/>
      <c r="LIB240" s="4"/>
      <c r="LIC240" s="4"/>
      <c r="LID240" s="4"/>
      <c r="LIE240" s="4"/>
      <c r="LIF240" s="4"/>
      <c r="LIG240" s="4"/>
      <c r="LIH240" s="4"/>
      <c r="LII240" s="4"/>
      <c r="LIJ240" s="4"/>
      <c r="LIK240" s="4"/>
      <c r="LIL240" s="4"/>
      <c r="LIM240" s="4"/>
      <c r="LIN240" s="4"/>
      <c r="LIO240" s="4"/>
      <c r="LIP240" s="4"/>
      <c r="LIQ240" s="4"/>
      <c r="LIR240" s="4"/>
      <c r="LIS240" s="4"/>
      <c r="LIT240" s="4"/>
      <c r="LIU240" s="4"/>
      <c r="LIV240" s="4"/>
      <c r="LIW240" s="4"/>
      <c r="LIX240" s="4"/>
      <c r="LIY240" s="4"/>
      <c r="LIZ240" s="4"/>
      <c r="LJA240" s="4"/>
      <c r="LJB240" s="4"/>
      <c r="LJC240" s="4"/>
      <c r="LJD240" s="4"/>
      <c r="LJE240" s="4"/>
      <c r="LJF240" s="4"/>
      <c r="LJG240" s="4"/>
      <c r="LJH240" s="4"/>
      <c r="LJI240" s="4"/>
      <c r="LJJ240" s="4"/>
      <c r="LJK240" s="4"/>
      <c r="LJL240" s="4"/>
      <c r="LJM240" s="4"/>
      <c r="LJN240" s="4"/>
      <c r="LJO240" s="4"/>
      <c r="LJP240" s="4"/>
      <c r="LJQ240" s="4"/>
      <c r="LJR240" s="4"/>
      <c r="LJS240" s="4"/>
      <c r="LJT240" s="4"/>
      <c r="LJU240" s="4"/>
      <c r="LJV240" s="4"/>
      <c r="LJW240" s="4"/>
      <c r="LJX240" s="4"/>
      <c r="LJY240" s="4"/>
      <c r="LJZ240" s="4"/>
      <c r="LKA240" s="4"/>
      <c r="LKB240" s="4"/>
      <c r="LKC240" s="4"/>
      <c r="LKD240" s="4"/>
      <c r="LKE240" s="4"/>
      <c r="LKF240" s="4"/>
      <c r="LKG240" s="4"/>
      <c r="LKH240" s="4"/>
      <c r="LKI240" s="4"/>
      <c r="LKJ240" s="4"/>
      <c r="LKK240" s="4"/>
      <c r="LKL240" s="4"/>
      <c r="LKM240" s="4"/>
      <c r="LKN240" s="4"/>
      <c r="LKO240" s="4"/>
      <c r="LKP240" s="4"/>
      <c r="LKQ240" s="4"/>
      <c r="LKR240" s="4"/>
      <c r="LKS240" s="4"/>
      <c r="LKT240" s="4"/>
      <c r="LKU240" s="4"/>
      <c r="LKV240" s="4"/>
      <c r="LKW240" s="4"/>
      <c r="LKX240" s="4"/>
      <c r="LKY240" s="4"/>
      <c r="LKZ240" s="4"/>
      <c r="LLA240" s="4"/>
      <c r="LLB240" s="4"/>
      <c r="LLC240" s="4"/>
      <c r="LLD240" s="4"/>
      <c r="LLE240" s="4"/>
      <c r="LLF240" s="4"/>
      <c r="LLG240" s="4"/>
      <c r="LLH240" s="4"/>
      <c r="LLI240" s="4"/>
      <c r="LLJ240" s="4"/>
      <c r="LLK240" s="4"/>
      <c r="LLL240" s="4"/>
      <c r="LLM240" s="4"/>
      <c r="LLN240" s="4"/>
      <c r="LLO240" s="4"/>
      <c r="LLP240" s="4"/>
      <c r="LLQ240" s="4"/>
      <c r="LLR240" s="4"/>
      <c r="LLS240" s="4"/>
      <c r="LLT240" s="4"/>
      <c r="LLU240" s="4"/>
      <c r="LLV240" s="4"/>
      <c r="LLW240" s="4"/>
      <c r="LLX240" s="4"/>
      <c r="LLY240" s="4"/>
      <c r="LLZ240" s="4"/>
      <c r="LMA240" s="4"/>
      <c r="LMB240" s="4"/>
      <c r="LMC240" s="4"/>
      <c r="LMD240" s="4"/>
      <c r="LME240" s="4"/>
      <c r="LMF240" s="4"/>
      <c r="LMG240" s="4"/>
      <c r="LMH240" s="4"/>
      <c r="LMI240" s="4"/>
      <c r="LMJ240" s="4"/>
      <c r="LMK240" s="4"/>
      <c r="LML240" s="4"/>
      <c r="LMM240" s="4"/>
      <c r="LMN240" s="4"/>
      <c r="LMO240" s="4"/>
      <c r="LMP240" s="4"/>
      <c r="LMQ240" s="4"/>
      <c r="LMR240" s="4"/>
      <c r="LMS240" s="4"/>
      <c r="LMT240" s="4"/>
      <c r="LMU240" s="4"/>
      <c r="LMV240" s="4"/>
      <c r="LMW240" s="4"/>
      <c r="LMX240" s="4"/>
      <c r="LMY240" s="4"/>
      <c r="LMZ240" s="4"/>
      <c r="LNA240" s="4"/>
      <c r="LNB240" s="4"/>
      <c r="LNC240" s="4"/>
      <c r="LND240" s="4"/>
      <c r="LNE240" s="4"/>
      <c r="LNF240" s="4"/>
      <c r="LNG240" s="4"/>
      <c r="LNH240" s="4"/>
      <c r="LNI240" s="4"/>
      <c r="LNJ240" s="4"/>
      <c r="LNK240" s="4"/>
      <c r="LNL240" s="4"/>
      <c r="LNM240" s="4"/>
      <c r="LNN240" s="4"/>
      <c r="LNO240" s="4"/>
      <c r="LNP240" s="4"/>
      <c r="LNQ240" s="4"/>
      <c r="LNR240" s="4"/>
      <c r="LNS240" s="4"/>
      <c r="LNT240" s="4"/>
      <c r="LNU240" s="4"/>
      <c r="LNV240" s="4"/>
      <c r="LNW240" s="4"/>
      <c r="LNX240" s="4"/>
      <c r="LNY240" s="4"/>
      <c r="LNZ240" s="4"/>
      <c r="LOA240" s="4"/>
      <c r="LOB240" s="4"/>
      <c r="LOC240" s="4"/>
      <c r="LOD240" s="4"/>
      <c r="LOE240" s="4"/>
      <c r="LOF240" s="4"/>
      <c r="LOG240" s="4"/>
      <c r="LOH240" s="4"/>
      <c r="LOI240" s="4"/>
      <c r="LOJ240" s="4"/>
      <c r="LOK240" s="4"/>
      <c r="LOL240" s="4"/>
      <c r="LOM240" s="4"/>
      <c r="LON240" s="4"/>
      <c r="LOO240" s="4"/>
      <c r="LOP240" s="4"/>
      <c r="LOQ240" s="4"/>
      <c r="LOR240" s="4"/>
      <c r="LOS240" s="4"/>
      <c r="LOT240" s="4"/>
      <c r="LOU240" s="4"/>
      <c r="LOV240" s="4"/>
      <c r="LOW240" s="4"/>
      <c r="LOX240" s="4"/>
      <c r="LOY240" s="4"/>
      <c r="LOZ240" s="4"/>
      <c r="LPA240" s="4"/>
      <c r="LPB240" s="4"/>
      <c r="LPC240" s="4"/>
      <c r="LPD240" s="4"/>
      <c r="LPE240" s="4"/>
      <c r="LPF240" s="4"/>
      <c r="LPG240" s="4"/>
      <c r="LPH240" s="4"/>
      <c r="LPI240" s="4"/>
      <c r="LPJ240" s="4"/>
      <c r="LPK240" s="4"/>
      <c r="LPL240" s="4"/>
      <c r="LPM240" s="4"/>
      <c r="LPN240" s="4"/>
      <c r="LPO240" s="4"/>
      <c r="LPP240" s="4"/>
      <c r="LPQ240" s="4"/>
      <c r="LPR240" s="4"/>
      <c r="LPS240" s="4"/>
      <c r="LPT240" s="4"/>
      <c r="LPU240" s="4"/>
      <c r="LPV240" s="4"/>
      <c r="LPW240" s="4"/>
      <c r="LPX240" s="4"/>
      <c r="LPY240" s="4"/>
      <c r="LPZ240" s="4"/>
      <c r="LQA240" s="4"/>
      <c r="LQB240" s="4"/>
      <c r="LQC240" s="4"/>
      <c r="LQD240" s="4"/>
      <c r="LQE240" s="4"/>
      <c r="LQF240" s="4"/>
      <c r="LQG240" s="4"/>
      <c r="LQH240" s="4"/>
      <c r="LQI240" s="4"/>
      <c r="LQJ240" s="4"/>
      <c r="LQK240" s="4"/>
      <c r="LQL240" s="4"/>
      <c r="LQM240" s="4"/>
      <c r="LQN240" s="4"/>
      <c r="LQO240" s="4"/>
      <c r="LQP240" s="4"/>
      <c r="LQQ240" s="4"/>
      <c r="LQR240" s="4"/>
      <c r="LQS240" s="4"/>
      <c r="LQT240" s="4"/>
      <c r="LQU240" s="4"/>
      <c r="LQV240" s="4"/>
      <c r="LQW240" s="4"/>
      <c r="LQX240" s="4"/>
      <c r="LQY240" s="4"/>
      <c r="LQZ240" s="4"/>
      <c r="LRA240" s="4"/>
      <c r="LRB240" s="4"/>
      <c r="LRC240" s="4"/>
      <c r="LRD240" s="4"/>
      <c r="LRE240" s="4"/>
      <c r="LRF240" s="4"/>
      <c r="LRG240" s="4"/>
      <c r="LRH240" s="4"/>
      <c r="LRI240" s="4"/>
      <c r="LRJ240" s="4"/>
      <c r="LRK240" s="4"/>
      <c r="LRL240" s="4"/>
      <c r="LRM240" s="4"/>
      <c r="LRN240" s="4"/>
      <c r="LRO240" s="4"/>
      <c r="LRP240" s="4"/>
      <c r="LRQ240" s="4"/>
      <c r="LRR240" s="4"/>
      <c r="LRS240" s="4"/>
      <c r="LRT240" s="4"/>
      <c r="LRU240" s="4"/>
      <c r="LRV240" s="4"/>
      <c r="LRW240" s="4"/>
      <c r="LRX240" s="4"/>
      <c r="LRY240" s="4"/>
      <c r="LRZ240" s="4"/>
      <c r="LSA240" s="4"/>
      <c r="LSB240" s="4"/>
      <c r="LSC240" s="4"/>
      <c r="LSD240" s="4"/>
      <c r="LSE240" s="4"/>
      <c r="LSF240" s="4"/>
      <c r="LSG240" s="4"/>
      <c r="LSH240" s="4"/>
      <c r="LSI240" s="4"/>
      <c r="LSJ240" s="4"/>
      <c r="LSK240" s="4"/>
      <c r="LSL240" s="4"/>
      <c r="LSM240" s="4"/>
      <c r="LSN240" s="4"/>
      <c r="LSO240" s="4"/>
      <c r="LSP240" s="4"/>
      <c r="LSQ240" s="4"/>
      <c r="LSR240" s="4"/>
      <c r="LSS240" s="4"/>
      <c r="LST240" s="4"/>
      <c r="LSU240" s="4"/>
      <c r="LSV240" s="4"/>
      <c r="LSW240" s="4"/>
      <c r="LSX240" s="4"/>
      <c r="LSY240" s="4"/>
      <c r="LSZ240" s="4"/>
      <c r="LTA240" s="4"/>
      <c r="LTB240" s="4"/>
      <c r="LTC240" s="4"/>
      <c r="LTD240" s="4"/>
      <c r="LTE240" s="4"/>
      <c r="LTF240" s="4"/>
      <c r="LTG240" s="4"/>
      <c r="LTH240" s="4"/>
      <c r="LTI240" s="4"/>
      <c r="LTJ240" s="4"/>
      <c r="LTK240" s="4"/>
      <c r="LTL240" s="4"/>
      <c r="LTM240" s="4"/>
      <c r="LTN240" s="4"/>
      <c r="LTO240" s="4"/>
      <c r="LTP240" s="4"/>
      <c r="LTQ240" s="4"/>
      <c r="LTR240" s="4"/>
      <c r="LTS240" s="4"/>
      <c r="LTT240" s="4"/>
      <c r="LTU240" s="4"/>
      <c r="LTV240" s="4"/>
      <c r="LTW240" s="4"/>
      <c r="LTX240" s="4"/>
      <c r="LTY240" s="4"/>
      <c r="LTZ240" s="4"/>
      <c r="LUA240" s="4"/>
      <c r="LUB240" s="4"/>
      <c r="LUC240" s="4"/>
      <c r="LUD240" s="4"/>
      <c r="LUE240" s="4"/>
      <c r="LUF240" s="4"/>
      <c r="LUG240" s="4"/>
      <c r="LUH240" s="4"/>
      <c r="LUI240" s="4"/>
      <c r="LUJ240" s="4"/>
      <c r="LUK240" s="4"/>
      <c r="LUL240" s="4"/>
      <c r="LUM240" s="4"/>
      <c r="LUN240" s="4"/>
      <c r="LUO240" s="4"/>
      <c r="LUP240" s="4"/>
      <c r="LUQ240" s="4"/>
      <c r="LUR240" s="4"/>
      <c r="LUS240" s="4"/>
      <c r="LUT240" s="4"/>
      <c r="LUU240" s="4"/>
      <c r="LUV240" s="4"/>
      <c r="LUW240" s="4"/>
      <c r="LUX240" s="4"/>
      <c r="LUY240" s="4"/>
      <c r="LUZ240" s="4"/>
      <c r="LVA240" s="4"/>
      <c r="LVB240" s="4"/>
      <c r="LVC240" s="4"/>
      <c r="LVD240" s="4"/>
      <c r="LVE240" s="4"/>
      <c r="LVF240" s="4"/>
      <c r="LVG240" s="4"/>
      <c r="LVH240" s="4"/>
      <c r="LVI240" s="4"/>
      <c r="LVJ240" s="4"/>
      <c r="LVK240" s="4"/>
      <c r="LVL240" s="4"/>
      <c r="LVM240" s="4"/>
      <c r="LVN240" s="4"/>
      <c r="LVO240" s="4"/>
      <c r="LVP240" s="4"/>
      <c r="LVQ240" s="4"/>
      <c r="LVR240" s="4"/>
      <c r="LVS240" s="4"/>
      <c r="LVT240" s="4"/>
      <c r="LVU240" s="4"/>
      <c r="LVV240" s="4"/>
      <c r="LVW240" s="4"/>
      <c r="LVX240" s="4"/>
      <c r="LVY240" s="4"/>
      <c r="LVZ240" s="4"/>
      <c r="LWA240" s="4"/>
      <c r="LWB240" s="4"/>
      <c r="LWC240" s="4"/>
      <c r="LWD240" s="4"/>
      <c r="LWE240" s="4"/>
      <c r="LWF240" s="4"/>
      <c r="LWG240" s="4"/>
      <c r="LWH240" s="4"/>
      <c r="LWI240" s="4"/>
      <c r="LWJ240" s="4"/>
      <c r="LWK240" s="4"/>
      <c r="LWL240" s="4"/>
      <c r="LWM240" s="4"/>
      <c r="LWN240" s="4"/>
      <c r="LWO240" s="4"/>
      <c r="LWP240" s="4"/>
      <c r="LWQ240" s="4"/>
      <c r="LWR240" s="4"/>
      <c r="LWS240" s="4"/>
      <c r="LWT240" s="4"/>
      <c r="LWU240" s="4"/>
      <c r="LWV240" s="4"/>
      <c r="LWW240" s="4"/>
      <c r="LWX240" s="4"/>
      <c r="LWY240" s="4"/>
      <c r="LWZ240" s="4"/>
      <c r="LXA240" s="4"/>
      <c r="LXB240" s="4"/>
      <c r="LXC240" s="4"/>
      <c r="LXD240" s="4"/>
      <c r="LXE240" s="4"/>
      <c r="LXF240" s="4"/>
      <c r="LXG240" s="4"/>
      <c r="LXH240" s="4"/>
      <c r="LXI240" s="4"/>
      <c r="LXJ240" s="4"/>
      <c r="LXK240" s="4"/>
      <c r="LXL240" s="4"/>
      <c r="LXM240" s="4"/>
      <c r="LXN240" s="4"/>
      <c r="LXO240" s="4"/>
      <c r="LXP240" s="4"/>
      <c r="LXQ240" s="4"/>
      <c r="LXR240" s="4"/>
      <c r="LXS240" s="4"/>
      <c r="LXT240" s="4"/>
      <c r="LXU240" s="4"/>
      <c r="LXV240" s="4"/>
      <c r="LXW240" s="4"/>
      <c r="LXX240" s="4"/>
      <c r="LXY240" s="4"/>
      <c r="LXZ240" s="4"/>
      <c r="LYA240" s="4"/>
      <c r="LYB240" s="4"/>
      <c r="LYC240" s="4"/>
      <c r="LYD240" s="4"/>
      <c r="LYE240" s="4"/>
      <c r="LYF240" s="4"/>
      <c r="LYG240" s="4"/>
      <c r="LYH240" s="4"/>
      <c r="LYI240" s="4"/>
      <c r="LYJ240" s="4"/>
      <c r="LYK240" s="4"/>
      <c r="LYL240" s="4"/>
      <c r="LYM240" s="4"/>
      <c r="LYN240" s="4"/>
      <c r="LYO240" s="4"/>
      <c r="LYP240" s="4"/>
      <c r="LYQ240" s="4"/>
      <c r="LYR240" s="4"/>
      <c r="LYS240" s="4"/>
      <c r="LYT240" s="4"/>
      <c r="LYU240" s="4"/>
      <c r="LYV240" s="4"/>
      <c r="LYW240" s="4"/>
      <c r="LYX240" s="4"/>
      <c r="LYY240" s="4"/>
      <c r="LYZ240" s="4"/>
      <c r="LZA240" s="4"/>
      <c r="LZB240" s="4"/>
      <c r="LZC240" s="4"/>
      <c r="LZD240" s="4"/>
      <c r="LZE240" s="4"/>
      <c r="LZF240" s="4"/>
      <c r="LZG240" s="4"/>
      <c r="LZH240" s="4"/>
      <c r="LZI240" s="4"/>
      <c r="LZJ240" s="4"/>
      <c r="LZK240" s="4"/>
      <c r="LZL240" s="4"/>
      <c r="LZM240" s="4"/>
      <c r="LZN240" s="4"/>
      <c r="LZO240" s="4"/>
      <c r="LZP240" s="4"/>
      <c r="LZQ240" s="4"/>
      <c r="LZR240" s="4"/>
      <c r="LZS240" s="4"/>
      <c r="LZT240" s="4"/>
      <c r="LZU240" s="4"/>
      <c r="LZV240" s="4"/>
      <c r="LZW240" s="4"/>
      <c r="LZX240" s="4"/>
      <c r="LZY240" s="4"/>
      <c r="LZZ240" s="4"/>
      <c r="MAA240" s="4"/>
      <c r="MAB240" s="4"/>
      <c r="MAC240" s="4"/>
      <c r="MAD240" s="4"/>
      <c r="MAE240" s="4"/>
      <c r="MAF240" s="4"/>
      <c r="MAG240" s="4"/>
      <c r="MAH240" s="4"/>
      <c r="MAI240" s="4"/>
      <c r="MAJ240" s="4"/>
      <c r="MAK240" s="4"/>
      <c r="MAL240" s="4"/>
      <c r="MAM240" s="4"/>
      <c r="MAN240" s="4"/>
      <c r="MAO240" s="4"/>
      <c r="MAP240" s="4"/>
      <c r="MAQ240" s="4"/>
      <c r="MAR240" s="4"/>
      <c r="MAS240" s="4"/>
      <c r="MAT240" s="4"/>
      <c r="MAU240" s="4"/>
      <c r="MAV240" s="4"/>
      <c r="MAW240" s="4"/>
      <c r="MAX240" s="4"/>
      <c r="MAY240" s="4"/>
      <c r="MAZ240" s="4"/>
      <c r="MBA240" s="4"/>
      <c r="MBB240" s="4"/>
      <c r="MBC240" s="4"/>
      <c r="MBD240" s="4"/>
      <c r="MBE240" s="4"/>
      <c r="MBF240" s="4"/>
      <c r="MBG240" s="4"/>
      <c r="MBH240" s="4"/>
      <c r="MBI240" s="4"/>
      <c r="MBJ240" s="4"/>
      <c r="MBK240" s="4"/>
      <c r="MBL240" s="4"/>
      <c r="MBM240" s="4"/>
      <c r="MBN240" s="4"/>
      <c r="MBO240" s="4"/>
      <c r="MBP240" s="4"/>
      <c r="MBQ240" s="4"/>
      <c r="MBR240" s="4"/>
      <c r="MBS240" s="4"/>
      <c r="MBT240" s="4"/>
      <c r="MBU240" s="4"/>
      <c r="MBV240" s="4"/>
      <c r="MBW240" s="4"/>
      <c r="MBX240" s="4"/>
      <c r="MBY240" s="4"/>
      <c r="MBZ240" s="4"/>
      <c r="MCA240" s="4"/>
      <c r="MCB240" s="4"/>
      <c r="MCC240" s="4"/>
      <c r="MCD240" s="4"/>
      <c r="MCE240" s="4"/>
      <c r="MCF240" s="4"/>
      <c r="MCG240" s="4"/>
      <c r="MCH240" s="4"/>
      <c r="MCI240" s="4"/>
      <c r="MCJ240" s="4"/>
      <c r="MCK240" s="4"/>
      <c r="MCL240" s="4"/>
      <c r="MCM240" s="4"/>
      <c r="MCN240" s="4"/>
      <c r="MCO240" s="4"/>
      <c r="MCP240" s="4"/>
      <c r="MCQ240" s="4"/>
      <c r="MCR240" s="4"/>
      <c r="MCS240" s="4"/>
      <c r="MCT240" s="4"/>
      <c r="MCU240" s="4"/>
      <c r="MCV240" s="4"/>
      <c r="MCW240" s="4"/>
      <c r="MCX240" s="4"/>
      <c r="MCY240" s="4"/>
      <c r="MCZ240" s="4"/>
      <c r="MDA240" s="4"/>
      <c r="MDB240" s="4"/>
      <c r="MDC240" s="4"/>
      <c r="MDD240" s="4"/>
      <c r="MDE240" s="4"/>
      <c r="MDF240" s="4"/>
      <c r="MDG240" s="4"/>
      <c r="MDH240" s="4"/>
      <c r="MDI240" s="4"/>
      <c r="MDJ240" s="4"/>
      <c r="MDK240" s="4"/>
      <c r="MDL240" s="4"/>
      <c r="MDM240" s="4"/>
      <c r="MDN240" s="4"/>
      <c r="MDO240" s="4"/>
      <c r="MDP240" s="4"/>
      <c r="MDQ240" s="4"/>
      <c r="MDR240" s="4"/>
      <c r="MDS240" s="4"/>
      <c r="MDT240" s="4"/>
      <c r="MDU240" s="4"/>
      <c r="MDV240" s="4"/>
      <c r="MDW240" s="4"/>
      <c r="MDX240" s="4"/>
      <c r="MDY240" s="4"/>
      <c r="MDZ240" s="4"/>
      <c r="MEA240" s="4"/>
      <c r="MEB240" s="4"/>
      <c r="MEC240" s="4"/>
      <c r="MED240" s="4"/>
      <c r="MEE240" s="4"/>
      <c r="MEF240" s="4"/>
      <c r="MEG240" s="4"/>
      <c r="MEH240" s="4"/>
      <c r="MEI240" s="4"/>
      <c r="MEJ240" s="4"/>
      <c r="MEK240" s="4"/>
      <c r="MEL240" s="4"/>
      <c r="MEM240" s="4"/>
      <c r="MEN240" s="4"/>
      <c r="MEO240" s="4"/>
      <c r="MEP240" s="4"/>
      <c r="MEQ240" s="4"/>
      <c r="MER240" s="4"/>
      <c r="MES240" s="4"/>
      <c r="MET240" s="4"/>
      <c r="MEU240" s="4"/>
      <c r="MEV240" s="4"/>
      <c r="MEW240" s="4"/>
      <c r="MEX240" s="4"/>
      <c r="MEY240" s="4"/>
      <c r="MEZ240" s="4"/>
      <c r="MFA240" s="4"/>
      <c r="MFB240" s="4"/>
      <c r="MFC240" s="4"/>
      <c r="MFD240" s="4"/>
      <c r="MFE240" s="4"/>
      <c r="MFF240" s="4"/>
      <c r="MFG240" s="4"/>
      <c r="MFH240" s="4"/>
      <c r="MFI240" s="4"/>
      <c r="MFJ240" s="4"/>
      <c r="MFK240" s="4"/>
      <c r="MFL240" s="4"/>
      <c r="MFM240" s="4"/>
      <c r="MFN240" s="4"/>
      <c r="MFO240" s="4"/>
      <c r="MFP240" s="4"/>
      <c r="MFQ240" s="4"/>
      <c r="MFR240" s="4"/>
      <c r="MFS240" s="4"/>
      <c r="MFT240" s="4"/>
      <c r="MFU240" s="4"/>
      <c r="MFV240" s="4"/>
      <c r="MFW240" s="4"/>
      <c r="MFX240" s="4"/>
      <c r="MFY240" s="4"/>
      <c r="MFZ240" s="4"/>
      <c r="MGA240" s="4"/>
      <c r="MGB240" s="4"/>
      <c r="MGC240" s="4"/>
      <c r="MGD240" s="4"/>
      <c r="MGE240" s="4"/>
      <c r="MGF240" s="4"/>
      <c r="MGG240" s="4"/>
      <c r="MGH240" s="4"/>
      <c r="MGI240" s="4"/>
      <c r="MGJ240" s="4"/>
      <c r="MGK240" s="4"/>
      <c r="MGL240" s="4"/>
      <c r="MGM240" s="4"/>
      <c r="MGN240" s="4"/>
      <c r="MGO240" s="4"/>
      <c r="MGP240" s="4"/>
      <c r="MGQ240" s="4"/>
      <c r="MGR240" s="4"/>
      <c r="MGS240" s="4"/>
      <c r="MGT240" s="4"/>
      <c r="MGU240" s="4"/>
      <c r="MGV240" s="4"/>
      <c r="MGW240" s="4"/>
      <c r="MGX240" s="4"/>
      <c r="MGY240" s="4"/>
      <c r="MGZ240" s="4"/>
      <c r="MHA240" s="4"/>
      <c r="MHB240" s="4"/>
      <c r="MHC240" s="4"/>
      <c r="MHD240" s="4"/>
      <c r="MHE240" s="4"/>
      <c r="MHF240" s="4"/>
      <c r="MHG240" s="4"/>
      <c r="MHH240" s="4"/>
      <c r="MHI240" s="4"/>
      <c r="MHJ240" s="4"/>
      <c r="MHK240" s="4"/>
      <c r="MHL240" s="4"/>
      <c r="MHM240" s="4"/>
      <c r="MHN240" s="4"/>
      <c r="MHO240" s="4"/>
      <c r="MHP240" s="4"/>
      <c r="MHQ240" s="4"/>
      <c r="MHR240" s="4"/>
      <c r="MHS240" s="4"/>
      <c r="MHT240" s="4"/>
      <c r="MHU240" s="4"/>
      <c r="MHV240" s="4"/>
      <c r="MHW240" s="4"/>
      <c r="MHX240" s="4"/>
      <c r="MHY240" s="4"/>
      <c r="MHZ240" s="4"/>
      <c r="MIA240" s="4"/>
      <c r="MIB240" s="4"/>
      <c r="MIC240" s="4"/>
      <c r="MID240" s="4"/>
      <c r="MIE240" s="4"/>
      <c r="MIF240" s="4"/>
      <c r="MIG240" s="4"/>
      <c r="MIH240" s="4"/>
      <c r="MII240" s="4"/>
      <c r="MIJ240" s="4"/>
      <c r="MIK240" s="4"/>
      <c r="MIL240" s="4"/>
      <c r="MIM240" s="4"/>
      <c r="MIN240" s="4"/>
      <c r="MIO240" s="4"/>
      <c r="MIP240" s="4"/>
      <c r="MIQ240" s="4"/>
      <c r="MIR240" s="4"/>
      <c r="MIS240" s="4"/>
      <c r="MIT240" s="4"/>
      <c r="MIU240" s="4"/>
      <c r="MIV240" s="4"/>
      <c r="MIW240" s="4"/>
      <c r="MIX240" s="4"/>
      <c r="MIY240" s="4"/>
      <c r="MIZ240" s="4"/>
      <c r="MJA240" s="4"/>
      <c r="MJB240" s="4"/>
      <c r="MJC240" s="4"/>
      <c r="MJD240" s="4"/>
      <c r="MJE240" s="4"/>
      <c r="MJF240" s="4"/>
      <c r="MJG240" s="4"/>
      <c r="MJH240" s="4"/>
      <c r="MJI240" s="4"/>
      <c r="MJJ240" s="4"/>
      <c r="MJK240" s="4"/>
      <c r="MJL240" s="4"/>
      <c r="MJM240" s="4"/>
      <c r="MJN240" s="4"/>
      <c r="MJO240" s="4"/>
      <c r="MJP240" s="4"/>
      <c r="MJQ240" s="4"/>
      <c r="MJR240" s="4"/>
      <c r="MJS240" s="4"/>
      <c r="MJT240" s="4"/>
      <c r="MJU240" s="4"/>
      <c r="MJV240" s="4"/>
      <c r="MJW240" s="4"/>
      <c r="MJX240" s="4"/>
      <c r="MJY240" s="4"/>
      <c r="MJZ240" s="4"/>
      <c r="MKA240" s="4"/>
      <c r="MKB240" s="4"/>
      <c r="MKC240" s="4"/>
      <c r="MKD240" s="4"/>
      <c r="MKE240" s="4"/>
      <c r="MKF240" s="4"/>
      <c r="MKG240" s="4"/>
      <c r="MKH240" s="4"/>
      <c r="MKI240" s="4"/>
      <c r="MKJ240" s="4"/>
      <c r="MKK240" s="4"/>
      <c r="MKL240" s="4"/>
      <c r="MKM240" s="4"/>
      <c r="MKN240" s="4"/>
      <c r="MKO240" s="4"/>
      <c r="MKP240" s="4"/>
      <c r="MKQ240" s="4"/>
      <c r="MKR240" s="4"/>
      <c r="MKS240" s="4"/>
      <c r="MKT240" s="4"/>
      <c r="MKU240" s="4"/>
      <c r="MKV240" s="4"/>
      <c r="MKW240" s="4"/>
      <c r="MKX240" s="4"/>
      <c r="MKY240" s="4"/>
      <c r="MKZ240" s="4"/>
      <c r="MLA240" s="4"/>
      <c r="MLB240" s="4"/>
      <c r="MLC240" s="4"/>
      <c r="MLD240" s="4"/>
      <c r="MLE240" s="4"/>
      <c r="MLF240" s="4"/>
      <c r="MLG240" s="4"/>
      <c r="MLH240" s="4"/>
      <c r="MLI240" s="4"/>
      <c r="MLJ240" s="4"/>
      <c r="MLK240" s="4"/>
      <c r="MLL240" s="4"/>
      <c r="MLM240" s="4"/>
      <c r="MLN240" s="4"/>
      <c r="MLO240" s="4"/>
      <c r="MLP240" s="4"/>
      <c r="MLQ240" s="4"/>
      <c r="MLR240" s="4"/>
      <c r="MLS240" s="4"/>
      <c r="MLT240" s="4"/>
      <c r="MLU240" s="4"/>
      <c r="MLV240" s="4"/>
      <c r="MLW240" s="4"/>
      <c r="MLX240" s="4"/>
      <c r="MLY240" s="4"/>
      <c r="MLZ240" s="4"/>
      <c r="MMA240" s="4"/>
      <c r="MMB240" s="4"/>
      <c r="MMC240" s="4"/>
      <c r="MMD240" s="4"/>
      <c r="MME240" s="4"/>
      <c r="MMF240" s="4"/>
      <c r="MMG240" s="4"/>
      <c r="MMH240" s="4"/>
      <c r="MMI240" s="4"/>
      <c r="MMJ240" s="4"/>
      <c r="MMK240" s="4"/>
      <c r="MML240" s="4"/>
      <c r="MMM240" s="4"/>
      <c r="MMN240" s="4"/>
      <c r="MMO240" s="4"/>
      <c r="MMP240" s="4"/>
      <c r="MMQ240" s="4"/>
      <c r="MMR240" s="4"/>
      <c r="MMS240" s="4"/>
      <c r="MMT240" s="4"/>
      <c r="MMU240" s="4"/>
      <c r="MMV240" s="4"/>
      <c r="MMW240" s="4"/>
      <c r="MMX240" s="4"/>
      <c r="MMY240" s="4"/>
      <c r="MMZ240" s="4"/>
      <c r="MNA240" s="4"/>
      <c r="MNB240" s="4"/>
      <c r="MNC240" s="4"/>
      <c r="MND240" s="4"/>
      <c r="MNE240" s="4"/>
      <c r="MNF240" s="4"/>
      <c r="MNG240" s="4"/>
      <c r="MNH240" s="4"/>
      <c r="MNI240" s="4"/>
      <c r="MNJ240" s="4"/>
      <c r="MNK240" s="4"/>
      <c r="MNL240" s="4"/>
      <c r="MNM240" s="4"/>
      <c r="MNN240" s="4"/>
      <c r="MNO240" s="4"/>
      <c r="MNP240" s="4"/>
      <c r="MNQ240" s="4"/>
      <c r="MNR240" s="4"/>
      <c r="MNS240" s="4"/>
      <c r="MNT240" s="4"/>
      <c r="MNU240" s="4"/>
      <c r="MNV240" s="4"/>
      <c r="MNW240" s="4"/>
      <c r="MNX240" s="4"/>
      <c r="MNY240" s="4"/>
      <c r="MNZ240" s="4"/>
      <c r="MOA240" s="4"/>
      <c r="MOB240" s="4"/>
      <c r="MOC240" s="4"/>
      <c r="MOD240" s="4"/>
      <c r="MOE240" s="4"/>
      <c r="MOF240" s="4"/>
      <c r="MOG240" s="4"/>
      <c r="MOH240" s="4"/>
      <c r="MOI240" s="4"/>
      <c r="MOJ240" s="4"/>
      <c r="MOK240" s="4"/>
      <c r="MOL240" s="4"/>
      <c r="MOM240" s="4"/>
      <c r="MON240" s="4"/>
      <c r="MOO240" s="4"/>
      <c r="MOP240" s="4"/>
      <c r="MOQ240" s="4"/>
      <c r="MOR240" s="4"/>
      <c r="MOS240" s="4"/>
      <c r="MOT240" s="4"/>
      <c r="MOU240" s="4"/>
      <c r="MOV240" s="4"/>
      <c r="MOW240" s="4"/>
      <c r="MOX240" s="4"/>
      <c r="MOY240" s="4"/>
      <c r="MOZ240" s="4"/>
      <c r="MPA240" s="4"/>
      <c r="MPB240" s="4"/>
      <c r="MPC240" s="4"/>
      <c r="MPD240" s="4"/>
      <c r="MPE240" s="4"/>
      <c r="MPF240" s="4"/>
      <c r="MPG240" s="4"/>
      <c r="MPH240" s="4"/>
      <c r="MPI240" s="4"/>
      <c r="MPJ240" s="4"/>
      <c r="MPK240" s="4"/>
      <c r="MPL240" s="4"/>
      <c r="MPM240" s="4"/>
      <c r="MPN240" s="4"/>
      <c r="MPO240" s="4"/>
      <c r="MPP240" s="4"/>
      <c r="MPQ240" s="4"/>
      <c r="MPR240" s="4"/>
      <c r="MPS240" s="4"/>
      <c r="MPT240" s="4"/>
      <c r="MPU240" s="4"/>
      <c r="MPV240" s="4"/>
      <c r="MPW240" s="4"/>
      <c r="MPX240" s="4"/>
      <c r="MPY240" s="4"/>
      <c r="MPZ240" s="4"/>
      <c r="MQA240" s="4"/>
      <c r="MQB240" s="4"/>
      <c r="MQC240" s="4"/>
      <c r="MQD240" s="4"/>
      <c r="MQE240" s="4"/>
      <c r="MQF240" s="4"/>
      <c r="MQG240" s="4"/>
      <c r="MQH240" s="4"/>
      <c r="MQI240" s="4"/>
      <c r="MQJ240" s="4"/>
      <c r="MQK240" s="4"/>
      <c r="MQL240" s="4"/>
      <c r="MQM240" s="4"/>
      <c r="MQN240" s="4"/>
      <c r="MQO240" s="4"/>
      <c r="MQP240" s="4"/>
      <c r="MQQ240" s="4"/>
      <c r="MQR240" s="4"/>
      <c r="MQS240" s="4"/>
      <c r="MQT240" s="4"/>
      <c r="MQU240" s="4"/>
      <c r="MQV240" s="4"/>
      <c r="MQW240" s="4"/>
      <c r="MQX240" s="4"/>
      <c r="MQY240" s="4"/>
      <c r="MQZ240" s="4"/>
      <c r="MRA240" s="4"/>
      <c r="MRB240" s="4"/>
      <c r="MRC240" s="4"/>
      <c r="MRD240" s="4"/>
      <c r="MRE240" s="4"/>
      <c r="MRF240" s="4"/>
      <c r="MRG240" s="4"/>
      <c r="MRH240" s="4"/>
      <c r="MRI240" s="4"/>
      <c r="MRJ240" s="4"/>
      <c r="MRK240" s="4"/>
      <c r="MRL240" s="4"/>
      <c r="MRM240" s="4"/>
      <c r="MRN240" s="4"/>
      <c r="MRO240" s="4"/>
      <c r="MRP240" s="4"/>
      <c r="MRQ240" s="4"/>
      <c r="MRR240" s="4"/>
      <c r="MRS240" s="4"/>
      <c r="MRT240" s="4"/>
      <c r="MRU240" s="4"/>
      <c r="MRV240" s="4"/>
      <c r="MRW240" s="4"/>
      <c r="MRX240" s="4"/>
      <c r="MRY240" s="4"/>
      <c r="MRZ240" s="4"/>
      <c r="MSA240" s="4"/>
      <c r="MSB240" s="4"/>
      <c r="MSC240" s="4"/>
      <c r="MSD240" s="4"/>
      <c r="MSE240" s="4"/>
      <c r="MSF240" s="4"/>
      <c r="MSG240" s="4"/>
      <c r="MSH240" s="4"/>
      <c r="MSI240" s="4"/>
      <c r="MSJ240" s="4"/>
      <c r="MSK240" s="4"/>
      <c r="MSL240" s="4"/>
      <c r="MSM240" s="4"/>
      <c r="MSN240" s="4"/>
      <c r="MSO240" s="4"/>
      <c r="MSP240" s="4"/>
      <c r="MSQ240" s="4"/>
      <c r="MSR240" s="4"/>
      <c r="MSS240" s="4"/>
      <c r="MST240" s="4"/>
      <c r="MSU240" s="4"/>
      <c r="MSV240" s="4"/>
      <c r="MSW240" s="4"/>
      <c r="MSX240" s="4"/>
      <c r="MSY240" s="4"/>
      <c r="MSZ240" s="4"/>
      <c r="MTA240" s="4"/>
      <c r="MTB240" s="4"/>
      <c r="MTC240" s="4"/>
      <c r="MTD240" s="4"/>
      <c r="MTE240" s="4"/>
      <c r="MTF240" s="4"/>
      <c r="MTG240" s="4"/>
      <c r="MTH240" s="4"/>
      <c r="MTI240" s="4"/>
      <c r="MTJ240" s="4"/>
      <c r="MTK240" s="4"/>
      <c r="MTL240" s="4"/>
      <c r="MTM240" s="4"/>
      <c r="MTN240" s="4"/>
      <c r="MTO240" s="4"/>
      <c r="MTP240" s="4"/>
      <c r="MTQ240" s="4"/>
      <c r="MTR240" s="4"/>
      <c r="MTS240" s="4"/>
      <c r="MTT240" s="4"/>
      <c r="MTU240" s="4"/>
      <c r="MTV240" s="4"/>
      <c r="MTW240" s="4"/>
      <c r="MTX240" s="4"/>
      <c r="MTY240" s="4"/>
      <c r="MTZ240" s="4"/>
      <c r="MUA240" s="4"/>
      <c r="MUB240" s="4"/>
      <c r="MUC240" s="4"/>
      <c r="MUD240" s="4"/>
      <c r="MUE240" s="4"/>
      <c r="MUF240" s="4"/>
      <c r="MUG240" s="4"/>
      <c r="MUH240" s="4"/>
      <c r="MUI240" s="4"/>
      <c r="MUJ240" s="4"/>
      <c r="MUK240" s="4"/>
      <c r="MUL240" s="4"/>
      <c r="MUM240" s="4"/>
      <c r="MUN240" s="4"/>
      <c r="MUO240" s="4"/>
      <c r="MUP240" s="4"/>
      <c r="MUQ240" s="4"/>
      <c r="MUR240" s="4"/>
      <c r="MUS240" s="4"/>
      <c r="MUT240" s="4"/>
      <c r="MUU240" s="4"/>
      <c r="MUV240" s="4"/>
      <c r="MUW240" s="4"/>
      <c r="MUX240" s="4"/>
      <c r="MUY240" s="4"/>
      <c r="MUZ240" s="4"/>
      <c r="MVA240" s="4"/>
      <c r="MVB240" s="4"/>
      <c r="MVC240" s="4"/>
      <c r="MVD240" s="4"/>
      <c r="MVE240" s="4"/>
      <c r="MVF240" s="4"/>
      <c r="MVG240" s="4"/>
      <c r="MVH240" s="4"/>
      <c r="MVI240" s="4"/>
      <c r="MVJ240" s="4"/>
      <c r="MVK240" s="4"/>
      <c r="MVL240" s="4"/>
      <c r="MVM240" s="4"/>
      <c r="MVN240" s="4"/>
      <c r="MVO240" s="4"/>
      <c r="MVP240" s="4"/>
      <c r="MVQ240" s="4"/>
      <c r="MVR240" s="4"/>
      <c r="MVS240" s="4"/>
      <c r="MVT240" s="4"/>
      <c r="MVU240" s="4"/>
      <c r="MVV240" s="4"/>
      <c r="MVW240" s="4"/>
      <c r="MVX240" s="4"/>
      <c r="MVY240" s="4"/>
      <c r="MVZ240" s="4"/>
      <c r="MWA240" s="4"/>
      <c r="MWB240" s="4"/>
      <c r="MWC240" s="4"/>
      <c r="MWD240" s="4"/>
      <c r="MWE240" s="4"/>
      <c r="MWF240" s="4"/>
      <c r="MWG240" s="4"/>
      <c r="MWH240" s="4"/>
      <c r="MWI240" s="4"/>
      <c r="MWJ240" s="4"/>
      <c r="MWK240" s="4"/>
      <c r="MWL240" s="4"/>
      <c r="MWM240" s="4"/>
      <c r="MWN240" s="4"/>
      <c r="MWO240" s="4"/>
      <c r="MWP240" s="4"/>
      <c r="MWQ240" s="4"/>
      <c r="MWR240" s="4"/>
      <c r="MWS240" s="4"/>
      <c r="MWT240" s="4"/>
      <c r="MWU240" s="4"/>
      <c r="MWV240" s="4"/>
      <c r="MWW240" s="4"/>
      <c r="MWX240" s="4"/>
      <c r="MWY240" s="4"/>
      <c r="MWZ240" s="4"/>
      <c r="MXA240" s="4"/>
      <c r="MXB240" s="4"/>
      <c r="MXC240" s="4"/>
      <c r="MXD240" s="4"/>
      <c r="MXE240" s="4"/>
      <c r="MXF240" s="4"/>
      <c r="MXG240" s="4"/>
      <c r="MXH240" s="4"/>
      <c r="MXI240" s="4"/>
      <c r="MXJ240" s="4"/>
      <c r="MXK240" s="4"/>
      <c r="MXL240" s="4"/>
      <c r="MXM240" s="4"/>
      <c r="MXN240" s="4"/>
      <c r="MXO240" s="4"/>
      <c r="MXP240" s="4"/>
      <c r="MXQ240" s="4"/>
      <c r="MXR240" s="4"/>
      <c r="MXS240" s="4"/>
      <c r="MXT240" s="4"/>
      <c r="MXU240" s="4"/>
      <c r="MXV240" s="4"/>
      <c r="MXW240" s="4"/>
      <c r="MXX240" s="4"/>
      <c r="MXY240" s="4"/>
      <c r="MXZ240" s="4"/>
      <c r="MYA240" s="4"/>
      <c r="MYB240" s="4"/>
      <c r="MYC240" s="4"/>
      <c r="MYD240" s="4"/>
      <c r="MYE240" s="4"/>
      <c r="MYF240" s="4"/>
      <c r="MYG240" s="4"/>
      <c r="MYH240" s="4"/>
      <c r="MYI240" s="4"/>
      <c r="MYJ240" s="4"/>
      <c r="MYK240" s="4"/>
      <c r="MYL240" s="4"/>
      <c r="MYM240" s="4"/>
      <c r="MYN240" s="4"/>
      <c r="MYO240" s="4"/>
      <c r="MYP240" s="4"/>
      <c r="MYQ240" s="4"/>
      <c r="MYR240" s="4"/>
      <c r="MYS240" s="4"/>
      <c r="MYT240" s="4"/>
      <c r="MYU240" s="4"/>
      <c r="MYV240" s="4"/>
      <c r="MYW240" s="4"/>
      <c r="MYX240" s="4"/>
      <c r="MYY240" s="4"/>
      <c r="MYZ240" s="4"/>
      <c r="MZA240" s="4"/>
      <c r="MZB240" s="4"/>
      <c r="MZC240" s="4"/>
      <c r="MZD240" s="4"/>
      <c r="MZE240" s="4"/>
      <c r="MZF240" s="4"/>
      <c r="MZG240" s="4"/>
      <c r="MZH240" s="4"/>
      <c r="MZI240" s="4"/>
      <c r="MZJ240" s="4"/>
      <c r="MZK240" s="4"/>
      <c r="MZL240" s="4"/>
      <c r="MZM240" s="4"/>
      <c r="MZN240" s="4"/>
      <c r="MZO240" s="4"/>
      <c r="MZP240" s="4"/>
      <c r="MZQ240" s="4"/>
      <c r="MZR240" s="4"/>
      <c r="MZS240" s="4"/>
      <c r="MZT240" s="4"/>
      <c r="MZU240" s="4"/>
      <c r="MZV240" s="4"/>
      <c r="MZW240" s="4"/>
      <c r="MZX240" s="4"/>
      <c r="MZY240" s="4"/>
      <c r="MZZ240" s="4"/>
      <c r="NAA240" s="4"/>
      <c r="NAB240" s="4"/>
      <c r="NAC240" s="4"/>
      <c r="NAD240" s="4"/>
      <c r="NAE240" s="4"/>
      <c r="NAF240" s="4"/>
      <c r="NAG240" s="4"/>
      <c r="NAH240" s="4"/>
      <c r="NAI240" s="4"/>
      <c r="NAJ240" s="4"/>
      <c r="NAK240" s="4"/>
      <c r="NAL240" s="4"/>
      <c r="NAM240" s="4"/>
      <c r="NAN240" s="4"/>
      <c r="NAO240" s="4"/>
      <c r="NAP240" s="4"/>
      <c r="NAQ240" s="4"/>
      <c r="NAR240" s="4"/>
      <c r="NAS240" s="4"/>
      <c r="NAT240" s="4"/>
      <c r="NAU240" s="4"/>
      <c r="NAV240" s="4"/>
      <c r="NAW240" s="4"/>
      <c r="NAX240" s="4"/>
      <c r="NAY240" s="4"/>
      <c r="NAZ240" s="4"/>
      <c r="NBA240" s="4"/>
      <c r="NBB240" s="4"/>
      <c r="NBC240" s="4"/>
      <c r="NBD240" s="4"/>
      <c r="NBE240" s="4"/>
      <c r="NBF240" s="4"/>
      <c r="NBG240" s="4"/>
      <c r="NBH240" s="4"/>
      <c r="NBI240" s="4"/>
      <c r="NBJ240" s="4"/>
      <c r="NBK240" s="4"/>
      <c r="NBL240" s="4"/>
      <c r="NBM240" s="4"/>
      <c r="NBN240" s="4"/>
      <c r="NBO240" s="4"/>
      <c r="NBP240" s="4"/>
      <c r="NBQ240" s="4"/>
      <c r="NBR240" s="4"/>
      <c r="NBS240" s="4"/>
      <c r="NBT240" s="4"/>
      <c r="NBU240" s="4"/>
      <c r="NBV240" s="4"/>
      <c r="NBW240" s="4"/>
      <c r="NBX240" s="4"/>
      <c r="NBY240" s="4"/>
      <c r="NBZ240" s="4"/>
      <c r="NCA240" s="4"/>
      <c r="NCB240" s="4"/>
      <c r="NCC240" s="4"/>
      <c r="NCD240" s="4"/>
      <c r="NCE240" s="4"/>
      <c r="NCF240" s="4"/>
      <c r="NCG240" s="4"/>
      <c r="NCH240" s="4"/>
      <c r="NCI240" s="4"/>
      <c r="NCJ240" s="4"/>
      <c r="NCK240" s="4"/>
      <c r="NCL240" s="4"/>
      <c r="NCM240" s="4"/>
      <c r="NCN240" s="4"/>
      <c r="NCO240" s="4"/>
      <c r="NCP240" s="4"/>
      <c r="NCQ240" s="4"/>
      <c r="NCR240" s="4"/>
      <c r="NCS240" s="4"/>
      <c r="NCT240" s="4"/>
      <c r="NCU240" s="4"/>
      <c r="NCV240" s="4"/>
      <c r="NCW240" s="4"/>
      <c r="NCX240" s="4"/>
      <c r="NCY240" s="4"/>
      <c r="NCZ240" s="4"/>
      <c r="NDA240" s="4"/>
      <c r="NDB240" s="4"/>
      <c r="NDC240" s="4"/>
      <c r="NDD240" s="4"/>
      <c r="NDE240" s="4"/>
      <c r="NDF240" s="4"/>
      <c r="NDG240" s="4"/>
      <c r="NDH240" s="4"/>
      <c r="NDI240" s="4"/>
      <c r="NDJ240" s="4"/>
      <c r="NDK240" s="4"/>
      <c r="NDL240" s="4"/>
      <c r="NDM240" s="4"/>
      <c r="NDN240" s="4"/>
      <c r="NDO240" s="4"/>
      <c r="NDP240" s="4"/>
      <c r="NDQ240" s="4"/>
      <c r="NDR240" s="4"/>
      <c r="NDS240" s="4"/>
      <c r="NDT240" s="4"/>
      <c r="NDU240" s="4"/>
      <c r="NDV240" s="4"/>
      <c r="NDW240" s="4"/>
      <c r="NDX240" s="4"/>
      <c r="NDY240" s="4"/>
      <c r="NDZ240" s="4"/>
      <c r="NEA240" s="4"/>
      <c r="NEB240" s="4"/>
      <c r="NEC240" s="4"/>
      <c r="NED240" s="4"/>
      <c r="NEE240" s="4"/>
      <c r="NEF240" s="4"/>
      <c r="NEG240" s="4"/>
      <c r="NEH240" s="4"/>
      <c r="NEI240" s="4"/>
      <c r="NEJ240" s="4"/>
      <c r="NEK240" s="4"/>
      <c r="NEL240" s="4"/>
      <c r="NEM240" s="4"/>
      <c r="NEN240" s="4"/>
      <c r="NEO240" s="4"/>
      <c r="NEP240" s="4"/>
      <c r="NEQ240" s="4"/>
      <c r="NER240" s="4"/>
      <c r="NES240" s="4"/>
      <c r="NET240" s="4"/>
      <c r="NEU240" s="4"/>
      <c r="NEV240" s="4"/>
      <c r="NEW240" s="4"/>
      <c r="NEX240" s="4"/>
      <c r="NEY240" s="4"/>
      <c r="NEZ240" s="4"/>
      <c r="NFA240" s="4"/>
      <c r="NFB240" s="4"/>
      <c r="NFC240" s="4"/>
      <c r="NFD240" s="4"/>
      <c r="NFE240" s="4"/>
      <c r="NFF240" s="4"/>
      <c r="NFG240" s="4"/>
      <c r="NFH240" s="4"/>
      <c r="NFI240" s="4"/>
      <c r="NFJ240" s="4"/>
      <c r="NFK240" s="4"/>
      <c r="NFL240" s="4"/>
      <c r="NFM240" s="4"/>
      <c r="NFN240" s="4"/>
      <c r="NFO240" s="4"/>
      <c r="NFP240" s="4"/>
      <c r="NFQ240" s="4"/>
      <c r="NFR240" s="4"/>
      <c r="NFS240" s="4"/>
      <c r="NFT240" s="4"/>
      <c r="NFU240" s="4"/>
      <c r="NFV240" s="4"/>
      <c r="NFW240" s="4"/>
      <c r="NFX240" s="4"/>
      <c r="NFY240" s="4"/>
      <c r="NFZ240" s="4"/>
      <c r="NGA240" s="4"/>
      <c r="NGB240" s="4"/>
      <c r="NGC240" s="4"/>
      <c r="NGD240" s="4"/>
      <c r="NGE240" s="4"/>
      <c r="NGF240" s="4"/>
      <c r="NGG240" s="4"/>
      <c r="NGH240" s="4"/>
      <c r="NGI240" s="4"/>
      <c r="NGJ240" s="4"/>
      <c r="NGK240" s="4"/>
      <c r="NGL240" s="4"/>
      <c r="NGM240" s="4"/>
      <c r="NGN240" s="4"/>
      <c r="NGO240" s="4"/>
      <c r="NGP240" s="4"/>
      <c r="NGQ240" s="4"/>
      <c r="NGR240" s="4"/>
      <c r="NGS240" s="4"/>
      <c r="NGT240" s="4"/>
      <c r="NGU240" s="4"/>
      <c r="NGV240" s="4"/>
      <c r="NGW240" s="4"/>
      <c r="NGX240" s="4"/>
      <c r="NGY240" s="4"/>
      <c r="NGZ240" s="4"/>
      <c r="NHA240" s="4"/>
      <c r="NHB240" s="4"/>
      <c r="NHC240" s="4"/>
      <c r="NHD240" s="4"/>
      <c r="NHE240" s="4"/>
      <c r="NHF240" s="4"/>
      <c r="NHG240" s="4"/>
      <c r="NHH240" s="4"/>
      <c r="NHI240" s="4"/>
      <c r="NHJ240" s="4"/>
      <c r="NHK240" s="4"/>
      <c r="NHL240" s="4"/>
      <c r="NHM240" s="4"/>
      <c r="NHN240" s="4"/>
      <c r="NHO240" s="4"/>
      <c r="NHP240" s="4"/>
      <c r="NHQ240" s="4"/>
      <c r="NHR240" s="4"/>
      <c r="NHS240" s="4"/>
      <c r="NHT240" s="4"/>
      <c r="NHU240" s="4"/>
      <c r="NHV240" s="4"/>
      <c r="NHW240" s="4"/>
      <c r="NHX240" s="4"/>
      <c r="NHY240" s="4"/>
      <c r="NHZ240" s="4"/>
      <c r="NIA240" s="4"/>
      <c r="NIB240" s="4"/>
      <c r="NIC240" s="4"/>
      <c r="NID240" s="4"/>
      <c r="NIE240" s="4"/>
      <c r="NIF240" s="4"/>
      <c r="NIG240" s="4"/>
      <c r="NIH240" s="4"/>
      <c r="NII240" s="4"/>
      <c r="NIJ240" s="4"/>
      <c r="NIK240" s="4"/>
      <c r="NIL240" s="4"/>
      <c r="NIM240" s="4"/>
      <c r="NIN240" s="4"/>
      <c r="NIO240" s="4"/>
      <c r="NIP240" s="4"/>
      <c r="NIQ240" s="4"/>
      <c r="NIR240" s="4"/>
      <c r="NIS240" s="4"/>
      <c r="NIT240" s="4"/>
      <c r="NIU240" s="4"/>
      <c r="NIV240" s="4"/>
      <c r="NIW240" s="4"/>
      <c r="NIX240" s="4"/>
      <c r="NIY240" s="4"/>
      <c r="NIZ240" s="4"/>
      <c r="NJA240" s="4"/>
      <c r="NJB240" s="4"/>
      <c r="NJC240" s="4"/>
      <c r="NJD240" s="4"/>
      <c r="NJE240" s="4"/>
      <c r="NJF240" s="4"/>
      <c r="NJG240" s="4"/>
      <c r="NJH240" s="4"/>
      <c r="NJI240" s="4"/>
      <c r="NJJ240" s="4"/>
      <c r="NJK240" s="4"/>
      <c r="NJL240" s="4"/>
      <c r="NJM240" s="4"/>
      <c r="NJN240" s="4"/>
      <c r="NJO240" s="4"/>
      <c r="NJP240" s="4"/>
      <c r="NJQ240" s="4"/>
      <c r="NJR240" s="4"/>
      <c r="NJS240" s="4"/>
      <c r="NJT240" s="4"/>
      <c r="NJU240" s="4"/>
      <c r="NJV240" s="4"/>
      <c r="NJW240" s="4"/>
      <c r="NJX240" s="4"/>
      <c r="NJY240" s="4"/>
      <c r="NJZ240" s="4"/>
      <c r="NKA240" s="4"/>
      <c r="NKB240" s="4"/>
      <c r="NKC240" s="4"/>
      <c r="NKD240" s="4"/>
      <c r="NKE240" s="4"/>
      <c r="NKF240" s="4"/>
      <c r="NKG240" s="4"/>
      <c r="NKH240" s="4"/>
      <c r="NKI240" s="4"/>
      <c r="NKJ240" s="4"/>
      <c r="NKK240" s="4"/>
      <c r="NKL240" s="4"/>
      <c r="NKM240" s="4"/>
      <c r="NKN240" s="4"/>
      <c r="NKO240" s="4"/>
      <c r="NKP240" s="4"/>
      <c r="NKQ240" s="4"/>
      <c r="NKR240" s="4"/>
      <c r="NKS240" s="4"/>
      <c r="NKT240" s="4"/>
      <c r="NKU240" s="4"/>
      <c r="NKV240" s="4"/>
      <c r="NKW240" s="4"/>
      <c r="NKX240" s="4"/>
      <c r="NKY240" s="4"/>
      <c r="NKZ240" s="4"/>
      <c r="NLA240" s="4"/>
      <c r="NLB240" s="4"/>
      <c r="NLC240" s="4"/>
      <c r="NLD240" s="4"/>
      <c r="NLE240" s="4"/>
      <c r="NLF240" s="4"/>
      <c r="NLG240" s="4"/>
      <c r="NLH240" s="4"/>
      <c r="NLI240" s="4"/>
      <c r="NLJ240" s="4"/>
      <c r="NLK240" s="4"/>
      <c r="NLL240" s="4"/>
      <c r="NLM240" s="4"/>
      <c r="NLN240" s="4"/>
      <c r="NLO240" s="4"/>
      <c r="NLP240" s="4"/>
      <c r="NLQ240" s="4"/>
      <c r="NLR240" s="4"/>
      <c r="NLS240" s="4"/>
      <c r="NLT240" s="4"/>
      <c r="NLU240" s="4"/>
      <c r="NLV240" s="4"/>
      <c r="NLW240" s="4"/>
      <c r="NLX240" s="4"/>
      <c r="NLY240" s="4"/>
      <c r="NLZ240" s="4"/>
      <c r="NMA240" s="4"/>
      <c r="NMB240" s="4"/>
      <c r="NMC240" s="4"/>
      <c r="NMD240" s="4"/>
      <c r="NME240" s="4"/>
      <c r="NMF240" s="4"/>
      <c r="NMG240" s="4"/>
      <c r="NMH240" s="4"/>
      <c r="NMI240" s="4"/>
      <c r="NMJ240" s="4"/>
      <c r="NMK240" s="4"/>
      <c r="NML240" s="4"/>
      <c r="NMM240" s="4"/>
      <c r="NMN240" s="4"/>
      <c r="NMO240" s="4"/>
      <c r="NMP240" s="4"/>
      <c r="NMQ240" s="4"/>
      <c r="NMR240" s="4"/>
      <c r="NMS240" s="4"/>
      <c r="NMT240" s="4"/>
      <c r="NMU240" s="4"/>
      <c r="NMV240" s="4"/>
      <c r="NMW240" s="4"/>
      <c r="NMX240" s="4"/>
      <c r="NMY240" s="4"/>
      <c r="NMZ240" s="4"/>
      <c r="NNA240" s="4"/>
      <c r="NNB240" s="4"/>
      <c r="NNC240" s="4"/>
      <c r="NND240" s="4"/>
      <c r="NNE240" s="4"/>
      <c r="NNF240" s="4"/>
      <c r="NNG240" s="4"/>
      <c r="NNH240" s="4"/>
      <c r="NNI240" s="4"/>
      <c r="NNJ240" s="4"/>
      <c r="NNK240" s="4"/>
      <c r="NNL240" s="4"/>
      <c r="NNM240" s="4"/>
      <c r="NNN240" s="4"/>
      <c r="NNO240" s="4"/>
      <c r="NNP240" s="4"/>
      <c r="NNQ240" s="4"/>
      <c r="NNR240" s="4"/>
      <c r="NNS240" s="4"/>
      <c r="NNT240" s="4"/>
      <c r="NNU240" s="4"/>
      <c r="NNV240" s="4"/>
      <c r="NNW240" s="4"/>
      <c r="NNX240" s="4"/>
      <c r="NNY240" s="4"/>
      <c r="NNZ240" s="4"/>
      <c r="NOA240" s="4"/>
      <c r="NOB240" s="4"/>
      <c r="NOC240" s="4"/>
      <c r="NOD240" s="4"/>
      <c r="NOE240" s="4"/>
      <c r="NOF240" s="4"/>
      <c r="NOG240" s="4"/>
      <c r="NOH240" s="4"/>
      <c r="NOI240" s="4"/>
      <c r="NOJ240" s="4"/>
      <c r="NOK240" s="4"/>
      <c r="NOL240" s="4"/>
      <c r="NOM240" s="4"/>
      <c r="NON240" s="4"/>
      <c r="NOO240" s="4"/>
      <c r="NOP240" s="4"/>
      <c r="NOQ240" s="4"/>
      <c r="NOR240" s="4"/>
      <c r="NOS240" s="4"/>
      <c r="NOT240" s="4"/>
      <c r="NOU240" s="4"/>
      <c r="NOV240" s="4"/>
      <c r="NOW240" s="4"/>
      <c r="NOX240" s="4"/>
      <c r="NOY240" s="4"/>
      <c r="NOZ240" s="4"/>
      <c r="NPA240" s="4"/>
      <c r="NPB240" s="4"/>
      <c r="NPC240" s="4"/>
      <c r="NPD240" s="4"/>
      <c r="NPE240" s="4"/>
      <c r="NPF240" s="4"/>
      <c r="NPG240" s="4"/>
      <c r="NPH240" s="4"/>
      <c r="NPI240" s="4"/>
      <c r="NPJ240" s="4"/>
      <c r="NPK240" s="4"/>
      <c r="NPL240" s="4"/>
      <c r="NPM240" s="4"/>
      <c r="NPN240" s="4"/>
      <c r="NPO240" s="4"/>
      <c r="NPP240" s="4"/>
      <c r="NPQ240" s="4"/>
      <c r="NPR240" s="4"/>
      <c r="NPS240" s="4"/>
      <c r="NPT240" s="4"/>
      <c r="NPU240" s="4"/>
      <c r="NPV240" s="4"/>
      <c r="NPW240" s="4"/>
      <c r="NPX240" s="4"/>
      <c r="NPY240" s="4"/>
      <c r="NPZ240" s="4"/>
      <c r="NQA240" s="4"/>
      <c r="NQB240" s="4"/>
      <c r="NQC240" s="4"/>
      <c r="NQD240" s="4"/>
      <c r="NQE240" s="4"/>
      <c r="NQF240" s="4"/>
      <c r="NQG240" s="4"/>
      <c r="NQH240" s="4"/>
      <c r="NQI240" s="4"/>
      <c r="NQJ240" s="4"/>
      <c r="NQK240" s="4"/>
      <c r="NQL240" s="4"/>
      <c r="NQM240" s="4"/>
      <c r="NQN240" s="4"/>
      <c r="NQO240" s="4"/>
      <c r="NQP240" s="4"/>
      <c r="NQQ240" s="4"/>
      <c r="NQR240" s="4"/>
      <c r="NQS240" s="4"/>
      <c r="NQT240" s="4"/>
      <c r="NQU240" s="4"/>
      <c r="NQV240" s="4"/>
      <c r="NQW240" s="4"/>
      <c r="NQX240" s="4"/>
      <c r="NQY240" s="4"/>
      <c r="NQZ240" s="4"/>
      <c r="NRA240" s="4"/>
      <c r="NRB240" s="4"/>
      <c r="NRC240" s="4"/>
      <c r="NRD240" s="4"/>
      <c r="NRE240" s="4"/>
      <c r="NRF240" s="4"/>
      <c r="NRG240" s="4"/>
      <c r="NRH240" s="4"/>
      <c r="NRI240" s="4"/>
      <c r="NRJ240" s="4"/>
      <c r="NRK240" s="4"/>
      <c r="NRL240" s="4"/>
      <c r="NRM240" s="4"/>
      <c r="NRN240" s="4"/>
      <c r="NRO240" s="4"/>
      <c r="NRP240" s="4"/>
      <c r="NRQ240" s="4"/>
      <c r="NRR240" s="4"/>
      <c r="NRS240" s="4"/>
      <c r="NRT240" s="4"/>
      <c r="NRU240" s="4"/>
      <c r="NRV240" s="4"/>
      <c r="NRW240" s="4"/>
      <c r="NRX240" s="4"/>
      <c r="NRY240" s="4"/>
      <c r="NRZ240" s="4"/>
      <c r="NSA240" s="4"/>
      <c r="NSB240" s="4"/>
      <c r="NSC240" s="4"/>
      <c r="NSD240" s="4"/>
      <c r="NSE240" s="4"/>
      <c r="NSF240" s="4"/>
      <c r="NSG240" s="4"/>
      <c r="NSH240" s="4"/>
      <c r="NSI240" s="4"/>
      <c r="NSJ240" s="4"/>
      <c r="NSK240" s="4"/>
      <c r="NSL240" s="4"/>
      <c r="NSM240" s="4"/>
      <c r="NSN240" s="4"/>
      <c r="NSO240" s="4"/>
      <c r="NSP240" s="4"/>
      <c r="NSQ240" s="4"/>
      <c r="NSR240" s="4"/>
      <c r="NSS240" s="4"/>
      <c r="NST240" s="4"/>
      <c r="NSU240" s="4"/>
      <c r="NSV240" s="4"/>
      <c r="NSW240" s="4"/>
      <c r="NSX240" s="4"/>
      <c r="NSY240" s="4"/>
      <c r="NSZ240" s="4"/>
      <c r="NTA240" s="4"/>
      <c r="NTB240" s="4"/>
      <c r="NTC240" s="4"/>
      <c r="NTD240" s="4"/>
      <c r="NTE240" s="4"/>
      <c r="NTF240" s="4"/>
      <c r="NTG240" s="4"/>
      <c r="NTH240" s="4"/>
      <c r="NTI240" s="4"/>
      <c r="NTJ240" s="4"/>
      <c r="NTK240" s="4"/>
      <c r="NTL240" s="4"/>
      <c r="NTM240" s="4"/>
      <c r="NTN240" s="4"/>
      <c r="NTO240" s="4"/>
      <c r="NTP240" s="4"/>
      <c r="NTQ240" s="4"/>
      <c r="NTR240" s="4"/>
      <c r="NTS240" s="4"/>
      <c r="NTT240" s="4"/>
      <c r="NTU240" s="4"/>
      <c r="NTV240" s="4"/>
      <c r="NTW240" s="4"/>
      <c r="NTX240" s="4"/>
      <c r="NTY240" s="4"/>
      <c r="NTZ240" s="4"/>
      <c r="NUA240" s="4"/>
      <c r="NUB240" s="4"/>
      <c r="NUC240" s="4"/>
      <c r="NUD240" s="4"/>
      <c r="NUE240" s="4"/>
      <c r="NUF240" s="4"/>
      <c r="NUG240" s="4"/>
      <c r="NUH240" s="4"/>
      <c r="NUI240" s="4"/>
      <c r="NUJ240" s="4"/>
      <c r="NUK240" s="4"/>
      <c r="NUL240" s="4"/>
      <c r="NUM240" s="4"/>
      <c r="NUN240" s="4"/>
      <c r="NUO240" s="4"/>
      <c r="NUP240" s="4"/>
      <c r="NUQ240" s="4"/>
      <c r="NUR240" s="4"/>
      <c r="NUS240" s="4"/>
      <c r="NUT240" s="4"/>
      <c r="NUU240" s="4"/>
      <c r="NUV240" s="4"/>
      <c r="NUW240" s="4"/>
      <c r="NUX240" s="4"/>
      <c r="NUY240" s="4"/>
      <c r="NUZ240" s="4"/>
      <c r="NVA240" s="4"/>
      <c r="NVB240" s="4"/>
      <c r="NVC240" s="4"/>
      <c r="NVD240" s="4"/>
      <c r="NVE240" s="4"/>
      <c r="NVF240" s="4"/>
      <c r="NVG240" s="4"/>
      <c r="NVH240" s="4"/>
      <c r="NVI240" s="4"/>
      <c r="NVJ240" s="4"/>
      <c r="NVK240" s="4"/>
      <c r="NVL240" s="4"/>
      <c r="NVM240" s="4"/>
      <c r="NVN240" s="4"/>
      <c r="NVO240" s="4"/>
      <c r="NVP240" s="4"/>
      <c r="NVQ240" s="4"/>
      <c r="NVR240" s="4"/>
      <c r="NVS240" s="4"/>
      <c r="NVT240" s="4"/>
      <c r="NVU240" s="4"/>
      <c r="NVV240" s="4"/>
      <c r="NVW240" s="4"/>
      <c r="NVX240" s="4"/>
      <c r="NVY240" s="4"/>
      <c r="NVZ240" s="4"/>
      <c r="NWA240" s="4"/>
      <c r="NWB240" s="4"/>
      <c r="NWC240" s="4"/>
      <c r="NWD240" s="4"/>
      <c r="NWE240" s="4"/>
      <c r="NWF240" s="4"/>
      <c r="NWG240" s="4"/>
      <c r="NWH240" s="4"/>
      <c r="NWI240" s="4"/>
      <c r="NWJ240" s="4"/>
      <c r="NWK240" s="4"/>
      <c r="NWL240" s="4"/>
      <c r="NWM240" s="4"/>
      <c r="NWN240" s="4"/>
      <c r="NWO240" s="4"/>
      <c r="NWP240" s="4"/>
      <c r="NWQ240" s="4"/>
      <c r="NWR240" s="4"/>
      <c r="NWS240" s="4"/>
      <c r="NWT240" s="4"/>
      <c r="NWU240" s="4"/>
      <c r="NWV240" s="4"/>
      <c r="NWW240" s="4"/>
      <c r="NWX240" s="4"/>
      <c r="NWY240" s="4"/>
      <c r="NWZ240" s="4"/>
      <c r="NXA240" s="4"/>
      <c r="NXB240" s="4"/>
      <c r="NXC240" s="4"/>
      <c r="NXD240" s="4"/>
      <c r="NXE240" s="4"/>
      <c r="NXF240" s="4"/>
      <c r="NXG240" s="4"/>
      <c r="NXH240" s="4"/>
      <c r="NXI240" s="4"/>
      <c r="NXJ240" s="4"/>
      <c r="NXK240" s="4"/>
      <c r="NXL240" s="4"/>
      <c r="NXM240" s="4"/>
      <c r="NXN240" s="4"/>
      <c r="NXO240" s="4"/>
      <c r="NXP240" s="4"/>
      <c r="NXQ240" s="4"/>
      <c r="NXR240" s="4"/>
      <c r="NXS240" s="4"/>
      <c r="NXT240" s="4"/>
      <c r="NXU240" s="4"/>
      <c r="NXV240" s="4"/>
      <c r="NXW240" s="4"/>
      <c r="NXX240" s="4"/>
      <c r="NXY240" s="4"/>
      <c r="NXZ240" s="4"/>
      <c r="NYA240" s="4"/>
      <c r="NYB240" s="4"/>
      <c r="NYC240" s="4"/>
      <c r="NYD240" s="4"/>
      <c r="NYE240" s="4"/>
      <c r="NYF240" s="4"/>
      <c r="NYG240" s="4"/>
      <c r="NYH240" s="4"/>
      <c r="NYI240" s="4"/>
      <c r="NYJ240" s="4"/>
      <c r="NYK240" s="4"/>
      <c r="NYL240" s="4"/>
      <c r="NYM240" s="4"/>
      <c r="NYN240" s="4"/>
      <c r="NYO240" s="4"/>
      <c r="NYP240" s="4"/>
      <c r="NYQ240" s="4"/>
      <c r="NYR240" s="4"/>
      <c r="NYS240" s="4"/>
      <c r="NYT240" s="4"/>
      <c r="NYU240" s="4"/>
      <c r="NYV240" s="4"/>
      <c r="NYW240" s="4"/>
      <c r="NYX240" s="4"/>
      <c r="NYY240" s="4"/>
      <c r="NYZ240" s="4"/>
      <c r="NZA240" s="4"/>
      <c r="NZB240" s="4"/>
      <c r="NZC240" s="4"/>
      <c r="NZD240" s="4"/>
      <c r="NZE240" s="4"/>
      <c r="NZF240" s="4"/>
      <c r="NZG240" s="4"/>
      <c r="NZH240" s="4"/>
      <c r="NZI240" s="4"/>
      <c r="NZJ240" s="4"/>
      <c r="NZK240" s="4"/>
      <c r="NZL240" s="4"/>
      <c r="NZM240" s="4"/>
      <c r="NZN240" s="4"/>
      <c r="NZO240" s="4"/>
      <c r="NZP240" s="4"/>
      <c r="NZQ240" s="4"/>
      <c r="NZR240" s="4"/>
      <c r="NZS240" s="4"/>
      <c r="NZT240" s="4"/>
      <c r="NZU240" s="4"/>
      <c r="NZV240" s="4"/>
      <c r="NZW240" s="4"/>
      <c r="NZX240" s="4"/>
      <c r="NZY240" s="4"/>
      <c r="NZZ240" s="4"/>
      <c r="OAA240" s="4"/>
      <c r="OAB240" s="4"/>
      <c r="OAC240" s="4"/>
      <c r="OAD240" s="4"/>
      <c r="OAE240" s="4"/>
      <c r="OAF240" s="4"/>
      <c r="OAG240" s="4"/>
      <c r="OAH240" s="4"/>
      <c r="OAI240" s="4"/>
      <c r="OAJ240" s="4"/>
      <c r="OAK240" s="4"/>
      <c r="OAL240" s="4"/>
      <c r="OAM240" s="4"/>
      <c r="OAN240" s="4"/>
      <c r="OAO240" s="4"/>
      <c r="OAP240" s="4"/>
      <c r="OAQ240" s="4"/>
      <c r="OAR240" s="4"/>
      <c r="OAS240" s="4"/>
      <c r="OAT240" s="4"/>
      <c r="OAU240" s="4"/>
      <c r="OAV240" s="4"/>
      <c r="OAW240" s="4"/>
      <c r="OAX240" s="4"/>
      <c r="OAY240" s="4"/>
      <c r="OAZ240" s="4"/>
      <c r="OBA240" s="4"/>
      <c r="OBB240" s="4"/>
      <c r="OBC240" s="4"/>
      <c r="OBD240" s="4"/>
      <c r="OBE240" s="4"/>
      <c r="OBF240" s="4"/>
      <c r="OBG240" s="4"/>
      <c r="OBH240" s="4"/>
      <c r="OBI240" s="4"/>
      <c r="OBJ240" s="4"/>
      <c r="OBK240" s="4"/>
      <c r="OBL240" s="4"/>
      <c r="OBM240" s="4"/>
      <c r="OBN240" s="4"/>
      <c r="OBO240" s="4"/>
      <c r="OBP240" s="4"/>
      <c r="OBQ240" s="4"/>
      <c r="OBR240" s="4"/>
      <c r="OBS240" s="4"/>
      <c r="OBT240" s="4"/>
      <c r="OBU240" s="4"/>
      <c r="OBV240" s="4"/>
      <c r="OBW240" s="4"/>
      <c r="OBX240" s="4"/>
      <c r="OBY240" s="4"/>
      <c r="OBZ240" s="4"/>
      <c r="OCA240" s="4"/>
      <c r="OCB240" s="4"/>
      <c r="OCC240" s="4"/>
      <c r="OCD240" s="4"/>
      <c r="OCE240" s="4"/>
      <c r="OCF240" s="4"/>
      <c r="OCG240" s="4"/>
      <c r="OCH240" s="4"/>
      <c r="OCI240" s="4"/>
      <c r="OCJ240" s="4"/>
      <c r="OCK240" s="4"/>
      <c r="OCL240" s="4"/>
      <c r="OCM240" s="4"/>
      <c r="OCN240" s="4"/>
      <c r="OCO240" s="4"/>
      <c r="OCP240" s="4"/>
      <c r="OCQ240" s="4"/>
      <c r="OCR240" s="4"/>
      <c r="OCS240" s="4"/>
      <c r="OCT240" s="4"/>
      <c r="OCU240" s="4"/>
      <c r="OCV240" s="4"/>
      <c r="OCW240" s="4"/>
      <c r="OCX240" s="4"/>
      <c r="OCY240" s="4"/>
      <c r="OCZ240" s="4"/>
      <c r="ODA240" s="4"/>
      <c r="ODB240" s="4"/>
      <c r="ODC240" s="4"/>
      <c r="ODD240" s="4"/>
      <c r="ODE240" s="4"/>
      <c r="ODF240" s="4"/>
      <c r="ODG240" s="4"/>
      <c r="ODH240" s="4"/>
      <c r="ODI240" s="4"/>
      <c r="ODJ240" s="4"/>
      <c r="ODK240" s="4"/>
      <c r="ODL240" s="4"/>
      <c r="ODM240" s="4"/>
      <c r="ODN240" s="4"/>
      <c r="ODO240" s="4"/>
      <c r="ODP240" s="4"/>
      <c r="ODQ240" s="4"/>
      <c r="ODR240" s="4"/>
      <c r="ODS240" s="4"/>
      <c r="ODT240" s="4"/>
      <c r="ODU240" s="4"/>
      <c r="ODV240" s="4"/>
      <c r="ODW240" s="4"/>
      <c r="ODX240" s="4"/>
      <c r="ODY240" s="4"/>
      <c r="ODZ240" s="4"/>
      <c r="OEA240" s="4"/>
      <c r="OEB240" s="4"/>
      <c r="OEC240" s="4"/>
      <c r="OED240" s="4"/>
      <c r="OEE240" s="4"/>
      <c r="OEF240" s="4"/>
      <c r="OEG240" s="4"/>
      <c r="OEH240" s="4"/>
      <c r="OEI240" s="4"/>
      <c r="OEJ240" s="4"/>
      <c r="OEK240" s="4"/>
      <c r="OEL240" s="4"/>
      <c r="OEM240" s="4"/>
      <c r="OEN240" s="4"/>
      <c r="OEO240" s="4"/>
      <c r="OEP240" s="4"/>
      <c r="OEQ240" s="4"/>
      <c r="OER240" s="4"/>
      <c r="OES240" s="4"/>
      <c r="OET240" s="4"/>
      <c r="OEU240" s="4"/>
      <c r="OEV240" s="4"/>
      <c r="OEW240" s="4"/>
      <c r="OEX240" s="4"/>
      <c r="OEY240" s="4"/>
      <c r="OEZ240" s="4"/>
      <c r="OFA240" s="4"/>
      <c r="OFB240" s="4"/>
      <c r="OFC240" s="4"/>
      <c r="OFD240" s="4"/>
      <c r="OFE240" s="4"/>
      <c r="OFF240" s="4"/>
      <c r="OFG240" s="4"/>
      <c r="OFH240" s="4"/>
      <c r="OFI240" s="4"/>
      <c r="OFJ240" s="4"/>
      <c r="OFK240" s="4"/>
      <c r="OFL240" s="4"/>
      <c r="OFM240" s="4"/>
      <c r="OFN240" s="4"/>
      <c r="OFO240" s="4"/>
      <c r="OFP240" s="4"/>
      <c r="OFQ240" s="4"/>
      <c r="OFR240" s="4"/>
      <c r="OFS240" s="4"/>
      <c r="OFT240" s="4"/>
      <c r="OFU240" s="4"/>
      <c r="OFV240" s="4"/>
      <c r="OFW240" s="4"/>
      <c r="OFX240" s="4"/>
      <c r="OFY240" s="4"/>
      <c r="OFZ240" s="4"/>
      <c r="OGA240" s="4"/>
      <c r="OGB240" s="4"/>
      <c r="OGC240" s="4"/>
      <c r="OGD240" s="4"/>
      <c r="OGE240" s="4"/>
      <c r="OGF240" s="4"/>
      <c r="OGG240" s="4"/>
      <c r="OGH240" s="4"/>
      <c r="OGI240" s="4"/>
      <c r="OGJ240" s="4"/>
      <c r="OGK240" s="4"/>
      <c r="OGL240" s="4"/>
      <c r="OGM240" s="4"/>
      <c r="OGN240" s="4"/>
      <c r="OGO240" s="4"/>
      <c r="OGP240" s="4"/>
      <c r="OGQ240" s="4"/>
      <c r="OGR240" s="4"/>
      <c r="OGS240" s="4"/>
      <c r="OGT240" s="4"/>
      <c r="OGU240" s="4"/>
      <c r="OGV240" s="4"/>
      <c r="OGW240" s="4"/>
      <c r="OGX240" s="4"/>
      <c r="OGY240" s="4"/>
      <c r="OGZ240" s="4"/>
      <c r="OHA240" s="4"/>
      <c r="OHB240" s="4"/>
      <c r="OHC240" s="4"/>
      <c r="OHD240" s="4"/>
      <c r="OHE240" s="4"/>
      <c r="OHF240" s="4"/>
      <c r="OHG240" s="4"/>
      <c r="OHH240" s="4"/>
      <c r="OHI240" s="4"/>
      <c r="OHJ240" s="4"/>
      <c r="OHK240" s="4"/>
      <c r="OHL240" s="4"/>
      <c r="OHM240" s="4"/>
      <c r="OHN240" s="4"/>
      <c r="OHO240" s="4"/>
      <c r="OHP240" s="4"/>
      <c r="OHQ240" s="4"/>
      <c r="OHR240" s="4"/>
      <c r="OHS240" s="4"/>
      <c r="OHT240" s="4"/>
      <c r="OHU240" s="4"/>
      <c r="OHV240" s="4"/>
      <c r="OHW240" s="4"/>
      <c r="OHX240" s="4"/>
      <c r="OHY240" s="4"/>
      <c r="OHZ240" s="4"/>
      <c r="OIA240" s="4"/>
      <c r="OIB240" s="4"/>
      <c r="OIC240" s="4"/>
      <c r="OID240" s="4"/>
      <c r="OIE240" s="4"/>
      <c r="OIF240" s="4"/>
      <c r="OIG240" s="4"/>
      <c r="OIH240" s="4"/>
      <c r="OII240" s="4"/>
      <c r="OIJ240" s="4"/>
      <c r="OIK240" s="4"/>
      <c r="OIL240" s="4"/>
      <c r="OIM240" s="4"/>
      <c r="OIN240" s="4"/>
      <c r="OIO240" s="4"/>
      <c r="OIP240" s="4"/>
      <c r="OIQ240" s="4"/>
      <c r="OIR240" s="4"/>
      <c r="OIS240" s="4"/>
      <c r="OIT240" s="4"/>
      <c r="OIU240" s="4"/>
      <c r="OIV240" s="4"/>
      <c r="OIW240" s="4"/>
      <c r="OIX240" s="4"/>
      <c r="OIY240" s="4"/>
      <c r="OIZ240" s="4"/>
      <c r="OJA240" s="4"/>
      <c r="OJB240" s="4"/>
      <c r="OJC240" s="4"/>
      <c r="OJD240" s="4"/>
      <c r="OJE240" s="4"/>
      <c r="OJF240" s="4"/>
      <c r="OJG240" s="4"/>
      <c r="OJH240" s="4"/>
      <c r="OJI240" s="4"/>
      <c r="OJJ240" s="4"/>
      <c r="OJK240" s="4"/>
      <c r="OJL240" s="4"/>
      <c r="OJM240" s="4"/>
      <c r="OJN240" s="4"/>
      <c r="OJO240" s="4"/>
      <c r="OJP240" s="4"/>
      <c r="OJQ240" s="4"/>
      <c r="OJR240" s="4"/>
      <c r="OJS240" s="4"/>
      <c r="OJT240" s="4"/>
      <c r="OJU240" s="4"/>
      <c r="OJV240" s="4"/>
      <c r="OJW240" s="4"/>
      <c r="OJX240" s="4"/>
      <c r="OJY240" s="4"/>
      <c r="OJZ240" s="4"/>
      <c r="OKA240" s="4"/>
      <c r="OKB240" s="4"/>
      <c r="OKC240" s="4"/>
      <c r="OKD240" s="4"/>
      <c r="OKE240" s="4"/>
      <c r="OKF240" s="4"/>
      <c r="OKG240" s="4"/>
      <c r="OKH240" s="4"/>
      <c r="OKI240" s="4"/>
      <c r="OKJ240" s="4"/>
      <c r="OKK240" s="4"/>
      <c r="OKL240" s="4"/>
      <c r="OKM240" s="4"/>
      <c r="OKN240" s="4"/>
      <c r="OKO240" s="4"/>
      <c r="OKP240" s="4"/>
      <c r="OKQ240" s="4"/>
      <c r="OKR240" s="4"/>
      <c r="OKS240" s="4"/>
      <c r="OKT240" s="4"/>
      <c r="OKU240" s="4"/>
      <c r="OKV240" s="4"/>
      <c r="OKW240" s="4"/>
      <c r="OKX240" s="4"/>
      <c r="OKY240" s="4"/>
      <c r="OKZ240" s="4"/>
      <c r="OLA240" s="4"/>
      <c r="OLB240" s="4"/>
      <c r="OLC240" s="4"/>
      <c r="OLD240" s="4"/>
      <c r="OLE240" s="4"/>
      <c r="OLF240" s="4"/>
      <c r="OLG240" s="4"/>
      <c r="OLH240" s="4"/>
      <c r="OLI240" s="4"/>
      <c r="OLJ240" s="4"/>
      <c r="OLK240" s="4"/>
      <c r="OLL240" s="4"/>
      <c r="OLM240" s="4"/>
      <c r="OLN240" s="4"/>
      <c r="OLO240" s="4"/>
      <c r="OLP240" s="4"/>
      <c r="OLQ240" s="4"/>
      <c r="OLR240" s="4"/>
      <c r="OLS240" s="4"/>
      <c r="OLT240" s="4"/>
      <c r="OLU240" s="4"/>
      <c r="OLV240" s="4"/>
      <c r="OLW240" s="4"/>
      <c r="OLX240" s="4"/>
      <c r="OLY240" s="4"/>
      <c r="OLZ240" s="4"/>
      <c r="OMA240" s="4"/>
      <c r="OMB240" s="4"/>
      <c r="OMC240" s="4"/>
      <c r="OMD240" s="4"/>
      <c r="OME240" s="4"/>
      <c r="OMF240" s="4"/>
      <c r="OMG240" s="4"/>
      <c r="OMH240" s="4"/>
      <c r="OMI240" s="4"/>
      <c r="OMJ240" s="4"/>
      <c r="OMK240" s="4"/>
      <c r="OML240" s="4"/>
      <c r="OMM240" s="4"/>
      <c r="OMN240" s="4"/>
      <c r="OMO240" s="4"/>
      <c r="OMP240" s="4"/>
      <c r="OMQ240" s="4"/>
      <c r="OMR240" s="4"/>
      <c r="OMS240" s="4"/>
      <c r="OMT240" s="4"/>
      <c r="OMU240" s="4"/>
      <c r="OMV240" s="4"/>
      <c r="OMW240" s="4"/>
      <c r="OMX240" s="4"/>
      <c r="OMY240" s="4"/>
      <c r="OMZ240" s="4"/>
      <c r="ONA240" s="4"/>
      <c r="ONB240" s="4"/>
      <c r="ONC240" s="4"/>
      <c r="OND240" s="4"/>
      <c r="ONE240" s="4"/>
      <c r="ONF240" s="4"/>
      <c r="ONG240" s="4"/>
      <c r="ONH240" s="4"/>
      <c r="ONI240" s="4"/>
      <c r="ONJ240" s="4"/>
      <c r="ONK240" s="4"/>
      <c r="ONL240" s="4"/>
      <c r="ONM240" s="4"/>
      <c r="ONN240" s="4"/>
      <c r="ONO240" s="4"/>
      <c r="ONP240" s="4"/>
      <c r="ONQ240" s="4"/>
      <c r="ONR240" s="4"/>
      <c r="ONS240" s="4"/>
      <c r="ONT240" s="4"/>
      <c r="ONU240" s="4"/>
      <c r="ONV240" s="4"/>
      <c r="ONW240" s="4"/>
      <c r="ONX240" s="4"/>
      <c r="ONY240" s="4"/>
      <c r="ONZ240" s="4"/>
      <c r="OOA240" s="4"/>
      <c r="OOB240" s="4"/>
      <c r="OOC240" s="4"/>
      <c r="OOD240" s="4"/>
      <c r="OOE240" s="4"/>
      <c r="OOF240" s="4"/>
      <c r="OOG240" s="4"/>
      <c r="OOH240" s="4"/>
      <c r="OOI240" s="4"/>
      <c r="OOJ240" s="4"/>
      <c r="OOK240" s="4"/>
      <c r="OOL240" s="4"/>
      <c r="OOM240" s="4"/>
      <c r="OON240" s="4"/>
      <c r="OOO240" s="4"/>
      <c r="OOP240" s="4"/>
      <c r="OOQ240" s="4"/>
      <c r="OOR240" s="4"/>
      <c r="OOS240" s="4"/>
      <c r="OOT240" s="4"/>
      <c r="OOU240" s="4"/>
      <c r="OOV240" s="4"/>
      <c r="OOW240" s="4"/>
      <c r="OOX240" s="4"/>
      <c r="OOY240" s="4"/>
      <c r="OOZ240" s="4"/>
      <c r="OPA240" s="4"/>
      <c r="OPB240" s="4"/>
      <c r="OPC240" s="4"/>
      <c r="OPD240" s="4"/>
      <c r="OPE240" s="4"/>
      <c r="OPF240" s="4"/>
      <c r="OPG240" s="4"/>
      <c r="OPH240" s="4"/>
      <c r="OPI240" s="4"/>
      <c r="OPJ240" s="4"/>
      <c r="OPK240" s="4"/>
      <c r="OPL240" s="4"/>
      <c r="OPM240" s="4"/>
      <c r="OPN240" s="4"/>
      <c r="OPO240" s="4"/>
      <c r="OPP240" s="4"/>
      <c r="OPQ240" s="4"/>
      <c r="OPR240" s="4"/>
      <c r="OPS240" s="4"/>
      <c r="OPT240" s="4"/>
      <c r="OPU240" s="4"/>
      <c r="OPV240" s="4"/>
      <c r="OPW240" s="4"/>
      <c r="OPX240" s="4"/>
      <c r="OPY240" s="4"/>
      <c r="OPZ240" s="4"/>
      <c r="OQA240" s="4"/>
      <c r="OQB240" s="4"/>
      <c r="OQC240" s="4"/>
      <c r="OQD240" s="4"/>
      <c r="OQE240" s="4"/>
      <c r="OQF240" s="4"/>
      <c r="OQG240" s="4"/>
      <c r="OQH240" s="4"/>
      <c r="OQI240" s="4"/>
      <c r="OQJ240" s="4"/>
      <c r="OQK240" s="4"/>
      <c r="OQL240" s="4"/>
      <c r="OQM240" s="4"/>
      <c r="OQN240" s="4"/>
      <c r="OQO240" s="4"/>
      <c r="OQP240" s="4"/>
      <c r="OQQ240" s="4"/>
      <c r="OQR240" s="4"/>
      <c r="OQS240" s="4"/>
      <c r="OQT240" s="4"/>
      <c r="OQU240" s="4"/>
      <c r="OQV240" s="4"/>
      <c r="OQW240" s="4"/>
      <c r="OQX240" s="4"/>
      <c r="OQY240" s="4"/>
      <c r="OQZ240" s="4"/>
      <c r="ORA240" s="4"/>
      <c r="ORB240" s="4"/>
      <c r="ORC240" s="4"/>
      <c r="ORD240" s="4"/>
      <c r="ORE240" s="4"/>
      <c r="ORF240" s="4"/>
      <c r="ORG240" s="4"/>
      <c r="ORH240" s="4"/>
      <c r="ORI240" s="4"/>
      <c r="ORJ240" s="4"/>
      <c r="ORK240" s="4"/>
      <c r="ORL240" s="4"/>
      <c r="ORM240" s="4"/>
      <c r="ORN240" s="4"/>
      <c r="ORO240" s="4"/>
      <c r="ORP240" s="4"/>
      <c r="ORQ240" s="4"/>
      <c r="ORR240" s="4"/>
      <c r="ORS240" s="4"/>
      <c r="ORT240" s="4"/>
      <c r="ORU240" s="4"/>
      <c r="ORV240" s="4"/>
      <c r="ORW240" s="4"/>
      <c r="ORX240" s="4"/>
      <c r="ORY240" s="4"/>
      <c r="ORZ240" s="4"/>
      <c r="OSA240" s="4"/>
      <c r="OSB240" s="4"/>
      <c r="OSC240" s="4"/>
      <c r="OSD240" s="4"/>
      <c r="OSE240" s="4"/>
      <c r="OSF240" s="4"/>
      <c r="OSG240" s="4"/>
      <c r="OSH240" s="4"/>
      <c r="OSI240" s="4"/>
      <c r="OSJ240" s="4"/>
      <c r="OSK240" s="4"/>
      <c r="OSL240" s="4"/>
      <c r="OSM240" s="4"/>
      <c r="OSN240" s="4"/>
      <c r="OSO240" s="4"/>
      <c r="OSP240" s="4"/>
      <c r="OSQ240" s="4"/>
      <c r="OSR240" s="4"/>
      <c r="OSS240" s="4"/>
      <c r="OST240" s="4"/>
      <c r="OSU240" s="4"/>
      <c r="OSV240" s="4"/>
      <c r="OSW240" s="4"/>
      <c r="OSX240" s="4"/>
      <c r="OSY240" s="4"/>
      <c r="OSZ240" s="4"/>
      <c r="OTA240" s="4"/>
      <c r="OTB240" s="4"/>
      <c r="OTC240" s="4"/>
      <c r="OTD240" s="4"/>
      <c r="OTE240" s="4"/>
      <c r="OTF240" s="4"/>
      <c r="OTG240" s="4"/>
      <c r="OTH240" s="4"/>
      <c r="OTI240" s="4"/>
      <c r="OTJ240" s="4"/>
      <c r="OTK240" s="4"/>
      <c r="OTL240" s="4"/>
      <c r="OTM240" s="4"/>
      <c r="OTN240" s="4"/>
      <c r="OTO240" s="4"/>
      <c r="OTP240" s="4"/>
      <c r="OTQ240" s="4"/>
      <c r="OTR240" s="4"/>
      <c r="OTS240" s="4"/>
      <c r="OTT240" s="4"/>
      <c r="OTU240" s="4"/>
      <c r="OTV240" s="4"/>
      <c r="OTW240" s="4"/>
      <c r="OTX240" s="4"/>
      <c r="OTY240" s="4"/>
      <c r="OTZ240" s="4"/>
      <c r="OUA240" s="4"/>
      <c r="OUB240" s="4"/>
      <c r="OUC240" s="4"/>
      <c r="OUD240" s="4"/>
      <c r="OUE240" s="4"/>
      <c r="OUF240" s="4"/>
      <c r="OUG240" s="4"/>
      <c r="OUH240" s="4"/>
      <c r="OUI240" s="4"/>
      <c r="OUJ240" s="4"/>
      <c r="OUK240" s="4"/>
      <c r="OUL240" s="4"/>
      <c r="OUM240" s="4"/>
      <c r="OUN240" s="4"/>
      <c r="OUO240" s="4"/>
      <c r="OUP240" s="4"/>
      <c r="OUQ240" s="4"/>
      <c r="OUR240" s="4"/>
      <c r="OUS240" s="4"/>
      <c r="OUT240" s="4"/>
      <c r="OUU240" s="4"/>
      <c r="OUV240" s="4"/>
      <c r="OUW240" s="4"/>
      <c r="OUX240" s="4"/>
      <c r="OUY240" s="4"/>
      <c r="OUZ240" s="4"/>
      <c r="OVA240" s="4"/>
      <c r="OVB240" s="4"/>
      <c r="OVC240" s="4"/>
      <c r="OVD240" s="4"/>
      <c r="OVE240" s="4"/>
      <c r="OVF240" s="4"/>
      <c r="OVG240" s="4"/>
      <c r="OVH240" s="4"/>
      <c r="OVI240" s="4"/>
      <c r="OVJ240" s="4"/>
      <c r="OVK240" s="4"/>
      <c r="OVL240" s="4"/>
      <c r="OVM240" s="4"/>
      <c r="OVN240" s="4"/>
      <c r="OVO240" s="4"/>
      <c r="OVP240" s="4"/>
      <c r="OVQ240" s="4"/>
      <c r="OVR240" s="4"/>
      <c r="OVS240" s="4"/>
      <c r="OVT240" s="4"/>
      <c r="OVU240" s="4"/>
      <c r="OVV240" s="4"/>
      <c r="OVW240" s="4"/>
      <c r="OVX240" s="4"/>
      <c r="OVY240" s="4"/>
      <c r="OVZ240" s="4"/>
      <c r="OWA240" s="4"/>
      <c r="OWB240" s="4"/>
      <c r="OWC240" s="4"/>
      <c r="OWD240" s="4"/>
      <c r="OWE240" s="4"/>
      <c r="OWF240" s="4"/>
      <c r="OWG240" s="4"/>
      <c r="OWH240" s="4"/>
      <c r="OWI240" s="4"/>
      <c r="OWJ240" s="4"/>
      <c r="OWK240" s="4"/>
      <c r="OWL240" s="4"/>
      <c r="OWM240" s="4"/>
      <c r="OWN240" s="4"/>
      <c r="OWO240" s="4"/>
      <c r="OWP240" s="4"/>
      <c r="OWQ240" s="4"/>
      <c r="OWR240" s="4"/>
      <c r="OWS240" s="4"/>
      <c r="OWT240" s="4"/>
      <c r="OWU240" s="4"/>
      <c r="OWV240" s="4"/>
      <c r="OWW240" s="4"/>
      <c r="OWX240" s="4"/>
      <c r="OWY240" s="4"/>
      <c r="OWZ240" s="4"/>
      <c r="OXA240" s="4"/>
      <c r="OXB240" s="4"/>
      <c r="OXC240" s="4"/>
      <c r="OXD240" s="4"/>
      <c r="OXE240" s="4"/>
      <c r="OXF240" s="4"/>
      <c r="OXG240" s="4"/>
      <c r="OXH240" s="4"/>
      <c r="OXI240" s="4"/>
      <c r="OXJ240" s="4"/>
      <c r="OXK240" s="4"/>
      <c r="OXL240" s="4"/>
      <c r="OXM240" s="4"/>
      <c r="OXN240" s="4"/>
      <c r="OXO240" s="4"/>
      <c r="OXP240" s="4"/>
      <c r="OXQ240" s="4"/>
      <c r="OXR240" s="4"/>
      <c r="OXS240" s="4"/>
      <c r="OXT240" s="4"/>
      <c r="OXU240" s="4"/>
      <c r="OXV240" s="4"/>
      <c r="OXW240" s="4"/>
      <c r="OXX240" s="4"/>
      <c r="OXY240" s="4"/>
      <c r="OXZ240" s="4"/>
      <c r="OYA240" s="4"/>
      <c r="OYB240" s="4"/>
      <c r="OYC240" s="4"/>
      <c r="OYD240" s="4"/>
      <c r="OYE240" s="4"/>
      <c r="OYF240" s="4"/>
      <c r="OYG240" s="4"/>
      <c r="OYH240" s="4"/>
      <c r="OYI240" s="4"/>
      <c r="OYJ240" s="4"/>
      <c r="OYK240" s="4"/>
      <c r="OYL240" s="4"/>
      <c r="OYM240" s="4"/>
      <c r="OYN240" s="4"/>
      <c r="OYO240" s="4"/>
      <c r="OYP240" s="4"/>
      <c r="OYQ240" s="4"/>
      <c r="OYR240" s="4"/>
      <c r="OYS240" s="4"/>
      <c r="OYT240" s="4"/>
      <c r="OYU240" s="4"/>
      <c r="OYV240" s="4"/>
      <c r="OYW240" s="4"/>
      <c r="OYX240" s="4"/>
      <c r="OYY240" s="4"/>
      <c r="OYZ240" s="4"/>
      <c r="OZA240" s="4"/>
      <c r="OZB240" s="4"/>
      <c r="OZC240" s="4"/>
      <c r="OZD240" s="4"/>
      <c r="OZE240" s="4"/>
      <c r="OZF240" s="4"/>
      <c r="OZG240" s="4"/>
      <c r="OZH240" s="4"/>
      <c r="OZI240" s="4"/>
      <c r="OZJ240" s="4"/>
      <c r="OZK240" s="4"/>
      <c r="OZL240" s="4"/>
      <c r="OZM240" s="4"/>
      <c r="OZN240" s="4"/>
      <c r="OZO240" s="4"/>
      <c r="OZP240" s="4"/>
      <c r="OZQ240" s="4"/>
      <c r="OZR240" s="4"/>
      <c r="OZS240" s="4"/>
      <c r="OZT240" s="4"/>
      <c r="OZU240" s="4"/>
      <c r="OZV240" s="4"/>
      <c r="OZW240" s="4"/>
      <c r="OZX240" s="4"/>
      <c r="OZY240" s="4"/>
      <c r="OZZ240" s="4"/>
      <c r="PAA240" s="4"/>
      <c r="PAB240" s="4"/>
      <c r="PAC240" s="4"/>
      <c r="PAD240" s="4"/>
      <c r="PAE240" s="4"/>
      <c r="PAF240" s="4"/>
      <c r="PAG240" s="4"/>
      <c r="PAH240" s="4"/>
      <c r="PAI240" s="4"/>
      <c r="PAJ240" s="4"/>
      <c r="PAK240" s="4"/>
      <c r="PAL240" s="4"/>
      <c r="PAM240" s="4"/>
      <c r="PAN240" s="4"/>
      <c r="PAO240" s="4"/>
      <c r="PAP240" s="4"/>
      <c r="PAQ240" s="4"/>
      <c r="PAR240" s="4"/>
      <c r="PAS240" s="4"/>
      <c r="PAT240" s="4"/>
      <c r="PAU240" s="4"/>
      <c r="PAV240" s="4"/>
      <c r="PAW240" s="4"/>
      <c r="PAX240" s="4"/>
      <c r="PAY240" s="4"/>
      <c r="PAZ240" s="4"/>
      <c r="PBA240" s="4"/>
      <c r="PBB240" s="4"/>
      <c r="PBC240" s="4"/>
      <c r="PBD240" s="4"/>
      <c r="PBE240" s="4"/>
      <c r="PBF240" s="4"/>
      <c r="PBG240" s="4"/>
      <c r="PBH240" s="4"/>
      <c r="PBI240" s="4"/>
      <c r="PBJ240" s="4"/>
      <c r="PBK240" s="4"/>
      <c r="PBL240" s="4"/>
      <c r="PBM240" s="4"/>
      <c r="PBN240" s="4"/>
      <c r="PBO240" s="4"/>
      <c r="PBP240" s="4"/>
      <c r="PBQ240" s="4"/>
      <c r="PBR240" s="4"/>
      <c r="PBS240" s="4"/>
      <c r="PBT240" s="4"/>
      <c r="PBU240" s="4"/>
      <c r="PBV240" s="4"/>
      <c r="PBW240" s="4"/>
      <c r="PBX240" s="4"/>
      <c r="PBY240" s="4"/>
      <c r="PBZ240" s="4"/>
      <c r="PCA240" s="4"/>
      <c r="PCB240" s="4"/>
      <c r="PCC240" s="4"/>
      <c r="PCD240" s="4"/>
      <c r="PCE240" s="4"/>
      <c r="PCF240" s="4"/>
      <c r="PCG240" s="4"/>
      <c r="PCH240" s="4"/>
      <c r="PCI240" s="4"/>
      <c r="PCJ240" s="4"/>
      <c r="PCK240" s="4"/>
      <c r="PCL240" s="4"/>
      <c r="PCM240" s="4"/>
      <c r="PCN240" s="4"/>
      <c r="PCO240" s="4"/>
      <c r="PCP240" s="4"/>
      <c r="PCQ240" s="4"/>
      <c r="PCR240" s="4"/>
      <c r="PCS240" s="4"/>
      <c r="PCT240" s="4"/>
      <c r="PCU240" s="4"/>
      <c r="PCV240" s="4"/>
      <c r="PCW240" s="4"/>
      <c r="PCX240" s="4"/>
      <c r="PCY240" s="4"/>
      <c r="PCZ240" s="4"/>
      <c r="PDA240" s="4"/>
      <c r="PDB240" s="4"/>
      <c r="PDC240" s="4"/>
      <c r="PDD240" s="4"/>
      <c r="PDE240" s="4"/>
      <c r="PDF240" s="4"/>
      <c r="PDG240" s="4"/>
      <c r="PDH240" s="4"/>
      <c r="PDI240" s="4"/>
      <c r="PDJ240" s="4"/>
      <c r="PDK240" s="4"/>
      <c r="PDL240" s="4"/>
      <c r="PDM240" s="4"/>
      <c r="PDN240" s="4"/>
      <c r="PDO240" s="4"/>
      <c r="PDP240" s="4"/>
      <c r="PDQ240" s="4"/>
      <c r="PDR240" s="4"/>
      <c r="PDS240" s="4"/>
      <c r="PDT240" s="4"/>
      <c r="PDU240" s="4"/>
      <c r="PDV240" s="4"/>
      <c r="PDW240" s="4"/>
      <c r="PDX240" s="4"/>
      <c r="PDY240" s="4"/>
      <c r="PDZ240" s="4"/>
      <c r="PEA240" s="4"/>
      <c r="PEB240" s="4"/>
      <c r="PEC240" s="4"/>
      <c r="PED240" s="4"/>
      <c r="PEE240" s="4"/>
      <c r="PEF240" s="4"/>
      <c r="PEG240" s="4"/>
      <c r="PEH240" s="4"/>
      <c r="PEI240" s="4"/>
      <c r="PEJ240" s="4"/>
      <c r="PEK240" s="4"/>
      <c r="PEL240" s="4"/>
      <c r="PEM240" s="4"/>
      <c r="PEN240" s="4"/>
      <c r="PEO240" s="4"/>
      <c r="PEP240" s="4"/>
      <c r="PEQ240" s="4"/>
      <c r="PER240" s="4"/>
      <c r="PES240" s="4"/>
      <c r="PET240" s="4"/>
      <c r="PEU240" s="4"/>
      <c r="PEV240" s="4"/>
      <c r="PEW240" s="4"/>
      <c r="PEX240" s="4"/>
      <c r="PEY240" s="4"/>
      <c r="PEZ240" s="4"/>
      <c r="PFA240" s="4"/>
      <c r="PFB240" s="4"/>
      <c r="PFC240" s="4"/>
      <c r="PFD240" s="4"/>
      <c r="PFE240" s="4"/>
      <c r="PFF240" s="4"/>
      <c r="PFG240" s="4"/>
      <c r="PFH240" s="4"/>
      <c r="PFI240" s="4"/>
      <c r="PFJ240" s="4"/>
      <c r="PFK240" s="4"/>
      <c r="PFL240" s="4"/>
      <c r="PFM240" s="4"/>
      <c r="PFN240" s="4"/>
      <c r="PFO240" s="4"/>
      <c r="PFP240" s="4"/>
      <c r="PFQ240" s="4"/>
      <c r="PFR240" s="4"/>
      <c r="PFS240" s="4"/>
      <c r="PFT240" s="4"/>
      <c r="PFU240" s="4"/>
      <c r="PFV240" s="4"/>
      <c r="PFW240" s="4"/>
      <c r="PFX240" s="4"/>
      <c r="PFY240" s="4"/>
      <c r="PFZ240" s="4"/>
      <c r="PGA240" s="4"/>
      <c r="PGB240" s="4"/>
      <c r="PGC240" s="4"/>
      <c r="PGD240" s="4"/>
      <c r="PGE240" s="4"/>
      <c r="PGF240" s="4"/>
      <c r="PGG240" s="4"/>
      <c r="PGH240" s="4"/>
      <c r="PGI240" s="4"/>
      <c r="PGJ240" s="4"/>
      <c r="PGK240" s="4"/>
      <c r="PGL240" s="4"/>
      <c r="PGM240" s="4"/>
      <c r="PGN240" s="4"/>
      <c r="PGO240" s="4"/>
      <c r="PGP240" s="4"/>
      <c r="PGQ240" s="4"/>
      <c r="PGR240" s="4"/>
      <c r="PGS240" s="4"/>
      <c r="PGT240" s="4"/>
      <c r="PGU240" s="4"/>
      <c r="PGV240" s="4"/>
      <c r="PGW240" s="4"/>
      <c r="PGX240" s="4"/>
      <c r="PGY240" s="4"/>
      <c r="PGZ240" s="4"/>
      <c r="PHA240" s="4"/>
      <c r="PHB240" s="4"/>
      <c r="PHC240" s="4"/>
      <c r="PHD240" s="4"/>
      <c r="PHE240" s="4"/>
      <c r="PHF240" s="4"/>
      <c r="PHG240" s="4"/>
      <c r="PHH240" s="4"/>
      <c r="PHI240" s="4"/>
      <c r="PHJ240" s="4"/>
      <c r="PHK240" s="4"/>
      <c r="PHL240" s="4"/>
      <c r="PHM240" s="4"/>
      <c r="PHN240" s="4"/>
      <c r="PHO240" s="4"/>
      <c r="PHP240" s="4"/>
      <c r="PHQ240" s="4"/>
      <c r="PHR240" s="4"/>
      <c r="PHS240" s="4"/>
      <c r="PHT240" s="4"/>
      <c r="PHU240" s="4"/>
      <c r="PHV240" s="4"/>
      <c r="PHW240" s="4"/>
      <c r="PHX240" s="4"/>
      <c r="PHY240" s="4"/>
      <c r="PHZ240" s="4"/>
      <c r="PIA240" s="4"/>
      <c r="PIB240" s="4"/>
      <c r="PIC240" s="4"/>
      <c r="PID240" s="4"/>
      <c r="PIE240" s="4"/>
      <c r="PIF240" s="4"/>
      <c r="PIG240" s="4"/>
      <c r="PIH240" s="4"/>
      <c r="PII240" s="4"/>
      <c r="PIJ240" s="4"/>
      <c r="PIK240" s="4"/>
      <c r="PIL240" s="4"/>
      <c r="PIM240" s="4"/>
      <c r="PIN240" s="4"/>
      <c r="PIO240" s="4"/>
      <c r="PIP240" s="4"/>
      <c r="PIQ240" s="4"/>
      <c r="PIR240" s="4"/>
      <c r="PIS240" s="4"/>
      <c r="PIT240" s="4"/>
      <c r="PIU240" s="4"/>
      <c r="PIV240" s="4"/>
      <c r="PIW240" s="4"/>
      <c r="PIX240" s="4"/>
      <c r="PIY240" s="4"/>
      <c r="PIZ240" s="4"/>
      <c r="PJA240" s="4"/>
      <c r="PJB240" s="4"/>
      <c r="PJC240" s="4"/>
      <c r="PJD240" s="4"/>
      <c r="PJE240" s="4"/>
      <c r="PJF240" s="4"/>
      <c r="PJG240" s="4"/>
      <c r="PJH240" s="4"/>
      <c r="PJI240" s="4"/>
      <c r="PJJ240" s="4"/>
      <c r="PJK240" s="4"/>
      <c r="PJL240" s="4"/>
      <c r="PJM240" s="4"/>
      <c r="PJN240" s="4"/>
      <c r="PJO240" s="4"/>
      <c r="PJP240" s="4"/>
      <c r="PJQ240" s="4"/>
      <c r="PJR240" s="4"/>
      <c r="PJS240" s="4"/>
      <c r="PJT240" s="4"/>
      <c r="PJU240" s="4"/>
      <c r="PJV240" s="4"/>
      <c r="PJW240" s="4"/>
      <c r="PJX240" s="4"/>
      <c r="PJY240" s="4"/>
      <c r="PJZ240" s="4"/>
      <c r="PKA240" s="4"/>
      <c r="PKB240" s="4"/>
      <c r="PKC240" s="4"/>
      <c r="PKD240" s="4"/>
      <c r="PKE240" s="4"/>
      <c r="PKF240" s="4"/>
      <c r="PKG240" s="4"/>
      <c r="PKH240" s="4"/>
      <c r="PKI240" s="4"/>
      <c r="PKJ240" s="4"/>
      <c r="PKK240" s="4"/>
      <c r="PKL240" s="4"/>
      <c r="PKM240" s="4"/>
      <c r="PKN240" s="4"/>
      <c r="PKO240" s="4"/>
      <c r="PKP240" s="4"/>
      <c r="PKQ240" s="4"/>
      <c r="PKR240" s="4"/>
      <c r="PKS240" s="4"/>
      <c r="PKT240" s="4"/>
      <c r="PKU240" s="4"/>
      <c r="PKV240" s="4"/>
      <c r="PKW240" s="4"/>
      <c r="PKX240" s="4"/>
      <c r="PKY240" s="4"/>
      <c r="PKZ240" s="4"/>
      <c r="PLA240" s="4"/>
      <c r="PLB240" s="4"/>
      <c r="PLC240" s="4"/>
      <c r="PLD240" s="4"/>
      <c r="PLE240" s="4"/>
      <c r="PLF240" s="4"/>
      <c r="PLG240" s="4"/>
      <c r="PLH240" s="4"/>
      <c r="PLI240" s="4"/>
      <c r="PLJ240" s="4"/>
      <c r="PLK240" s="4"/>
      <c r="PLL240" s="4"/>
      <c r="PLM240" s="4"/>
      <c r="PLN240" s="4"/>
      <c r="PLO240" s="4"/>
      <c r="PLP240" s="4"/>
      <c r="PLQ240" s="4"/>
      <c r="PLR240" s="4"/>
      <c r="PLS240" s="4"/>
      <c r="PLT240" s="4"/>
      <c r="PLU240" s="4"/>
      <c r="PLV240" s="4"/>
      <c r="PLW240" s="4"/>
      <c r="PLX240" s="4"/>
      <c r="PLY240" s="4"/>
      <c r="PLZ240" s="4"/>
      <c r="PMA240" s="4"/>
      <c r="PMB240" s="4"/>
      <c r="PMC240" s="4"/>
      <c r="PMD240" s="4"/>
      <c r="PME240" s="4"/>
      <c r="PMF240" s="4"/>
      <c r="PMG240" s="4"/>
      <c r="PMH240" s="4"/>
      <c r="PMI240" s="4"/>
      <c r="PMJ240" s="4"/>
      <c r="PMK240" s="4"/>
      <c r="PML240" s="4"/>
      <c r="PMM240" s="4"/>
      <c r="PMN240" s="4"/>
      <c r="PMO240" s="4"/>
      <c r="PMP240" s="4"/>
      <c r="PMQ240" s="4"/>
      <c r="PMR240" s="4"/>
      <c r="PMS240" s="4"/>
      <c r="PMT240" s="4"/>
      <c r="PMU240" s="4"/>
      <c r="PMV240" s="4"/>
      <c r="PMW240" s="4"/>
      <c r="PMX240" s="4"/>
      <c r="PMY240" s="4"/>
      <c r="PMZ240" s="4"/>
      <c r="PNA240" s="4"/>
      <c r="PNB240" s="4"/>
      <c r="PNC240" s="4"/>
      <c r="PND240" s="4"/>
      <c r="PNE240" s="4"/>
      <c r="PNF240" s="4"/>
      <c r="PNG240" s="4"/>
      <c r="PNH240" s="4"/>
      <c r="PNI240" s="4"/>
      <c r="PNJ240" s="4"/>
      <c r="PNK240" s="4"/>
      <c r="PNL240" s="4"/>
      <c r="PNM240" s="4"/>
      <c r="PNN240" s="4"/>
      <c r="PNO240" s="4"/>
      <c r="PNP240" s="4"/>
      <c r="PNQ240" s="4"/>
      <c r="PNR240" s="4"/>
      <c r="PNS240" s="4"/>
      <c r="PNT240" s="4"/>
      <c r="PNU240" s="4"/>
      <c r="PNV240" s="4"/>
      <c r="PNW240" s="4"/>
      <c r="PNX240" s="4"/>
      <c r="PNY240" s="4"/>
      <c r="PNZ240" s="4"/>
      <c r="POA240" s="4"/>
      <c r="POB240" s="4"/>
      <c r="POC240" s="4"/>
      <c r="POD240" s="4"/>
      <c r="POE240" s="4"/>
      <c r="POF240" s="4"/>
      <c r="POG240" s="4"/>
      <c r="POH240" s="4"/>
      <c r="POI240" s="4"/>
      <c r="POJ240" s="4"/>
      <c r="POK240" s="4"/>
      <c r="POL240" s="4"/>
      <c r="POM240" s="4"/>
      <c r="PON240" s="4"/>
      <c r="POO240" s="4"/>
      <c r="POP240" s="4"/>
      <c r="POQ240" s="4"/>
      <c r="POR240" s="4"/>
      <c r="POS240" s="4"/>
      <c r="POT240" s="4"/>
      <c r="POU240" s="4"/>
      <c r="POV240" s="4"/>
      <c r="POW240" s="4"/>
      <c r="POX240" s="4"/>
      <c r="POY240" s="4"/>
      <c r="POZ240" s="4"/>
      <c r="PPA240" s="4"/>
      <c r="PPB240" s="4"/>
      <c r="PPC240" s="4"/>
      <c r="PPD240" s="4"/>
      <c r="PPE240" s="4"/>
      <c r="PPF240" s="4"/>
      <c r="PPG240" s="4"/>
      <c r="PPH240" s="4"/>
      <c r="PPI240" s="4"/>
      <c r="PPJ240" s="4"/>
      <c r="PPK240" s="4"/>
      <c r="PPL240" s="4"/>
      <c r="PPM240" s="4"/>
      <c r="PPN240" s="4"/>
      <c r="PPO240" s="4"/>
      <c r="PPP240" s="4"/>
      <c r="PPQ240" s="4"/>
      <c r="PPR240" s="4"/>
      <c r="PPS240" s="4"/>
      <c r="PPT240" s="4"/>
      <c r="PPU240" s="4"/>
      <c r="PPV240" s="4"/>
      <c r="PPW240" s="4"/>
      <c r="PPX240" s="4"/>
      <c r="PPY240" s="4"/>
      <c r="PPZ240" s="4"/>
      <c r="PQA240" s="4"/>
      <c r="PQB240" s="4"/>
      <c r="PQC240" s="4"/>
      <c r="PQD240" s="4"/>
      <c r="PQE240" s="4"/>
      <c r="PQF240" s="4"/>
      <c r="PQG240" s="4"/>
      <c r="PQH240" s="4"/>
      <c r="PQI240" s="4"/>
      <c r="PQJ240" s="4"/>
      <c r="PQK240" s="4"/>
      <c r="PQL240" s="4"/>
      <c r="PQM240" s="4"/>
      <c r="PQN240" s="4"/>
      <c r="PQO240" s="4"/>
      <c r="PQP240" s="4"/>
      <c r="PQQ240" s="4"/>
      <c r="PQR240" s="4"/>
      <c r="PQS240" s="4"/>
      <c r="PQT240" s="4"/>
      <c r="PQU240" s="4"/>
      <c r="PQV240" s="4"/>
      <c r="PQW240" s="4"/>
      <c r="PQX240" s="4"/>
      <c r="PQY240" s="4"/>
      <c r="PQZ240" s="4"/>
      <c r="PRA240" s="4"/>
      <c r="PRB240" s="4"/>
      <c r="PRC240" s="4"/>
      <c r="PRD240" s="4"/>
      <c r="PRE240" s="4"/>
      <c r="PRF240" s="4"/>
      <c r="PRG240" s="4"/>
      <c r="PRH240" s="4"/>
      <c r="PRI240" s="4"/>
      <c r="PRJ240" s="4"/>
      <c r="PRK240" s="4"/>
      <c r="PRL240" s="4"/>
      <c r="PRM240" s="4"/>
      <c r="PRN240" s="4"/>
      <c r="PRO240" s="4"/>
      <c r="PRP240" s="4"/>
      <c r="PRQ240" s="4"/>
      <c r="PRR240" s="4"/>
      <c r="PRS240" s="4"/>
      <c r="PRT240" s="4"/>
      <c r="PRU240" s="4"/>
      <c r="PRV240" s="4"/>
      <c r="PRW240" s="4"/>
      <c r="PRX240" s="4"/>
      <c r="PRY240" s="4"/>
      <c r="PRZ240" s="4"/>
      <c r="PSA240" s="4"/>
      <c r="PSB240" s="4"/>
      <c r="PSC240" s="4"/>
      <c r="PSD240" s="4"/>
      <c r="PSE240" s="4"/>
      <c r="PSF240" s="4"/>
      <c r="PSG240" s="4"/>
      <c r="PSH240" s="4"/>
      <c r="PSI240" s="4"/>
      <c r="PSJ240" s="4"/>
      <c r="PSK240" s="4"/>
      <c r="PSL240" s="4"/>
      <c r="PSM240" s="4"/>
      <c r="PSN240" s="4"/>
      <c r="PSO240" s="4"/>
      <c r="PSP240" s="4"/>
      <c r="PSQ240" s="4"/>
      <c r="PSR240" s="4"/>
      <c r="PSS240" s="4"/>
      <c r="PST240" s="4"/>
      <c r="PSU240" s="4"/>
      <c r="PSV240" s="4"/>
      <c r="PSW240" s="4"/>
      <c r="PSX240" s="4"/>
      <c r="PSY240" s="4"/>
      <c r="PSZ240" s="4"/>
      <c r="PTA240" s="4"/>
      <c r="PTB240" s="4"/>
      <c r="PTC240" s="4"/>
      <c r="PTD240" s="4"/>
      <c r="PTE240" s="4"/>
      <c r="PTF240" s="4"/>
      <c r="PTG240" s="4"/>
      <c r="PTH240" s="4"/>
      <c r="PTI240" s="4"/>
      <c r="PTJ240" s="4"/>
      <c r="PTK240" s="4"/>
      <c r="PTL240" s="4"/>
      <c r="PTM240" s="4"/>
      <c r="PTN240" s="4"/>
      <c r="PTO240" s="4"/>
      <c r="PTP240" s="4"/>
      <c r="PTQ240" s="4"/>
      <c r="PTR240" s="4"/>
      <c r="PTS240" s="4"/>
      <c r="PTT240" s="4"/>
      <c r="PTU240" s="4"/>
      <c r="PTV240" s="4"/>
      <c r="PTW240" s="4"/>
      <c r="PTX240" s="4"/>
      <c r="PTY240" s="4"/>
      <c r="PTZ240" s="4"/>
      <c r="PUA240" s="4"/>
      <c r="PUB240" s="4"/>
      <c r="PUC240" s="4"/>
      <c r="PUD240" s="4"/>
      <c r="PUE240" s="4"/>
      <c r="PUF240" s="4"/>
      <c r="PUG240" s="4"/>
      <c r="PUH240" s="4"/>
      <c r="PUI240" s="4"/>
      <c r="PUJ240" s="4"/>
      <c r="PUK240" s="4"/>
      <c r="PUL240" s="4"/>
      <c r="PUM240" s="4"/>
      <c r="PUN240" s="4"/>
      <c r="PUO240" s="4"/>
      <c r="PUP240" s="4"/>
      <c r="PUQ240" s="4"/>
      <c r="PUR240" s="4"/>
      <c r="PUS240" s="4"/>
      <c r="PUT240" s="4"/>
      <c r="PUU240" s="4"/>
      <c r="PUV240" s="4"/>
      <c r="PUW240" s="4"/>
      <c r="PUX240" s="4"/>
      <c r="PUY240" s="4"/>
      <c r="PUZ240" s="4"/>
      <c r="PVA240" s="4"/>
      <c r="PVB240" s="4"/>
      <c r="PVC240" s="4"/>
      <c r="PVD240" s="4"/>
      <c r="PVE240" s="4"/>
      <c r="PVF240" s="4"/>
      <c r="PVG240" s="4"/>
      <c r="PVH240" s="4"/>
      <c r="PVI240" s="4"/>
      <c r="PVJ240" s="4"/>
      <c r="PVK240" s="4"/>
      <c r="PVL240" s="4"/>
      <c r="PVM240" s="4"/>
      <c r="PVN240" s="4"/>
      <c r="PVO240" s="4"/>
      <c r="PVP240" s="4"/>
      <c r="PVQ240" s="4"/>
      <c r="PVR240" s="4"/>
      <c r="PVS240" s="4"/>
      <c r="PVT240" s="4"/>
      <c r="PVU240" s="4"/>
      <c r="PVV240" s="4"/>
      <c r="PVW240" s="4"/>
      <c r="PVX240" s="4"/>
      <c r="PVY240" s="4"/>
      <c r="PVZ240" s="4"/>
      <c r="PWA240" s="4"/>
      <c r="PWB240" s="4"/>
      <c r="PWC240" s="4"/>
      <c r="PWD240" s="4"/>
      <c r="PWE240" s="4"/>
      <c r="PWF240" s="4"/>
      <c r="PWG240" s="4"/>
      <c r="PWH240" s="4"/>
      <c r="PWI240" s="4"/>
      <c r="PWJ240" s="4"/>
      <c r="PWK240" s="4"/>
      <c r="PWL240" s="4"/>
      <c r="PWM240" s="4"/>
      <c r="PWN240" s="4"/>
      <c r="PWO240" s="4"/>
      <c r="PWP240" s="4"/>
      <c r="PWQ240" s="4"/>
      <c r="PWR240" s="4"/>
      <c r="PWS240" s="4"/>
      <c r="PWT240" s="4"/>
      <c r="PWU240" s="4"/>
      <c r="PWV240" s="4"/>
      <c r="PWW240" s="4"/>
      <c r="PWX240" s="4"/>
      <c r="PWY240" s="4"/>
      <c r="PWZ240" s="4"/>
      <c r="PXA240" s="4"/>
      <c r="PXB240" s="4"/>
      <c r="PXC240" s="4"/>
      <c r="PXD240" s="4"/>
      <c r="PXE240" s="4"/>
      <c r="PXF240" s="4"/>
      <c r="PXG240" s="4"/>
      <c r="PXH240" s="4"/>
      <c r="PXI240" s="4"/>
      <c r="PXJ240" s="4"/>
      <c r="PXK240" s="4"/>
      <c r="PXL240" s="4"/>
      <c r="PXM240" s="4"/>
      <c r="PXN240" s="4"/>
      <c r="PXO240" s="4"/>
      <c r="PXP240" s="4"/>
      <c r="PXQ240" s="4"/>
      <c r="PXR240" s="4"/>
      <c r="PXS240" s="4"/>
      <c r="PXT240" s="4"/>
      <c r="PXU240" s="4"/>
      <c r="PXV240" s="4"/>
      <c r="PXW240" s="4"/>
      <c r="PXX240" s="4"/>
      <c r="PXY240" s="4"/>
      <c r="PXZ240" s="4"/>
      <c r="PYA240" s="4"/>
      <c r="PYB240" s="4"/>
      <c r="PYC240" s="4"/>
      <c r="PYD240" s="4"/>
      <c r="PYE240" s="4"/>
      <c r="PYF240" s="4"/>
      <c r="PYG240" s="4"/>
      <c r="PYH240" s="4"/>
      <c r="PYI240" s="4"/>
      <c r="PYJ240" s="4"/>
      <c r="PYK240" s="4"/>
      <c r="PYL240" s="4"/>
      <c r="PYM240" s="4"/>
      <c r="PYN240" s="4"/>
      <c r="PYO240" s="4"/>
      <c r="PYP240" s="4"/>
      <c r="PYQ240" s="4"/>
      <c r="PYR240" s="4"/>
      <c r="PYS240" s="4"/>
      <c r="PYT240" s="4"/>
      <c r="PYU240" s="4"/>
      <c r="PYV240" s="4"/>
      <c r="PYW240" s="4"/>
      <c r="PYX240" s="4"/>
      <c r="PYY240" s="4"/>
      <c r="PYZ240" s="4"/>
      <c r="PZA240" s="4"/>
      <c r="PZB240" s="4"/>
      <c r="PZC240" s="4"/>
      <c r="PZD240" s="4"/>
      <c r="PZE240" s="4"/>
      <c r="PZF240" s="4"/>
      <c r="PZG240" s="4"/>
      <c r="PZH240" s="4"/>
      <c r="PZI240" s="4"/>
      <c r="PZJ240" s="4"/>
      <c r="PZK240" s="4"/>
      <c r="PZL240" s="4"/>
      <c r="PZM240" s="4"/>
      <c r="PZN240" s="4"/>
      <c r="PZO240" s="4"/>
      <c r="PZP240" s="4"/>
      <c r="PZQ240" s="4"/>
      <c r="PZR240" s="4"/>
      <c r="PZS240" s="4"/>
      <c r="PZT240" s="4"/>
      <c r="PZU240" s="4"/>
      <c r="PZV240" s="4"/>
      <c r="PZW240" s="4"/>
      <c r="PZX240" s="4"/>
      <c r="PZY240" s="4"/>
      <c r="PZZ240" s="4"/>
      <c r="QAA240" s="4"/>
      <c r="QAB240" s="4"/>
      <c r="QAC240" s="4"/>
      <c r="QAD240" s="4"/>
      <c r="QAE240" s="4"/>
      <c r="QAF240" s="4"/>
      <c r="QAG240" s="4"/>
      <c r="QAH240" s="4"/>
      <c r="QAI240" s="4"/>
      <c r="QAJ240" s="4"/>
      <c r="QAK240" s="4"/>
      <c r="QAL240" s="4"/>
      <c r="QAM240" s="4"/>
      <c r="QAN240" s="4"/>
      <c r="QAO240" s="4"/>
      <c r="QAP240" s="4"/>
      <c r="QAQ240" s="4"/>
      <c r="QAR240" s="4"/>
      <c r="QAS240" s="4"/>
      <c r="QAT240" s="4"/>
      <c r="QAU240" s="4"/>
      <c r="QAV240" s="4"/>
      <c r="QAW240" s="4"/>
      <c r="QAX240" s="4"/>
      <c r="QAY240" s="4"/>
      <c r="QAZ240" s="4"/>
      <c r="QBA240" s="4"/>
      <c r="QBB240" s="4"/>
      <c r="QBC240" s="4"/>
      <c r="QBD240" s="4"/>
      <c r="QBE240" s="4"/>
      <c r="QBF240" s="4"/>
      <c r="QBG240" s="4"/>
      <c r="QBH240" s="4"/>
      <c r="QBI240" s="4"/>
      <c r="QBJ240" s="4"/>
      <c r="QBK240" s="4"/>
      <c r="QBL240" s="4"/>
      <c r="QBM240" s="4"/>
      <c r="QBN240" s="4"/>
      <c r="QBO240" s="4"/>
      <c r="QBP240" s="4"/>
      <c r="QBQ240" s="4"/>
      <c r="QBR240" s="4"/>
      <c r="QBS240" s="4"/>
      <c r="QBT240" s="4"/>
      <c r="QBU240" s="4"/>
      <c r="QBV240" s="4"/>
      <c r="QBW240" s="4"/>
      <c r="QBX240" s="4"/>
      <c r="QBY240" s="4"/>
      <c r="QBZ240" s="4"/>
      <c r="QCA240" s="4"/>
      <c r="QCB240" s="4"/>
      <c r="QCC240" s="4"/>
      <c r="QCD240" s="4"/>
      <c r="QCE240" s="4"/>
      <c r="QCF240" s="4"/>
      <c r="QCG240" s="4"/>
      <c r="QCH240" s="4"/>
      <c r="QCI240" s="4"/>
      <c r="QCJ240" s="4"/>
      <c r="QCK240" s="4"/>
      <c r="QCL240" s="4"/>
      <c r="QCM240" s="4"/>
      <c r="QCN240" s="4"/>
      <c r="QCO240" s="4"/>
      <c r="QCP240" s="4"/>
      <c r="QCQ240" s="4"/>
      <c r="QCR240" s="4"/>
      <c r="QCS240" s="4"/>
      <c r="QCT240" s="4"/>
      <c r="QCU240" s="4"/>
      <c r="QCV240" s="4"/>
      <c r="QCW240" s="4"/>
      <c r="QCX240" s="4"/>
      <c r="QCY240" s="4"/>
      <c r="QCZ240" s="4"/>
      <c r="QDA240" s="4"/>
      <c r="QDB240" s="4"/>
      <c r="QDC240" s="4"/>
      <c r="QDD240" s="4"/>
      <c r="QDE240" s="4"/>
      <c r="QDF240" s="4"/>
      <c r="QDG240" s="4"/>
      <c r="QDH240" s="4"/>
      <c r="QDI240" s="4"/>
      <c r="QDJ240" s="4"/>
      <c r="QDK240" s="4"/>
      <c r="QDL240" s="4"/>
      <c r="QDM240" s="4"/>
      <c r="QDN240" s="4"/>
      <c r="QDO240" s="4"/>
      <c r="QDP240" s="4"/>
      <c r="QDQ240" s="4"/>
      <c r="QDR240" s="4"/>
      <c r="QDS240" s="4"/>
      <c r="QDT240" s="4"/>
      <c r="QDU240" s="4"/>
      <c r="QDV240" s="4"/>
      <c r="QDW240" s="4"/>
      <c r="QDX240" s="4"/>
      <c r="QDY240" s="4"/>
      <c r="QDZ240" s="4"/>
      <c r="QEA240" s="4"/>
      <c r="QEB240" s="4"/>
      <c r="QEC240" s="4"/>
      <c r="QED240" s="4"/>
      <c r="QEE240" s="4"/>
      <c r="QEF240" s="4"/>
      <c r="QEG240" s="4"/>
      <c r="QEH240" s="4"/>
      <c r="QEI240" s="4"/>
      <c r="QEJ240" s="4"/>
      <c r="QEK240" s="4"/>
      <c r="QEL240" s="4"/>
      <c r="QEM240" s="4"/>
      <c r="QEN240" s="4"/>
      <c r="QEO240" s="4"/>
      <c r="QEP240" s="4"/>
      <c r="QEQ240" s="4"/>
      <c r="QER240" s="4"/>
      <c r="QES240" s="4"/>
      <c r="QET240" s="4"/>
      <c r="QEU240" s="4"/>
      <c r="QEV240" s="4"/>
      <c r="QEW240" s="4"/>
      <c r="QEX240" s="4"/>
      <c r="QEY240" s="4"/>
      <c r="QEZ240" s="4"/>
      <c r="QFA240" s="4"/>
      <c r="QFB240" s="4"/>
      <c r="QFC240" s="4"/>
      <c r="QFD240" s="4"/>
      <c r="QFE240" s="4"/>
      <c r="QFF240" s="4"/>
      <c r="QFG240" s="4"/>
      <c r="QFH240" s="4"/>
      <c r="QFI240" s="4"/>
      <c r="QFJ240" s="4"/>
      <c r="QFK240" s="4"/>
      <c r="QFL240" s="4"/>
      <c r="QFM240" s="4"/>
      <c r="QFN240" s="4"/>
      <c r="QFO240" s="4"/>
      <c r="QFP240" s="4"/>
      <c r="QFQ240" s="4"/>
      <c r="QFR240" s="4"/>
      <c r="QFS240" s="4"/>
      <c r="QFT240" s="4"/>
      <c r="QFU240" s="4"/>
      <c r="QFV240" s="4"/>
      <c r="QFW240" s="4"/>
      <c r="QFX240" s="4"/>
      <c r="QFY240" s="4"/>
      <c r="QFZ240" s="4"/>
      <c r="QGA240" s="4"/>
      <c r="QGB240" s="4"/>
      <c r="QGC240" s="4"/>
      <c r="QGD240" s="4"/>
      <c r="QGE240" s="4"/>
      <c r="QGF240" s="4"/>
      <c r="QGG240" s="4"/>
      <c r="QGH240" s="4"/>
      <c r="QGI240" s="4"/>
      <c r="QGJ240" s="4"/>
      <c r="QGK240" s="4"/>
      <c r="QGL240" s="4"/>
      <c r="QGM240" s="4"/>
      <c r="QGN240" s="4"/>
      <c r="QGO240" s="4"/>
      <c r="QGP240" s="4"/>
      <c r="QGQ240" s="4"/>
      <c r="QGR240" s="4"/>
      <c r="QGS240" s="4"/>
      <c r="QGT240" s="4"/>
      <c r="QGU240" s="4"/>
      <c r="QGV240" s="4"/>
      <c r="QGW240" s="4"/>
      <c r="QGX240" s="4"/>
      <c r="QGY240" s="4"/>
      <c r="QGZ240" s="4"/>
      <c r="QHA240" s="4"/>
      <c r="QHB240" s="4"/>
      <c r="QHC240" s="4"/>
      <c r="QHD240" s="4"/>
      <c r="QHE240" s="4"/>
      <c r="QHF240" s="4"/>
      <c r="QHG240" s="4"/>
      <c r="QHH240" s="4"/>
      <c r="QHI240" s="4"/>
      <c r="QHJ240" s="4"/>
      <c r="QHK240" s="4"/>
      <c r="QHL240" s="4"/>
      <c r="QHM240" s="4"/>
      <c r="QHN240" s="4"/>
      <c r="QHO240" s="4"/>
      <c r="QHP240" s="4"/>
      <c r="QHQ240" s="4"/>
      <c r="QHR240" s="4"/>
      <c r="QHS240" s="4"/>
      <c r="QHT240" s="4"/>
      <c r="QHU240" s="4"/>
      <c r="QHV240" s="4"/>
      <c r="QHW240" s="4"/>
      <c r="QHX240" s="4"/>
      <c r="QHY240" s="4"/>
      <c r="QHZ240" s="4"/>
      <c r="QIA240" s="4"/>
      <c r="QIB240" s="4"/>
      <c r="QIC240" s="4"/>
      <c r="QID240" s="4"/>
      <c r="QIE240" s="4"/>
      <c r="QIF240" s="4"/>
      <c r="QIG240" s="4"/>
      <c r="QIH240" s="4"/>
      <c r="QII240" s="4"/>
      <c r="QIJ240" s="4"/>
      <c r="QIK240" s="4"/>
      <c r="QIL240" s="4"/>
      <c r="QIM240" s="4"/>
      <c r="QIN240" s="4"/>
      <c r="QIO240" s="4"/>
      <c r="QIP240" s="4"/>
      <c r="QIQ240" s="4"/>
      <c r="QIR240" s="4"/>
      <c r="QIS240" s="4"/>
      <c r="QIT240" s="4"/>
      <c r="QIU240" s="4"/>
      <c r="QIV240" s="4"/>
      <c r="QIW240" s="4"/>
      <c r="QIX240" s="4"/>
      <c r="QIY240" s="4"/>
      <c r="QIZ240" s="4"/>
      <c r="QJA240" s="4"/>
      <c r="QJB240" s="4"/>
      <c r="QJC240" s="4"/>
      <c r="QJD240" s="4"/>
      <c r="QJE240" s="4"/>
      <c r="QJF240" s="4"/>
      <c r="QJG240" s="4"/>
      <c r="QJH240" s="4"/>
      <c r="QJI240" s="4"/>
      <c r="QJJ240" s="4"/>
      <c r="QJK240" s="4"/>
      <c r="QJL240" s="4"/>
      <c r="QJM240" s="4"/>
      <c r="QJN240" s="4"/>
      <c r="QJO240" s="4"/>
      <c r="QJP240" s="4"/>
      <c r="QJQ240" s="4"/>
      <c r="QJR240" s="4"/>
      <c r="QJS240" s="4"/>
      <c r="QJT240" s="4"/>
      <c r="QJU240" s="4"/>
      <c r="QJV240" s="4"/>
      <c r="QJW240" s="4"/>
      <c r="QJX240" s="4"/>
      <c r="QJY240" s="4"/>
      <c r="QJZ240" s="4"/>
      <c r="QKA240" s="4"/>
      <c r="QKB240" s="4"/>
      <c r="QKC240" s="4"/>
      <c r="QKD240" s="4"/>
      <c r="QKE240" s="4"/>
      <c r="QKF240" s="4"/>
      <c r="QKG240" s="4"/>
      <c r="QKH240" s="4"/>
      <c r="QKI240" s="4"/>
      <c r="QKJ240" s="4"/>
      <c r="QKK240" s="4"/>
      <c r="QKL240" s="4"/>
      <c r="QKM240" s="4"/>
      <c r="QKN240" s="4"/>
      <c r="QKO240" s="4"/>
      <c r="QKP240" s="4"/>
      <c r="QKQ240" s="4"/>
      <c r="QKR240" s="4"/>
      <c r="QKS240" s="4"/>
      <c r="QKT240" s="4"/>
      <c r="QKU240" s="4"/>
      <c r="QKV240" s="4"/>
      <c r="QKW240" s="4"/>
      <c r="QKX240" s="4"/>
      <c r="QKY240" s="4"/>
      <c r="QKZ240" s="4"/>
      <c r="QLA240" s="4"/>
      <c r="QLB240" s="4"/>
      <c r="QLC240" s="4"/>
      <c r="QLD240" s="4"/>
      <c r="QLE240" s="4"/>
      <c r="QLF240" s="4"/>
      <c r="QLG240" s="4"/>
      <c r="QLH240" s="4"/>
      <c r="QLI240" s="4"/>
      <c r="QLJ240" s="4"/>
      <c r="QLK240" s="4"/>
      <c r="QLL240" s="4"/>
      <c r="QLM240" s="4"/>
      <c r="QLN240" s="4"/>
      <c r="QLO240" s="4"/>
      <c r="QLP240" s="4"/>
      <c r="QLQ240" s="4"/>
      <c r="QLR240" s="4"/>
      <c r="QLS240" s="4"/>
      <c r="QLT240" s="4"/>
      <c r="QLU240" s="4"/>
      <c r="QLV240" s="4"/>
      <c r="QLW240" s="4"/>
      <c r="QLX240" s="4"/>
      <c r="QLY240" s="4"/>
      <c r="QLZ240" s="4"/>
      <c r="QMA240" s="4"/>
      <c r="QMB240" s="4"/>
      <c r="QMC240" s="4"/>
      <c r="QMD240" s="4"/>
      <c r="QME240" s="4"/>
      <c r="QMF240" s="4"/>
      <c r="QMG240" s="4"/>
      <c r="QMH240" s="4"/>
      <c r="QMI240" s="4"/>
      <c r="QMJ240" s="4"/>
      <c r="QMK240" s="4"/>
      <c r="QML240" s="4"/>
      <c r="QMM240" s="4"/>
      <c r="QMN240" s="4"/>
      <c r="QMO240" s="4"/>
      <c r="QMP240" s="4"/>
      <c r="QMQ240" s="4"/>
      <c r="QMR240" s="4"/>
      <c r="QMS240" s="4"/>
      <c r="QMT240" s="4"/>
      <c r="QMU240" s="4"/>
      <c r="QMV240" s="4"/>
      <c r="QMW240" s="4"/>
      <c r="QMX240" s="4"/>
      <c r="QMY240" s="4"/>
      <c r="QMZ240" s="4"/>
      <c r="QNA240" s="4"/>
      <c r="QNB240" s="4"/>
      <c r="QNC240" s="4"/>
      <c r="QND240" s="4"/>
      <c r="QNE240" s="4"/>
      <c r="QNF240" s="4"/>
      <c r="QNG240" s="4"/>
      <c r="QNH240" s="4"/>
      <c r="QNI240" s="4"/>
      <c r="QNJ240" s="4"/>
      <c r="QNK240" s="4"/>
      <c r="QNL240" s="4"/>
      <c r="QNM240" s="4"/>
      <c r="QNN240" s="4"/>
      <c r="QNO240" s="4"/>
      <c r="QNP240" s="4"/>
      <c r="QNQ240" s="4"/>
      <c r="QNR240" s="4"/>
      <c r="QNS240" s="4"/>
      <c r="QNT240" s="4"/>
      <c r="QNU240" s="4"/>
      <c r="QNV240" s="4"/>
      <c r="QNW240" s="4"/>
      <c r="QNX240" s="4"/>
      <c r="QNY240" s="4"/>
      <c r="QNZ240" s="4"/>
      <c r="QOA240" s="4"/>
      <c r="QOB240" s="4"/>
      <c r="QOC240" s="4"/>
      <c r="QOD240" s="4"/>
      <c r="QOE240" s="4"/>
      <c r="QOF240" s="4"/>
      <c r="QOG240" s="4"/>
      <c r="QOH240" s="4"/>
      <c r="QOI240" s="4"/>
      <c r="QOJ240" s="4"/>
      <c r="QOK240" s="4"/>
      <c r="QOL240" s="4"/>
      <c r="QOM240" s="4"/>
      <c r="QON240" s="4"/>
      <c r="QOO240" s="4"/>
      <c r="QOP240" s="4"/>
      <c r="QOQ240" s="4"/>
      <c r="QOR240" s="4"/>
      <c r="QOS240" s="4"/>
      <c r="QOT240" s="4"/>
      <c r="QOU240" s="4"/>
      <c r="QOV240" s="4"/>
      <c r="QOW240" s="4"/>
      <c r="QOX240" s="4"/>
      <c r="QOY240" s="4"/>
      <c r="QOZ240" s="4"/>
      <c r="QPA240" s="4"/>
      <c r="QPB240" s="4"/>
      <c r="QPC240" s="4"/>
      <c r="QPD240" s="4"/>
      <c r="QPE240" s="4"/>
      <c r="QPF240" s="4"/>
      <c r="QPG240" s="4"/>
      <c r="QPH240" s="4"/>
      <c r="QPI240" s="4"/>
      <c r="QPJ240" s="4"/>
      <c r="QPK240" s="4"/>
      <c r="QPL240" s="4"/>
      <c r="QPM240" s="4"/>
      <c r="QPN240" s="4"/>
      <c r="QPO240" s="4"/>
      <c r="QPP240" s="4"/>
      <c r="QPQ240" s="4"/>
      <c r="QPR240" s="4"/>
      <c r="QPS240" s="4"/>
      <c r="QPT240" s="4"/>
      <c r="QPU240" s="4"/>
      <c r="QPV240" s="4"/>
      <c r="QPW240" s="4"/>
      <c r="QPX240" s="4"/>
      <c r="QPY240" s="4"/>
      <c r="QPZ240" s="4"/>
      <c r="QQA240" s="4"/>
      <c r="QQB240" s="4"/>
      <c r="QQC240" s="4"/>
      <c r="QQD240" s="4"/>
      <c r="QQE240" s="4"/>
      <c r="QQF240" s="4"/>
      <c r="QQG240" s="4"/>
      <c r="QQH240" s="4"/>
      <c r="QQI240" s="4"/>
      <c r="QQJ240" s="4"/>
      <c r="QQK240" s="4"/>
      <c r="QQL240" s="4"/>
      <c r="QQM240" s="4"/>
      <c r="QQN240" s="4"/>
      <c r="QQO240" s="4"/>
      <c r="QQP240" s="4"/>
      <c r="QQQ240" s="4"/>
      <c r="QQR240" s="4"/>
      <c r="QQS240" s="4"/>
      <c r="QQT240" s="4"/>
      <c r="QQU240" s="4"/>
      <c r="QQV240" s="4"/>
      <c r="QQW240" s="4"/>
      <c r="QQX240" s="4"/>
      <c r="QQY240" s="4"/>
      <c r="QQZ240" s="4"/>
      <c r="QRA240" s="4"/>
      <c r="QRB240" s="4"/>
      <c r="QRC240" s="4"/>
      <c r="QRD240" s="4"/>
      <c r="QRE240" s="4"/>
      <c r="QRF240" s="4"/>
      <c r="QRG240" s="4"/>
      <c r="QRH240" s="4"/>
      <c r="QRI240" s="4"/>
      <c r="QRJ240" s="4"/>
      <c r="QRK240" s="4"/>
      <c r="QRL240" s="4"/>
      <c r="QRM240" s="4"/>
      <c r="QRN240" s="4"/>
      <c r="QRO240" s="4"/>
      <c r="QRP240" s="4"/>
      <c r="QRQ240" s="4"/>
      <c r="QRR240" s="4"/>
      <c r="QRS240" s="4"/>
      <c r="QRT240" s="4"/>
      <c r="QRU240" s="4"/>
      <c r="QRV240" s="4"/>
      <c r="QRW240" s="4"/>
      <c r="QRX240" s="4"/>
      <c r="QRY240" s="4"/>
      <c r="QRZ240" s="4"/>
      <c r="QSA240" s="4"/>
      <c r="QSB240" s="4"/>
      <c r="QSC240" s="4"/>
      <c r="QSD240" s="4"/>
      <c r="QSE240" s="4"/>
      <c r="QSF240" s="4"/>
      <c r="QSG240" s="4"/>
      <c r="QSH240" s="4"/>
      <c r="QSI240" s="4"/>
      <c r="QSJ240" s="4"/>
      <c r="QSK240" s="4"/>
      <c r="QSL240" s="4"/>
      <c r="QSM240" s="4"/>
      <c r="QSN240" s="4"/>
      <c r="QSO240" s="4"/>
      <c r="QSP240" s="4"/>
      <c r="QSQ240" s="4"/>
      <c r="QSR240" s="4"/>
      <c r="QSS240" s="4"/>
      <c r="QST240" s="4"/>
      <c r="QSU240" s="4"/>
      <c r="QSV240" s="4"/>
      <c r="QSW240" s="4"/>
      <c r="QSX240" s="4"/>
      <c r="QSY240" s="4"/>
      <c r="QSZ240" s="4"/>
      <c r="QTA240" s="4"/>
      <c r="QTB240" s="4"/>
      <c r="QTC240" s="4"/>
      <c r="QTD240" s="4"/>
      <c r="QTE240" s="4"/>
      <c r="QTF240" s="4"/>
      <c r="QTG240" s="4"/>
      <c r="QTH240" s="4"/>
      <c r="QTI240" s="4"/>
      <c r="QTJ240" s="4"/>
      <c r="QTK240" s="4"/>
      <c r="QTL240" s="4"/>
      <c r="QTM240" s="4"/>
      <c r="QTN240" s="4"/>
      <c r="QTO240" s="4"/>
      <c r="QTP240" s="4"/>
      <c r="QTQ240" s="4"/>
      <c r="QTR240" s="4"/>
      <c r="QTS240" s="4"/>
      <c r="QTT240" s="4"/>
      <c r="QTU240" s="4"/>
      <c r="QTV240" s="4"/>
      <c r="QTW240" s="4"/>
      <c r="QTX240" s="4"/>
      <c r="QTY240" s="4"/>
      <c r="QTZ240" s="4"/>
      <c r="QUA240" s="4"/>
      <c r="QUB240" s="4"/>
      <c r="QUC240" s="4"/>
      <c r="QUD240" s="4"/>
      <c r="QUE240" s="4"/>
      <c r="QUF240" s="4"/>
      <c r="QUG240" s="4"/>
      <c r="QUH240" s="4"/>
      <c r="QUI240" s="4"/>
      <c r="QUJ240" s="4"/>
      <c r="QUK240" s="4"/>
      <c r="QUL240" s="4"/>
      <c r="QUM240" s="4"/>
      <c r="QUN240" s="4"/>
      <c r="QUO240" s="4"/>
      <c r="QUP240" s="4"/>
      <c r="QUQ240" s="4"/>
      <c r="QUR240" s="4"/>
      <c r="QUS240" s="4"/>
      <c r="QUT240" s="4"/>
      <c r="QUU240" s="4"/>
      <c r="QUV240" s="4"/>
      <c r="QUW240" s="4"/>
      <c r="QUX240" s="4"/>
      <c r="QUY240" s="4"/>
      <c r="QUZ240" s="4"/>
      <c r="QVA240" s="4"/>
      <c r="QVB240" s="4"/>
      <c r="QVC240" s="4"/>
      <c r="QVD240" s="4"/>
      <c r="QVE240" s="4"/>
      <c r="QVF240" s="4"/>
      <c r="QVG240" s="4"/>
      <c r="QVH240" s="4"/>
      <c r="QVI240" s="4"/>
      <c r="QVJ240" s="4"/>
      <c r="QVK240" s="4"/>
      <c r="QVL240" s="4"/>
      <c r="QVM240" s="4"/>
      <c r="QVN240" s="4"/>
      <c r="QVO240" s="4"/>
      <c r="QVP240" s="4"/>
      <c r="QVQ240" s="4"/>
      <c r="QVR240" s="4"/>
      <c r="QVS240" s="4"/>
      <c r="QVT240" s="4"/>
      <c r="QVU240" s="4"/>
      <c r="QVV240" s="4"/>
      <c r="QVW240" s="4"/>
      <c r="QVX240" s="4"/>
      <c r="QVY240" s="4"/>
      <c r="QVZ240" s="4"/>
      <c r="QWA240" s="4"/>
      <c r="QWB240" s="4"/>
      <c r="QWC240" s="4"/>
      <c r="QWD240" s="4"/>
      <c r="QWE240" s="4"/>
      <c r="QWF240" s="4"/>
      <c r="QWG240" s="4"/>
      <c r="QWH240" s="4"/>
      <c r="QWI240" s="4"/>
      <c r="QWJ240" s="4"/>
      <c r="QWK240" s="4"/>
      <c r="QWL240" s="4"/>
      <c r="QWM240" s="4"/>
      <c r="QWN240" s="4"/>
      <c r="QWO240" s="4"/>
      <c r="QWP240" s="4"/>
      <c r="QWQ240" s="4"/>
      <c r="QWR240" s="4"/>
      <c r="QWS240" s="4"/>
      <c r="QWT240" s="4"/>
      <c r="QWU240" s="4"/>
      <c r="QWV240" s="4"/>
      <c r="QWW240" s="4"/>
      <c r="QWX240" s="4"/>
      <c r="QWY240" s="4"/>
      <c r="QWZ240" s="4"/>
      <c r="QXA240" s="4"/>
      <c r="QXB240" s="4"/>
      <c r="QXC240" s="4"/>
      <c r="QXD240" s="4"/>
      <c r="QXE240" s="4"/>
      <c r="QXF240" s="4"/>
      <c r="QXG240" s="4"/>
      <c r="QXH240" s="4"/>
      <c r="QXI240" s="4"/>
      <c r="QXJ240" s="4"/>
      <c r="QXK240" s="4"/>
      <c r="QXL240" s="4"/>
      <c r="QXM240" s="4"/>
      <c r="QXN240" s="4"/>
      <c r="QXO240" s="4"/>
      <c r="QXP240" s="4"/>
      <c r="QXQ240" s="4"/>
      <c r="QXR240" s="4"/>
      <c r="QXS240" s="4"/>
      <c r="QXT240" s="4"/>
      <c r="QXU240" s="4"/>
      <c r="QXV240" s="4"/>
      <c r="QXW240" s="4"/>
      <c r="QXX240" s="4"/>
      <c r="QXY240" s="4"/>
      <c r="QXZ240" s="4"/>
      <c r="QYA240" s="4"/>
      <c r="QYB240" s="4"/>
      <c r="QYC240" s="4"/>
      <c r="QYD240" s="4"/>
      <c r="QYE240" s="4"/>
      <c r="QYF240" s="4"/>
      <c r="QYG240" s="4"/>
      <c r="QYH240" s="4"/>
      <c r="QYI240" s="4"/>
      <c r="QYJ240" s="4"/>
      <c r="QYK240" s="4"/>
      <c r="QYL240" s="4"/>
      <c r="QYM240" s="4"/>
      <c r="QYN240" s="4"/>
      <c r="QYO240" s="4"/>
      <c r="QYP240" s="4"/>
      <c r="QYQ240" s="4"/>
      <c r="QYR240" s="4"/>
      <c r="QYS240" s="4"/>
      <c r="QYT240" s="4"/>
      <c r="QYU240" s="4"/>
      <c r="QYV240" s="4"/>
      <c r="QYW240" s="4"/>
      <c r="QYX240" s="4"/>
      <c r="QYY240" s="4"/>
      <c r="QYZ240" s="4"/>
      <c r="QZA240" s="4"/>
      <c r="QZB240" s="4"/>
      <c r="QZC240" s="4"/>
      <c r="QZD240" s="4"/>
      <c r="QZE240" s="4"/>
      <c r="QZF240" s="4"/>
      <c r="QZG240" s="4"/>
      <c r="QZH240" s="4"/>
      <c r="QZI240" s="4"/>
      <c r="QZJ240" s="4"/>
      <c r="QZK240" s="4"/>
      <c r="QZL240" s="4"/>
      <c r="QZM240" s="4"/>
      <c r="QZN240" s="4"/>
      <c r="QZO240" s="4"/>
      <c r="QZP240" s="4"/>
      <c r="QZQ240" s="4"/>
      <c r="QZR240" s="4"/>
      <c r="QZS240" s="4"/>
      <c r="QZT240" s="4"/>
      <c r="QZU240" s="4"/>
      <c r="QZV240" s="4"/>
      <c r="QZW240" s="4"/>
      <c r="QZX240" s="4"/>
      <c r="QZY240" s="4"/>
      <c r="QZZ240" s="4"/>
      <c r="RAA240" s="4"/>
      <c r="RAB240" s="4"/>
      <c r="RAC240" s="4"/>
      <c r="RAD240" s="4"/>
      <c r="RAE240" s="4"/>
      <c r="RAF240" s="4"/>
      <c r="RAG240" s="4"/>
      <c r="RAH240" s="4"/>
      <c r="RAI240" s="4"/>
      <c r="RAJ240" s="4"/>
      <c r="RAK240" s="4"/>
      <c r="RAL240" s="4"/>
      <c r="RAM240" s="4"/>
      <c r="RAN240" s="4"/>
      <c r="RAO240" s="4"/>
      <c r="RAP240" s="4"/>
      <c r="RAQ240" s="4"/>
      <c r="RAR240" s="4"/>
      <c r="RAS240" s="4"/>
      <c r="RAT240" s="4"/>
      <c r="RAU240" s="4"/>
      <c r="RAV240" s="4"/>
      <c r="RAW240" s="4"/>
      <c r="RAX240" s="4"/>
      <c r="RAY240" s="4"/>
      <c r="RAZ240" s="4"/>
      <c r="RBA240" s="4"/>
      <c r="RBB240" s="4"/>
      <c r="RBC240" s="4"/>
      <c r="RBD240" s="4"/>
      <c r="RBE240" s="4"/>
      <c r="RBF240" s="4"/>
      <c r="RBG240" s="4"/>
      <c r="RBH240" s="4"/>
      <c r="RBI240" s="4"/>
      <c r="RBJ240" s="4"/>
      <c r="RBK240" s="4"/>
      <c r="RBL240" s="4"/>
      <c r="RBM240" s="4"/>
      <c r="RBN240" s="4"/>
      <c r="RBO240" s="4"/>
      <c r="RBP240" s="4"/>
      <c r="RBQ240" s="4"/>
      <c r="RBR240" s="4"/>
      <c r="RBS240" s="4"/>
      <c r="RBT240" s="4"/>
      <c r="RBU240" s="4"/>
      <c r="RBV240" s="4"/>
      <c r="RBW240" s="4"/>
      <c r="RBX240" s="4"/>
      <c r="RBY240" s="4"/>
      <c r="RBZ240" s="4"/>
      <c r="RCA240" s="4"/>
      <c r="RCB240" s="4"/>
      <c r="RCC240" s="4"/>
      <c r="RCD240" s="4"/>
      <c r="RCE240" s="4"/>
      <c r="RCF240" s="4"/>
      <c r="RCG240" s="4"/>
      <c r="RCH240" s="4"/>
      <c r="RCI240" s="4"/>
      <c r="RCJ240" s="4"/>
      <c r="RCK240" s="4"/>
      <c r="RCL240" s="4"/>
      <c r="RCM240" s="4"/>
      <c r="RCN240" s="4"/>
      <c r="RCO240" s="4"/>
      <c r="RCP240" s="4"/>
      <c r="RCQ240" s="4"/>
      <c r="RCR240" s="4"/>
      <c r="RCS240" s="4"/>
      <c r="RCT240" s="4"/>
      <c r="RCU240" s="4"/>
      <c r="RCV240" s="4"/>
      <c r="RCW240" s="4"/>
      <c r="RCX240" s="4"/>
      <c r="RCY240" s="4"/>
      <c r="RCZ240" s="4"/>
      <c r="RDA240" s="4"/>
      <c r="RDB240" s="4"/>
      <c r="RDC240" s="4"/>
      <c r="RDD240" s="4"/>
      <c r="RDE240" s="4"/>
      <c r="RDF240" s="4"/>
      <c r="RDG240" s="4"/>
      <c r="RDH240" s="4"/>
      <c r="RDI240" s="4"/>
      <c r="RDJ240" s="4"/>
      <c r="RDK240" s="4"/>
      <c r="RDL240" s="4"/>
      <c r="RDM240" s="4"/>
      <c r="RDN240" s="4"/>
      <c r="RDO240" s="4"/>
      <c r="RDP240" s="4"/>
      <c r="RDQ240" s="4"/>
      <c r="RDR240" s="4"/>
      <c r="RDS240" s="4"/>
      <c r="RDT240" s="4"/>
      <c r="RDU240" s="4"/>
      <c r="RDV240" s="4"/>
      <c r="RDW240" s="4"/>
      <c r="RDX240" s="4"/>
      <c r="RDY240" s="4"/>
      <c r="RDZ240" s="4"/>
      <c r="REA240" s="4"/>
      <c r="REB240" s="4"/>
      <c r="REC240" s="4"/>
      <c r="RED240" s="4"/>
      <c r="REE240" s="4"/>
      <c r="REF240" s="4"/>
      <c r="REG240" s="4"/>
      <c r="REH240" s="4"/>
      <c r="REI240" s="4"/>
      <c r="REJ240" s="4"/>
      <c r="REK240" s="4"/>
      <c r="REL240" s="4"/>
      <c r="REM240" s="4"/>
      <c r="REN240" s="4"/>
      <c r="REO240" s="4"/>
      <c r="REP240" s="4"/>
      <c r="REQ240" s="4"/>
      <c r="RER240" s="4"/>
      <c r="RES240" s="4"/>
      <c r="RET240" s="4"/>
      <c r="REU240" s="4"/>
      <c r="REV240" s="4"/>
      <c r="REW240" s="4"/>
      <c r="REX240" s="4"/>
      <c r="REY240" s="4"/>
      <c r="REZ240" s="4"/>
      <c r="RFA240" s="4"/>
      <c r="RFB240" s="4"/>
      <c r="RFC240" s="4"/>
      <c r="RFD240" s="4"/>
      <c r="RFE240" s="4"/>
      <c r="RFF240" s="4"/>
      <c r="RFG240" s="4"/>
      <c r="RFH240" s="4"/>
      <c r="RFI240" s="4"/>
      <c r="RFJ240" s="4"/>
      <c r="RFK240" s="4"/>
      <c r="RFL240" s="4"/>
      <c r="RFM240" s="4"/>
      <c r="RFN240" s="4"/>
      <c r="RFO240" s="4"/>
      <c r="RFP240" s="4"/>
      <c r="RFQ240" s="4"/>
      <c r="RFR240" s="4"/>
      <c r="RFS240" s="4"/>
      <c r="RFT240" s="4"/>
      <c r="RFU240" s="4"/>
      <c r="RFV240" s="4"/>
      <c r="RFW240" s="4"/>
      <c r="RFX240" s="4"/>
      <c r="RFY240" s="4"/>
      <c r="RFZ240" s="4"/>
      <c r="RGA240" s="4"/>
      <c r="RGB240" s="4"/>
      <c r="RGC240" s="4"/>
      <c r="RGD240" s="4"/>
      <c r="RGE240" s="4"/>
      <c r="RGF240" s="4"/>
      <c r="RGG240" s="4"/>
      <c r="RGH240" s="4"/>
      <c r="RGI240" s="4"/>
      <c r="RGJ240" s="4"/>
      <c r="RGK240" s="4"/>
      <c r="RGL240" s="4"/>
      <c r="RGM240" s="4"/>
      <c r="RGN240" s="4"/>
      <c r="RGO240" s="4"/>
      <c r="RGP240" s="4"/>
      <c r="RGQ240" s="4"/>
      <c r="RGR240" s="4"/>
      <c r="RGS240" s="4"/>
      <c r="RGT240" s="4"/>
      <c r="RGU240" s="4"/>
      <c r="RGV240" s="4"/>
      <c r="RGW240" s="4"/>
      <c r="RGX240" s="4"/>
      <c r="RGY240" s="4"/>
      <c r="RGZ240" s="4"/>
      <c r="RHA240" s="4"/>
      <c r="RHB240" s="4"/>
      <c r="RHC240" s="4"/>
      <c r="RHD240" s="4"/>
      <c r="RHE240" s="4"/>
      <c r="RHF240" s="4"/>
      <c r="RHG240" s="4"/>
      <c r="RHH240" s="4"/>
      <c r="RHI240" s="4"/>
      <c r="RHJ240" s="4"/>
      <c r="RHK240" s="4"/>
      <c r="RHL240" s="4"/>
      <c r="RHM240" s="4"/>
      <c r="RHN240" s="4"/>
      <c r="RHO240" s="4"/>
      <c r="RHP240" s="4"/>
      <c r="RHQ240" s="4"/>
      <c r="RHR240" s="4"/>
      <c r="RHS240" s="4"/>
      <c r="RHT240" s="4"/>
      <c r="RHU240" s="4"/>
      <c r="RHV240" s="4"/>
      <c r="RHW240" s="4"/>
      <c r="RHX240" s="4"/>
      <c r="RHY240" s="4"/>
      <c r="RHZ240" s="4"/>
      <c r="RIA240" s="4"/>
      <c r="RIB240" s="4"/>
      <c r="RIC240" s="4"/>
      <c r="RID240" s="4"/>
      <c r="RIE240" s="4"/>
      <c r="RIF240" s="4"/>
      <c r="RIG240" s="4"/>
      <c r="RIH240" s="4"/>
      <c r="RII240" s="4"/>
      <c r="RIJ240" s="4"/>
      <c r="RIK240" s="4"/>
      <c r="RIL240" s="4"/>
      <c r="RIM240" s="4"/>
      <c r="RIN240" s="4"/>
      <c r="RIO240" s="4"/>
      <c r="RIP240" s="4"/>
      <c r="RIQ240" s="4"/>
      <c r="RIR240" s="4"/>
      <c r="RIS240" s="4"/>
      <c r="RIT240" s="4"/>
      <c r="RIU240" s="4"/>
      <c r="RIV240" s="4"/>
      <c r="RIW240" s="4"/>
      <c r="RIX240" s="4"/>
      <c r="RIY240" s="4"/>
      <c r="RIZ240" s="4"/>
      <c r="RJA240" s="4"/>
      <c r="RJB240" s="4"/>
      <c r="RJC240" s="4"/>
      <c r="RJD240" s="4"/>
      <c r="RJE240" s="4"/>
      <c r="RJF240" s="4"/>
      <c r="RJG240" s="4"/>
      <c r="RJH240" s="4"/>
      <c r="RJI240" s="4"/>
      <c r="RJJ240" s="4"/>
      <c r="RJK240" s="4"/>
      <c r="RJL240" s="4"/>
      <c r="RJM240" s="4"/>
      <c r="RJN240" s="4"/>
      <c r="RJO240" s="4"/>
      <c r="RJP240" s="4"/>
      <c r="RJQ240" s="4"/>
      <c r="RJR240" s="4"/>
      <c r="RJS240" s="4"/>
      <c r="RJT240" s="4"/>
      <c r="RJU240" s="4"/>
      <c r="RJV240" s="4"/>
      <c r="RJW240" s="4"/>
      <c r="RJX240" s="4"/>
      <c r="RJY240" s="4"/>
      <c r="RJZ240" s="4"/>
      <c r="RKA240" s="4"/>
      <c r="RKB240" s="4"/>
      <c r="RKC240" s="4"/>
      <c r="RKD240" s="4"/>
      <c r="RKE240" s="4"/>
      <c r="RKF240" s="4"/>
      <c r="RKG240" s="4"/>
      <c r="RKH240" s="4"/>
      <c r="RKI240" s="4"/>
      <c r="RKJ240" s="4"/>
      <c r="RKK240" s="4"/>
      <c r="RKL240" s="4"/>
      <c r="RKM240" s="4"/>
      <c r="RKN240" s="4"/>
      <c r="RKO240" s="4"/>
      <c r="RKP240" s="4"/>
      <c r="RKQ240" s="4"/>
      <c r="RKR240" s="4"/>
      <c r="RKS240" s="4"/>
      <c r="RKT240" s="4"/>
      <c r="RKU240" s="4"/>
      <c r="RKV240" s="4"/>
      <c r="RKW240" s="4"/>
      <c r="RKX240" s="4"/>
      <c r="RKY240" s="4"/>
      <c r="RKZ240" s="4"/>
      <c r="RLA240" s="4"/>
      <c r="RLB240" s="4"/>
      <c r="RLC240" s="4"/>
      <c r="RLD240" s="4"/>
      <c r="RLE240" s="4"/>
      <c r="RLF240" s="4"/>
      <c r="RLG240" s="4"/>
      <c r="RLH240" s="4"/>
      <c r="RLI240" s="4"/>
      <c r="RLJ240" s="4"/>
      <c r="RLK240" s="4"/>
      <c r="RLL240" s="4"/>
      <c r="RLM240" s="4"/>
      <c r="RLN240" s="4"/>
      <c r="RLO240" s="4"/>
      <c r="RLP240" s="4"/>
      <c r="RLQ240" s="4"/>
      <c r="RLR240" s="4"/>
      <c r="RLS240" s="4"/>
      <c r="RLT240" s="4"/>
      <c r="RLU240" s="4"/>
      <c r="RLV240" s="4"/>
      <c r="RLW240" s="4"/>
      <c r="RLX240" s="4"/>
      <c r="RLY240" s="4"/>
      <c r="RLZ240" s="4"/>
      <c r="RMA240" s="4"/>
      <c r="RMB240" s="4"/>
      <c r="RMC240" s="4"/>
      <c r="RMD240" s="4"/>
      <c r="RME240" s="4"/>
      <c r="RMF240" s="4"/>
      <c r="RMG240" s="4"/>
      <c r="RMH240" s="4"/>
      <c r="RMI240" s="4"/>
      <c r="RMJ240" s="4"/>
      <c r="RMK240" s="4"/>
      <c r="RML240" s="4"/>
      <c r="RMM240" s="4"/>
      <c r="RMN240" s="4"/>
      <c r="RMO240" s="4"/>
      <c r="RMP240" s="4"/>
      <c r="RMQ240" s="4"/>
      <c r="RMR240" s="4"/>
      <c r="RMS240" s="4"/>
      <c r="RMT240" s="4"/>
      <c r="RMU240" s="4"/>
      <c r="RMV240" s="4"/>
      <c r="RMW240" s="4"/>
      <c r="RMX240" s="4"/>
      <c r="RMY240" s="4"/>
      <c r="RMZ240" s="4"/>
      <c r="RNA240" s="4"/>
      <c r="RNB240" s="4"/>
      <c r="RNC240" s="4"/>
      <c r="RND240" s="4"/>
      <c r="RNE240" s="4"/>
      <c r="RNF240" s="4"/>
      <c r="RNG240" s="4"/>
      <c r="RNH240" s="4"/>
      <c r="RNI240" s="4"/>
      <c r="RNJ240" s="4"/>
      <c r="RNK240" s="4"/>
      <c r="RNL240" s="4"/>
      <c r="RNM240" s="4"/>
      <c r="RNN240" s="4"/>
      <c r="RNO240" s="4"/>
      <c r="RNP240" s="4"/>
      <c r="RNQ240" s="4"/>
      <c r="RNR240" s="4"/>
      <c r="RNS240" s="4"/>
      <c r="RNT240" s="4"/>
      <c r="RNU240" s="4"/>
      <c r="RNV240" s="4"/>
      <c r="RNW240" s="4"/>
      <c r="RNX240" s="4"/>
      <c r="RNY240" s="4"/>
      <c r="RNZ240" s="4"/>
      <c r="ROA240" s="4"/>
      <c r="ROB240" s="4"/>
      <c r="ROC240" s="4"/>
      <c r="ROD240" s="4"/>
      <c r="ROE240" s="4"/>
      <c r="ROF240" s="4"/>
      <c r="ROG240" s="4"/>
      <c r="ROH240" s="4"/>
      <c r="ROI240" s="4"/>
      <c r="ROJ240" s="4"/>
      <c r="ROK240" s="4"/>
      <c r="ROL240" s="4"/>
      <c r="ROM240" s="4"/>
      <c r="RON240" s="4"/>
      <c r="ROO240" s="4"/>
      <c r="ROP240" s="4"/>
      <c r="ROQ240" s="4"/>
      <c r="ROR240" s="4"/>
      <c r="ROS240" s="4"/>
      <c r="ROT240" s="4"/>
      <c r="ROU240" s="4"/>
      <c r="ROV240" s="4"/>
      <c r="ROW240" s="4"/>
      <c r="ROX240" s="4"/>
      <c r="ROY240" s="4"/>
      <c r="ROZ240" s="4"/>
      <c r="RPA240" s="4"/>
      <c r="RPB240" s="4"/>
      <c r="RPC240" s="4"/>
      <c r="RPD240" s="4"/>
      <c r="RPE240" s="4"/>
      <c r="RPF240" s="4"/>
      <c r="RPG240" s="4"/>
      <c r="RPH240" s="4"/>
      <c r="RPI240" s="4"/>
      <c r="RPJ240" s="4"/>
      <c r="RPK240" s="4"/>
      <c r="RPL240" s="4"/>
      <c r="RPM240" s="4"/>
      <c r="RPN240" s="4"/>
      <c r="RPO240" s="4"/>
      <c r="RPP240" s="4"/>
      <c r="RPQ240" s="4"/>
      <c r="RPR240" s="4"/>
      <c r="RPS240" s="4"/>
      <c r="RPT240" s="4"/>
      <c r="RPU240" s="4"/>
      <c r="RPV240" s="4"/>
      <c r="RPW240" s="4"/>
      <c r="RPX240" s="4"/>
      <c r="RPY240" s="4"/>
      <c r="RPZ240" s="4"/>
      <c r="RQA240" s="4"/>
      <c r="RQB240" s="4"/>
      <c r="RQC240" s="4"/>
      <c r="RQD240" s="4"/>
      <c r="RQE240" s="4"/>
      <c r="RQF240" s="4"/>
      <c r="RQG240" s="4"/>
      <c r="RQH240" s="4"/>
      <c r="RQI240" s="4"/>
      <c r="RQJ240" s="4"/>
      <c r="RQK240" s="4"/>
      <c r="RQL240" s="4"/>
      <c r="RQM240" s="4"/>
      <c r="RQN240" s="4"/>
      <c r="RQO240" s="4"/>
      <c r="RQP240" s="4"/>
      <c r="RQQ240" s="4"/>
      <c r="RQR240" s="4"/>
      <c r="RQS240" s="4"/>
      <c r="RQT240" s="4"/>
      <c r="RQU240" s="4"/>
      <c r="RQV240" s="4"/>
      <c r="RQW240" s="4"/>
      <c r="RQX240" s="4"/>
      <c r="RQY240" s="4"/>
      <c r="RQZ240" s="4"/>
      <c r="RRA240" s="4"/>
      <c r="RRB240" s="4"/>
      <c r="RRC240" s="4"/>
      <c r="RRD240" s="4"/>
      <c r="RRE240" s="4"/>
      <c r="RRF240" s="4"/>
      <c r="RRG240" s="4"/>
      <c r="RRH240" s="4"/>
      <c r="RRI240" s="4"/>
      <c r="RRJ240" s="4"/>
      <c r="RRK240" s="4"/>
      <c r="RRL240" s="4"/>
      <c r="RRM240" s="4"/>
      <c r="RRN240" s="4"/>
      <c r="RRO240" s="4"/>
      <c r="RRP240" s="4"/>
      <c r="RRQ240" s="4"/>
      <c r="RRR240" s="4"/>
      <c r="RRS240" s="4"/>
      <c r="RRT240" s="4"/>
      <c r="RRU240" s="4"/>
      <c r="RRV240" s="4"/>
      <c r="RRW240" s="4"/>
      <c r="RRX240" s="4"/>
      <c r="RRY240" s="4"/>
      <c r="RRZ240" s="4"/>
      <c r="RSA240" s="4"/>
      <c r="RSB240" s="4"/>
      <c r="RSC240" s="4"/>
      <c r="RSD240" s="4"/>
      <c r="RSE240" s="4"/>
      <c r="RSF240" s="4"/>
      <c r="RSG240" s="4"/>
      <c r="RSH240" s="4"/>
      <c r="RSI240" s="4"/>
      <c r="RSJ240" s="4"/>
      <c r="RSK240" s="4"/>
      <c r="RSL240" s="4"/>
      <c r="RSM240" s="4"/>
      <c r="RSN240" s="4"/>
      <c r="RSO240" s="4"/>
      <c r="RSP240" s="4"/>
      <c r="RSQ240" s="4"/>
      <c r="RSR240" s="4"/>
      <c r="RSS240" s="4"/>
      <c r="RST240" s="4"/>
      <c r="RSU240" s="4"/>
      <c r="RSV240" s="4"/>
      <c r="RSW240" s="4"/>
      <c r="RSX240" s="4"/>
      <c r="RSY240" s="4"/>
      <c r="RSZ240" s="4"/>
      <c r="RTA240" s="4"/>
      <c r="RTB240" s="4"/>
      <c r="RTC240" s="4"/>
      <c r="RTD240" s="4"/>
      <c r="RTE240" s="4"/>
      <c r="RTF240" s="4"/>
      <c r="RTG240" s="4"/>
      <c r="RTH240" s="4"/>
      <c r="RTI240" s="4"/>
      <c r="RTJ240" s="4"/>
      <c r="RTK240" s="4"/>
      <c r="RTL240" s="4"/>
      <c r="RTM240" s="4"/>
      <c r="RTN240" s="4"/>
      <c r="RTO240" s="4"/>
      <c r="RTP240" s="4"/>
      <c r="RTQ240" s="4"/>
      <c r="RTR240" s="4"/>
      <c r="RTS240" s="4"/>
      <c r="RTT240" s="4"/>
      <c r="RTU240" s="4"/>
      <c r="RTV240" s="4"/>
      <c r="RTW240" s="4"/>
      <c r="RTX240" s="4"/>
      <c r="RTY240" s="4"/>
      <c r="RTZ240" s="4"/>
      <c r="RUA240" s="4"/>
      <c r="RUB240" s="4"/>
      <c r="RUC240" s="4"/>
      <c r="RUD240" s="4"/>
      <c r="RUE240" s="4"/>
      <c r="RUF240" s="4"/>
      <c r="RUG240" s="4"/>
      <c r="RUH240" s="4"/>
      <c r="RUI240" s="4"/>
      <c r="RUJ240" s="4"/>
      <c r="RUK240" s="4"/>
      <c r="RUL240" s="4"/>
      <c r="RUM240" s="4"/>
      <c r="RUN240" s="4"/>
      <c r="RUO240" s="4"/>
      <c r="RUP240" s="4"/>
      <c r="RUQ240" s="4"/>
      <c r="RUR240" s="4"/>
      <c r="RUS240" s="4"/>
      <c r="RUT240" s="4"/>
      <c r="RUU240" s="4"/>
      <c r="RUV240" s="4"/>
      <c r="RUW240" s="4"/>
      <c r="RUX240" s="4"/>
      <c r="RUY240" s="4"/>
      <c r="RUZ240" s="4"/>
      <c r="RVA240" s="4"/>
      <c r="RVB240" s="4"/>
      <c r="RVC240" s="4"/>
      <c r="RVD240" s="4"/>
      <c r="RVE240" s="4"/>
      <c r="RVF240" s="4"/>
      <c r="RVG240" s="4"/>
      <c r="RVH240" s="4"/>
      <c r="RVI240" s="4"/>
      <c r="RVJ240" s="4"/>
      <c r="RVK240" s="4"/>
      <c r="RVL240" s="4"/>
      <c r="RVM240" s="4"/>
      <c r="RVN240" s="4"/>
      <c r="RVO240" s="4"/>
      <c r="RVP240" s="4"/>
      <c r="RVQ240" s="4"/>
      <c r="RVR240" s="4"/>
      <c r="RVS240" s="4"/>
      <c r="RVT240" s="4"/>
      <c r="RVU240" s="4"/>
      <c r="RVV240" s="4"/>
      <c r="RVW240" s="4"/>
      <c r="RVX240" s="4"/>
      <c r="RVY240" s="4"/>
      <c r="RVZ240" s="4"/>
      <c r="RWA240" s="4"/>
      <c r="RWB240" s="4"/>
      <c r="RWC240" s="4"/>
      <c r="RWD240" s="4"/>
      <c r="RWE240" s="4"/>
      <c r="RWF240" s="4"/>
      <c r="RWG240" s="4"/>
      <c r="RWH240" s="4"/>
      <c r="RWI240" s="4"/>
      <c r="RWJ240" s="4"/>
      <c r="RWK240" s="4"/>
      <c r="RWL240" s="4"/>
      <c r="RWM240" s="4"/>
      <c r="RWN240" s="4"/>
      <c r="RWO240" s="4"/>
      <c r="RWP240" s="4"/>
      <c r="RWQ240" s="4"/>
      <c r="RWR240" s="4"/>
      <c r="RWS240" s="4"/>
      <c r="RWT240" s="4"/>
      <c r="RWU240" s="4"/>
      <c r="RWV240" s="4"/>
      <c r="RWW240" s="4"/>
      <c r="RWX240" s="4"/>
      <c r="RWY240" s="4"/>
      <c r="RWZ240" s="4"/>
      <c r="RXA240" s="4"/>
      <c r="RXB240" s="4"/>
      <c r="RXC240" s="4"/>
      <c r="RXD240" s="4"/>
      <c r="RXE240" s="4"/>
      <c r="RXF240" s="4"/>
      <c r="RXG240" s="4"/>
      <c r="RXH240" s="4"/>
      <c r="RXI240" s="4"/>
      <c r="RXJ240" s="4"/>
      <c r="RXK240" s="4"/>
      <c r="RXL240" s="4"/>
      <c r="RXM240" s="4"/>
      <c r="RXN240" s="4"/>
      <c r="RXO240" s="4"/>
      <c r="RXP240" s="4"/>
      <c r="RXQ240" s="4"/>
      <c r="RXR240" s="4"/>
      <c r="RXS240" s="4"/>
      <c r="RXT240" s="4"/>
      <c r="RXU240" s="4"/>
      <c r="RXV240" s="4"/>
      <c r="RXW240" s="4"/>
      <c r="RXX240" s="4"/>
      <c r="RXY240" s="4"/>
      <c r="RXZ240" s="4"/>
      <c r="RYA240" s="4"/>
      <c r="RYB240" s="4"/>
      <c r="RYC240" s="4"/>
      <c r="RYD240" s="4"/>
      <c r="RYE240" s="4"/>
      <c r="RYF240" s="4"/>
      <c r="RYG240" s="4"/>
      <c r="RYH240" s="4"/>
      <c r="RYI240" s="4"/>
      <c r="RYJ240" s="4"/>
      <c r="RYK240" s="4"/>
      <c r="RYL240" s="4"/>
      <c r="RYM240" s="4"/>
      <c r="RYN240" s="4"/>
      <c r="RYO240" s="4"/>
      <c r="RYP240" s="4"/>
      <c r="RYQ240" s="4"/>
      <c r="RYR240" s="4"/>
      <c r="RYS240" s="4"/>
      <c r="RYT240" s="4"/>
      <c r="RYU240" s="4"/>
      <c r="RYV240" s="4"/>
      <c r="RYW240" s="4"/>
      <c r="RYX240" s="4"/>
      <c r="RYY240" s="4"/>
      <c r="RYZ240" s="4"/>
      <c r="RZA240" s="4"/>
      <c r="RZB240" s="4"/>
      <c r="RZC240" s="4"/>
      <c r="RZD240" s="4"/>
      <c r="RZE240" s="4"/>
      <c r="RZF240" s="4"/>
      <c r="RZG240" s="4"/>
      <c r="RZH240" s="4"/>
      <c r="RZI240" s="4"/>
      <c r="RZJ240" s="4"/>
      <c r="RZK240" s="4"/>
      <c r="RZL240" s="4"/>
      <c r="RZM240" s="4"/>
      <c r="RZN240" s="4"/>
      <c r="RZO240" s="4"/>
      <c r="RZP240" s="4"/>
      <c r="RZQ240" s="4"/>
      <c r="RZR240" s="4"/>
      <c r="RZS240" s="4"/>
      <c r="RZT240" s="4"/>
      <c r="RZU240" s="4"/>
      <c r="RZV240" s="4"/>
      <c r="RZW240" s="4"/>
      <c r="RZX240" s="4"/>
      <c r="RZY240" s="4"/>
      <c r="RZZ240" s="4"/>
      <c r="SAA240" s="4"/>
      <c r="SAB240" s="4"/>
      <c r="SAC240" s="4"/>
      <c r="SAD240" s="4"/>
      <c r="SAE240" s="4"/>
      <c r="SAF240" s="4"/>
      <c r="SAG240" s="4"/>
      <c r="SAH240" s="4"/>
      <c r="SAI240" s="4"/>
      <c r="SAJ240" s="4"/>
      <c r="SAK240" s="4"/>
      <c r="SAL240" s="4"/>
      <c r="SAM240" s="4"/>
      <c r="SAN240" s="4"/>
      <c r="SAO240" s="4"/>
      <c r="SAP240" s="4"/>
      <c r="SAQ240" s="4"/>
      <c r="SAR240" s="4"/>
      <c r="SAS240" s="4"/>
      <c r="SAT240" s="4"/>
      <c r="SAU240" s="4"/>
      <c r="SAV240" s="4"/>
      <c r="SAW240" s="4"/>
      <c r="SAX240" s="4"/>
      <c r="SAY240" s="4"/>
      <c r="SAZ240" s="4"/>
      <c r="SBA240" s="4"/>
      <c r="SBB240" s="4"/>
      <c r="SBC240" s="4"/>
      <c r="SBD240" s="4"/>
      <c r="SBE240" s="4"/>
      <c r="SBF240" s="4"/>
      <c r="SBG240" s="4"/>
      <c r="SBH240" s="4"/>
      <c r="SBI240" s="4"/>
      <c r="SBJ240" s="4"/>
      <c r="SBK240" s="4"/>
      <c r="SBL240" s="4"/>
      <c r="SBM240" s="4"/>
      <c r="SBN240" s="4"/>
      <c r="SBO240" s="4"/>
      <c r="SBP240" s="4"/>
      <c r="SBQ240" s="4"/>
      <c r="SBR240" s="4"/>
      <c r="SBS240" s="4"/>
      <c r="SBT240" s="4"/>
      <c r="SBU240" s="4"/>
      <c r="SBV240" s="4"/>
      <c r="SBW240" s="4"/>
      <c r="SBX240" s="4"/>
      <c r="SBY240" s="4"/>
      <c r="SBZ240" s="4"/>
      <c r="SCA240" s="4"/>
      <c r="SCB240" s="4"/>
      <c r="SCC240" s="4"/>
      <c r="SCD240" s="4"/>
      <c r="SCE240" s="4"/>
      <c r="SCF240" s="4"/>
      <c r="SCG240" s="4"/>
      <c r="SCH240" s="4"/>
      <c r="SCI240" s="4"/>
      <c r="SCJ240" s="4"/>
      <c r="SCK240" s="4"/>
      <c r="SCL240" s="4"/>
      <c r="SCM240" s="4"/>
      <c r="SCN240" s="4"/>
      <c r="SCO240" s="4"/>
      <c r="SCP240" s="4"/>
      <c r="SCQ240" s="4"/>
      <c r="SCR240" s="4"/>
      <c r="SCS240" s="4"/>
      <c r="SCT240" s="4"/>
      <c r="SCU240" s="4"/>
      <c r="SCV240" s="4"/>
      <c r="SCW240" s="4"/>
      <c r="SCX240" s="4"/>
      <c r="SCY240" s="4"/>
      <c r="SCZ240" s="4"/>
      <c r="SDA240" s="4"/>
      <c r="SDB240" s="4"/>
      <c r="SDC240" s="4"/>
      <c r="SDD240" s="4"/>
      <c r="SDE240" s="4"/>
      <c r="SDF240" s="4"/>
      <c r="SDG240" s="4"/>
      <c r="SDH240" s="4"/>
      <c r="SDI240" s="4"/>
      <c r="SDJ240" s="4"/>
      <c r="SDK240" s="4"/>
      <c r="SDL240" s="4"/>
      <c r="SDM240" s="4"/>
      <c r="SDN240" s="4"/>
      <c r="SDO240" s="4"/>
      <c r="SDP240" s="4"/>
      <c r="SDQ240" s="4"/>
      <c r="SDR240" s="4"/>
      <c r="SDS240" s="4"/>
      <c r="SDT240" s="4"/>
      <c r="SDU240" s="4"/>
      <c r="SDV240" s="4"/>
      <c r="SDW240" s="4"/>
      <c r="SDX240" s="4"/>
      <c r="SDY240" s="4"/>
      <c r="SDZ240" s="4"/>
      <c r="SEA240" s="4"/>
      <c r="SEB240" s="4"/>
      <c r="SEC240" s="4"/>
      <c r="SED240" s="4"/>
      <c r="SEE240" s="4"/>
      <c r="SEF240" s="4"/>
      <c r="SEG240" s="4"/>
      <c r="SEH240" s="4"/>
      <c r="SEI240" s="4"/>
      <c r="SEJ240" s="4"/>
      <c r="SEK240" s="4"/>
      <c r="SEL240" s="4"/>
      <c r="SEM240" s="4"/>
      <c r="SEN240" s="4"/>
      <c r="SEO240" s="4"/>
      <c r="SEP240" s="4"/>
      <c r="SEQ240" s="4"/>
      <c r="SER240" s="4"/>
      <c r="SES240" s="4"/>
      <c r="SET240" s="4"/>
      <c r="SEU240" s="4"/>
      <c r="SEV240" s="4"/>
      <c r="SEW240" s="4"/>
      <c r="SEX240" s="4"/>
      <c r="SEY240" s="4"/>
      <c r="SEZ240" s="4"/>
      <c r="SFA240" s="4"/>
      <c r="SFB240" s="4"/>
      <c r="SFC240" s="4"/>
      <c r="SFD240" s="4"/>
      <c r="SFE240" s="4"/>
      <c r="SFF240" s="4"/>
      <c r="SFG240" s="4"/>
      <c r="SFH240" s="4"/>
      <c r="SFI240" s="4"/>
      <c r="SFJ240" s="4"/>
      <c r="SFK240" s="4"/>
      <c r="SFL240" s="4"/>
      <c r="SFM240" s="4"/>
      <c r="SFN240" s="4"/>
      <c r="SFO240" s="4"/>
      <c r="SFP240" s="4"/>
      <c r="SFQ240" s="4"/>
      <c r="SFR240" s="4"/>
      <c r="SFS240" s="4"/>
      <c r="SFT240" s="4"/>
      <c r="SFU240" s="4"/>
      <c r="SFV240" s="4"/>
      <c r="SFW240" s="4"/>
      <c r="SFX240" s="4"/>
      <c r="SFY240" s="4"/>
      <c r="SFZ240" s="4"/>
      <c r="SGA240" s="4"/>
      <c r="SGB240" s="4"/>
      <c r="SGC240" s="4"/>
      <c r="SGD240" s="4"/>
      <c r="SGE240" s="4"/>
      <c r="SGF240" s="4"/>
      <c r="SGG240" s="4"/>
      <c r="SGH240" s="4"/>
      <c r="SGI240" s="4"/>
      <c r="SGJ240" s="4"/>
      <c r="SGK240" s="4"/>
      <c r="SGL240" s="4"/>
      <c r="SGM240" s="4"/>
      <c r="SGN240" s="4"/>
      <c r="SGO240" s="4"/>
      <c r="SGP240" s="4"/>
      <c r="SGQ240" s="4"/>
      <c r="SGR240" s="4"/>
      <c r="SGS240" s="4"/>
      <c r="SGT240" s="4"/>
      <c r="SGU240" s="4"/>
      <c r="SGV240" s="4"/>
      <c r="SGW240" s="4"/>
      <c r="SGX240" s="4"/>
      <c r="SGY240" s="4"/>
      <c r="SGZ240" s="4"/>
      <c r="SHA240" s="4"/>
      <c r="SHB240" s="4"/>
      <c r="SHC240" s="4"/>
      <c r="SHD240" s="4"/>
      <c r="SHE240" s="4"/>
      <c r="SHF240" s="4"/>
      <c r="SHG240" s="4"/>
      <c r="SHH240" s="4"/>
      <c r="SHI240" s="4"/>
      <c r="SHJ240" s="4"/>
      <c r="SHK240" s="4"/>
      <c r="SHL240" s="4"/>
      <c r="SHM240" s="4"/>
      <c r="SHN240" s="4"/>
      <c r="SHO240" s="4"/>
      <c r="SHP240" s="4"/>
      <c r="SHQ240" s="4"/>
      <c r="SHR240" s="4"/>
      <c r="SHS240" s="4"/>
      <c r="SHT240" s="4"/>
      <c r="SHU240" s="4"/>
      <c r="SHV240" s="4"/>
      <c r="SHW240" s="4"/>
      <c r="SHX240" s="4"/>
      <c r="SHY240" s="4"/>
      <c r="SHZ240" s="4"/>
      <c r="SIA240" s="4"/>
      <c r="SIB240" s="4"/>
      <c r="SIC240" s="4"/>
      <c r="SID240" s="4"/>
      <c r="SIE240" s="4"/>
      <c r="SIF240" s="4"/>
      <c r="SIG240" s="4"/>
      <c r="SIH240" s="4"/>
      <c r="SII240" s="4"/>
      <c r="SIJ240" s="4"/>
      <c r="SIK240" s="4"/>
      <c r="SIL240" s="4"/>
      <c r="SIM240" s="4"/>
      <c r="SIN240" s="4"/>
      <c r="SIO240" s="4"/>
      <c r="SIP240" s="4"/>
      <c r="SIQ240" s="4"/>
      <c r="SIR240" s="4"/>
      <c r="SIS240" s="4"/>
      <c r="SIT240" s="4"/>
      <c r="SIU240" s="4"/>
      <c r="SIV240" s="4"/>
      <c r="SIW240" s="4"/>
      <c r="SIX240" s="4"/>
      <c r="SIY240" s="4"/>
      <c r="SIZ240" s="4"/>
      <c r="SJA240" s="4"/>
      <c r="SJB240" s="4"/>
      <c r="SJC240" s="4"/>
      <c r="SJD240" s="4"/>
      <c r="SJE240" s="4"/>
      <c r="SJF240" s="4"/>
      <c r="SJG240" s="4"/>
      <c r="SJH240" s="4"/>
      <c r="SJI240" s="4"/>
      <c r="SJJ240" s="4"/>
      <c r="SJK240" s="4"/>
      <c r="SJL240" s="4"/>
      <c r="SJM240" s="4"/>
      <c r="SJN240" s="4"/>
      <c r="SJO240" s="4"/>
      <c r="SJP240" s="4"/>
      <c r="SJQ240" s="4"/>
      <c r="SJR240" s="4"/>
      <c r="SJS240" s="4"/>
      <c r="SJT240" s="4"/>
      <c r="SJU240" s="4"/>
      <c r="SJV240" s="4"/>
      <c r="SJW240" s="4"/>
      <c r="SJX240" s="4"/>
      <c r="SJY240" s="4"/>
      <c r="SJZ240" s="4"/>
      <c r="SKA240" s="4"/>
      <c r="SKB240" s="4"/>
      <c r="SKC240" s="4"/>
      <c r="SKD240" s="4"/>
      <c r="SKE240" s="4"/>
      <c r="SKF240" s="4"/>
      <c r="SKG240" s="4"/>
      <c r="SKH240" s="4"/>
      <c r="SKI240" s="4"/>
      <c r="SKJ240" s="4"/>
      <c r="SKK240" s="4"/>
      <c r="SKL240" s="4"/>
      <c r="SKM240" s="4"/>
      <c r="SKN240" s="4"/>
      <c r="SKO240" s="4"/>
      <c r="SKP240" s="4"/>
      <c r="SKQ240" s="4"/>
      <c r="SKR240" s="4"/>
      <c r="SKS240" s="4"/>
      <c r="SKT240" s="4"/>
      <c r="SKU240" s="4"/>
      <c r="SKV240" s="4"/>
      <c r="SKW240" s="4"/>
      <c r="SKX240" s="4"/>
      <c r="SKY240" s="4"/>
      <c r="SKZ240" s="4"/>
      <c r="SLA240" s="4"/>
      <c r="SLB240" s="4"/>
      <c r="SLC240" s="4"/>
      <c r="SLD240" s="4"/>
      <c r="SLE240" s="4"/>
      <c r="SLF240" s="4"/>
      <c r="SLG240" s="4"/>
      <c r="SLH240" s="4"/>
      <c r="SLI240" s="4"/>
      <c r="SLJ240" s="4"/>
      <c r="SLK240" s="4"/>
      <c r="SLL240" s="4"/>
      <c r="SLM240" s="4"/>
      <c r="SLN240" s="4"/>
      <c r="SLO240" s="4"/>
      <c r="SLP240" s="4"/>
      <c r="SLQ240" s="4"/>
      <c r="SLR240" s="4"/>
      <c r="SLS240" s="4"/>
      <c r="SLT240" s="4"/>
      <c r="SLU240" s="4"/>
      <c r="SLV240" s="4"/>
      <c r="SLW240" s="4"/>
      <c r="SLX240" s="4"/>
      <c r="SLY240" s="4"/>
      <c r="SLZ240" s="4"/>
      <c r="SMA240" s="4"/>
      <c r="SMB240" s="4"/>
      <c r="SMC240" s="4"/>
      <c r="SMD240" s="4"/>
      <c r="SME240" s="4"/>
      <c r="SMF240" s="4"/>
      <c r="SMG240" s="4"/>
      <c r="SMH240" s="4"/>
      <c r="SMI240" s="4"/>
      <c r="SMJ240" s="4"/>
      <c r="SMK240" s="4"/>
      <c r="SML240" s="4"/>
      <c r="SMM240" s="4"/>
      <c r="SMN240" s="4"/>
      <c r="SMO240" s="4"/>
      <c r="SMP240" s="4"/>
      <c r="SMQ240" s="4"/>
      <c r="SMR240" s="4"/>
      <c r="SMS240" s="4"/>
      <c r="SMT240" s="4"/>
      <c r="SMU240" s="4"/>
      <c r="SMV240" s="4"/>
      <c r="SMW240" s="4"/>
      <c r="SMX240" s="4"/>
      <c r="SMY240" s="4"/>
      <c r="SMZ240" s="4"/>
      <c r="SNA240" s="4"/>
      <c r="SNB240" s="4"/>
      <c r="SNC240" s="4"/>
      <c r="SND240" s="4"/>
      <c r="SNE240" s="4"/>
      <c r="SNF240" s="4"/>
      <c r="SNG240" s="4"/>
      <c r="SNH240" s="4"/>
      <c r="SNI240" s="4"/>
      <c r="SNJ240" s="4"/>
      <c r="SNK240" s="4"/>
      <c r="SNL240" s="4"/>
      <c r="SNM240" s="4"/>
      <c r="SNN240" s="4"/>
      <c r="SNO240" s="4"/>
      <c r="SNP240" s="4"/>
      <c r="SNQ240" s="4"/>
      <c r="SNR240" s="4"/>
      <c r="SNS240" s="4"/>
      <c r="SNT240" s="4"/>
      <c r="SNU240" s="4"/>
      <c r="SNV240" s="4"/>
      <c r="SNW240" s="4"/>
      <c r="SNX240" s="4"/>
      <c r="SNY240" s="4"/>
      <c r="SNZ240" s="4"/>
      <c r="SOA240" s="4"/>
      <c r="SOB240" s="4"/>
      <c r="SOC240" s="4"/>
      <c r="SOD240" s="4"/>
      <c r="SOE240" s="4"/>
      <c r="SOF240" s="4"/>
      <c r="SOG240" s="4"/>
      <c r="SOH240" s="4"/>
      <c r="SOI240" s="4"/>
      <c r="SOJ240" s="4"/>
      <c r="SOK240" s="4"/>
      <c r="SOL240" s="4"/>
      <c r="SOM240" s="4"/>
      <c r="SON240" s="4"/>
      <c r="SOO240" s="4"/>
      <c r="SOP240" s="4"/>
      <c r="SOQ240" s="4"/>
      <c r="SOR240" s="4"/>
      <c r="SOS240" s="4"/>
      <c r="SOT240" s="4"/>
      <c r="SOU240" s="4"/>
      <c r="SOV240" s="4"/>
      <c r="SOW240" s="4"/>
      <c r="SOX240" s="4"/>
      <c r="SOY240" s="4"/>
      <c r="SOZ240" s="4"/>
      <c r="SPA240" s="4"/>
      <c r="SPB240" s="4"/>
      <c r="SPC240" s="4"/>
      <c r="SPD240" s="4"/>
      <c r="SPE240" s="4"/>
      <c r="SPF240" s="4"/>
      <c r="SPG240" s="4"/>
      <c r="SPH240" s="4"/>
      <c r="SPI240" s="4"/>
      <c r="SPJ240" s="4"/>
      <c r="SPK240" s="4"/>
      <c r="SPL240" s="4"/>
      <c r="SPM240" s="4"/>
      <c r="SPN240" s="4"/>
      <c r="SPO240" s="4"/>
      <c r="SPP240" s="4"/>
      <c r="SPQ240" s="4"/>
      <c r="SPR240" s="4"/>
      <c r="SPS240" s="4"/>
      <c r="SPT240" s="4"/>
      <c r="SPU240" s="4"/>
      <c r="SPV240" s="4"/>
      <c r="SPW240" s="4"/>
      <c r="SPX240" s="4"/>
      <c r="SPY240" s="4"/>
      <c r="SPZ240" s="4"/>
      <c r="SQA240" s="4"/>
      <c r="SQB240" s="4"/>
      <c r="SQC240" s="4"/>
      <c r="SQD240" s="4"/>
      <c r="SQE240" s="4"/>
      <c r="SQF240" s="4"/>
      <c r="SQG240" s="4"/>
      <c r="SQH240" s="4"/>
      <c r="SQI240" s="4"/>
      <c r="SQJ240" s="4"/>
      <c r="SQK240" s="4"/>
      <c r="SQL240" s="4"/>
      <c r="SQM240" s="4"/>
      <c r="SQN240" s="4"/>
      <c r="SQO240" s="4"/>
      <c r="SQP240" s="4"/>
      <c r="SQQ240" s="4"/>
      <c r="SQR240" s="4"/>
      <c r="SQS240" s="4"/>
      <c r="SQT240" s="4"/>
      <c r="SQU240" s="4"/>
      <c r="SQV240" s="4"/>
      <c r="SQW240" s="4"/>
      <c r="SQX240" s="4"/>
      <c r="SQY240" s="4"/>
      <c r="SQZ240" s="4"/>
      <c r="SRA240" s="4"/>
      <c r="SRB240" s="4"/>
      <c r="SRC240" s="4"/>
      <c r="SRD240" s="4"/>
      <c r="SRE240" s="4"/>
      <c r="SRF240" s="4"/>
      <c r="SRG240" s="4"/>
      <c r="SRH240" s="4"/>
      <c r="SRI240" s="4"/>
      <c r="SRJ240" s="4"/>
      <c r="SRK240" s="4"/>
      <c r="SRL240" s="4"/>
      <c r="SRM240" s="4"/>
      <c r="SRN240" s="4"/>
      <c r="SRO240" s="4"/>
      <c r="SRP240" s="4"/>
      <c r="SRQ240" s="4"/>
      <c r="SRR240" s="4"/>
      <c r="SRS240" s="4"/>
      <c r="SRT240" s="4"/>
      <c r="SRU240" s="4"/>
      <c r="SRV240" s="4"/>
      <c r="SRW240" s="4"/>
      <c r="SRX240" s="4"/>
      <c r="SRY240" s="4"/>
      <c r="SRZ240" s="4"/>
      <c r="SSA240" s="4"/>
      <c r="SSB240" s="4"/>
      <c r="SSC240" s="4"/>
      <c r="SSD240" s="4"/>
      <c r="SSE240" s="4"/>
      <c r="SSF240" s="4"/>
      <c r="SSG240" s="4"/>
      <c r="SSH240" s="4"/>
      <c r="SSI240" s="4"/>
      <c r="SSJ240" s="4"/>
      <c r="SSK240" s="4"/>
      <c r="SSL240" s="4"/>
      <c r="SSM240" s="4"/>
      <c r="SSN240" s="4"/>
      <c r="SSO240" s="4"/>
      <c r="SSP240" s="4"/>
      <c r="SSQ240" s="4"/>
      <c r="SSR240" s="4"/>
      <c r="SSS240" s="4"/>
      <c r="SST240" s="4"/>
      <c r="SSU240" s="4"/>
      <c r="SSV240" s="4"/>
      <c r="SSW240" s="4"/>
      <c r="SSX240" s="4"/>
      <c r="SSY240" s="4"/>
      <c r="SSZ240" s="4"/>
      <c r="STA240" s="4"/>
      <c r="STB240" s="4"/>
      <c r="STC240" s="4"/>
      <c r="STD240" s="4"/>
      <c r="STE240" s="4"/>
      <c r="STF240" s="4"/>
      <c r="STG240" s="4"/>
      <c r="STH240" s="4"/>
      <c r="STI240" s="4"/>
      <c r="STJ240" s="4"/>
      <c r="STK240" s="4"/>
      <c r="STL240" s="4"/>
      <c r="STM240" s="4"/>
      <c r="STN240" s="4"/>
      <c r="STO240" s="4"/>
      <c r="STP240" s="4"/>
      <c r="STQ240" s="4"/>
      <c r="STR240" s="4"/>
      <c r="STS240" s="4"/>
      <c r="STT240" s="4"/>
      <c r="STU240" s="4"/>
      <c r="STV240" s="4"/>
      <c r="STW240" s="4"/>
      <c r="STX240" s="4"/>
      <c r="STY240" s="4"/>
      <c r="STZ240" s="4"/>
      <c r="SUA240" s="4"/>
      <c r="SUB240" s="4"/>
      <c r="SUC240" s="4"/>
      <c r="SUD240" s="4"/>
      <c r="SUE240" s="4"/>
      <c r="SUF240" s="4"/>
      <c r="SUG240" s="4"/>
      <c r="SUH240" s="4"/>
      <c r="SUI240" s="4"/>
      <c r="SUJ240" s="4"/>
      <c r="SUK240" s="4"/>
      <c r="SUL240" s="4"/>
      <c r="SUM240" s="4"/>
      <c r="SUN240" s="4"/>
      <c r="SUO240" s="4"/>
      <c r="SUP240" s="4"/>
      <c r="SUQ240" s="4"/>
      <c r="SUR240" s="4"/>
      <c r="SUS240" s="4"/>
      <c r="SUT240" s="4"/>
      <c r="SUU240" s="4"/>
      <c r="SUV240" s="4"/>
      <c r="SUW240" s="4"/>
      <c r="SUX240" s="4"/>
      <c r="SUY240" s="4"/>
      <c r="SUZ240" s="4"/>
      <c r="SVA240" s="4"/>
      <c r="SVB240" s="4"/>
      <c r="SVC240" s="4"/>
      <c r="SVD240" s="4"/>
      <c r="SVE240" s="4"/>
      <c r="SVF240" s="4"/>
      <c r="SVG240" s="4"/>
      <c r="SVH240" s="4"/>
      <c r="SVI240" s="4"/>
      <c r="SVJ240" s="4"/>
      <c r="SVK240" s="4"/>
      <c r="SVL240" s="4"/>
      <c r="SVM240" s="4"/>
      <c r="SVN240" s="4"/>
      <c r="SVO240" s="4"/>
      <c r="SVP240" s="4"/>
      <c r="SVQ240" s="4"/>
      <c r="SVR240" s="4"/>
      <c r="SVS240" s="4"/>
      <c r="SVT240" s="4"/>
      <c r="SVU240" s="4"/>
      <c r="SVV240" s="4"/>
      <c r="SVW240" s="4"/>
      <c r="SVX240" s="4"/>
      <c r="SVY240" s="4"/>
      <c r="SVZ240" s="4"/>
      <c r="SWA240" s="4"/>
      <c r="SWB240" s="4"/>
      <c r="SWC240" s="4"/>
      <c r="SWD240" s="4"/>
      <c r="SWE240" s="4"/>
      <c r="SWF240" s="4"/>
      <c r="SWG240" s="4"/>
      <c r="SWH240" s="4"/>
      <c r="SWI240" s="4"/>
      <c r="SWJ240" s="4"/>
      <c r="SWK240" s="4"/>
      <c r="SWL240" s="4"/>
      <c r="SWM240" s="4"/>
      <c r="SWN240" s="4"/>
      <c r="SWO240" s="4"/>
      <c r="SWP240" s="4"/>
      <c r="SWQ240" s="4"/>
      <c r="SWR240" s="4"/>
      <c r="SWS240" s="4"/>
      <c r="SWT240" s="4"/>
      <c r="SWU240" s="4"/>
      <c r="SWV240" s="4"/>
      <c r="SWW240" s="4"/>
      <c r="SWX240" s="4"/>
      <c r="SWY240" s="4"/>
      <c r="SWZ240" s="4"/>
      <c r="SXA240" s="4"/>
      <c r="SXB240" s="4"/>
      <c r="SXC240" s="4"/>
      <c r="SXD240" s="4"/>
      <c r="SXE240" s="4"/>
      <c r="SXF240" s="4"/>
      <c r="SXG240" s="4"/>
      <c r="SXH240" s="4"/>
      <c r="SXI240" s="4"/>
      <c r="SXJ240" s="4"/>
      <c r="SXK240" s="4"/>
      <c r="SXL240" s="4"/>
      <c r="SXM240" s="4"/>
      <c r="SXN240" s="4"/>
      <c r="SXO240" s="4"/>
      <c r="SXP240" s="4"/>
      <c r="SXQ240" s="4"/>
      <c r="SXR240" s="4"/>
      <c r="SXS240" s="4"/>
      <c r="SXT240" s="4"/>
      <c r="SXU240" s="4"/>
      <c r="SXV240" s="4"/>
      <c r="SXW240" s="4"/>
      <c r="SXX240" s="4"/>
      <c r="SXY240" s="4"/>
      <c r="SXZ240" s="4"/>
      <c r="SYA240" s="4"/>
      <c r="SYB240" s="4"/>
      <c r="SYC240" s="4"/>
      <c r="SYD240" s="4"/>
      <c r="SYE240" s="4"/>
      <c r="SYF240" s="4"/>
      <c r="SYG240" s="4"/>
      <c r="SYH240" s="4"/>
      <c r="SYI240" s="4"/>
      <c r="SYJ240" s="4"/>
      <c r="SYK240" s="4"/>
      <c r="SYL240" s="4"/>
      <c r="SYM240" s="4"/>
      <c r="SYN240" s="4"/>
      <c r="SYO240" s="4"/>
      <c r="SYP240" s="4"/>
      <c r="SYQ240" s="4"/>
      <c r="SYR240" s="4"/>
      <c r="SYS240" s="4"/>
      <c r="SYT240" s="4"/>
      <c r="SYU240" s="4"/>
      <c r="SYV240" s="4"/>
      <c r="SYW240" s="4"/>
      <c r="SYX240" s="4"/>
      <c r="SYY240" s="4"/>
      <c r="SYZ240" s="4"/>
      <c r="SZA240" s="4"/>
      <c r="SZB240" s="4"/>
      <c r="SZC240" s="4"/>
      <c r="SZD240" s="4"/>
      <c r="SZE240" s="4"/>
      <c r="SZF240" s="4"/>
      <c r="SZG240" s="4"/>
      <c r="SZH240" s="4"/>
      <c r="SZI240" s="4"/>
      <c r="SZJ240" s="4"/>
      <c r="SZK240" s="4"/>
      <c r="SZL240" s="4"/>
      <c r="SZM240" s="4"/>
      <c r="SZN240" s="4"/>
      <c r="SZO240" s="4"/>
      <c r="SZP240" s="4"/>
      <c r="SZQ240" s="4"/>
      <c r="SZR240" s="4"/>
      <c r="SZS240" s="4"/>
      <c r="SZT240" s="4"/>
      <c r="SZU240" s="4"/>
      <c r="SZV240" s="4"/>
      <c r="SZW240" s="4"/>
      <c r="SZX240" s="4"/>
      <c r="SZY240" s="4"/>
      <c r="SZZ240" s="4"/>
      <c r="TAA240" s="4"/>
      <c r="TAB240" s="4"/>
      <c r="TAC240" s="4"/>
      <c r="TAD240" s="4"/>
      <c r="TAE240" s="4"/>
      <c r="TAF240" s="4"/>
      <c r="TAG240" s="4"/>
      <c r="TAH240" s="4"/>
      <c r="TAI240" s="4"/>
      <c r="TAJ240" s="4"/>
      <c r="TAK240" s="4"/>
      <c r="TAL240" s="4"/>
      <c r="TAM240" s="4"/>
      <c r="TAN240" s="4"/>
      <c r="TAO240" s="4"/>
      <c r="TAP240" s="4"/>
      <c r="TAQ240" s="4"/>
      <c r="TAR240" s="4"/>
      <c r="TAS240" s="4"/>
      <c r="TAT240" s="4"/>
      <c r="TAU240" s="4"/>
      <c r="TAV240" s="4"/>
      <c r="TAW240" s="4"/>
      <c r="TAX240" s="4"/>
      <c r="TAY240" s="4"/>
      <c r="TAZ240" s="4"/>
      <c r="TBA240" s="4"/>
      <c r="TBB240" s="4"/>
      <c r="TBC240" s="4"/>
      <c r="TBD240" s="4"/>
      <c r="TBE240" s="4"/>
      <c r="TBF240" s="4"/>
      <c r="TBG240" s="4"/>
      <c r="TBH240" s="4"/>
      <c r="TBI240" s="4"/>
      <c r="TBJ240" s="4"/>
      <c r="TBK240" s="4"/>
      <c r="TBL240" s="4"/>
      <c r="TBM240" s="4"/>
      <c r="TBN240" s="4"/>
      <c r="TBO240" s="4"/>
      <c r="TBP240" s="4"/>
      <c r="TBQ240" s="4"/>
      <c r="TBR240" s="4"/>
      <c r="TBS240" s="4"/>
      <c r="TBT240" s="4"/>
      <c r="TBU240" s="4"/>
      <c r="TBV240" s="4"/>
      <c r="TBW240" s="4"/>
      <c r="TBX240" s="4"/>
      <c r="TBY240" s="4"/>
      <c r="TBZ240" s="4"/>
      <c r="TCA240" s="4"/>
      <c r="TCB240" s="4"/>
      <c r="TCC240" s="4"/>
      <c r="TCD240" s="4"/>
      <c r="TCE240" s="4"/>
      <c r="TCF240" s="4"/>
      <c r="TCG240" s="4"/>
      <c r="TCH240" s="4"/>
      <c r="TCI240" s="4"/>
      <c r="TCJ240" s="4"/>
      <c r="TCK240" s="4"/>
      <c r="TCL240" s="4"/>
      <c r="TCM240" s="4"/>
      <c r="TCN240" s="4"/>
      <c r="TCO240" s="4"/>
      <c r="TCP240" s="4"/>
      <c r="TCQ240" s="4"/>
      <c r="TCR240" s="4"/>
      <c r="TCS240" s="4"/>
      <c r="TCT240" s="4"/>
      <c r="TCU240" s="4"/>
      <c r="TCV240" s="4"/>
      <c r="TCW240" s="4"/>
      <c r="TCX240" s="4"/>
      <c r="TCY240" s="4"/>
      <c r="TCZ240" s="4"/>
      <c r="TDA240" s="4"/>
      <c r="TDB240" s="4"/>
      <c r="TDC240" s="4"/>
      <c r="TDD240" s="4"/>
      <c r="TDE240" s="4"/>
      <c r="TDF240" s="4"/>
      <c r="TDG240" s="4"/>
      <c r="TDH240" s="4"/>
      <c r="TDI240" s="4"/>
      <c r="TDJ240" s="4"/>
      <c r="TDK240" s="4"/>
      <c r="TDL240" s="4"/>
      <c r="TDM240" s="4"/>
      <c r="TDN240" s="4"/>
      <c r="TDO240" s="4"/>
      <c r="TDP240" s="4"/>
      <c r="TDQ240" s="4"/>
      <c r="TDR240" s="4"/>
      <c r="TDS240" s="4"/>
      <c r="TDT240" s="4"/>
      <c r="TDU240" s="4"/>
      <c r="TDV240" s="4"/>
      <c r="TDW240" s="4"/>
      <c r="TDX240" s="4"/>
      <c r="TDY240" s="4"/>
      <c r="TDZ240" s="4"/>
      <c r="TEA240" s="4"/>
      <c r="TEB240" s="4"/>
      <c r="TEC240" s="4"/>
      <c r="TED240" s="4"/>
      <c r="TEE240" s="4"/>
      <c r="TEF240" s="4"/>
      <c r="TEG240" s="4"/>
      <c r="TEH240" s="4"/>
      <c r="TEI240" s="4"/>
      <c r="TEJ240" s="4"/>
      <c r="TEK240" s="4"/>
      <c r="TEL240" s="4"/>
      <c r="TEM240" s="4"/>
      <c r="TEN240" s="4"/>
      <c r="TEO240" s="4"/>
      <c r="TEP240" s="4"/>
      <c r="TEQ240" s="4"/>
      <c r="TER240" s="4"/>
      <c r="TES240" s="4"/>
      <c r="TET240" s="4"/>
      <c r="TEU240" s="4"/>
      <c r="TEV240" s="4"/>
      <c r="TEW240" s="4"/>
      <c r="TEX240" s="4"/>
      <c r="TEY240" s="4"/>
      <c r="TEZ240" s="4"/>
      <c r="TFA240" s="4"/>
      <c r="TFB240" s="4"/>
      <c r="TFC240" s="4"/>
      <c r="TFD240" s="4"/>
      <c r="TFE240" s="4"/>
      <c r="TFF240" s="4"/>
      <c r="TFG240" s="4"/>
      <c r="TFH240" s="4"/>
      <c r="TFI240" s="4"/>
      <c r="TFJ240" s="4"/>
      <c r="TFK240" s="4"/>
      <c r="TFL240" s="4"/>
      <c r="TFM240" s="4"/>
      <c r="TFN240" s="4"/>
      <c r="TFO240" s="4"/>
      <c r="TFP240" s="4"/>
      <c r="TFQ240" s="4"/>
      <c r="TFR240" s="4"/>
      <c r="TFS240" s="4"/>
      <c r="TFT240" s="4"/>
      <c r="TFU240" s="4"/>
      <c r="TFV240" s="4"/>
      <c r="TFW240" s="4"/>
      <c r="TFX240" s="4"/>
      <c r="TFY240" s="4"/>
      <c r="TFZ240" s="4"/>
      <c r="TGA240" s="4"/>
      <c r="TGB240" s="4"/>
      <c r="TGC240" s="4"/>
      <c r="TGD240" s="4"/>
      <c r="TGE240" s="4"/>
      <c r="TGF240" s="4"/>
      <c r="TGG240" s="4"/>
      <c r="TGH240" s="4"/>
      <c r="TGI240" s="4"/>
      <c r="TGJ240" s="4"/>
      <c r="TGK240" s="4"/>
      <c r="TGL240" s="4"/>
      <c r="TGM240" s="4"/>
      <c r="TGN240" s="4"/>
      <c r="TGO240" s="4"/>
      <c r="TGP240" s="4"/>
      <c r="TGQ240" s="4"/>
      <c r="TGR240" s="4"/>
      <c r="TGS240" s="4"/>
      <c r="TGT240" s="4"/>
      <c r="TGU240" s="4"/>
      <c r="TGV240" s="4"/>
      <c r="TGW240" s="4"/>
      <c r="TGX240" s="4"/>
      <c r="TGY240" s="4"/>
      <c r="TGZ240" s="4"/>
      <c r="THA240" s="4"/>
      <c r="THB240" s="4"/>
      <c r="THC240" s="4"/>
      <c r="THD240" s="4"/>
      <c r="THE240" s="4"/>
      <c r="THF240" s="4"/>
      <c r="THG240" s="4"/>
      <c r="THH240" s="4"/>
      <c r="THI240" s="4"/>
      <c r="THJ240" s="4"/>
      <c r="THK240" s="4"/>
      <c r="THL240" s="4"/>
      <c r="THM240" s="4"/>
      <c r="THN240" s="4"/>
      <c r="THO240" s="4"/>
      <c r="THP240" s="4"/>
      <c r="THQ240" s="4"/>
      <c r="THR240" s="4"/>
      <c r="THS240" s="4"/>
      <c r="THT240" s="4"/>
      <c r="THU240" s="4"/>
      <c r="THV240" s="4"/>
      <c r="THW240" s="4"/>
      <c r="THX240" s="4"/>
      <c r="THY240" s="4"/>
      <c r="THZ240" s="4"/>
      <c r="TIA240" s="4"/>
      <c r="TIB240" s="4"/>
      <c r="TIC240" s="4"/>
      <c r="TID240" s="4"/>
      <c r="TIE240" s="4"/>
      <c r="TIF240" s="4"/>
      <c r="TIG240" s="4"/>
      <c r="TIH240" s="4"/>
      <c r="TII240" s="4"/>
      <c r="TIJ240" s="4"/>
      <c r="TIK240" s="4"/>
      <c r="TIL240" s="4"/>
      <c r="TIM240" s="4"/>
      <c r="TIN240" s="4"/>
      <c r="TIO240" s="4"/>
      <c r="TIP240" s="4"/>
      <c r="TIQ240" s="4"/>
      <c r="TIR240" s="4"/>
      <c r="TIS240" s="4"/>
      <c r="TIT240" s="4"/>
      <c r="TIU240" s="4"/>
      <c r="TIV240" s="4"/>
      <c r="TIW240" s="4"/>
      <c r="TIX240" s="4"/>
      <c r="TIY240" s="4"/>
      <c r="TIZ240" s="4"/>
      <c r="TJA240" s="4"/>
      <c r="TJB240" s="4"/>
      <c r="TJC240" s="4"/>
      <c r="TJD240" s="4"/>
      <c r="TJE240" s="4"/>
      <c r="TJF240" s="4"/>
      <c r="TJG240" s="4"/>
      <c r="TJH240" s="4"/>
      <c r="TJI240" s="4"/>
      <c r="TJJ240" s="4"/>
      <c r="TJK240" s="4"/>
      <c r="TJL240" s="4"/>
      <c r="TJM240" s="4"/>
      <c r="TJN240" s="4"/>
      <c r="TJO240" s="4"/>
      <c r="TJP240" s="4"/>
      <c r="TJQ240" s="4"/>
      <c r="TJR240" s="4"/>
      <c r="TJS240" s="4"/>
      <c r="TJT240" s="4"/>
      <c r="TJU240" s="4"/>
      <c r="TJV240" s="4"/>
      <c r="TJW240" s="4"/>
      <c r="TJX240" s="4"/>
      <c r="TJY240" s="4"/>
      <c r="TJZ240" s="4"/>
      <c r="TKA240" s="4"/>
      <c r="TKB240" s="4"/>
      <c r="TKC240" s="4"/>
      <c r="TKD240" s="4"/>
      <c r="TKE240" s="4"/>
      <c r="TKF240" s="4"/>
      <c r="TKG240" s="4"/>
      <c r="TKH240" s="4"/>
      <c r="TKI240" s="4"/>
      <c r="TKJ240" s="4"/>
      <c r="TKK240" s="4"/>
      <c r="TKL240" s="4"/>
      <c r="TKM240" s="4"/>
      <c r="TKN240" s="4"/>
      <c r="TKO240" s="4"/>
      <c r="TKP240" s="4"/>
      <c r="TKQ240" s="4"/>
      <c r="TKR240" s="4"/>
      <c r="TKS240" s="4"/>
      <c r="TKT240" s="4"/>
      <c r="TKU240" s="4"/>
      <c r="TKV240" s="4"/>
      <c r="TKW240" s="4"/>
      <c r="TKX240" s="4"/>
      <c r="TKY240" s="4"/>
      <c r="TKZ240" s="4"/>
      <c r="TLA240" s="4"/>
      <c r="TLB240" s="4"/>
      <c r="TLC240" s="4"/>
      <c r="TLD240" s="4"/>
      <c r="TLE240" s="4"/>
      <c r="TLF240" s="4"/>
      <c r="TLG240" s="4"/>
      <c r="TLH240" s="4"/>
      <c r="TLI240" s="4"/>
      <c r="TLJ240" s="4"/>
      <c r="TLK240" s="4"/>
      <c r="TLL240" s="4"/>
      <c r="TLM240" s="4"/>
      <c r="TLN240" s="4"/>
      <c r="TLO240" s="4"/>
      <c r="TLP240" s="4"/>
      <c r="TLQ240" s="4"/>
      <c r="TLR240" s="4"/>
      <c r="TLS240" s="4"/>
      <c r="TLT240" s="4"/>
      <c r="TLU240" s="4"/>
      <c r="TLV240" s="4"/>
      <c r="TLW240" s="4"/>
      <c r="TLX240" s="4"/>
      <c r="TLY240" s="4"/>
      <c r="TLZ240" s="4"/>
      <c r="TMA240" s="4"/>
      <c r="TMB240" s="4"/>
      <c r="TMC240" s="4"/>
      <c r="TMD240" s="4"/>
      <c r="TME240" s="4"/>
      <c r="TMF240" s="4"/>
      <c r="TMG240" s="4"/>
      <c r="TMH240" s="4"/>
      <c r="TMI240" s="4"/>
      <c r="TMJ240" s="4"/>
      <c r="TMK240" s="4"/>
      <c r="TML240" s="4"/>
      <c r="TMM240" s="4"/>
      <c r="TMN240" s="4"/>
      <c r="TMO240" s="4"/>
      <c r="TMP240" s="4"/>
      <c r="TMQ240" s="4"/>
      <c r="TMR240" s="4"/>
      <c r="TMS240" s="4"/>
      <c r="TMT240" s="4"/>
      <c r="TMU240" s="4"/>
      <c r="TMV240" s="4"/>
      <c r="TMW240" s="4"/>
      <c r="TMX240" s="4"/>
      <c r="TMY240" s="4"/>
      <c r="TMZ240" s="4"/>
      <c r="TNA240" s="4"/>
      <c r="TNB240" s="4"/>
      <c r="TNC240" s="4"/>
      <c r="TND240" s="4"/>
      <c r="TNE240" s="4"/>
      <c r="TNF240" s="4"/>
      <c r="TNG240" s="4"/>
      <c r="TNH240" s="4"/>
      <c r="TNI240" s="4"/>
      <c r="TNJ240" s="4"/>
      <c r="TNK240" s="4"/>
      <c r="TNL240" s="4"/>
      <c r="TNM240" s="4"/>
      <c r="TNN240" s="4"/>
      <c r="TNO240" s="4"/>
      <c r="TNP240" s="4"/>
      <c r="TNQ240" s="4"/>
      <c r="TNR240" s="4"/>
      <c r="TNS240" s="4"/>
      <c r="TNT240" s="4"/>
      <c r="TNU240" s="4"/>
      <c r="TNV240" s="4"/>
      <c r="TNW240" s="4"/>
      <c r="TNX240" s="4"/>
      <c r="TNY240" s="4"/>
      <c r="TNZ240" s="4"/>
      <c r="TOA240" s="4"/>
      <c r="TOB240" s="4"/>
      <c r="TOC240" s="4"/>
      <c r="TOD240" s="4"/>
      <c r="TOE240" s="4"/>
      <c r="TOF240" s="4"/>
      <c r="TOG240" s="4"/>
      <c r="TOH240" s="4"/>
      <c r="TOI240" s="4"/>
      <c r="TOJ240" s="4"/>
      <c r="TOK240" s="4"/>
      <c r="TOL240" s="4"/>
      <c r="TOM240" s="4"/>
      <c r="TON240" s="4"/>
      <c r="TOO240" s="4"/>
      <c r="TOP240" s="4"/>
      <c r="TOQ240" s="4"/>
      <c r="TOR240" s="4"/>
      <c r="TOS240" s="4"/>
      <c r="TOT240" s="4"/>
      <c r="TOU240" s="4"/>
      <c r="TOV240" s="4"/>
      <c r="TOW240" s="4"/>
      <c r="TOX240" s="4"/>
      <c r="TOY240" s="4"/>
      <c r="TOZ240" s="4"/>
      <c r="TPA240" s="4"/>
      <c r="TPB240" s="4"/>
      <c r="TPC240" s="4"/>
      <c r="TPD240" s="4"/>
      <c r="TPE240" s="4"/>
      <c r="TPF240" s="4"/>
      <c r="TPG240" s="4"/>
      <c r="TPH240" s="4"/>
      <c r="TPI240" s="4"/>
      <c r="TPJ240" s="4"/>
      <c r="TPK240" s="4"/>
      <c r="TPL240" s="4"/>
      <c r="TPM240" s="4"/>
      <c r="TPN240" s="4"/>
      <c r="TPO240" s="4"/>
      <c r="TPP240" s="4"/>
      <c r="TPQ240" s="4"/>
      <c r="TPR240" s="4"/>
      <c r="TPS240" s="4"/>
      <c r="TPT240" s="4"/>
      <c r="TPU240" s="4"/>
      <c r="TPV240" s="4"/>
      <c r="TPW240" s="4"/>
      <c r="TPX240" s="4"/>
      <c r="TPY240" s="4"/>
      <c r="TPZ240" s="4"/>
      <c r="TQA240" s="4"/>
      <c r="TQB240" s="4"/>
      <c r="TQC240" s="4"/>
      <c r="TQD240" s="4"/>
      <c r="TQE240" s="4"/>
      <c r="TQF240" s="4"/>
      <c r="TQG240" s="4"/>
      <c r="TQH240" s="4"/>
      <c r="TQI240" s="4"/>
      <c r="TQJ240" s="4"/>
      <c r="TQK240" s="4"/>
      <c r="TQL240" s="4"/>
      <c r="TQM240" s="4"/>
      <c r="TQN240" s="4"/>
      <c r="TQO240" s="4"/>
      <c r="TQP240" s="4"/>
      <c r="TQQ240" s="4"/>
      <c r="TQR240" s="4"/>
      <c r="TQS240" s="4"/>
      <c r="TQT240" s="4"/>
      <c r="TQU240" s="4"/>
      <c r="TQV240" s="4"/>
      <c r="TQW240" s="4"/>
      <c r="TQX240" s="4"/>
      <c r="TQY240" s="4"/>
      <c r="TQZ240" s="4"/>
      <c r="TRA240" s="4"/>
      <c r="TRB240" s="4"/>
      <c r="TRC240" s="4"/>
      <c r="TRD240" s="4"/>
      <c r="TRE240" s="4"/>
      <c r="TRF240" s="4"/>
      <c r="TRG240" s="4"/>
      <c r="TRH240" s="4"/>
      <c r="TRI240" s="4"/>
      <c r="TRJ240" s="4"/>
      <c r="TRK240" s="4"/>
      <c r="TRL240" s="4"/>
      <c r="TRM240" s="4"/>
      <c r="TRN240" s="4"/>
      <c r="TRO240" s="4"/>
      <c r="TRP240" s="4"/>
      <c r="TRQ240" s="4"/>
      <c r="TRR240" s="4"/>
      <c r="TRS240" s="4"/>
      <c r="TRT240" s="4"/>
      <c r="TRU240" s="4"/>
      <c r="TRV240" s="4"/>
      <c r="TRW240" s="4"/>
      <c r="TRX240" s="4"/>
      <c r="TRY240" s="4"/>
      <c r="TRZ240" s="4"/>
      <c r="TSA240" s="4"/>
      <c r="TSB240" s="4"/>
      <c r="TSC240" s="4"/>
      <c r="TSD240" s="4"/>
      <c r="TSE240" s="4"/>
      <c r="TSF240" s="4"/>
      <c r="TSG240" s="4"/>
      <c r="TSH240" s="4"/>
      <c r="TSI240" s="4"/>
      <c r="TSJ240" s="4"/>
      <c r="TSK240" s="4"/>
      <c r="TSL240" s="4"/>
      <c r="TSM240" s="4"/>
      <c r="TSN240" s="4"/>
      <c r="TSO240" s="4"/>
      <c r="TSP240" s="4"/>
      <c r="TSQ240" s="4"/>
      <c r="TSR240" s="4"/>
      <c r="TSS240" s="4"/>
      <c r="TST240" s="4"/>
      <c r="TSU240" s="4"/>
      <c r="TSV240" s="4"/>
      <c r="TSW240" s="4"/>
      <c r="TSX240" s="4"/>
      <c r="TSY240" s="4"/>
      <c r="TSZ240" s="4"/>
      <c r="TTA240" s="4"/>
      <c r="TTB240" s="4"/>
      <c r="TTC240" s="4"/>
      <c r="TTD240" s="4"/>
      <c r="TTE240" s="4"/>
      <c r="TTF240" s="4"/>
      <c r="TTG240" s="4"/>
      <c r="TTH240" s="4"/>
      <c r="TTI240" s="4"/>
      <c r="TTJ240" s="4"/>
      <c r="TTK240" s="4"/>
      <c r="TTL240" s="4"/>
      <c r="TTM240" s="4"/>
      <c r="TTN240" s="4"/>
      <c r="TTO240" s="4"/>
      <c r="TTP240" s="4"/>
      <c r="TTQ240" s="4"/>
      <c r="TTR240" s="4"/>
      <c r="TTS240" s="4"/>
      <c r="TTT240" s="4"/>
      <c r="TTU240" s="4"/>
      <c r="TTV240" s="4"/>
      <c r="TTW240" s="4"/>
      <c r="TTX240" s="4"/>
      <c r="TTY240" s="4"/>
      <c r="TTZ240" s="4"/>
      <c r="TUA240" s="4"/>
      <c r="TUB240" s="4"/>
      <c r="TUC240" s="4"/>
      <c r="TUD240" s="4"/>
      <c r="TUE240" s="4"/>
      <c r="TUF240" s="4"/>
      <c r="TUG240" s="4"/>
      <c r="TUH240" s="4"/>
      <c r="TUI240" s="4"/>
      <c r="TUJ240" s="4"/>
      <c r="TUK240" s="4"/>
      <c r="TUL240" s="4"/>
      <c r="TUM240" s="4"/>
      <c r="TUN240" s="4"/>
      <c r="TUO240" s="4"/>
      <c r="TUP240" s="4"/>
      <c r="TUQ240" s="4"/>
      <c r="TUR240" s="4"/>
      <c r="TUS240" s="4"/>
      <c r="TUT240" s="4"/>
      <c r="TUU240" s="4"/>
      <c r="TUV240" s="4"/>
      <c r="TUW240" s="4"/>
      <c r="TUX240" s="4"/>
      <c r="TUY240" s="4"/>
      <c r="TUZ240" s="4"/>
      <c r="TVA240" s="4"/>
      <c r="TVB240" s="4"/>
      <c r="TVC240" s="4"/>
      <c r="TVD240" s="4"/>
      <c r="TVE240" s="4"/>
      <c r="TVF240" s="4"/>
      <c r="TVG240" s="4"/>
      <c r="TVH240" s="4"/>
      <c r="TVI240" s="4"/>
      <c r="TVJ240" s="4"/>
      <c r="TVK240" s="4"/>
      <c r="TVL240" s="4"/>
      <c r="TVM240" s="4"/>
      <c r="TVN240" s="4"/>
      <c r="TVO240" s="4"/>
      <c r="TVP240" s="4"/>
      <c r="TVQ240" s="4"/>
      <c r="TVR240" s="4"/>
      <c r="TVS240" s="4"/>
      <c r="TVT240" s="4"/>
      <c r="TVU240" s="4"/>
      <c r="TVV240" s="4"/>
      <c r="TVW240" s="4"/>
      <c r="TVX240" s="4"/>
      <c r="TVY240" s="4"/>
      <c r="TVZ240" s="4"/>
      <c r="TWA240" s="4"/>
      <c r="TWB240" s="4"/>
      <c r="TWC240" s="4"/>
      <c r="TWD240" s="4"/>
      <c r="TWE240" s="4"/>
      <c r="TWF240" s="4"/>
      <c r="TWG240" s="4"/>
      <c r="TWH240" s="4"/>
      <c r="TWI240" s="4"/>
      <c r="TWJ240" s="4"/>
      <c r="TWK240" s="4"/>
      <c r="TWL240" s="4"/>
      <c r="TWM240" s="4"/>
      <c r="TWN240" s="4"/>
      <c r="TWO240" s="4"/>
      <c r="TWP240" s="4"/>
      <c r="TWQ240" s="4"/>
      <c r="TWR240" s="4"/>
      <c r="TWS240" s="4"/>
      <c r="TWT240" s="4"/>
      <c r="TWU240" s="4"/>
      <c r="TWV240" s="4"/>
      <c r="TWW240" s="4"/>
      <c r="TWX240" s="4"/>
      <c r="TWY240" s="4"/>
      <c r="TWZ240" s="4"/>
      <c r="TXA240" s="4"/>
      <c r="TXB240" s="4"/>
      <c r="TXC240" s="4"/>
      <c r="TXD240" s="4"/>
      <c r="TXE240" s="4"/>
      <c r="TXF240" s="4"/>
      <c r="TXG240" s="4"/>
      <c r="TXH240" s="4"/>
      <c r="TXI240" s="4"/>
      <c r="TXJ240" s="4"/>
      <c r="TXK240" s="4"/>
      <c r="TXL240" s="4"/>
      <c r="TXM240" s="4"/>
      <c r="TXN240" s="4"/>
      <c r="TXO240" s="4"/>
      <c r="TXP240" s="4"/>
      <c r="TXQ240" s="4"/>
      <c r="TXR240" s="4"/>
      <c r="TXS240" s="4"/>
      <c r="TXT240" s="4"/>
      <c r="TXU240" s="4"/>
      <c r="TXV240" s="4"/>
      <c r="TXW240" s="4"/>
      <c r="TXX240" s="4"/>
      <c r="TXY240" s="4"/>
      <c r="TXZ240" s="4"/>
      <c r="TYA240" s="4"/>
      <c r="TYB240" s="4"/>
      <c r="TYC240" s="4"/>
      <c r="TYD240" s="4"/>
      <c r="TYE240" s="4"/>
      <c r="TYF240" s="4"/>
      <c r="TYG240" s="4"/>
      <c r="TYH240" s="4"/>
      <c r="TYI240" s="4"/>
      <c r="TYJ240" s="4"/>
      <c r="TYK240" s="4"/>
      <c r="TYL240" s="4"/>
      <c r="TYM240" s="4"/>
      <c r="TYN240" s="4"/>
      <c r="TYO240" s="4"/>
      <c r="TYP240" s="4"/>
      <c r="TYQ240" s="4"/>
      <c r="TYR240" s="4"/>
      <c r="TYS240" s="4"/>
      <c r="TYT240" s="4"/>
      <c r="TYU240" s="4"/>
      <c r="TYV240" s="4"/>
      <c r="TYW240" s="4"/>
      <c r="TYX240" s="4"/>
      <c r="TYY240" s="4"/>
      <c r="TYZ240" s="4"/>
      <c r="TZA240" s="4"/>
      <c r="TZB240" s="4"/>
      <c r="TZC240" s="4"/>
      <c r="TZD240" s="4"/>
      <c r="TZE240" s="4"/>
      <c r="TZF240" s="4"/>
      <c r="TZG240" s="4"/>
      <c r="TZH240" s="4"/>
      <c r="TZI240" s="4"/>
      <c r="TZJ240" s="4"/>
      <c r="TZK240" s="4"/>
      <c r="TZL240" s="4"/>
      <c r="TZM240" s="4"/>
      <c r="TZN240" s="4"/>
      <c r="TZO240" s="4"/>
      <c r="TZP240" s="4"/>
      <c r="TZQ240" s="4"/>
      <c r="TZR240" s="4"/>
      <c r="TZS240" s="4"/>
      <c r="TZT240" s="4"/>
      <c r="TZU240" s="4"/>
      <c r="TZV240" s="4"/>
      <c r="TZW240" s="4"/>
      <c r="TZX240" s="4"/>
      <c r="TZY240" s="4"/>
      <c r="TZZ240" s="4"/>
      <c r="UAA240" s="4"/>
      <c r="UAB240" s="4"/>
      <c r="UAC240" s="4"/>
      <c r="UAD240" s="4"/>
      <c r="UAE240" s="4"/>
      <c r="UAF240" s="4"/>
      <c r="UAG240" s="4"/>
      <c r="UAH240" s="4"/>
      <c r="UAI240" s="4"/>
      <c r="UAJ240" s="4"/>
      <c r="UAK240" s="4"/>
      <c r="UAL240" s="4"/>
      <c r="UAM240" s="4"/>
      <c r="UAN240" s="4"/>
      <c r="UAO240" s="4"/>
      <c r="UAP240" s="4"/>
      <c r="UAQ240" s="4"/>
      <c r="UAR240" s="4"/>
      <c r="UAS240" s="4"/>
      <c r="UAT240" s="4"/>
      <c r="UAU240" s="4"/>
      <c r="UAV240" s="4"/>
      <c r="UAW240" s="4"/>
      <c r="UAX240" s="4"/>
      <c r="UAY240" s="4"/>
      <c r="UAZ240" s="4"/>
      <c r="UBA240" s="4"/>
      <c r="UBB240" s="4"/>
      <c r="UBC240" s="4"/>
      <c r="UBD240" s="4"/>
      <c r="UBE240" s="4"/>
      <c r="UBF240" s="4"/>
      <c r="UBG240" s="4"/>
      <c r="UBH240" s="4"/>
      <c r="UBI240" s="4"/>
      <c r="UBJ240" s="4"/>
      <c r="UBK240" s="4"/>
      <c r="UBL240" s="4"/>
      <c r="UBM240" s="4"/>
      <c r="UBN240" s="4"/>
      <c r="UBO240" s="4"/>
      <c r="UBP240" s="4"/>
      <c r="UBQ240" s="4"/>
      <c r="UBR240" s="4"/>
      <c r="UBS240" s="4"/>
      <c r="UBT240" s="4"/>
      <c r="UBU240" s="4"/>
      <c r="UBV240" s="4"/>
      <c r="UBW240" s="4"/>
      <c r="UBX240" s="4"/>
      <c r="UBY240" s="4"/>
      <c r="UBZ240" s="4"/>
      <c r="UCA240" s="4"/>
      <c r="UCB240" s="4"/>
      <c r="UCC240" s="4"/>
      <c r="UCD240" s="4"/>
      <c r="UCE240" s="4"/>
      <c r="UCF240" s="4"/>
      <c r="UCG240" s="4"/>
      <c r="UCH240" s="4"/>
      <c r="UCI240" s="4"/>
      <c r="UCJ240" s="4"/>
      <c r="UCK240" s="4"/>
      <c r="UCL240" s="4"/>
      <c r="UCM240" s="4"/>
      <c r="UCN240" s="4"/>
      <c r="UCO240" s="4"/>
      <c r="UCP240" s="4"/>
      <c r="UCQ240" s="4"/>
      <c r="UCR240" s="4"/>
      <c r="UCS240" s="4"/>
      <c r="UCT240" s="4"/>
      <c r="UCU240" s="4"/>
      <c r="UCV240" s="4"/>
      <c r="UCW240" s="4"/>
      <c r="UCX240" s="4"/>
      <c r="UCY240" s="4"/>
      <c r="UCZ240" s="4"/>
      <c r="UDA240" s="4"/>
      <c r="UDB240" s="4"/>
      <c r="UDC240" s="4"/>
      <c r="UDD240" s="4"/>
      <c r="UDE240" s="4"/>
      <c r="UDF240" s="4"/>
      <c r="UDG240" s="4"/>
      <c r="UDH240" s="4"/>
      <c r="UDI240" s="4"/>
      <c r="UDJ240" s="4"/>
      <c r="UDK240" s="4"/>
      <c r="UDL240" s="4"/>
      <c r="UDM240" s="4"/>
      <c r="UDN240" s="4"/>
      <c r="UDO240" s="4"/>
      <c r="UDP240" s="4"/>
      <c r="UDQ240" s="4"/>
      <c r="UDR240" s="4"/>
      <c r="UDS240" s="4"/>
      <c r="UDT240" s="4"/>
      <c r="UDU240" s="4"/>
      <c r="UDV240" s="4"/>
      <c r="UDW240" s="4"/>
      <c r="UDX240" s="4"/>
      <c r="UDY240" s="4"/>
      <c r="UDZ240" s="4"/>
      <c r="UEA240" s="4"/>
      <c r="UEB240" s="4"/>
      <c r="UEC240" s="4"/>
      <c r="UED240" s="4"/>
      <c r="UEE240" s="4"/>
      <c r="UEF240" s="4"/>
      <c r="UEG240" s="4"/>
      <c r="UEH240" s="4"/>
      <c r="UEI240" s="4"/>
      <c r="UEJ240" s="4"/>
      <c r="UEK240" s="4"/>
      <c r="UEL240" s="4"/>
      <c r="UEM240" s="4"/>
      <c r="UEN240" s="4"/>
      <c r="UEO240" s="4"/>
      <c r="UEP240" s="4"/>
      <c r="UEQ240" s="4"/>
      <c r="UER240" s="4"/>
      <c r="UES240" s="4"/>
      <c r="UET240" s="4"/>
      <c r="UEU240" s="4"/>
      <c r="UEV240" s="4"/>
      <c r="UEW240" s="4"/>
      <c r="UEX240" s="4"/>
      <c r="UEY240" s="4"/>
      <c r="UEZ240" s="4"/>
      <c r="UFA240" s="4"/>
      <c r="UFB240" s="4"/>
      <c r="UFC240" s="4"/>
      <c r="UFD240" s="4"/>
      <c r="UFE240" s="4"/>
      <c r="UFF240" s="4"/>
      <c r="UFG240" s="4"/>
      <c r="UFH240" s="4"/>
      <c r="UFI240" s="4"/>
      <c r="UFJ240" s="4"/>
      <c r="UFK240" s="4"/>
      <c r="UFL240" s="4"/>
      <c r="UFM240" s="4"/>
      <c r="UFN240" s="4"/>
      <c r="UFO240" s="4"/>
      <c r="UFP240" s="4"/>
      <c r="UFQ240" s="4"/>
      <c r="UFR240" s="4"/>
      <c r="UFS240" s="4"/>
      <c r="UFT240" s="4"/>
      <c r="UFU240" s="4"/>
      <c r="UFV240" s="4"/>
      <c r="UFW240" s="4"/>
      <c r="UFX240" s="4"/>
      <c r="UFY240" s="4"/>
      <c r="UFZ240" s="4"/>
      <c r="UGA240" s="4"/>
      <c r="UGB240" s="4"/>
      <c r="UGC240" s="4"/>
      <c r="UGD240" s="4"/>
      <c r="UGE240" s="4"/>
      <c r="UGF240" s="4"/>
      <c r="UGG240" s="4"/>
      <c r="UGH240" s="4"/>
      <c r="UGI240" s="4"/>
      <c r="UGJ240" s="4"/>
      <c r="UGK240" s="4"/>
      <c r="UGL240" s="4"/>
      <c r="UGM240" s="4"/>
      <c r="UGN240" s="4"/>
      <c r="UGO240" s="4"/>
      <c r="UGP240" s="4"/>
      <c r="UGQ240" s="4"/>
      <c r="UGR240" s="4"/>
      <c r="UGS240" s="4"/>
      <c r="UGT240" s="4"/>
      <c r="UGU240" s="4"/>
      <c r="UGV240" s="4"/>
      <c r="UGW240" s="4"/>
      <c r="UGX240" s="4"/>
      <c r="UGY240" s="4"/>
      <c r="UGZ240" s="4"/>
      <c r="UHA240" s="4"/>
      <c r="UHB240" s="4"/>
      <c r="UHC240" s="4"/>
      <c r="UHD240" s="4"/>
      <c r="UHE240" s="4"/>
      <c r="UHF240" s="4"/>
      <c r="UHG240" s="4"/>
      <c r="UHH240" s="4"/>
      <c r="UHI240" s="4"/>
      <c r="UHJ240" s="4"/>
      <c r="UHK240" s="4"/>
      <c r="UHL240" s="4"/>
      <c r="UHM240" s="4"/>
      <c r="UHN240" s="4"/>
      <c r="UHO240" s="4"/>
      <c r="UHP240" s="4"/>
      <c r="UHQ240" s="4"/>
      <c r="UHR240" s="4"/>
      <c r="UHS240" s="4"/>
      <c r="UHT240" s="4"/>
      <c r="UHU240" s="4"/>
      <c r="UHV240" s="4"/>
      <c r="UHW240" s="4"/>
      <c r="UHX240" s="4"/>
      <c r="UHY240" s="4"/>
      <c r="UHZ240" s="4"/>
      <c r="UIA240" s="4"/>
      <c r="UIB240" s="4"/>
      <c r="UIC240" s="4"/>
      <c r="UID240" s="4"/>
      <c r="UIE240" s="4"/>
      <c r="UIF240" s="4"/>
      <c r="UIG240" s="4"/>
      <c r="UIH240" s="4"/>
      <c r="UII240" s="4"/>
      <c r="UIJ240" s="4"/>
      <c r="UIK240" s="4"/>
      <c r="UIL240" s="4"/>
      <c r="UIM240" s="4"/>
      <c r="UIN240" s="4"/>
      <c r="UIO240" s="4"/>
      <c r="UIP240" s="4"/>
      <c r="UIQ240" s="4"/>
      <c r="UIR240" s="4"/>
      <c r="UIS240" s="4"/>
      <c r="UIT240" s="4"/>
      <c r="UIU240" s="4"/>
      <c r="UIV240" s="4"/>
      <c r="UIW240" s="4"/>
      <c r="UIX240" s="4"/>
      <c r="UIY240" s="4"/>
      <c r="UIZ240" s="4"/>
      <c r="UJA240" s="4"/>
      <c r="UJB240" s="4"/>
      <c r="UJC240" s="4"/>
      <c r="UJD240" s="4"/>
      <c r="UJE240" s="4"/>
      <c r="UJF240" s="4"/>
      <c r="UJG240" s="4"/>
      <c r="UJH240" s="4"/>
      <c r="UJI240" s="4"/>
      <c r="UJJ240" s="4"/>
      <c r="UJK240" s="4"/>
      <c r="UJL240" s="4"/>
      <c r="UJM240" s="4"/>
      <c r="UJN240" s="4"/>
      <c r="UJO240" s="4"/>
      <c r="UJP240" s="4"/>
      <c r="UJQ240" s="4"/>
      <c r="UJR240" s="4"/>
      <c r="UJS240" s="4"/>
      <c r="UJT240" s="4"/>
      <c r="UJU240" s="4"/>
      <c r="UJV240" s="4"/>
      <c r="UJW240" s="4"/>
      <c r="UJX240" s="4"/>
      <c r="UJY240" s="4"/>
      <c r="UJZ240" s="4"/>
      <c r="UKA240" s="4"/>
      <c r="UKB240" s="4"/>
      <c r="UKC240" s="4"/>
      <c r="UKD240" s="4"/>
      <c r="UKE240" s="4"/>
      <c r="UKF240" s="4"/>
      <c r="UKG240" s="4"/>
      <c r="UKH240" s="4"/>
      <c r="UKI240" s="4"/>
      <c r="UKJ240" s="4"/>
      <c r="UKK240" s="4"/>
      <c r="UKL240" s="4"/>
      <c r="UKM240" s="4"/>
      <c r="UKN240" s="4"/>
      <c r="UKO240" s="4"/>
      <c r="UKP240" s="4"/>
      <c r="UKQ240" s="4"/>
      <c r="UKR240" s="4"/>
      <c r="UKS240" s="4"/>
      <c r="UKT240" s="4"/>
      <c r="UKU240" s="4"/>
      <c r="UKV240" s="4"/>
      <c r="UKW240" s="4"/>
      <c r="UKX240" s="4"/>
      <c r="UKY240" s="4"/>
      <c r="UKZ240" s="4"/>
      <c r="ULA240" s="4"/>
      <c r="ULB240" s="4"/>
      <c r="ULC240" s="4"/>
      <c r="ULD240" s="4"/>
      <c r="ULE240" s="4"/>
      <c r="ULF240" s="4"/>
      <c r="ULG240" s="4"/>
      <c r="ULH240" s="4"/>
      <c r="ULI240" s="4"/>
      <c r="ULJ240" s="4"/>
      <c r="ULK240" s="4"/>
      <c r="ULL240" s="4"/>
      <c r="ULM240" s="4"/>
      <c r="ULN240" s="4"/>
      <c r="ULO240" s="4"/>
      <c r="ULP240" s="4"/>
      <c r="ULQ240" s="4"/>
      <c r="ULR240" s="4"/>
      <c r="ULS240" s="4"/>
      <c r="ULT240" s="4"/>
      <c r="ULU240" s="4"/>
      <c r="ULV240" s="4"/>
      <c r="ULW240" s="4"/>
      <c r="ULX240" s="4"/>
      <c r="ULY240" s="4"/>
      <c r="ULZ240" s="4"/>
      <c r="UMA240" s="4"/>
      <c r="UMB240" s="4"/>
      <c r="UMC240" s="4"/>
      <c r="UMD240" s="4"/>
      <c r="UME240" s="4"/>
      <c r="UMF240" s="4"/>
      <c r="UMG240" s="4"/>
      <c r="UMH240" s="4"/>
      <c r="UMI240" s="4"/>
      <c r="UMJ240" s="4"/>
      <c r="UMK240" s="4"/>
      <c r="UML240" s="4"/>
      <c r="UMM240" s="4"/>
      <c r="UMN240" s="4"/>
      <c r="UMO240" s="4"/>
      <c r="UMP240" s="4"/>
      <c r="UMQ240" s="4"/>
      <c r="UMR240" s="4"/>
      <c r="UMS240" s="4"/>
      <c r="UMT240" s="4"/>
      <c r="UMU240" s="4"/>
      <c r="UMV240" s="4"/>
      <c r="UMW240" s="4"/>
      <c r="UMX240" s="4"/>
      <c r="UMY240" s="4"/>
      <c r="UMZ240" s="4"/>
      <c r="UNA240" s="4"/>
      <c r="UNB240" s="4"/>
      <c r="UNC240" s="4"/>
      <c r="UND240" s="4"/>
      <c r="UNE240" s="4"/>
      <c r="UNF240" s="4"/>
      <c r="UNG240" s="4"/>
      <c r="UNH240" s="4"/>
      <c r="UNI240" s="4"/>
      <c r="UNJ240" s="4"/>
      <c r="UNK240" s="4"/>
      <c r="UNL240" s="4"/>
      <c r="UNM240" s="4"/>
      <c r="UNN240" s="4"/>
      <c r="UNO240" s="4"/>
      <c r="UNP240" s="4"/>
      <c r="UNQ240" s="4"/>
      <c r="UNR240" s="4"/>
      <c r="UNS240" s="4"/>
      <c r="UNT240" s="4"/>
      <c r="UNU240" s="4"/>
      <c r="UNV240" s="4"/>
      <c r="UNW240" s="4"/>
      <c r="UNX240" s="4"/>
      <c r="UNY240" s="4"/>
      <c r="UNZ240" s="4"/>
      <c r="UOA240" s="4"/>
      <c r="UOB240" s="4"/>
      <c r="UOC240" s="4"/>
      <c r="UOD240" s="4"/>
      <c r="UOE240" s="4"/>
      <c r="UOF240" s="4"/>
      <c r="UOG240" s="4"/>
      <c r="UOH240" s="4"/>
      <c r="UOI240" s="4"/>
      <c r="UOJ240" s="4"/>
      <c r="UOK240" s="4"/>
      <c r="UOL240" s="4"/>
      <c r="UOM240" s="4"/>
      <c r="UON240" s="4"/>
      <c r="UOO240" s="4"/>
      <c r="UOP240" s="4"/>
      <c r="UOQ240" s="4"/>
      <c r="UOR240" s="4"/>
      <c r="UOS240" s="4"/>
      <c r="UOT240" s="4"/>
      <c r="UOU240" s="4"/>
      <c r="UOV240" s="4"/>
      <c r="UOW240" s="4"/>
      <c r="UOX240" s="4"/>
      <c r="UOY240" s="4"/>
      <c r="UOZ240" s="4"/>
      <c r="UPA240" s="4"/>
      <c r="UPB240" s="4"/>
      <c r="UPC240" s="4"/>
      <c r="UPD240" s="4"/>
      <c r="UPE240" s="4"/>
      <c r="UPF240" s="4"/>
      <c r="UPG240" s="4"/>
      <c r="UPH240" s="4"/>
      <c r="UPI240" s="4"/>
      <c r="UPJ240" s="4"/>
      <c r="UPK240" s="4"/>
      <c r="UPL240" s="4"/>
      <c r="UPM240" s="4"/>
      <c r="UPN240" s="4"/>
      <c r="UPO240" s="4"/>
      <c r="UPP240" s="4"/>
      <c r="UPQ240" s="4"/>
      <c r="UPR240" s="4"/>
      <c r="UPS240" s="4"/>
      <c r="UPT240" s="4"/>
      <c r="UPU240" s="4"/>
      <c r="UPV240" s="4"/>
      <c r="UPW240" s="4"/>
      <c r="UPX240" s="4"/>
      <c r="UPY240" s="4"/>
      <c r="UPZ240" s="4"/>
      <c r="UQA240" s="4"/>
      <c r="UQB240" s="4"/>
      <c r="UQC240" s="4"/>
      <c r="UQD240" s="4"/>
      <c r="UQE240" s="4"/>
      <c r="UQF240" s="4"/>
      <c r="UQG240" s="4"/>
      <c r="UQH240" s="4"/>
      <c r="UQI240" s="4"/>
      <c r="UQJ240" s="4"/>
      <c r="UQK240" s="4"/>
      <c r="UQL240" s="4"/>
      <c r="UQM240" s="4"/>
      <c r="UQN240" s="4"/>
      <c r="UQO240" s="4"/>
      <c r="UQP240" s="4"/>
      <c r="UQQ240" s="4"/>
      <c r="UQR240" s="4"/>
      <c r="UQS240" s="4"/>
      <c r="UQT240" s="4"/>
      <c r="UQU240" s="4"/>
      <c r="UQV240" s="4"/>
      <c r="UQW240" s="4"/>
      <c r="UQX240" s="4"/>
      <c r="UQY240" s="4"/>
      <c r="UQZ240" s="4"/>
      <c r="URA240" s="4"/>
      <c r="URB240" s="4"/>
      <c r="URC240" s="4"/>
      <c r="URD240" s="4"/>
      <c r="URE240" s="4"/>
      <c r="URF240" s="4"/>
      <c r="URG240" s="4"/>
      <c r="URH240" s="4"/>
      <c r="URI240" s="4"/>
      <c r="URJ240" s="4"/>
      <c r="URK240" s="4"/>
      <c r="URL240" s="4"/>
      <c r="URM240" s="4"/>
      <c r="URN240" s="4"/>
      <c r="URO240" s="4"/>
      <c r="URP240" s="4"/>
      <c r="URQ240" s="4"/>
      <c r="URR240" s="4"/>
      <c r="URS240" s="4"/>
      <c r="URT240" s="4"/>
      <c r="URU240" s="4"/>
      <c r="URV240" s="4"/>
      <c r="URW240" s="4"/>
      <c r="URX240" s="4"/>
      <c r="URY240" s="4"/>
      <c r="URZ240" s="4"/>
      <c r="USA240" s="4"/>
      <c r="USB240" s="4"/>
      <c r="USC240" s="4"/>
      <c r="USD240" s="4"/>
      <c r="USE240" s="4"/>
      <c r="USF240" s="4"/>
      <c r="USG240" s="4"/>
      <c r="USH240" s="4"/>
      <c r="USI240" s="4"/>
      <c r="USJ240" s="4"/>
      <c r="USK240" s="4"/>
      <c r="USL240" s="4"/>
      <c r="USM240" s="4"/>
      <c r="USN240" s="4"/>
      <c r="USO240" s="4"/>
      <c r="USP240" s="4"/>
      <c r="USQ240" s="4"/>
      <c r="USR240" s="4"/>
      <c r="USS240" s="4"/>
      <c r="UST240" s="4"/>
      <c r="USU240" s="4"/>
      <c r="USV240" s="4"/>
      <c r="USW240" s="4"/>
      <c r="USX240" s="4"/>
      <c r="USY240" s="4"/>
      <c r="USZ240" s="4"/>
      <c r="UTA240" s="4"/>
      <c r="UTB240" s="4"/>
      <c r="UTC240" s="4"/>
      <c r="UTD240" s="4"/>
      <c r="UTE240" s="4"/>
      <c r="UTF240" s="4"/>
      <c r="UTG240" s="4"/>
      <c r="UTH240" s="4"/>
      <c r="UTI240" s="4"/>
      <c r="UTJ240" s="4"/>
      <c r="UTK240" s="4"/>
      <c r="UTL240" s="4"/>
      <c r="UTM240" s="4"/>
      <c r="UTN240" s="4"/>
      <c r="UTO240" s="4"/>
      <c r="UTP240" s="4"/>
      <c r="UTQ240" s="4"/>
      <c r="UTR240" s="4"/>
      <c r="UTS240" s="4"/>
      <c r="UTT240" s="4"/>
      <c r="UTU240" s="4"/>
      <c r="UTV240" s="4"/>
      <c r="UTW240" s="4"/>
      <c r="UTX240" s="4"/>
      <c r="UTY240" s="4"/>
      <c r="UTZ240" s="4"/>
      <c r="UUA240" s="4"/>
      <c r="UUB240" s="4"/>
      <c r="UUC240" s="4"/>
      <c r="UUD240" s="4"/>
      <c r="UUE240" s="4"/>
      <c r="UUF240" s="4"/>
      <c r="UUG240" s="4"/>
      <c r="UUH240" s="4"/>
      <c r="UUI240" s="4"/>
      <c r="UUJ240" s="4"/>
      <c r="UUK240" s="4"/>
      <c r="UUL240" s="4"/>
      <c r="UUM240" s="4"/>
      <c r="UUN240" s="4"/>
      <c r="UUO240" s="4"/>
      <c r="UUP240" s="4"/>
      <c r="UUQ240" s="4"/>
      <c r="UUR240" s="4"/>
      <c r="UUS240" s="4"/>
      <c r="UUT240" s="4"/>
      <c r="UUU240" s="4"/>
      <c r="UUV240" s="4"/>
      <c r="UUW240" s="4"/>
      <c r="UUX240" s="4"/>
      <c r="UUY240" s="4"/>
      <c r="UUZ240" s="4"/>
      <c r="UVA240" s="4"/>
      <c r="UVB240" s="4"/>
      <c r="UVC240" s="4"/>
      <c r="UVD240" s="4"/>
      <c r="UVE240" s="4"/>
      <c r="UVF240" s="4"/>
      <c r="UVG240" s="4"/>
      <c r="UVH240" s="4"/>
      <c r="UVI240" s="4"/>
      <c r="UVJ240" s="4"/>
      <c r="UVK240" s="4"/>
      <c r="UVL240" s="4"/>
      <c r="UVM240" s="4"/>
      <c r="UVN240" s="4"/>
      <c r="UVO240" s="4"/>
      <c r="UVP240" s="4"/>
      <c r="UVQ240" s="4"/>
      <c r="UVR240" s="4"/>
      <c r="UVS240" s="4"/>
      <c r="UVT240" s="4"/>
      <c r="UVU240" s="4"/>
      <c r="UVV240" s="4"/>
      <c r="UVW240" s="4"/>
      <c r="UVX240" s="4"/>
      <c r="UVY240" s="4"/>
      <c r="UVZ240" s="4"/>
      <c r="UWA240" s="4"/>
      <c r="UWB240" s="4"/>
      <c r="UWC240" s="4"/>
      <c r="UWD240" s="4"/>
      <c r="UWE240" s="4"/>
      <c r="UWF240" s="4"/>
      <c r="UWG240" s="4"/>
      <c r="UWH240" s="4"/>
      <c r="UWI240" s="4"/>
      <c r="UWJ240" s="4"/>
      <c r="UWK240" s="4"/>
      <c r="UWL240" s="4"/>
      <c r="UWM240" s="4"/>
      <c r="UWN240" s="4"/>
      <c r="UWO240" s="4"/>
      <c r="UWP240" s="4"/>
      <c r="UWQ240" s="4"/>
      <c r="UWR240" s="4"/>
      <c r="UWS240" s="4"/>
      <c r="UWT240" s="4"/>
      <c r="UWU240" s="4"/>
      <c r="UWV240" s="4"/>
      <c r="UWW240" s="4"/>
      <c r="UWX240" s="4"/>
      <c r="UWY240" s="4"/>
      <c r="UWZ240" s="4"/>
      <c r="UXA240" s="4"/>
      <c r="UXB240" s="4"/>
      <c r="UXC240" s="4"/>
      <c r="UXD240" s="4"/>
      <c r="UXE240" s="4"/>
      <c r="UXF240" s="4"/>
      <c r="UXG240" s="4"/>
      <c r="UXH240" s="4"/>
      <c r="UXI240" s="4"/>
      <c r="UXJ240" s="4"/>
      <c r="UXK240" s="4"/>
      <c r="UXL240" s="4"/>
      <c r="UXM240" s="4"/>
      <c r="UXN240" s="4"/>
      <c r="UXO240" s="4"/>
      <c r="UXP240" s="4"/>
      <c r="UXQ240" s="4"/>
      <c r="UXR240" s="4"/>
      <c r="UXS240" s="4"/>
      <c r="UXT240" s="4"/>
      <c r="UXU240" s="4"/>
      <c r="UXV240" s="4"/>
      <c r="UXW240" s="4"/>
      <c r="UXX240" s="4"/>
      <c r="UXY240" s="4"/>
      <c r="UXZ240" s="4"/>
      <c r="UYA240" s="4"/>
      <c r="UYB240" s="4"/>
      <c r="UYC240" s="4"/>
      <c r="UYD240" s="4"/>
      <c r="UYE240" s="4"/>
      <c r="UYF240" s="4"/>
      <c r="UYG240" s="4"/>
      <c r="UYH240" s="4"/>
      <c r="UYI240" s="4"/>
      <c r="UYJ240" s="4"/>
      <c r="UYK240" s="4"/>
      <c r="UYL240" s="4"/>
      <c r="UYM240" s="4"/>
      <c r="UYN240" s="4"/>
      <c r="UYO240" s="4"/>
      <c r="UYP240" s="4"/>
      <c r="UYQ240" s="4"/>
      <c r="UYR240" s="4"/>
      <c r="UYS240" s="4"/>
      <c r="UYT240" s="4"/>
      <c r="UYU240" s="4"/>
      <c r="UYV240" s="4"/>
      <c r="UYW240" s="4"/>
      <c r="UYX240" s="4"/>
      <c r="UYY240" s="4"/>
      <c r="UYZ240" s="4"/>
      <c r="UZA240" s="4"/>
      <c r="UZB240" s="4"/>
      <c r="UZC240" s="4"/>
      <c r="UZD240" s="4"/>
      <c r="UZE240" s="4"/>
      <c r="UZF240" s="4"/>
      <c r="UZG240" s="4"/>
      <c r="UZH240" s="4"/>
      <c r="UZI240" s="4"/>
      <c r="UZJ240" s="4"/>
      <c r="UZK240" s="4"/>
      <c r="UZL240" s="4"/>
      <c r="UZM240" s="4"/>
      <c r="UZN240" s="4"/>
      <c r="UZO240" s="4"/>
      <c r="UZP240" s="4"/>
      <c r="UZQ240" s="4"/>
      <c r="UZR240" s="4"/>
      <c r="UZS240" s="4"/>
      <c r="UZT240" s="4"/>
      <c r="UZU240" s="4"/>
      <c r="UZV240" s="4"/>
      <c r="UZW240" s="4"/>
      <c r="UZX240" s="4"/>
      <c r="UZY240" s="4"/>
      <c r="UZZ240" s="4"/>
      <c r="VAA240" s="4"/>
      <c r="VAB240" s="4"/>
      <c r="VAC240" s="4"/>
      <c r="VAD240" s="4"/>
      <c r="VAE240" s="4"/>
      <c r="VAF240" s="4"/>
      <c r="VAG240" s="4"/>
      <c r="VAH240" s="4"/>
      <c r="VAI240" s="4"/>
      <c r="VAJ240" s="4"/>
      <c r="VAK240" s="4"/>
      <c r="VAL240" s="4"/>
      <c r="VAM240" s="4"/>
      <c r="VAN240" s="4"/>
      <c r="VAO240" s="4"/>
      <c r="VAP240" s="4"/>
      <c r="VAQ240" s="4"/>
      <c r="VAR240" s="4"/>
      <c r="VAS240" s="4"/>
      <c r="VAT240" s="4"/>
      <c r="VAU240" s="4"/>
      <c r="VAV240" s="4"/>
      <c r="VAW240" s="4"/>
      <c r="VAX240" s="4"/>
      <c r="VAY240" s="4"/>
      <c r="VAZ240" s="4"/>
      <c r="VBA240" s="4"/>
      <c r="VBB240" s="4"/>
      <c r="VBC240" s="4"/>
      <c r="VBD240" s="4"/>
      <c r="VBE240" s="4"/>
      <c r="VBF240" s="4"/>
      <c r="VBG240" s="4"/>
      <c r="VBH240" s="4"/>
      <c r="VBI240" s="4"/>
      <c r="VBJ240" s="4"/>
      <c r="VBK240" s="4"/>
      <c r="VBL240" s="4"/>
      <c r="VBM240" s="4"/>
      <c r="VBN240" s="4"/>
      <c r="VBO240" s="4"/>
      <c r="VBP240" s="4"/>
      <c r="VBQ240" s="4"/>
      <c r="VBR240" s="4"/>
      <c r="VBS240" s="4"/>
      <c r="VBT240" s="4"/>
      <c r="VBU240" s="4"/>
      <c r="VBV240" s="4"/>
      <c r="VBW240" s="4"/>
      <c r="VBX240" s="4"/>
      <c r="VBY240" s="4"/>
      <c r="VBZ240" s="4"/>
      <c r="VCA240" s="4"/>
      <c r="VCB240" s="4"/>
      <c r="VCC240" s="4"/>
      <c r="VCD240" s="4"/>
      <c r="VCE240" s="4"/>
      <c r="VCF240" s="4"/>
      <c r="VCG240" s="4"/>
      <c r="VCH240" s="4"/>
      <c r="VCI240" s="4"/>
      <c r="VCJ240" s="4"/>
      <c r="VCK240" s="4"/>
      <c r="VCL240" s="4"/>
      <c r="VCM240" s="4"/>
      <c r="VCN240" s="4"/>
      <c r="VCO240" s="4"/>
      <c r="VCP240" s="4"/>
      <c r="VCQ240" s="4"/>
      <c r="VCR240" s="4"/>
      <c r="VCS240" s="4"/>
      <c r="VCT240" s="4"/>
      <c r="VCU240" s="4"/>
      <c r="VCV240" s="4"/>
      <c r="VCW240" s="4"/>
      <c r="VCX240" s="4"/>
      <c r="VCY240" s="4"/>
      <c r="VCZ240" s="4"/>
      <c r="VDA240" s="4"/>
      <c r="VDB240" s="4"/>
      <c r="VDC240" s="4"/>
      <c r="VDD240" s="4"/>
      <c r="VDE240" s="4"/>
      <c r="VDF240" s="4"/>
      <c r="VDG240" s="4"/>
      <c r="VDH240" s="4"/>
      <c r="VDI240" s="4"/>
      <c r="VDJ240" s="4"/>
      <c r="VDK240" s="4"/>
      <c r="VDL240" s="4"/>
      <c r="VDM240" s="4"/>
      <c r="VDN240" s="4"/>
      <c r="VDO240" s="4"/>
      <c r="VDP240" s="4"/>
      <c r="VDQ240" s="4"/>
      <c r="VDR240" s="4"/>
      <c r="VDS240" s="4"/>
      <c r="VDT240" s="4"/>
      <c r="VDU240" s="4"/>
      <c r="VDV240" s="4"/>
      <c r="VDW240" s="4"/>
      <c r="VDX240" s="4"/>
      <c r="VDY240" s="4"/>
      <c r="VDZ240" s="4"/>
      <c r="VEA240" s="4"/>
      <c r="VEB240" s="4"/>
      <c r="VEC240" s="4"/>
      <c r="VED240" s="4"/>
      <c r="VEE240" s="4"/>
      <c r="VEF240" s="4"/>
      <c r="VEG240" s="4"/>
      <c r="VEH240" s="4"/>
      <c r="VEI240" s="4"/>
      <c r="VEJ240" s="4"/>
      <c r="VEK240" s="4"/>
      <c r="VEL240" s="4"/>
      <c r="VEM240" s="4"/>
      <c r="VEN240" s="4"/>
      <c r="VEO240" s="4"/>
      <c r="VEP240" s="4"/>
      <c r="VEQ240" s="4"/>
      <c r="VER240" s="4"/>
      <c r="VES240" s="4"/>
      <c r="VET240" s="4"/>
      <c r="VEU240" s="4"/>
      <c r="VEV240" s="4"/>
      <c r="VEW240" s="4"/>
      <c r="VEX240" s="4"/>
      <c r="VEY240" s="4"/>
      <c r="VEZ240" s="4"/>
      <c r="VFA240" s="4"/>
      <c r="VFB240" s="4"/>
      <c r="VFC240" s="4"/>
      <c r="VFD240" s="4"/>
      <c r="VFE240" s="4"/>
      <c r="VFF240" s="4"/>
      <c r="VFG240" s="4"/>
      <c r="VFH240" s="4"/>
      <c r="VFI240" s="4"/>
      <c r="VFJ240" s="4"/>
      <c r="VFK240" s="4"/>
      <c r="VFL240" s="4"/>
      <c r="VFM240" s="4"/>
      <c r="VFN240" s="4"/>
      <c r="VFO240" s="4"/>
      <c r="VFP240" s="4"/>
      <c r="VFQ240" s="4"/>
      <c r="VFR240" s="4"/>
      <c r="VFS240" s="4"/>
      <c r="VFT240" s="4"/>
      <c r="VFU240" s="4"/>
      <c r="VFV240" s="4"/>
      <c r="VFW240" s="4"/>
      <c r="VFX240" s="4"/>
      <c r="VFY240" s="4"/>
      <c r="VFZ240" s="4"/>
      <c r="VGA240" s="4"/>
      <c r="VGB240" s="4"/>
      <c r="VGC240" s="4"/>
      <c r="VGD240" s="4"/>
      <c r="VGE240" s="4"/>
      <c r="VGF240" s="4"/>
      <c r="VGG240" s="4"/>
      <c r="VGH240" s="4"/>
      <c r="VGI240" s="4"/>
      <c r="VGJ240" s="4"/>
      <c r="VGK240" s="4"/>
      <c r="VGL240" s="4"/>
      <c r="VGM240" s="4"/>
      <c r="VGN240" s="4"/>
      <c r="VGO240" s="4"/>
      <c r="VGP240" s="4"/>
      <c r="VGQ240" s="4"/>
      <c r="VGR240" s="4"/>
      <c r="VGS240" s="4"/>
      <c r="VGT240" s="4"/>
      <c r="VGU240" s="4"/>
      <c r="VGV240" s="4"/>
      <c r="VGW240" s="4"/>
      <c r="VGX240" s="4"/>
      <c r="VGY240" s="4"/>
      <c r="VGZ240" s="4"/>
      <c r="VHA240" s="4"/>
      <c r="VHB240" s="4"/>
      <c r="VHC240" s="4"/>
      <c r="VHD240" s="4"/>
      <c r="VHE240" s="4"/>
      <c r="VHF240" s="4"/>
      <c r="VHG240" s="4"/>
      <c r="VHH240" s="4"/>
      <c r="VHI240" s="4"/>
      <c r="VHJ240" s="4"/>
      <c r="VHK240" s="4"/>
      <c r="VHL240" s="4"/>
      <c r="VHM240" s="4"/>
      <c r="VHN240" s="4"/>
      <c r="VHO240" s="4"/>
      <c r="VHP240" s="4"/>
      <c r="VHQ240" s="4"/>
      <c r="VHR240" s="4"/>
      <c r="VHS240" s="4"/>
      <c r="VHT240" s="4"/>
      <c r="VHU240" s="4"/>
      <c r="VHV240" s="4"/>
      <c r="VHW240" s="4"/>
      <c r="VHX240" s="4"/>
      <c r="VHY240" s="4"/>
      <c r="VHZ240" s="4"/>
      <c r="VIA240" s="4"/>
      <c r="VIB240" s="4"/>
      <c r="VIC240" s="4"/>
      <c r="VID240" s="4"/>
      <c r="VIE240" s="4"/>
      <c r="VIF240" s="4"/>
      <c r="VIG240" s="4"/>
      <c r="VIH240" s="4"/>
      <c r="VII240" s="4"/>
      <c r="VIJ240" s="4"/>
      <c r="VIK240" s="4"/>
      <c r="VIL240" s="4"/>
      <c r="VIM240" s="4"/>
      <c r="VIN240" s="4"/>
      <c r="VIO240" s="4"/>
      <c r="VIP240" s="4"/>
      <c r="VIQ240" s="4"/>
      <c r="VIR240" s="4"/>
      <c r="VIS240" s="4"/>
      <c r="VIT240" s="4"/>
      <c r="VIU240" s="4"/>
      <c r="VIV240" s="4"/>
      <c r="VIW240" s="4"/>
      <c r="VIX240" s="4"/>
      <c r="VIY240" s="4"/>
      <c r="VIZ240" s="4"/>
      <c r="VJA240" s="4"/>
      <c r="VJB240" s="4"/>
      <c r="VJC240" s="4"/>
      <c r="VJD240" s="4"/>
      <c r="VJE240" s="4"/>
      <c r="VJF240" s="4"/>
      <c r="VJG240" s="4"/>
      <c r="VJH240" s="4"/>
      <c r="VJI240" s="4"/>
      <c r="VJJ240" s="4"/>
      <c r="VJK240" s="4"/>
      <c r="VJL240" s="4"/>
      <c r="VJM240" s="4"/>
      <c r="VJN240" s="4"/>
      <c r="VJO240" s="4"/>
      <c r="VJP240" s="4"/>
      <c r="VJQ240" s="4"/>
      <c r="VJR240" s="4"/>
      <c r="VJS240" s="4"/>
      <c r="VJT240" s="4"/>
      <c r="VJU240" s="4"/>
      <c r="VJV240" s="4"/>
      <c r="VJW240" s="4"/>
      <c r="VJX240" s="4"/>
      <c r="VJY240" s="4"/>
      <c r="VJZ240" s="4"/>
      <c r="VKA240" s="4"/>
      <c r="VKB240" s="4"/>
      <c r="VKC240" s="4"/>
      <c r="VKD240" s="4"/>
      <c r="VKE240" s="4"/>
      <c r="VKF240" s="4"/>
      <c r="VKG240" s="4"/>
      <c r="VKH240" s="4"/>
      <c r="VKI240" s="4"/>
      <c r="VKJ240" s="4"/>
      <c r="VKK240" s="4"/>
      <c r="VKL240" s="4"/>
      <c r="VKM240" s="4"/>
      <c r="VKN240" s="4"/>
      <c r="VKO240" s="4"/>
      <c r="VKP240" s="4"/>
      <c r="VKQ240" s="4"/>
      <c r="VKR240" s="4"/>
      <c r="VKS240" s="4"/>
      <c r="VKT240" s="4"/>
      <c r="VKU240" s="4"/>
      <c r="VKV240" s="4"/>
      <c r="VKW240" s="4"/>
      <c r="VKX240" s="4"/>
      <c r="VKY240" s="4"/>
      <c r="VKZ240" s="4"/>
      <c r="VLA240" s="4"/>
      <c r="VLB240" s="4"/>
      <c r="VLC240" s="4"/>
      <c r="VLD240" s="4"/>
      <c r="VLE240" s="4"/>
      <c r="VLF240" s="4"/>
      <c r="VLG240" s="4"/>
      <c r="VLH240" s="4"/>
      <c r="VLI240" s="4"/>
      <c r="VLJ240" s="4"/>
      <c r="VLK240" s="4"/>
      <c r="VLL240" s="4"/>
      <c r="VLM240" s="4"/>
      <c r="VLN240" s="4"/>
      <c r="VLO240" s="4"/>
      <c r="VLP240" s="4"/>
      <c r="VLQ240" s="4"/>
      <c r="VLR240" s="4"/>
      <c r="VLS240" s="4"/>
      <c r="VLT240" s="4"/>
      <c r="VLU240" s="4"/>
      <c r="VLV240" s="4"/>
      <c r="VLW240" s="4"/>
      <c r="VLX240" s="4"/>
      <c r="VLY240" s="4"/>
      <c r="VLZ240" s="4"/>
      <c r="VMA240" s="4"/>
      <c r="VMB240" s="4"/>
      <c r="VMC240" s="4"/>
      <c r="VMD240" s="4"/>
      <c r="VME240" s="4"/>
      <c r="VMF240" s="4"/>
      <c r="VMG240" s="4"/>
      <c r="VMH240" s="4"/>
      <c r="VMI240" s="4"/>
      <c r="VMJ240" s="4"/>
      <c r="VMK240" s="4"/>
      <c r="VML240" s="4"/>
      <c r="VMM240" s="4"/>
      <c r="VMN240" s="4"/>
      <c r="VMO240" s="4"/>
      <c r="VMP240" s="4"/>
      <c r="VMQ240" s="4"/>
      <c r="VMR240" s="4"/>
      <c r="VMS240" s="4"/>
      <c r="VMT240" s="4"/>
      <c r="VMU240" s="4"/>
      <c r="VMV240" s="4"/>
      <c r="VMW240" s="4"/>
      <c r="VMX240" s="4"/>
      <c r="VMY240" s="4"/>
      <c r="VMZ240" s="4"/>
      <c r="VNA240" s="4"/>
      <c r="VNB240" s="4"/>
      <c r="VNC240" s="4"/>
      <c r="VND240" s="4"/>
      <c r="VNE240" s="4"/>
      <c r="VNF240" s="4"/>
      <c r="VNG240" s="4"/>
      <c r="VNH240" s="4"/>
      <c r="VNI240" s="4"/>
      <c r="VNJ240" s="4"/>
      <c r="VNK240" s="4"/>
      <c r="VNL240" s="4"/>
      <c r="VNM240" s="4"/>
      <c r="VNN240" s="4"/>
      <c r="VNO240" s="4"/>
      <c r="VNP240" s="4"/>
      <c r="VNQ240" s="4"/>
      <c r="VNR240" s="4"/>
      <c r="VNS240" s="4"/>
      <c r="VNT240" s="4"/>
      <c r="VNU240" s="4"/>
      <c r="VNV240" s="4"/>
      <c r="VNW240" s="4"/>
      <c r="VNX240" s="4"/>
      <c r="VNY240" s="4"/>
      <c r="VNZ240" s="4"/>
      <c r="VOA240" s="4"/>
      <c r="VOB240" s="4"/>
      <c r="VOC240" s="4"/>
      <c r="VOD240" s="4"/>
      <c r="VOE240" s="4"/>
      <c r="VOF240" s="4"/>
      <c r="VOG240" s="4"/>
      <c r="VOH240" s="4"/>
      <c r="VOI240" s="4"/>
      <c r="VOJ240" s="4"/>
      <c r="VOK240" s="4"/>
      <c r="VOL240" s="4"/>
      <c r="VOM240" s="4"/>
      <c r="VON240" s="4"/>
      <c r="VOO240" s="4"/>
      <c r="VOP240" s="4"/>
      <c r="VOQ240" s="4"/>
      <c r="VOR240" s="4"/>
      <c r="VOS240" s="4"/>
      <c r="VOT240" s="4"/>
      <c r="VOU240" s="4"/>
      <c r="VOV240" s="4"/>
      <c r="VOW240" s="4"/>
      <c r="VOX240" s="4"/>
      <c r="VOY240" s="4"/>
      <c r="VOZ240" s="4"/>
      <c r="VPA240" s="4"/>
      <c r="VPB240" s="4"/>
      <c r="VPC240" s="4"/>
      <c r="VPD240" s="4"/>
      <c r="VPE240" s="4"/>
      <c r="VPF240" s="4"/>
      <c r="VPG240" s="4"/>
      <c r="VPH240" s="4"/>
      <c r="VPI240" s="4"/>
      <c r="VPJ240" s="4"/>
      <c r="VPK240" s="4"/>
      <c r="VPL240" s="4"/>
      <c r="VPM240" s="4"/>
      <c r="VPN240" s="4"/>
      <c r="VPO240" s="4"/>
      <c r="VPP240" s="4"/>
      <c r="VPQ240" s="4"/>
      <c r="VPR240" s="4"/>
      <c r="VPS240" s="4"/>
      <c r="VPT240" s="4"/>
      <c r="VPU240" s="4"/>
      <c r="VPV240" s="4"/>
      <c r="VPW240" s="4"/>
      <c r="VPX240" s="4"/>
      <c r="VPY240" s="4"/>
      <c r="VPZ240" s="4"/>
      <c r="VQA240" s="4"/>
      <c r="VQB240" s="4"/>
      <c r="VQC240" s="4"/>
      <c r="VQD240" s="4"/>
      <c r="VQE240" s="4"/>
      <c r="VQF240" s="4"/>
      <c r="VQG240" s="4"/>
      <c r="VQH240" s="4"/>
      <c r="VQI240" s="4"/>
      <c r="VQJ240" s="4"/>
      <c r="VQK240" s="4"/>
      <c r="VQL240" s="4"/>
      <c r="VQM240" s="4"/>
      <c r="VQN240" s="4"/>
      <c r="VQO240" s="4"/>
      <c r="VQP240" s="4"/>
      <c r="VQQ240" s="4"/>
      <c r="VQR240" s="4"/>
      <c r="VQS240" s="4"/>
      <c r="VQT240" s="4"/>
      <c r="VQU240" s="4"/>
      <c r="VQV240" s="4"/>
      <c r="VQW240" s="4"/>
      <c r="VQX240" s="4"/>
      <c r="VQY240" s="4"/>
      <c r="VQZ240" s="4"/>
      <c r="VRA240" s="4"/>
      <c r="VRB240" s="4"/>
      <c r="VRC240" s="4"/>
      <c r="VRD240" s="4"/>
      <c r="VRE240" s="4"/>
      <c r="VRF240" s="4"/>
      <c r="VRG240" s="4"/>
      <c r="VRH240" s="4"/>
      <c r="VRI240" s="4"/>
      <c r="VRJ240" s="4"/>
      <c r="VRK240" s="4"/>
      <c r="VRL240" s="4"/>
      <c r="VRM240" s="4"/>
      <c r="VRN240" s="4"/>
      <c r="VRO240" s="4"/>
      <c r="VRP240" s="4"/>
      <c r="VRQ240" s="4"/>
      <c r="VRR240" s="4"/>
      <c r="VRS240" s="4"/>
      <c r="VRT240" s="4"/>
      <c r="VRU240" s="4"/>
      <c r="VRV240" s="4"/>
      <c r="VRW240" s="4"/>
      <c r="VRX240" s="4"/>
      <c r="VRY240" s="4"/>
      <c r="VRZ240" s="4"/>
      <c r="VSA240" s="4"/>
      <c r="VSB240" s="4"/>
      <c r="VSC240" s="4"/>
      <c r="VSD240" s="4"/>
      <c r="VSE240" s="4"/>
      <c r="VSF240" s="4"/>
      <c r="VSG240" s="4"/>
      <c r="VSH240" s="4"/>
      <c r="VSI240" s="4"/>
      <c r="VSJ240" s="4"/>
      <c r="VSK240" s="4"/>
      <c r="VSL240" s="4"/>
      <c r="VSM240" s="4"/>
      <c r="VSN240" s="4"/>
      <c r="VSO240" s="4"/>
      <c r="VSP240" s="4"/>
      <c r="VSQ240" s="4"/>
      <c r="VSR240" s="4"/>
      <c r="VSS240" s="4"/>
      <c r="VST240" s="4"/>
      <c r="VSU240" s="4"/>
      <c r="VSV240" s="4"/>
      <c r="VSW240" s="4"/>
      <c r="VSX240" s="4"/>
      <c r="VSY240" s="4"/>
      <c r="VSZ240" s="4"/>
      <c r="VTA240" s="4"/>
      <c r="VTB240" s="4"/>
      <c r="VTC240" s="4"/>
      <c r="VTD240" s="4"/>
      <c r="VTE240" s="4"/>
      <c r="VTF240" s="4"/>
      <c r="VTG240" s="4"/>
      <c r="VTH240" s="4"/>
      <c r="VTI240" s="4"/>
      <c r="VTJ240" s="4"/>
      <c r="VTK240" s="4"/>
      <c r="VTL240" s="4"/>
      <c r="VTM240" s="4"/>
      <c r="VTN240" s="4"/>
      <c r="VTO240" s="4"/>
      <c r="VTP240" s="4"/>
      <c r="VTQ240" s="4"/>
      <c r="VTR240" s="4"/>
      <c r="VTS240" s="4"/>
      <c r="VTT240" s="4"/>
      <c r="VTU240" s="4"/>
      <c r="VTV240" s="4"/>
      <c r="VTW240" s="4"/>
      <c r="VTX240" s="4"/>
      <c r="VTY240" s="4"/>
      <c r="VTZ240" s="4"/>
      <c r="VUA240" s="4"/>
      <c r="VUB240" s="4"/>
      <c r="VUC240" s="4"/>
      <c r="VUD240" s="4"/>
      <c r="VUE240" s="4"/>
      <c r="VUF240" s="4"/>
      <c r="VUG240" s="4"/>
      <c r="VUH240" s="4"/>
      <c r="VUI240" s="4"/>
      <c r="VUJ240" s="4"/>
      <c r="VUK240" s="4"/>
      <c r="VUL240" s="4"/>
      <c r="VUM240" s="4"/>
      <c r="VUN240" s="4"/>
      <c r="VUO240" s="4"/>
      <c r="VUP240" s="4"/>
      <c r="VUQ240" s="4"/>
      <c r="VUR240" s="4"/>
      <c r="VUS240" s="4"/>
      <c r="VUT240" s="4"/>
      <c r="VUU240" s="4"/>
      <c r="VUV240" s="4"/>
      <c r="VUW240" s="4"/>
      <c r="VUX240" s="4"/>
      <c r="VUY240" s="4"/>
      <c r="VUZ240" s="4"/>
      <c r="VVA240" s="4"/>
      <c r="VVB240" s="4"/>
      <c r="VVC240" s="4"/>
      <c r="VVD240" s="4"/>
      <c r="VVE240" s="4"/>
      <c r="VVF240" s="4"/>
      <c r="VVG240" s="4"/>
      <c r="VVH240" s="4"/>
      <c r="VVI240" s="4"/>
      <c r="VVJ240" s="4"/>
      <c r="VVK240" s="4"/>
      <c r="VVL240" s="4"/>
      <c r="VVM240" s="4"/>
      <c r="VVN240" s="4"/>
      <c r="VVO240" s="4"/>
      <c r="VVP240" s="4"/>
      <c r="VVQ240" s="4"/>
      <c r="VVR240" s="4"/>
      <c r="VVS240" s="4"/>
      <c r="VVT240" s="4"/>
      <c r="VVU240" s="4"/>
      <c r="VVV240" s="4"/>
      <c r="VVW240" s="4"/>
      <c r="VVX240" s="4"/>
      <c r="VVY240" s="4"/>
      <c r="VVZ240" s="4"/>
      <c r="VWA240" s="4"/>
      <c r="VWB240" s="4"/>
      <c r="VWC240" s="4"/>
      <c r="VWD240" s="4"/>
      <c r="VWE240" s="4"/>
      <c r="VWF240" s="4"/>
      <c r="VWG240" s="4"/>
      <c r="VWH240" s="4"/>
      <c r="VWI240" s="4"/>
      <c r="VWJ240" s="4"/>
      <c r="VWK240" s="4"/>
      <c r="VWL240" s="4"/>
      <c r="VWM240" s="4"/>
      <c r="VWN240" s="4"/>
      <c r="VWO240" s="4"/>
      <c r="VWP240" s="4"/>
      <c r="VWQ240" s="4"/>
      <c r="VWR240" s="4"/>
      <c r="VWS240" s="4"/>
      <c r="VWT240" s="4"/>
      <c r="VWU240" s="4"/>
      <c r="VWV240" s="4"/>
      <c r="VWW240" s="4"/>
      <c r="VWX240" s="4"/>
      <c r="VWY240" s="4"/>
      <c r="VWZ240" s="4"/>
      <c r="VXA240" s="4"/>
      <c r="VXB240" s="4"/>
      <c r="VXC240" s="4"/>
      <c r="VXD240" s="4"/>
      <c r="VXE240" s="4"/>
      <c r="VXF240" s="4"/>
      <c r="VXG240" s="4"/>
      <c r="VXH240" s="4"/>
      <c r="VXI240" s="4"/>
      <c r="VXJ240" s="4"/>
      <c r="VXK240" s="4"/>
      <c r="VXL240" s="4"/>
      <c r="VXM240" s="4"/>
      <c r="VXN240" s="4"/>
      <c r="VXO240" s="4"/>
      <c r="VXP240" s="4"/>
      <c r="VXQ240" s="4"/>
      <c r="VXR240" s="4"/>
      <c r="VXS240" s="4"/>
      <c r="VXT240" s="4"/>
      <c r="VXU240" s="4"/>
      <c r="VXV240" s="4"/>
      <c r="VXW240" s="4"/>
      <c r="VXX240" s="4"/>
      <c r="VXY240" s="4"/>
      <c r="VXZ240" s="4"/>
      <c r="VYA240" s="4"/>
      <c r="VYB240" s="4"/>
      <c r="VYC240" s="4"/>
      <c r="VYD240" s="4"/>
      <c r="VYE240" s="4"/>
      <c r="VYF240" s="4"/>
      <c r="VYG240" s="4"/>
      <c r="VYH240" s="4"/>
      <c r="VYI240" s="4"/>
      <c r="VYJ240" s="4"/>
      <c r="VYK240" s="4"/>
      <c r="VYL240" s="4"/>
      <c r="VYM240" s="4"/>
      <c r="VYN240" s="4"/>
      <c r="VYO240" s="4"/>
      <c r="VYP240" s="4"/>
      <c r="VYQ240" s="4"/>
      <c r="VYR240" s="4"/>
      <c r="VYS240" s="4"/>
      <c r="VYT240" s="4"/>
      <c r="VYU240" s="4"/>
      <c r="VYV240" s="4"/>
      <c r="VYW240" s="4"/>
      <c r="VYX240" s="4"/>
      <c r="VYY240" s="4"/>
      <c r="VYZ240" s="4"/>
      <c r="VZA240" s="4"/>
      <c r="VZB240" s="4"/>
      <c r="VZC240" s="4"/>
      <c r="VZD240" s="4"/>
      <c r="VZE240" s="4"/>
      <c r="VZF240" s="4"/>
      <c r="VZG240" s="4"/>
      <c r="VZH240" s="4"/>
      <c r="VZI240" s="4"/>
      <c r="VZJ240" s="4"/>
      <c r="VZK240" s="4"/>
      <c r="VZL240" s="4"/>
      <c r="VZM240" s="4"/>
      <c r="VZN240" s="4"/>
      <c r="VZO240" s="4"/>
      <c r="VZP240" s="4"/>
      <c r="VZQ240" s="4"/>
      <c r="VZR240" s="4"/>
      <c r="VZS240" s="4"/>
      <c r="VZT240" s="4"/>
      <c r="VZU240" s="4"/>
      <c r="VZV240" s="4"/>
      <c r="VZW240" s="4"/>
      <c r="VZX240" s="4"/>
      <c r="VZY240" s="4"/>
      <c r="VZZ240" s="4"/>
      <c r="WAA240" s="4"/>
      <c r="WAB240" s="4"/>
      <c r="WAC240" s="4"/>
      <c r="WAD240" s="4"/>
      <c r="WAE240" s="4"/>
      <c r="WAF240" s="4"/>
      <c r="WAG240" s="4"/>
      <c r="WAH240" s="4"/>
      <c r="WAI240" s="4"/>
      <c r="WAJ240" s="4"/>
      <c r="WAK240" s="4"/>
      <c r="WAL240" s="4"/>
      <c r="WAM240" s="4"/>
      <c r="WAN240" s="4"/>
      <c r="WAO240" s="4"/>
      <c r="WAP240" s="4"/>
      <c r="WAQ240" s="4"/>
      <c r="WAR240" s="4"/>
      <c r="WAS240" s="4"/>
      <c r="WAT240" s="4"/>
      <c r="WAU240" s="4"/>
      <c r="WAV240" s="4"/>
      <c r="WAW240" s="4"/>
      <c r="WAX240" s="4"/>
      <c r="WAY240" s="4"/>
      <c r="WAZ240" s="4"/>
      <c r="WBA240" s="4"/>
      <c r="WBB240" s="4"/>
      <c r="WBC240" s="4"/>
      <c r="WBD240" s="4"/>
      <c r="WBE240" s="4"/>
      <c r="WBF240" s="4"/>
      <c r="WBG240" s="4"/>
      <c r="WBH240" s="4"/>
      <c r="WBI240" s="4"/>
      <c r="WBJ240" s="4"/>
      <c r="WBK240" s="4"/>
      <c r="WBL240" s="4"/>
      <c r="WBM240" s="4"/>
      <c r="WBN240" s="4"/>
      <c r="WBO240" s="4"/>
      <c r="WBP240" s="4"/>
      <c r="WBQ240" s="4"/>
      <c r="WBR240" s="4"/>
      <c r="WBS240" s="4"/>
      <c r="WBT240" s="4"/>
      <c r="WBU240" s="4"/>
      <c r="WBV240" s="4"/>
      <c r="WBW240" s="4"/>
      <c r="WBX240" s="4"/>
      <c r="WBY240" s="4"/>
      <c r="WBZ240" s="4"/>
      <c r="WCA240" s="4"/>
      <c r="WCB240" s="4"/>
      <c r="WCC240" s="4"/>
      <c r="WCD240" s="4"/>
      <c r="WCE240" s="4"/>
      <c r="WCF240" s="4"/>
      <c r="WCG240" s="4"/>
      <c r="WCH240" s="4"/>
      <c r="WCI240" s="4"/>
      <c r="WCJ240" s="4"/>
      <c r="WCK240" s="4"/>
      <c r="WCL240" s="4"/>
      <c r="WCM240" s="4"/>
      <c r="WCN240" s="4"/>
      <c r="WCO240" s="4"/>
      <c r="WCP240" s="4"/>
      <c r="WCQ240" s="4"/>
      <c r="WCR240" s="4"/>
      <c r="WCS240" s="4"/>
      <c r="WCT240" s="4"/>
      <c r="WCU240" s="4"/>
      <c r="WCV240" s="4"/>
      <c r="WCW240" s="4"/>
      <c r="WCX240" s="4"/>
      <c r="WCY240" s="4"/>
      <c r="WCZ240" s="4"/>
      <c r="WDA240" s="4"/>
      <c r="WDB240" s="4"/>
      <c r="WDC240" s="4"/>
      <c r="WDD240" s="4"/>
      <c r="WDE240" s="4"/>
      <c r="WDF240" s="4"/>
      <c r="WDG240" s="4"/>
      <c r="WDH240" s="4"/>
      <c r="WDI240" s="4"/>
      <c r="WDJ240" s="4"/>
      <c r="WDK240" s="4"/>
      <c r="WDL240" s="4"/>
      <c r="WDM240" s="4"/>
      <c r="WDN240" s="4"/>
      <c r="WDO240" s="4"/>
      <c r="WDP240" s="4"/>
      <c r="WDQ240" s="4"/>
      <c r="WDR240" s="4"/>
      <c r="WDS240" s="4"/>
      <c r="WDT240" s="4"/>
      <c r="WDU240" s="4"/>
      <c r="WDV240" s="4"/>
      <c r="WDW240" s="4"/>
      <c r="WDX240" s="4"/>
      <c r="WDY240" s="4"/>
      <c r="WDZ240" s="4"/>
      <c r="WEA240" s="4"/>
      <c r="WEB240" s="4"/>
      <c r="WEC240" s="4"/>
      <c r="WED240" s="4"/>
      <c r="WEE240" s="4"/>
      <c r="WEF240" s="4"/>
      <c r="WEG240" s="4"/>
      <c r="WEH240" s="4"/>
      <c r="WEI240" s="4"/>
      <c r="WEJ240" s="4"/>
      <c r="WEK240" s="4"/>
      <c r="WEL240" s="4"/>
      <c r="WEM240" s="4"/>
      <c r="WEN240" s="4"/>
      <c r="WEO240" s="4"/>
      <c r="WEP240" s="4"/>
      <c r="WEQ240" s="4"/>
      <c r="WER240" s="4"/>
      <c r="WES240" s="4"/>
      <c r="WET240" s="4"/>
      <c r="WEU240" s="4"/>
      <c r="WEV240" s="4"/>
      <c r="WEW240" s="4"/>
      <c r="WEX240" s="4"/>
      <c r="WEY240" s="4"/>
      <c r="WEZ240" s="4"/>
      <c r="WFA240" s="4"/>
      <c r="WFB240" s="4"/>
      <c r="WFC240" s="4"/>
      <c r="WFD240" s="4"/>
      <c r="WFE240" s="4"/>
      <c r="WFF240" s="4"/>
      <c r="WFG240" s="4"/>
      <c r="WFH240" s="4"/>
      <c r="WFI240" s="4"/>
      <c r="WFJ240" s="4"/>
      <c r="WFK240" s="4"/>
      <c r="WFL240" s="4"/>
      <c r="WFM240" s="4"/>
      <c r="WFN240" s="4"/>
      <c r="WFO240" s="4"/>
      <c r="WFP240" s="4"/>
      <c r="WFQ240" s="4"/>
      <c r="WFR240" s="4"/>
      <c r="WFS240" s="4"/>
      <c r="WFT240" s="4"/>
      <c r="WFU240" s="4"/>
      <c r="WFV240" s="4"/>
      <c r="WFW240" s="4"/>
      <c r="WFX240" s="4"/>
      <c r="WFY240" s="4"/>
      <c r="WFZ240" s="4"/>
      <c r="WGA240" s="4"/>
      <c r="WGB240" s="4"/>
      <c r="WGC240" s="4"/>
      <c r="WGD240" s="4"/>
      <c r="WGE240" s="4"/>
      <c r="WGF240" s="4"/>
      <c r="WGG240" s="4"/>
      <c r="WGH240" s="4"/>
      <c r="WGI240" s="4"/>
      <c r="WGJ240" s="4"/>
      <c r="WGK240" s="4"/>
      <c r="WGL240" s="4"/>
      <c r="WGM240" s="4"/>
      <c r="WGN240" s="4"/>
      <c r="WGO240" s="4"/>
      <c r="WGP240" s="4"/>
      <c r="WGQ240" s="4"/>
      <c r="WGR240" s="4"/>
      <c r="WGS240" s="4"/>
      <c r="WGT240" s="4"/>
      <c r="WGU240" s="4"/>
      <c r="WGV240" s="4"/>
      <c r="WGW240" s="4"/>
      <c r="WGX240" s="4"/>
      <c r="WGY240" s="4"/>
      <c r="WGZ240" s="4"/>
      <c r="WHA240" s="4"/>
      <c r="WHB240" s="4"/>
      <c r="WHC240" s="4"/>
      <c r="WHD240" s="4"/>
      <c r="WHE240" s="4"/>
      <c r="WHF240" s="4"/>
      <c r="WHG240" s="4"/>
      <c r="WHH240" s="4"/>
      <c r="WHI240" s="4"/>
      <c r="WHJ240" s="4"/>
      <c r="WHK240" s="4"/>
      <c r="WHL240" s="4"/>
      <c r="WHM240" s="4"/>
      <c r="WHN240" s="4"/>
      <c r="WHO240" s="4"/>
      <c r="WHP240" s="4"/>
      <c r="WHQ240" s="4"/>
      <c r="WHR240" s="4"/>
      <c r="WHS240" s="4"/>
      <c r="WHT240" s="4"/>
      <c r="WHU240" s="4"/>
      <c r="WHV240" s="4"/>
      <c r="WHW240" s="4"/>
      <c r="WHX240" s="4"/>
      <c r="WHY240" s="4"/>
      <c r="WHZ240" s="4"/>
      <c r="WIA240" s="4"/>
      <c r="WIB240" s="4"/>
      <c r="WIC240" s="4"/>
      <c r="WID240" s="4"/>
      <c r="WIE240" s="4"/>
      <c r="WIF240" s="4"/>
      <c r="WIG240" s="4"/>
      <c r="WIH240" s="4"/>
      <c r="WII240" s="4"/>
      <c r="WIJ240" s="4"/>
      <c r="WIK240" s="4"/>
      <c r="WIL240" s="4"/>
      <c r="WIM240" s="4"/>
      <c r="WIN240" s="4"/>
      <c r="WIO240" s="4"/>
      <c r="WIP240" s="4"/>
      <c r="WIQ240" s="4"/>
      <c r="WIR240" s="4"/>
      <c r="WIS240" s="4"/>
      <c r="WIT240" s="4"/>
      <c r="WIU240" s="4"/>
      <c r="WIV240" s="4"/>
      <c r="WIW240" s="4"/>
      <c r="WIX240" s="4"/>
      <c r="WIY240" s="4"/>
      <c r="WIZ240" s="4"/>
      <c r="WJA240" s="4"/>
      <c r="WJB240" s="4"/>
      <c r="WJC240" s="4"/>
      <c r="WJD240" s="4"/>
      <c r="WJE240" s="4"/>
      <c r="WJF240" s="4"/>
      <c r="WJG240" s="4"/>
      <c r="WJH240" s="4"/>
      <c r="WJI240" s="4"/>
      <c r="WJJ240" s="4"/>
      <c r="WJK240" s="4"/>
      <c r="WJL240" s="4"/>
      <c r="WJM240" s="4"/>
      <c r="WJN240" s="4"/>
      <c r="WJO240" s="4"/>
      <c r="WJP240" s="4"/>
      <c r="WJQ240" s="4"/>
      <c r="WJR240" s="4"/>
      <c r="WJS240" s="4"/>
      <c r="WJT240" s="4"/>
      <c r="WJU240" s="4"/>
      <c r="WJV240" s="4"/>
      <c r="WJW240" s="4"/>
      <c r="WJX240" s="4"/>
      <c r="WJY240" s="4"/>
      <c r="WJZ240" s="4"/>
      <c r="WKA240" s="4"/>
      <c r="WKB240" s="4"/>
      <c r="WKC240" s="4"/>
      <c r="WKD240" s="4"/>
      <c r="WKE240" s="4"/>
      <c r="WKF240" s="4"/>
      <c r="WKG240" s="4"/>
      <c r="WKH240" s="4"/>
      <c r="WKI240" s="4"/>
      <c r="WKJ240" s="4"/>
      <c r="WKK240" s="4"/>
      <c r="WKL240" s="4"/>
      <c r="WKM240" s="4"/>
      <c r="WKN240" s="4"/>
      <c r="WKO240" s="4"/>
      <c r="WKP240" s="4"/>
      <c r="WKQ240" s="4"/>
      <c r="WKR240" s="4"/>
      <c r="WKS240" s="4"/>
      <c r="WKT240" s="4"/>
      <c r="WKU240" s="4"/>
      <c r="WKV240" s="4"/>
      <c r="WKW240" s="4"/>
      <c r="WKX240" s="4"/>
      <c r="WKY240" s="4"/>
      <c r="WKZ240" s="4"/>
      <c r="WLA240" s="4"/>
      <c r="WLB240" s="4"/>
      <c r="WLC240" s="4"/>
      <c r="WLD240" s="4"/>
      <c r="WLE240" s="4"/>
      <c r="WLF240" s="4"/>
      <c r="WLG240" s="4"/>
      <c r="WLH240" s="4"/>
      <c r="WLI240" s="4"/>
      <c r="WLJ240" s="4"/>
      <c r="WLK240" s="4"/>
      <c r="WLL240" s="4"/>
      <c r="WLM240" s="4"/>
      <c r="WLN240" s="4"/>
      <c r="WLO240" s="4"/>
      <c r="WLP240" s="4"/>
      <c r="WLQ240" s="4"/>
      <c r="WLR240" s="4"/>
      <c r="WLS240" s="4"/>
      <c r="WLT240" s="4"/>
      <c r="WLU240" s="4"/>
      <c r="WLV240" s="4"/>
      <c r="WLW240" s="4"/>
      <c r="WLX240" s="4"/>
      <c r="WLY240" s="4"/>
      <c r="WLZ240" s="4"/>
      <c r="WMA240" s="4"/>
      <c r="WMB240" s="4"/>
      <c r="WMC240" s="4"/>
      <c r="WMD240" s="4"/>
      <c r="WME240" s="4"/>
      <c r="WMF240" s="4"/>
      <c r="WMG240" s="4"/>
      <c r="WMH240" s="4"/>
      <c r="WMI240" s="4"/>
      <c r="WMJ240" s="4"/>
      <c r="WMK240" s="4"/>
      <c r="WML240" s="4"/>
      <c r="WMM240" s="4"/>
      <c r="WMN240" s="4"/>
      <c r="WMO240" s="4"/>
      <c r="WMP240" s="4"/>
      <c r="WMQ240" s="4"/>
      <c r="WMR240" s="4"/>
      <c r="WMS240" s="4"/>
      <c r="WMT240" s="4"/>
      <c r="WMU240" s="4"/>
      <c r="WMV240" s="4"/>
      <c r="WMW240" s="4"/>
      <c r="WMX240" s="4"/>
      <c r="WMY240" s="4"/>
      <c r="WMZ240" s="4"/>
      <c r="WNA240" s="4"/>
      <c r="WNB240" s="4"/>
      <c r="WNC240" s="4"/>
      <c r="WND240" s="4"/>
      <c r="WNE240" s="4"/>
      <c r="WNF240" s="4"/>
      <c r="WNG240" s="4"/>
      <c r="WNH240" s="4"/>
      <c r="WNI240" s="4"/>
      <c r="WNJ240" s="4"/>
      <c r="WNK240" s="4"/>
      <c r="WNL240" s="4"/>
      <c r="WNM240" s="4"/>
      <c r="WNN240" s="4"/>
      <c r="WNO240" s="4"/>
      <c r="WNP240" s="4"/>
      <c r="WNQ240" s="4"/>
      <c r="WNR240" s="4"/>
      <c r="WNS240" s="4"/>
      <c r="WNT240" s="4"/>
      <c r="WNU240" s="4"/>
      <c r="WNV240" s="4"/>
      <c r="WNW240" s="4"/>
      <c r="WNX240" s="4"/>
      <c r="WNY240" s="4"/>
      <c r="WNZ240" s="4"/>
      <c r="WOA240" s="4"/>
      <c r="WOB240" s="4"/>
      <c r="WOC240" s="4"/>
      <c r="WOD240" s="4"/>
      <c r="WOE240" s="4"/>
      <c r="WOF240" s="4"/>
      <c r="WOG240" s="4"/>
      <c r="WOH240" s="4"/>
      <c r="WOI240" s="4"/>
      <c r="WOJ240" s="4"/>
      <c r="WOK240" s="4"/>
      <c r="WOL240" s="4"/>
      <c r="WOM240" s="4"/>
      <c r="WON240" s="4"/>
      <c r="WOO240" s="4"/>
      <c r="WOP240" s="4"/>
      <c r="WOQ240" s="4"/>
      <c r="WOR240" s="4"/>
      <c r="WOS240" s="4"/>
      <c r="WOT240" s="4"/>
      <c r="WOU240" s="4"/>
      <c r="WOV240" s="4"/>
      <c r="WOW240" s="4"/>
      <c r="WOX240" s="4"/>
      <c r="WOY240" s="4"/>
      <c r="WOZ240" s="4"/>
      <c r="WPA240" s="4"/>
      <c r="WPB240" s="4"/>
      <c r="WPC240" s="4"/>
      <c r="WPD240" s="4"/>
      <c r="WPE240" s="4"/>
      <c r="WPF240" s="4"/>
      <c r="WPG240" s="4"/>
      <c r="WPH240" s="4"/>
      <c r="WPI240" s="4"/>
      <c r="WPJ240" s="4"/>
      <c r="WPK240" s="4"/>
      <c r="WPL240" s="4"/>
      <c r="WPM240" s="4"/>
      <c r="WPN240" s="4"/>
      <c r="WPO240" s="4"/>
      <c r="WPP240" s="4"/>
      <c r="WPQ240" s="4"/>
      <c r="WPR240" s="4"/>
      <c r="WPS240" s="4"/>
      <c r="WPT240" s="4"/>
      <c r="WPU240" s="4"/>
      <c r="WPV240" s="4"/>
      <c r="WPW240" s="4"/>
      <c r="WPX240" s="4"/>
      <c r="WPY240" s="4"/>
      <c r="WPZ240" s="4"/>
      <c r="WQA240" s="4"/>
      <c r="WQB240" s="4"/>
      <c r="WQC240" s="4"/>
      <c r="WQD240" s="4"/>
      <c r="WQE240" s="4"/>
      <c r="WQF240" s="4"/>
      <c r="WQG240" s="4"/>
      <c r="WQH240" s="4"/>
      <c r="WQI240" s="4"/>
      <c r="WQJ240" s="4"/>
      <c r="WQK240" s="4"/>
      <c r="WQL240" s="4"/>
      <c r="WQM240" s="4"/>
      <c r="WQN240" s="4"/>
      <c r="WQO240" s="4"/>
      <c r="WQP240" s="4"/>
      <c r="WQQ240" s="4"/>
      <c r="WQR240" s="4"/>
      <c r="WQS240" s="4"/>
      <c r="WQT240" s="4"/>
      <c r="WQU240" s="4"/>
      <c r="WQV240" s="4"/>
      <c r="WQW240" s="4"/>
      <c r="WQX240" s="4"/>
      <c r="WQY240" s="4"/>
      <c r="WQZ240" s="4"/>
      <c r="WRA240" s="4"/>
      <c r="WRB240" s="4"/>
      <c r="WRC240" s="4"/>
      <c r="WRD240" s="4"/>
      <c r="WRE240" s="4"/>
      <c r="WRF240" s="4"/>
      <c r="WRG240" s="4"/>
      <c r="WRH240" s="4"/>
      <c r="WRI240" s="4"/>
      <c r="WRJ240" s="4"/>
      <c r="WRK240" s="4"/>
      <c r="WRL240" s="4"/>
      <c r="WRM240" s="4"/>
      <c r="WRN240" s="4"/>
      <c r="WRO240" s="4"/>
      <c r="WRP240" s="4"/>
      <c r="WRQ240" s="4"/>
      <c r="WRR240" s="4"/>
      <c r="WRS240" s="4"/>
      <c r="WRT240" s="4"/>
      <c r="WRU240" s="4"/>
      <c r="WRV240" s="4"/>
      <c r="WRW240" s="4"/>
      <c r="WRX240" s="4"/>
      <c r="WRY240" s="4"/>
      <c r="WRZ240" s="4"/>
      <c r="WSA240" s="4"/>
      <c r="WSB240" s="4"/>
      <c r="WSC240" s="4"/>
      <c r="WSD240" s="4"/>
      <c r="WSE240" s="4"/>
      <c r="WSF240" s="4"/>
      <c r="WSG240" s="4"/>
      <c r="WSH240" s="4"/>
      <c r="WSI240" s="4"/>
      <c r="WSJ240" s="4"/>
      <c r="WSK240" s="4"/>
      <c r="WSL240" s="4"/>
      <c r="WSM240" s="4"/>
      <c r="WSN240" s="4"/>
      <c r="WSO240" s="4"/>
      <c r="WSP240" s="4"/>
      <c r="WSQ240" s="4"/>
      <c r="WSR240" s="4"/>
      <c r="WSS240" s="4"/>
      <c r="WST240" s="4"/>
      <c r="WSU240" s="4"/>
      <c r="WSV240" s="4"/>
      <c r="WSW240" s="4"/>
      <c r="WSX240" s="4"/>
      <c r="WSY240" s="4"/>
      <c r="WSZ240" s="4"/>
      <c r="WTA240" s="4"/>
      <c r="WTB240" s="4"/>
      <c r="WTC240" s="4"/>
      <c r="WTD240" s="4"/>
      <c r="WTE240" s="4"/>
      <c r="WTF240" s="4"/>
      <c r="WTG240" s="4"/>
      <c r="WTH240" s="4"/>
      <c r="WTI240" s="4"/>
      <c r="WTJ240" s="4"/>
      <c r="WTK240" s="4"/>
      <c r="WTL240" s="4"/>
      <c r="WTM240" s="4"/>
      <c r="WTN240" s="4"/>
      <c r="WTO240" s="4"/>
      <c r="WTP240" s="4"/>
      <c r="WTQ240" s="4"/>
      <c r="WTR240" s="4"/>
      <c r="WTS240" s="4"/>
      <c r="WTT240" s="4"/>
      <c r="WTU240" s="4"/>
      <c r="WTV240" s="4"/>
      <c r="WTW240" s="4"/>
      <c r="WTX240" s="4"/>
      <c r="WTY240" s="4"/>
      <c r="WTZ240" s="4"/>
      <c r="WUA240" s="4"/>
      <c r="WUB240" s="4"/>
      <c r="WUC240" s="4"/>
      <c r="WUD240" s="4"/>
      <c r="WUE240" s="4"/>
      <c r="WUF240" s="4"/>
      <c r="WUG240" s="4"/>
      <c r="WUH240" s="4"/>
      <c r="WUI240" s="4"/>
      <c r="WUJ240" s="4"/>
      <c r="WUK240" s="4"/>
      <c r="WUL240" s="4"/>
      <c r="WUM240" s="4"/>
      <c r="WUN240" s="4"/>
      <c r="WUO240" s="4"/>
      <c r="WUP240" s="4"/>
      <c r="WUQ240" s="4"/>
      <c r="WUR240" s="4"/>
      <c r="WUS240" s="4"/>
      <c r="WUT240" s="4"/>
      <c r="WUU240" s="4"/>
      <c r="WUV240" s="4"/>
      <c r="WUW240" s="4"/>
      <c r="WUX240" s="4"/>
      <c r="WUY240" s="4"/>
      <c r="WUZ240" s="4"/>
      <c r="WVA240" s="4"/>
      <c r="WVB240" s="4"/>
      <c r="WVC240" s="4"/>
      <c r="WVD240" s="4"/>
      <c r="WVE240" s="4"/>
      <c r="WVF240" s="4"/>
      <c r="WVG240" s="4"/>
      <c r="WVH240" s="4"/>
      <c r="WVI240" s="4"/>
      <c r="WVJ240" s="4"/>
      <c r="WVK240" s="4"/>
      <c r="WVL240" s="4"/>
      <c r="WVM240" s="4"/>
      <c r="WVN240" s="4"/>
      <c r="WVO240" s="4"/>
      <c r="WVP240" s="4"/>
      <c r="WVQ240" s="4"/>
      <c r="WVR240" s="4"/>
      <c r="WVS240" s="4"/>
      <c r="WVT240" s="4"/>
      <c r="WVU240" s="4"/>
      <c r="WVV240" s="4"/>
      <c r="WVW240" s="4"/>
      <c r="WVX240" s="4"/>
      <c r="WVY240" s="4"/>
      <c r="WVZ240" s="4"/>
      <c r="WWA240" s="4"/>
      <c r="WWB240" s="4"/>
      <c r="WWC240" s="4"/>
      <c r="WWD240" s="4"/>
      <c r="WWE240" s="4"/>
      <c r="WWF240" s="4"/>
      <c r="WWG240" s="4"/>
      <c r="WWH240" s="4"/>
      <c r="WWI240" s="4"/>
      <c r="WWJ240" s="4"/>
      <c r="WWK240" s="4"/>
      <c r="WWL240" s="4"/>
      <c r="WWM240" s="4"/>
      <c r="WWN240" s="4"/>
      <c r="WWO240" s="4"/>
      <c r="WWP240" s="4"/>
      <c r="WWQ240" s="4"/>
      <c r="WWR240" s="4"/>
      <c r="WWS240" s="4"/>
      <c r="WWT240" s="4"/>
      <c r="WWU240" s="4"/>
      <c r="WWV240" s="4"/>
      <c r="WWW240" s="4"/>
      <c r="WWX240" s="4"/>
      <c r="WWY240" s="4"/>
      <c r="WWZ240" s="4"/>
      <c r="WXA240" s="4"/>
      <c r="WXB240" s="4"/>
      <c r="WXC240" s="4"/>
      <c r="WXD240" s="4"/>
      <c r="WXE240" s="4"/>
      <c r="WXF240" s="4"/>
      <c r="WXG240" s="4"/>
      <c r="WXH240" s="4"/>
      <c r="WXI240" s="4"/>
      <c r="WXJ240" s="4"/>
      <c r="WXK240" s="4"/>
      <c r="WXL240" s="4"/>
      <c r="WXM240" s="4"/>
      <c r="WXN240" s="4"/>
      <c r="WXO240" s="4"/>
      <c r="WXP240" s="4"/>
      <c r="WXQ240" s="4"/>
      <c r="WXR240" s="4"/>
      <c r="WXS240" s="4"/>
      <c r="WXT240" s="4"/>
      <c r="WXU240" s="4"/>
      <c r="WXV240" s="4"/>
      <c r="WXW240" s="4"/>
      <c r="WXX240" s="4"/>
      <c r="WXY240" s="4"/>
      <c r="WXZ240" s="4"/>
      <c r="WYA240" s="4"/>
      <c r="WYB240" s="4"/>
      <c r="WYC240" s="4"/>
      <c r="WYD240" s="4"/>
      <c r="WYE240" s="4"/>
      <c r="WYF240" s="4"/>
      <c r="WYG240" s="4"/>
      <c r="WYH240" s="4"/>
      <c r="WYI240" s="4"/>
      <c r="WYJ240" s="4"/>
      <c r="WYK240" s="4"/>
      <c r="WYL240" s="4"/>
      <c r="WYM240" s="4"/>
      <c r="WYN240" s="4"/>
      <c r="WYO240" s="4"/>
      <c r="WYP240" s="4"/>
      <c r="WYQ240" s="4"/>
      <c r="WYR240" s="4"/>
      <c r="WYS240" s="4"/>
      <c r="WYT240" s="4"/>
      <c r="WYU240" s="4"/>
      <c r="WYV240" s="4"/>
      <c r="WYW240" s="4"/>
      <c r="WYX240" s="4"/>
      <c r="WYY240" s="4"/>
      <c r="WYZ240" s="4"/>
      <c r="WZA240" s="4"/>
      <c r="WZB240" s="4"/>
      <c r="WZC240" s="4"/>
      <c r="WZD240" s="4"/>
      <c r="WZE240" s="4"/>
      <c r="WZF240" s="4"/>
      <c r="WZG240" s="4"/>
      <c r="WZH240" s="4"/>
      <c r="WZI240" s="4"/>
      <c r="WZJ240" s="4"/>
      <c r="WZK240" s="4"/>
      <c r="WZL240" s="4"/>
      <c r="WZM240" s="4"/>
      <c r="WZN240" s="4"/>
      <c r="WZO240" s="4"/>
      <c r="WZP240" s="4"/>
      <c r="WZQ240" s="4"/>
      <c r="WZR240" s="4"/>
      <c r="WZS240" s="4"/>
      <c r="WZT240" s="4"/>
      <c r="WZU240" s="4"/>
      <c r="WZV240" s="4"/>
      <c r="WZW240" s="4"/>
      <c r="WZX240" s="4"/>
      <c r="WZY240" s="4"/>
      <c r="WZZ240" s="4"/>
      <c r="XAA240" s="4"/>
      <c r="XAB240" s="4"/>
      <c r="XAC240" s="4"/>
      <c r="XAD240" s="4"/>
      <c r="XAE240" s="4"/>
      <c r="XAF240" s="4"/>
      <c r="XAG240" s="4"/>
      <c r="XAH240" s="4"/>
      <c r="XAI240" s="4"/>
      <c r="XAJ240" s="4"/>
      <c r="XAK240" s="4"/>
      <c r="XAL240" s="4"/>
      <c r="XAM240" s="4"/>
      <c r="XAN240" s="4"/>
      <c r="XAO240" s="4"/>
      <c r="XAP240" s="4"/>
      <c r="XAQ240" s="4"/>
      <c r="XAR240" s="4"/>
      <c r="XAS240" s="4"/>
      <c r="XAT240" s="4"/>
      <c r="XAU240" s="4"/>
      <c r="XAV240" s="4"/>
      <c r="XAW240" s="4"/>
      <c r="XAX240" s="4"/>
      <c r="XAY240" s="4"/>
      <c r="XAZ240" s="4"/>
      <c r="XBA240" s="4"/>
      <c r="XBB240" s="4"/>
      <c r="XBC240" s="4"/>
      <c r="XBD240" s="4"/>
      <c r="XBE240" s="4"/>
      <c r="XBF240" s="4"/>
      <c r="XBG240" s="4"/>
      <c r="XBH240" s="4"/>
      <c r="XBI240" s="4"/>
      <c r="XBJ240" s="4"/>
      <c r="XBK240" s="4"/>
      <c r="XBL240" s="4"/>
      <c r="XBM240" s="4"/>
      <c r="XBN240" s="4"/>
      <c r="XBO240" s="4"/>
      <c r="XBP240" s="4"/>
      <c r="XBQ240" s="4"/>
      <c r="XBR240" s="4"/>
      <c r="XBS240" s="4"/>
      <c r="XBT240" s="4"/>
      <c r="XBU240" s="4"/>
      <c r="XBV240" s="4"/>
      <c r="XBW240" s="4"/>
      <c r="XBX240" s="4"/>
      <c r="XBY240" s="4"/>
      <c r="XBZ240" s="4"/>
      <c r="XCA240" s="4"/>
      <c r="XCB240" s="4"/>
      <c r="XCC240" s="4"/>
      <c r="XCD240" s="4"/>
      <c r="XCE240" s="4"/>
      <c r="XCF240" s="4"/>
      <c r="XCG240" s="4"/>
      <c r="XCH240" s="4"/>
      <c r="XCI240" s="4"/>
      <c r="XCJ240" s="4"/>
      <c r="XCK240" s="4"/>
      <c r="XCL240" s="4"/>
      <c r="XCM240" s="4"/>
      <c r="XCN240" s="4"/>
      <c r="XCO240" s="4"/>
      <c r="XCP240" s="4"/>
      <c r="XCQ240" s="4"/>
      <c r="XCR240" s="4"/>
      <c r="XCS240" s="4"/>
      <c r="XCT240" s="4"/>
      <c r="XCU240" s="4"/>
      <c r="XCV240" s="4"/>
      <c r="XCW240" s="4"/>
      <c r="XCX240" s="4"/>
      <c r="XCY240" s="4"/>
      <c r="XCZ240" s="4"/>
      <c r="XDA240" s="4"/>
      <c r="XDB240" s="4"/>
      <c r="XDC240" s="4"/>
      <c r="XDD240" s="4"/>
      <c r="XDE240" s="4"/>
      <c r="XDF240" s="4"/>
      <c r="XDG240" s="4"/>
      <c r="XDH240" s="4"/>
      <c r="XDI240" s="4"/>
      <c r="XDJ240" s="4"/>
      <c r="XDK240" s="4"/>
      <c r="XDL240" s="4"/>
      <c r="XDM240" s="4"/>
      <c r="XDN240" s="4"/>
      <c r="XDO240" s="4"/>
      <c r="XDP240" s="4"/>
      <c r="XDQ240" s="4"/>
      <c r="XDR240" s="4"/>
      <c r="XDS240" s="4"/>
      <c r="XDT240" s="4"/>
      <c r="XDU240" s="4"/>
      <c r="XDV240" s="4"/>
      <c r="XDW240" s="4"/>
      <c r="XDX240" s="4"/>
      <c r="XDY240" s="4"/>
      <c r="XDZ240" s="4"/>
      <c r="XEA240" s="4"/>
      <c r="XEB240" s="4"/>
      <c r="XEC240" s="4"/>
      <c r="XED240" s="4"/>
      <c r="XEE240" s="4"/>
      <c r="XEF240" s="4"/>
      <c r="XEG240" s="4"/>
      <c r="XEH240" s="4"/>
      <c r="XEI240" s="4"/>
      <c r="XEJ240" s="4"/>
    </row>
    <row r="241" spans="1:16364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4"/>
      <c r="IF241" s="4"/>
      <c r="IG241" s="4"/>
      <c r="IH241" s="4"/>
      <c r="II241" s="4"/>
      <c r="IJ241" s="4"/>
      <c r="IK241" s="4"/>
      <c r="IL241" s="4"/>
      <c r="IM241" s="4"/>
      <c r="IN241" s="4"/>
      <c r="IO241" s="4"/>
      <c r="IP241" s="4"/>
      <c r="IQ241" s="4"/>
      <c r="IR241" s="4"/>
      <c r="IS241" s="4"/>
      <c r="IT241" s="4"/>
      <c r="IU241" s="4"/>
      <c r="IV241" s="4"/>
      <c r="IW241" s="4"/>
      <c r="IX241" s="4"/>
      <c r="IY241" s="4"/>
      <c r="IZ241" s="4"/>
      <c r="JA241" s="4"/>
      <c r="JB241" s="4"/>
      <c r="JC241" s="4"/>
      <c r="JD241" s="4"/>
      <c r="JE241" s="4"/>
      <c r="JF241" s="4"/>
      <c r="JG241" s="4"/>
      <c r="JH241" s="4"/>
      <c r="JI241" s="4"/>
      <c r="JJ241" s="4"/>
      <c r="JK241" s="4"/>
      <c r="JL241" s="4"/>
      <c r="JM241" s="4"/>
      <c r="JN241" s="4"/>
      <c r="JO241" s="4"/>
      <c r="JP241" s="4"/>
      <c r="JQ241" s="4"/>
      <c r="JR241" s="4"/>
      <c r="JS241" s="4"/>
      <c r="JT241" s="4"/>
      <c r="JU241" s="4"/>
      <c r="JV241" s="4"/>
      <c r="JW241" s="4"/>
      <c r="JX241" s="4"/>
      <c r="JY241" s="4"/>
      <c r="JZ241" s="4"/>
      <c r="KA241" s="4"/>
      <c r="KB241" s="4"/>
      <c r="KC241" s="4"/>
      <c r="KD241" s="4"/>
      <c r="KE241" s="4"/>
      <c r="KF241" s="4"/>
      <c r="KG241" s="4"/>
      <c r="KH241" s="4"/>
      <c r="KI241" s="4"/>
      <c r="KJ241" s="4"/>
      <c r="KK241" s="4"/>
      <c r="KL241" s="4"/>
      <c r="KM241" s="4"/>
      <c r="KN241" s="4"/>
      <c r="KO241" s="4"/>
      <c r="KP241" s="4"/>
      <c r="KQ241" s="4"/>
      <c r="KR241" s="4"/>
      <c r="KS241" s="4"/>
      <c r="KT241" s="4"/>
      <c r="KU241" s="4"/>
      <c r="KV241" s="4"/>
      <c r="KW241" s="4"/>
      <c r="KX241" s="4"/>
      <c r="KY241" s="4"/>
      <c r="KZ241" s="4"/>
      <c r="LA241" s="4"/>
      <c r="LB241" s="4"/>
      <c r="LC241" s="4"/>
      <c r="LD241" s="4"/>
      <c r="LE241" s="4"/>
      <c r="LF241" s="4"/>
      <c r="LG241" s="4"/>
      <c r="LH241" s="4"/>
      <c r="LI241" s="4"/>
      <c r="LJ241" s="4"/>
      <c r="LK241" s="4"/>
      <c r="LL241" s="4"/>
      <c r="LM241" s="4"/>
      <c r="LN241" s="4"/>
      <c r="LO241" s="4"/>
      <c r="LP241" s="4"/>
      <c r="LQ241" s="4"/>
      <c r="LR241" s="4"/>
      <c r="LS241" s="4"/>
      <c r="LT241" s="4"/>
      <c r="LU241" s="4"/>
      <c r="LV241" s="4"/>
      <c r="LW241" s="4"/>
      <c r="LX241" s="4"/>
      <c r="LY241" s="4"/>
      <c r="LZ241" s="4"/>
      <c r="MA241" s="4"/>
      <c r="MB241" s="4"/>
      <c r="MC241" s="4"/>
      <c r="MD241" s="4"/>
      <c r="ME241" s="4"/>
      <c r="MF241" s="4"/>
      <c r="MG241" s="4"/>
      <c r="MH241" s="4"/>
      <c r="MI241" s="4"/>
      <c r="MJ241" s="4"/>
      <c r="MK241" s="4"/>
      <c r="ML241" s="4"/>
      <c r="MM241" s="4"/>
      <c r="MN241" s="4"/>
      <c r="MO241" s="4"/>
      <c r="MP241" s="4"/>
      <c r="MQ241" s="4"/>
      <c r="MR241" s="4"/>
      <c r="MS241" s="4"/>
      <c r="MT241" s="4"/>
      <c r="MU241" s="4"/>
      <c r="MV241" s="4"/>
      <c r="MW241" s="4"/>
      <c r="MX241" s="4"/>
      <c r="MY241" s="4"/>
      <c r="MZ241" s="4"/>
      <c r="NA241" s="4"/>
      <c r="NB241" s="4"/>
      <c r="NC241" s="4"/>
      <c r="ND241" s="4"/>
      <c r="NE241" s="4"/>
      <c r="NF241" s="4"/>
      <c r="NG241" s="4"/>
      <c r="NH241" s="4"/>
      <c r="NI241" s="4"/>
      <c r="NJ241" s="4"/>
      <c r="NK241" s="4"/>
      <c r="NL241" s="4"/>
      <c r="NM241" s="4"/>
      <c r="NN241" s="4"/>
      <c r="NO241" s="4"/>
      <c r="NP241" s="4"/>
      <c r="NQ241" s="4"/>
      <c r="NR241" s="4"/>
      <c r="NS241" s="4"/>
      <c r="NT241" s="4"/>
      <c r="NU241" s="4"/>
      <c r="NV241" s="4"/>
      <c r="NW241" s="4"/>
      <c r="NX241" s="4"/>
      <c r="NY241" s="4"/>
      <c r="NZ241" s="4"/>
      <c r="OA241" s="4"/>
      <c r="OB241" s="4"/>
      <c r="OC241" s="4"/>
      <c r="OD241" s="4"/>
      <c r="OE241" s="4"/>
      <c r="OF241" s="4"/>
      <c r="OG241" s="4"/>
      <c r="OH241" s="4"/>
      <c r="OI241" s="4"/>
      <c r="OJ241" s="4"/>
      <c r="OK241" s="4"/>
      <c r="OL241" s="4"/>
      <c r="OM241" s="4"/>
      <c r="ON241" s="4"/>
      <c r="OO241" s="4"/>
      <c r="OP241" s="4"/>
      <c r="OQ241" s="4"/>
      <c r="OR241" s="4"/>
      <c r="OS241" s="4"/>
      <c r="OT241" s="4"/>
      <c r="OU241" s="4"/>
      <c r="OV241" s="4"/>
      <c r="OW241" s="4"/>
      <c r="OX241" s="4"/>
      <c r="OY241" s="4"/>
      <c r="OZ241" s="4"/>
      <c r="PA241" s="4"/>
      <c r="PB241" s="4"/>
      <c r="PC241" s="4"/>
      <c r="PD241" s="4"/>
      <c r="PE241" s="4"/>
      <c r="PF241" s="4"/>
      <c r="PG241" s="4"/>
      <c r="PH241" s="4"/>
      <c r="PI241" s="4"/>
      <c r="PJ241" s="4"/>
      <c r="PK241" s="4"/>
      <c r="PL241" s="4"/>
      <c r="PM241" s="4"/>
      <c r="PN241" s="4"/>
      <c r="PO241" s="4"/>
      <c r="PP241" s="4"/>
      <c r="PQ241" s="4"/>
      <c r="PR241" s="4"/>
      <c r="PS241" s="4"/>
      <c r="PT241" s="4"/>
      <c r="PU241" s="4"/>
      <c r="PV241" s="4"/>
      <c r="PW241" s="4"/>
      <c r="PX241" s="4"/>
      <c r="PY241" s="4"/>
      <c r="PZ241" s="4"/>
      <c r="QA241" s="4"/>
      <c r="QB241" s="4"/>
      <c r="QC241" s="4"/>
      <c r="QD241" s="4"/>
      <c r="QE241" s="4"/>
      <c r="QF241" s="4"/>
      <c r="QG241" s="4"/>
      <c r="QH241" s="4"/>
      <c r="QI241" s="4"/>
      <c r="QJ241" s="4"/>
      <c r="QK241" s="4"/>
      <c r="QL241" s="4"/>
      <c r="QM241" s="4"/>
      <c r="QN241" s="4"/>
      <c r="QO241" s="4"/>
      <c r="QP241" s="4"/>
      <c r="QQ241" s="4"/>
      <c r="QR241" s="4"/>
      <c r="QS241" s="4"/>
      <c r="QT241" s="4"/>
      <c r="QU241" s="4"/>
      <c r="QV241" s="4"/>
      <c r="QW241" s="4"/>
      <c r="QX241" s="4"/>
      <c r="QY241" s="4"/>
      <c r="QZ241" s="4"/>
      <c r="RA241" s="4"/>
      <c r="RB241" s="4"/>
      <c r="RC241" s="4"/>
      <c r="RD241" s="4"/>
      <c r="RE241" s="4"/>
      <c r="RF241" s="4"/>
      <c r="RG241" s="4"/>
      <c r="RH241" s="4"/>
      <c r="RI241" s="4"/>
      <c r="RJ241" s="4"/>
      <c r="RK241" s="4"/>
      <c r="RL241" s="4"/>
      <c r="RM241" s="4"/>
      <c r="RN241" s="4"/>
      <c r="RO241" s="4"/>
      <c r="RP241" s="4"/>
      <c r="RQ241" s="4"/>
      <c r="RR241" s="4"/>
      <c r="RS241" s="4"/>
      <c r="RT241" s="4"/>
      <c r="RU241" s="4"/>
      <c r="RV241" s="4"/>
      <c r="RW241" s="4"/>
      <c r="RX241" s="4"/>
      <c r="RY241" s="4"/>
      <c r="RZ241" s="4"/>
      <c r="SA241" s="4"/>
      <c r="SB241" s="4"/>
      <c r="SC241" s="4"/>
      <c r="SD241" s="4"/>
      <c r="SE241" s="4"/>
      <c r="SF241" s="4"/>
      <c r="SG241" s="4"/>
      <c r="SH241" s="4"/>
      <c r="SI241" s="4"/>
      <c r="SJ241" s="4"/>
      <c r="SK241" s="4"/>
      <c r="SL241" s="4"/>
      <c r="SM241" s="4"/>
      <c r="SN241" s="4"/>
      <c r="SO241" s="4"/>
      <c r="SP241" s="4"/>
      <c r="SQ241" s="4"/>
      <c r="SR241" s="4"/>
      <c r="SS241" s="4"/>
      <c r="ST241" s="4"/>
      <c r="SU241" s="4"/>
      <c r="SV241" s="4"/>
      <c r="SW241" s="4"/>
      <c r="SX241" s="4"/>
      <c r="SY241" s="4"/>
      <c r="SZ241" s="4"/>
      <c r="TA241" s="4"/>
      <c r="TB241" s="4"/>
      <c r="TC241" s="4"/>
      <c r="TD241" s="4"/>
      <c r="TE241" s="4"/>
      <c r="TF241" s="4"/>
      <c r="TG241" s="4"/>
      <c r="TH241" s="4"/>
      <c r="TI241" s="4"/>
      <c r="TJ241" s="4"/>
      <c r="TK241" s="4"/>
      <c r="TL241" s="4"/>
      <c r="TM241" s="4"/>
      <c r="TN241" s="4"/>
      <c r="TO241" s="4"/>
      <c r="TP241" s="4"/>
      <c r="TQ241" s="4"/>
      <c r="TR241" s="4"/>
      <c r="TS241" s="4"/>
      <c r="TT241" s="4"/>
      <c r="TU241" s="4"/>
      <c r="TV241" s="4"/>
      <c r="TW241" s="4"/>
      <c r="TX241" s="4"/>
      <c r="TY241" s="4"/>
      <c r="TZ241" s="4"/>
      <c r="UA241" s="4"/>
      <c r="UB241" s="4"/>
      <c r="UC241" s="4"/>
      <c r="UD241" s="4"/>
      <c r="UE241" s="4"/>
      <c r="UF241" s="4"/>
      <c r="UG241" s="4"/>
      <c r="UH241" s="4"/>
      <c r="UI241" s="4"/>
      <c r="UJ241" s="4"/>
      <c r="UK241" s="4"/>
      <c r="UL241" s="4"/>
      <c r="UM241" s="4"/>
      <c r="UN241" s="4"/>
      <c r="UO241" s="4"/>
      <c r="UP241" s="4"/>
      <c r="UQ241" s="4"/>
      <c r="UR241" s="4"/>
      <c r="US241" s="4"/>
      <c r="UT241" s="4"/>
      <c r="UU241" s="4"/>
      <c r="UV241" s="4"/>
      <c r="UW241" s="4"/>
      <c r="UX241" s="4"/>
      <c r="UY241" s="4"/>
      <c r="UZ241" s="4"/>
      <c r="VA241" s="4"/>
      <c r="VB241" s="4"/>
      <c r="VC241" s="4"/>
      <c r="VD241" s="4"/>
      <c r="VE241" s="4"/>
      <c r="VF241" s="4"/>
      <c r="VG241" s="4"/>
      <c r="VH241" s="4"/>
      <c r="VI241" s="4"/>
      <c r="VJ241" s="4"/>
      <c r="VK241" s="4"/>
      <c r="VL241" s="4"/>
      <c r="VM241" s="4"/>
      <c r="VN241" s="4"/>
      <c r="VO241" s="4"/>
      <c r="VP241" s="4"/>
      <c r="VQ241" s="4"/>
      <c r="VR241" s="4"/>
      <c r="VS241" s="4"/>
      <c r="VT241" s="4"/>
      <c r="VU241" s="4"/>
      <c r="VV241" s="4"/>
      <c r="VW241" s="4"/>
      <c r="VX241" s="4"/>
      <c r="VY241" s="4"/>
      <c r="VZ241" s="4"/>
      <c r="WA241" s="4"/>
      <c r="WB241" s="4"/>
      <c r="WC241" s="4"/>
      <c r="WD241" s="4"/>
      <c r="WE241" s="4"/>
      <c r="WF241" s="4"/>
      <c r="WG241" s="4"/>
      <c r="WH241" s="4"/>
      <c r="WI241" s="4"/>
      <c r="WJ241" s="4"/>
      <c r="WK241" s="4"/>
      <c r="WL241" s="4"/>
      <c r="WM241" s="4"/>
      <c r="WN241" s="4"/>
      <c r="WO241" s="4"/>
      <c r="WP241" s="4"/>
      <c r="WQ241" s="4"/>
      <c r="WR241" s="4"/>
      <c r="WS241" s="4"/>
      <c r="WT241" s="4"/>
      <c r="WU241" s="4"/>
      <c r="WV241" s="4"/>
      <c r="WW241" s="4"/>
      <c r="WX241" s="4"/>
      <c r="WY241" s="4"/>
      <c r="WZ241" s="4"/>
      <c r="XA241" s="4"/>
      <c r="XB241" s="4"/>
      <c r="XC241" s="4"/>
      <c r="XD241" s="4"/>
      <c r="XE241" s="4"/>
      <c r="XF241" s="4"/>
      <c r="XG241" s="4"/>
      <c r="XH241" s="4"/>
      <c r="XI241" s="4"/>
      <c r="XJ241" s="4"/>
      <c r="XK241" s="4"/>
      <c r="XL241" s="4"/>
      <c r="XM241" s="4"/>
      <c r="XN241" s="4"/>
      <c r="XO241" s="4"/>
      <c r="XP241" s="4"/>
      <c r="XQ241" s="4"/>
      <c r="XR241" s="4"/>
      <c r="XS241" s="4"/>
      <c r="XT241" s="4"/>
      <c r="XU241" s="4"/>
      <c r="XV241" s="4"/>
      <c r="XW241" s="4"/>
      <c r="XX241" s="4"/>
      <c r="XY241" s="4"/>
      <c r="XZ241" s="4"/>
      <c r="YA241" s="4"/>
      <c r="YB241" s="4"/>
      <c r="YC241" s="4"/>
      <c r="YD241" s="4"/>
      <c r="YE241" s="4"/>
      <c r="YF241" s="4"/>
      <c r="YG241" s="4"/>
      <c r="YH241" s="4"/>
      <c r="YI241" s="4"/>
      <c r="YJ241" s="4"/>
      <c r="YK241" s="4"/>
      <c r="YL241" s="4"/>
      <c r="YM241" s="4"/>
      <c r="YN241" s="4"/>
      <c r="YO241" s="4"/>
      <c r="YP241" s="4"/>
      <c r="YQ241" s="4"/>
      <c r="YR241" s="4"/>
      <c r="YS241" s="4"/>
      <c r="YT241" s="4"/>
      <c r="YU241" s="4"/>
      <c r="YV241" s="4"/>
      <c r="YW241" s="4"/>
      <c r="YX241" s="4"/>
      <c r="YY241" s="4"/>
      <c r="YZ241" s="4"/>
      <c r="ZA241" s="4"/>
      <c r="ZB241" s="4"/>
      <c r="ZC241" s="4"/>
      <c r="ZD241" s="4"/>
      <c r="ZE241" s="4"/>
      <c r="ZF241" s="4"/>
      <c r="ZG241" s="4"/>
      <c r="ZH241" s="4"/>
      <c r="ZI241" s="4"/>
      <c r="ZJ241" s="4"/>
      <c r="ZK241" s="4"/>
      <c r="ZL241" s="4"/>
      <c r="ZM241" s="4"/>
      <c r="ZN241" s="4"/>
      <c r="ZO241" s="4"/>
      <c r="ZP241" s="4"/>
      <c r="ZQ241" s="4"/>
      <c r="ZR241" s="4"/>
      <c r="ZS241" s="4"/>
      <c r="ZT241" s="4"/>
      <c r="ZU241" s="4"/>
      <c r="ZV241" s="4"/>
      <c r="ZW241" s="4"/>
      <c r="ZX241" s="4"/>
      <c r="ZY241" s="4"/>
      <c r="ZZ241" s="4"/>
      <c r="AAA241" s="4"/>
      <c r="AAB241" s="4"/>
      <c r="AAC241" s="4"/>
      <c r="AAD241" s="4"/>
      <c r="AAE241" s="4"/>
      <c r="AAF241" s="4"/>
      <c r="AAG241" s="4"/>
      <c r="AAH241" s="4"/>
      <c r="AAI241" s="4"/>
      <c r="AAJ241" s="4"/>
      <c r="AAK241" s="4"/>
      <c r="AAL241" s="4"/>
      <c r="AAM241" s="4"/>
      <c r="AAN241" s="4"/>
      <c r="AAO241" s="4"/>
      <c r="AAP241" s="4"/>
      <c r="AAQ241" s="4"/>
      <c r="AAR241" s="4"/>
      <c r="AAS241" s="4"/>
      <c r="AAT241" s="4"/>
      <c r="AAU241" s="4"/>
      <c r="AAV241" s="4"/>
      <c r="AAW241" s="4"/>
      <c r="AAX241" s="4"/>
      <c r="AAY241" s="4"/>
      <c r="AAZ241" s="4"/>
      <c r="ABA241" s="4"/>
      <c r="ABB241" s="4"/>
      <c r="ABC241" s="4"/>
      <c r="ABD241" s="4"/>
      <c r="ABE241" s="4"/>
      <c r="ABF241" s="4"/>
      <c r="ABG241" s="4"/>
      <c r="ABH241" s="4"/>
      <c r="ABI241" s="4"/>
      <c r="ABJ241" s="4"/>
      <c r="ABK241" s="4"/>
      <c r="ABL241" s="4"/>
      <c r="ABM241" s="4"/>
      <c r="ABN241" s="4"/>
      <c r="ABO241" s="4"/>
      <c r="ABP241" s="4"/>
      <c r="ABQ241" s="4"/>
      <c r="ABR241" s="4"/>
      <c r="ABS241" s="4"/>
      <c r="ABT241" s="4"/>
      <c r="ABU241" s="4"/>
      <c r="ABV241" s="4"/>
      <c r="ABW241" s="4"/>
      <c r="ABX241" s="4"/>
      <c r="ABY241" s="4"/>
      <c r="ABZ241" s="4"/>
      <c r="ACA241" s="4"/>
      <c r="ACB241" s="4"/>
      <c r="ACC241" s="4"/>
      <c r="ACD241" s="4"/>
      <c r="ACE241" s="4"/>
      <c r="ACF241" s="4"/>
      <c r="ACG241" s="4"/>
      <c r="ACH241" s="4"/>
      <c r="ACI241" s="4"/>
      <c r="ACJ241" s="4"/>
      <c r="ACK241" s="4"/>
      <c r="ACL241" s="4"/>
      <c r="ACM241" s="4"/>
      <c r="ACN241" s="4"/>
      <c r="ACO241" s="4"/>
      <c r="ACP241" s="4"/>
      <c r="ACQ241" s="4"/>
      <c r="ACR241" s="4"/>
      <c r="ACS241" s="4"/>
      <c r="ACT241" s="4"/>
      <c r="ACU241" s="4"/>
      <c r="ACV241" s="4"/>
      <c r="ACW241" s="4"/>
      <c r="ACX241" s="4"/>
      <c r="ACY241" s="4"/>
      <c r="ACZ241" s="4"/>
      <c r="ADA241" s="4"/>
      <c r="ADB241" s="4"/>
      <c r="ADC241" s="4"/>
      <c r="ADD241" s="4"/>
      <c r="ADE241" s="4"/>
      <c r="ADF241" s="4"/>
      <c r="ADG241" s="4"/>
      <c r="ADH241" s="4"/>
      <c r="ADI241" s="4"/>
      <c r="ADJ241" s="4"/>
      <c r="ADK241" s="4"/>
      <c r="ADL241" s="4"/>
      <c r="ADM241" s="4"/>
      <c r="ADN241" s="4"/>
      <c r="ADO241" s="4"/>
      <c r="ADP241" s="4"/>
      <c r="ADQ241" s="4"/>
      <c r="ADR241" s="4"/>
      <c r="ADS241" s="4"/>
      <c r="ADT241" s="4"/>
      <c r="ADU241" s="4"/>
      <c r="ADV241" s="4"/>
      <c r="ADW241" s="4"/>
      <c r="ADX241" s="4"/>
      <c r="ADY241" s="4"/>
      <c r="ADZ241" s="4"/>
      <c r="AEA241" s="4"/>
      <c r="AEB241" s="4"/>
      <c r="AEC241" s="4"/>
      <c r="AED241" s="4"/>
      <c r="AEE241" s="4"/>
      <c r="AEF241" s="4"/>
      <c r="AEG241" s="4"/>
      <c r="AEH241" s="4"/>
      <c r="AEI241" s="4"/>
      <c r="AEJ241" s="4"/>
      <c r="AEK241" s="4"/>
      <c r="AEL241" s="4"/>
      <c r="AEM241" s="4"/>
      <c r="AEN241" s="4"/>
      <c r="AEO241" s="4"/>
      <c r="AEP241" s="4"/>
      <c r="AEQ241" s="4"/>
      <c r="AER241" s="4"/>
      <c r="AES241" s="4"/>
      <c r="AET241" s="4"/>
      <c r="AEU241" s="4"/>
      <c r="AEV241" s="4"/>
      <c r="AEW241" s="4"/>
      <c r="AEX241" s="4"/>
      <c r="AEY241" s="4"/>
      <c r="AEZ241" s="4"/>
      <c r="AFA241" s="4"/>
      <c r="AFB241" s="4"/>
      <c r="AFC241" s="4"/>
      <c r="AFD241" s="4"/>
      <c r="AFE241" s="4"/>
      <c r="AFF241" s="4"/>
      <c r="AFG241" s="4"/>
      <c r="AFH241" s="4"/>
      <c r="AFI241" s="4"/>
      <c r="AFJ241" s="4"/>
      <c r="AFK241" s="4"/>
      <c r="AFL241" s="4"/>
      <c r="AFM241" s="4"/>
      <c r="AFN241" s="4"/>
      <c r="AFO241" s="4"/>
      <c r="AFP241" s="4"/>
      <c r="AFQ241" s="4"/>
      <c r="AFR241" s="4"/>
      <c r="AFS241" s="4"/>
      <c r="AFT241" s="4"/>
      <c r="AFU241" s="4"/>
      <c r="AFV241" s="4"/>
      <c r="AFW241" s="4"/>
      <c r="AFX241" s="4"/>
      <c r="AFY241" s="4"/>
      <c r="AFZ241" s="4"/>
      <c r="AGA241" s="4"/>
      <c r="AGB241" s="4"/>
      <c r="AGC241" s="4"/>
      <c r="AGD241" s="4"/>
      <c r="AGE241" s="4"/>
      <c r="AGF241" s="4"/>
      <c r="AGG241" s="4"/>
      <c r="AGH241" s="4"/>
      <c r="AGI241" s="4"/>
      <c r="AGJ241" s="4"/>
      <c r="AGK241" s="4"/>
      <c r="AGL241" s="4"/>
      <c r="AGM241" s="4"/>
      <c r="AGN241" s="4"/>
      <c r="AGO241" s="4"/>
      <c r="AGP241" s="4"/>
      <c r="AGQ241" s="4"/>
      <c r="AGR241" s="4"/>
      <c r="AGS241" s="4"/>
      <c r="AGT241" s="4"/>
      <c r="AGU241" s="4"/>
      <c r="AGV241" s="4"/>
      <c r="AGW241" s="4"/>
      <c r="AGX241" s="4"/>
      <c r="AGY241" s="4"/>
      <c r="AGZ241" s="4"/>
      <c r="AHA241" s="4"/>
      <c r="AHB241" s="4"/>
      <c r="AHC241" s="4"/>
      <c r="AHD241" s="4"/>
      <c r="AHE241" s="4"/>
      <c r="AHF241" s="4"/>
      <c r="AHG241" s="4"/>
      <c r="AHH241" s="4"/>
      <c r="AHI241" s="4"/>
      <c r="AHJ241" s="4"/>
      <c r="AHK241" s="4"/>
      <c r="AHL241" s="4"/>
      <c r="AHM241" s="4"/>
      <c r="AHN241" s="4"/>
      <c r="AHO241" s="4"/>
      <c r="AHP241" s="4"/>
      <c r="AHQ241" s="4"/>
      <c r="AHR241" s="4"/>
      <c r="AHS241" s="4"/>
      <c r="AHT241" s="4"/>
      <c r="AHU241" s="4"/>
      <c r="AHV241" s="4"/>
      <c r="AHW241" s="4"/>
      <c r="AHX241" s="4"/>
      <c r="AHY241" s="4"/>
      <c r="AHZ241" s="4"/>
      <c r="AIA241" s="4"/>
      <c r="AIB241" s="4"/>
      <c r="AIC241" s="4"/>
      <c r="AID241" s="4"/>
      <c r="AIE241" s="4"/>
      <c r="AIF241" s="4"/>
      <c r="AIG241" s="4"/>
      <c r="AIH241" s="4"/>
      <c r="AII241" s="4"/>
      <c r="AIJ241" s="4"/>
      <c r="AIK241" s="4"/>
      <c r="AIL241" s="4"/>
      <c r="AIM241" s="4"/>
      <c r="AIN241" s="4"/>
      <c r="AIO241" s="4"/>
      <c r="AIP241" s="4"/>
      <c r="AIQ241" s="4"/>
      <c r="AIR241" s="4"/>
      <c r="AIS241" s="4"/>
      <c r="AIT241" s="4"/>
      <c r="AIU241" s="4"/>
      <c r="AIV241" s="4"/>
      <c r="AIW241" s="4"/>
      <c r="AIX241" s="4"/>
      <c r="AIY241" s="4"/>
      <c r="AIZ241" s="4"/>
      <c r="AJA241" s="4"/>
      <c r="AJB241" s="4"/>
      <c r="AJC241" s="4"/>
      <c r="AJD241" s="4"/>
      <c r="AJE241" s="4"/>
      <c r="AJF241" s="4"/>
      <c r="AJG241" s="4"/>
      <c r="AJH241" s="4"/>
      <c r="AJI241" s="4"/>
      <c r="AJJ241" s="4"/>
      <c r="AJK241" s="4"/>
      <c r="AJL241" s="4"/>
      <c r="AJM241" s="4"/>
      <c r="AJN241" s="4"/>
      <c r="AJO241" s="4"/>
      <c r="AJP241" s="4"/>
      <c r="AJQ241" s="4"/>
      <c r="AJR241" s="4"/>
      <c r="AJS241" s="4"/>
      <c r="AJT241" s="4"/>
      <c r="AJU241" s="4"/>
      <c r="AJV241" s="4"/>
      <c r="AJW241" s="4"/>
      <c r="AJX241" s="4"/>
      <c r="AJY241" s="4"/>
      <c r="AJZ241" s="4"/>
      <c r="AKA241" s="4"/>
      <c r="AKB241" s="4"/>
      <c r="AKC241" s="4"/>
      <c r="AKD241" s="4"/>
      <c r="AKE241" s="4"/>
      <c r="AKF241" s="4"/>
      <c r="AKG241" s="4"/>
      <c r="AKH241" s="4"/>
      <c r="AKI241" s="4"/>
      <c r="AKJ241" s="4"/>
      <c r="AKK241" s="4"/>
      <c r="AKL241" s="4"/>
      <c r="AKM241" s="4"/>
      <c r="AKN241" s="4"/>
      <c r="AKO241" s="4"/>
      <c r="AKP241" s="4"/>
      <c r="AKQ241" s="4"/>
      <c r="AKR241" s="4"/>
      <c r="AKS241" s="4"/>
      <c r="AKT241" s="4"/>
      <c r="AKU241" s="4"/>
      <c r="AKV241" s="4"/>
      <c r="AKW241" s="4"/>
      <c r="AKX241" s="4"/>
      <c r="AKY241" s="4"/>
      <c r="AKZ241" s="4"/>
      <c r="ALA241" s="4"/>
      <c r="ALB241" s="4"/>
      <c r="ALC241" s="4"/>
      <c r="ALD241" s="4"/>
      <c r="ALE241" s="4"/>
      <c r="ALF241" s="4"/>
      <c r="ALG241" s="4"/>
      <c r="ALH241" s="4"/>
      <c r="ALI241" s="4"/>
      <c r="ALJ241" s="4"/>
      <c r="ALK241" s="4"/>
      <c r="ALL241" s="4"/>
      <c r="ALM241" s="4"/>
      <c r="ALN241" s="4"/>
      <c r="ALO241" s="4"/>
      <c r="ALP241" s="4"/>
      <c r="ALQ241" s="4"/>
      <c r="ALR241" s="4"/>
      <c r="ALS241" s="4"/>
      <c r="ALT241" s="4"/>
      <c r="ALU241" s="4"/>
      <c r="ALV241" s="4"/>
      <c r="ALW241" s="4"/>
      <c r="ALX241" s="4"/>
      <c r="ALY241" s="4"/>
      <c r="ALZ241" s="4"/>
      <c r="AMA241" s="4"/>
      <c r="AMB241" s="4"/>
      <c r="AMC241" s="4"/>
      <c r="AMD241" s="4"/>
      <c r="AME241" s="4"/>
      <c r="AMF241" s="4"/>
      <c r="AMG241" s="4"/>
      <c r="AMH241" s="4"/>
      <c r="AMI241" s="4"/>
      <c r="AMJ241" s="4"/>
      <c r="AMK241" s="4"/>
      <c r="AML241" s="4"/>
      <c r="AMM241" s="4"/>
      <c r="AMN241" s="4"/>
      <c r="AMO241" s="4"/>
      <c r="AMP241" s="4"/>
      <c r="AMQ241" s="4"/>
      <c r="AMR241" s="4"/>
      <c r="AMS241" s="4"/>
      <c r="AMT241" s="4"/>
      <c r="AMU241" s="4"/>
      <c r="AMV241" s="4"/>
      <c r="AMW241" s="4"/>
      <c r="AMX241" s="4"/>
      <c r="AMY241" s="4"/>
      <c r="AMZ241" s="4"/>
      <c r="ANA241" s="4"/>
      <c r="ANB241" s="4"/>
      <c r="ANC241" s="4"/>
      <c r="AND241" s="4"/>
      <c r="ANE241" s="4"/>
      <c r="ANF241" s="4"/>
      <c r="ANG241" s="4"/>
      <c r="ANH241" s="4"/>
      <c r="ANI241" s="4"/>
      <c r="ANJ241" s="4"/>
      <c r="ANK241" s="4"/>
      <c r="ANL241" s="4"/>
      <c r="ANM241" s="4"/>
      <c r="ANN241" s="4"/>
      <c r="ANO241" s="4"/>
      <c r="ANP241" s="4"/>
      <c r="ANQ241" s="4"/>
      <c r="ANR241" s="4"/>
      <c r="ANS241" s="4"/>
      <c r="ANT241" s="4"/>
      <c r="ANU241" s="4"/>
      <c r="ANV241" s="4"/>
      <c r="ANW241" s="4"/>
      <c r="ANX241" s="4"/>
      <c r="ANY241" s="4"/>
      <c r="ANZ241" s="4"/>
      <c r="AOA241" s="4"/>
      <c r="AOB241" s="4"/>
      <c r="AOC241" s="4"/>
      <c r="AOD241" s="4"/>
      <c r="AOE241" s="4"/>
      <c r="AOF241" s="4"/>
      <c r="AOG241" s="4"/>
      <c r="AOH241" s="4"/>
      <c r="AOI241" s="4"/>
      <c r="AOJ241" s="4"/>
      <c r="AOK241" s="4"/>
      <c r="AOL241" s="4"/>
      <c r="AOM241" s="4"/>
      <c r="AON241" s="4"/>
      <c r="AOO241" s="4"/>
      <c r="AOP241" s="4"/>
      <c r="AOQ241" s="4"/>
      <c r="AOR241" s="4"/>
      <c r="AOS241" s="4"/>
      <c r="AOT241" s="4"/>
      <c r="AOU241" s="4"/>
      <c r="AOV241" s="4"/>
      <c r="AOW241" s="4"/>
      <c r="AOX241" s="4"/>
      <c r="AOY241" s="4"/>
      <c r="AOZ241" s="4"/>
      <c r="APA241" s="4"/>
      <c r="APB241" s="4"/>
      <c r="APC241" s="4"/>
      <c r="APD241" s="4"/>
      <c r="APE241" s="4"/>
      <c r="APF241" s="4"/>
      <c r="APG241" s="4"/>
      <c r="APH241" s="4"/>
      <c r="API241" s="4"/>
      <c r="APJ241" s="4"/>
      <c r="APK241" s="4"/>
      <c r="APL241" s="4"/>
      <c r="APM241" s="4"/>
      <c r="APN241" s="4"/>
      <c r="APO241" s="4"/>
      <c r="APP241" s="4"/>
      <c r="APQ241" s="4"/>
      <c r="APR241" s="4"/>
      <c r="APS241" s="4"/>
      <c r="APT241" s="4"/>
      <c r="APU241" s="4"/>
      <c r="APV241" s="4"/>
      <c r="APW241" s="4"/>
      <c r="APX241" s="4"/>
      <c r="APY241" s="4"/>
      <c r="APZ241" s="4"/>
      <c r="AQA241" s="4"/>
      <c r="AQB241" s="4"/>
      <c r="AQC241" s="4"/>
      <c r="AQD241" s="4"/>
      <c r="AQE241" s="4"/>
      <c r="AQF241" s="4"/>
      <c r="AQG241" s="4"/>
      <c r="AQH241" s="4"/>
      <c r="AQI241" s="4"/>
      <c r="AQJ241" s="4"/>
      <c r="AQK241" s="4"/>
      <c r="AQL241" s="4"/>
      <c r="AQM241" s="4"/>
      <c r="AQN241" s="4"/>
      <c r="AQO241" s="4"/>
      <c r="AQP241" s="4"/>
      <c r="AQQ241" s="4"/>
      <c r="AQR241" s="4"/>
      <c r="AQS241" s="4"/>
      <c r="AQT241" s="4"/>
      <c r="AQU241" s="4"/>
      <c r="AQV241" s="4"/>
      <c r="AQW241" s="4"/>
      <c r="AQX241" s="4"/>
      <c r="AQY241" s="4"/>
      <c r="AQZ241" s="4"/>
      <c r="ARA241" s="4"/>
      <c r="ARB241" s="4"/>
      <c r="ARC241" s="4"/>
      <c r="ARD241" s="4"/>
      <c r="ARE241" s="4"/>
      <c r="ARF241" s="4"/>
      <c r="ARG241" s="4"/>
      <c r="ARH241" s="4"/>
      <c r="ARI241" s="4"/>
      <c r="ARJ241" s="4"/>
      <c r="ARK241" s="4"/>
      <c r="ARL241" s="4"/>
      <c r="ARM241" s="4"/>
      <c r="ARN241" s="4"/>
      <c r="ARO241" s="4"/>
      <c r="ARP241" s="4"/>
      <c r="ARQ241" s="4"/>
      <c r="ARR241" s="4"/>
      <c r="ARS241" s="4"/>
      <c r="ART241" s="4"/>
      <c r="ARU241" s="4"/>
      <c r="ARV241" s="4"/>
      <c r="ARW241" s="4"/>
      <c r="ARX241" s="4"/>
      <c r="ARY241" s="4"/>
      <c r="ARZ241" s="4"/>
      <c r="ASA241" s="4"/>
      <c r="ASB241" s="4"/>
      <c r="ASC241" s="4"/>
      <c r="ASD241" s="4"/>
      <c r="ASE241" s="4"/>
      <c r="ASF241" s="4"/>
      <c r="ASG241" s="4"/>
      <c r="ASH241" s="4"/>
      <c r="ASI241" s="4"/>
      <c r="ASJ241" s="4"/>
      <c r="ASK241" s="4"/>
      <c r="ASL241" s="4"/>
      <c r="ASM241" s="4"/>
      <c r="ASN241" s="4"/>
      <c r="ASO241" s="4"/>
      <c r="ASP241" s="4"/>
      <c r="ASQ241" s="4"/>
      <c r="ASR241" s="4"/>
      <c r="ASS241" s="4"/>
      <c r="AST241" s="4"/>
      <c r="ASU241" s="4"/>
      <c r="ASV241" s="4"/>
      <c r="ASW241" s="4"/>
      <c r="ASX241" s="4"/>
      <c r="ASY241" s="4"/>
      <c r="ASZ241" s="4"/>
      <c r="ATA241" s="4"/>
      <c r="ATB241" s="4"/>
      <c r="ATC241" s="4"/>
      <c r="ATD241" s="4"/>
      <c r="ATE241" s="4"/>
      <c r="ATF241" s="4"/>
      <c r="ATG241" s="4"/>
      <c r="ATH241" s="4"/>
      <c r="ATI241" s="4"/>
      <c r="ATJ241" s="4"/>
      <c r="ATK241" s="4"/>
      <c r="ATL241" s="4"/>
      <c r="ATM241" s="4"/>
      <c r="ATN241" s="4"/>
      <c r="ATO241" s="4"/>
      <c r="ATP241" s="4"/>
      <c r="ATQ241" s="4"/>
      <c r="ATR241" s="4"/>
      <c r="ATS241" s="4"/>
      <c r="ATT241" s="4"/>
      <c r="ATU241" s="4"/>
      <c r="ATV241" s="4"/>
      <c r="ATW241" s="4"/>
      <c r="ATX241" s="4"/>
      <c r="ATY241" s="4"/>
      <c r="ATZ241" s="4"/>
      <c r="AUA241" s="4"/>
      <c r="AUB241" s="4"/>
      <c r="AUC241" s="4"/>
      <c r="AUD241" s="4"/>
      <c r="AUE241" s="4"/>
      <c r="AUF241" s="4"/>
      <c r="AUG241" s="4"/>
      <c r="AUH241" s="4"/>
      <c r="AUI241" s="4"/>
      <c r="AUJ241" s="4"/>
      <c r="AUK241" s="4"/>
      <c r="AUL241" s="4"/>
      <c r="AUM241" s="4"/>
      <c r="AUN241" s="4"/>
      <c r="AUO241" s="4"/>
      <c r="AUP241" s="4"/>
      <c r="AUQ241" s="4"/>
      <c r="AUR241" s="4"/>
      <c r="AUS241" s="4"/>
      <c r="AUT241" s="4"/>
      <c r="AUU241" s="4"/>
      <c r="AUV241" s="4"/>
      <c r="AUW241" s="4"/>
      <c r="AUX241" s="4"/>
      <c r="AUY241" s="4"/>
      <c r="AUZ241" s="4"/>
      <c r="AVA241" s="4"/>
      <c r="AVB241" s="4"/>
      <c r="AVC241" s="4"/>
      <c r="AVD241" s="4"/>
      <c r="AVE241" s="4"/>
      <c r="AVF241" s="4"/>
      <c r="AVG241" s="4"/>
      <c r="AVH241" s="4"/>
      <c r="AVI241" s="4"/>
      <c r="AVJ241" s="4"/>
      <c r="AVK241" s="4"/>
      <c r="AVL241" s="4"/>
      <c r="AVM241" s="4"/>
      <c r="AVN241" s="4"/>
      <c r="AVO241" s="4"/>
      <c r="AVP241" s="4"/>
      <c r="AVQ241" s="4"/>
      <c r="AVR241" s="4"/>
      <c r="AVS241" s="4"/>
      <c r="AVT241" s="4"/>
      <c r="AVU241" s="4"/>
      <c r="AVV241" s="4"/>
      <c r="AVW241" s="4"/>
      <c r="AVX241" s="4"/>
      <c r="AVY241" s="4"/>
      <c r="AVZ241" s="4"/>
      <c r="AWA241" s="4"/>
      <c r="AWB241" s="4"/>
      <c r="AWC241" s="4"/>
      <c r="AWD241" s="4"/>
      <c r="AWE241" s="4"/>
      <c r="AWF241" s="4"/>
      <c r="AWG241" s="4"/>
      <c r="AWH241" s="4"/>
      <c r="AWI241" s="4"/>
      <c r="AWJ241" s="4"/>
      <c r="AWK241" s="4"/>
      <c r="AWL241" s="4"/>
      <c r="AWM241" s="4"/>
      <c r="AWN241" s="4"/>
      <c r="AWO241" s="4"/>
      <c r="AWP241" s="4"/>
      <c r="AWQ241" s="4"/>
      <c r="AWR241" s="4"/>
      <c r="AWS241" s="4"/>
      <c r="AWT241" s="4"/>
      <c r="AWU241" s="4"/>
      <c r="AWV241" s="4"/>
      <c r="AWW241" s="4"/>
      <c r="AWX241" s="4"/>
      <c r="AWY241" s="4"/>
      <c r="AWZ241" s="4"/>
      <c r="AXA241" s="4"/>
      <c r="AXB241" s="4"/>
      <c r="AXC241" s="4"/>
      <c r="AXD241" s="4"/>
      <c r="AXE241" s="4"/>
      <c r="AXF241" s="4"/>
      <c r="AXG241" s="4"/>
      <c r="AXH241" s="4"/>
      <c r="AXI241" s="4"/>
      <c r="AXJ241" s="4"/>
      <c r="AXK241" s="4"/>
      <c r="AXL241" s="4"/>
      <c r="AXM241" s="4"/>
      <c r="AXN241" s="4"/>
      <c r="AXO241" s="4"/>
      <c r="AXP241" s="4"/>
      <c r="AXQ241" s="4"/>
      <c r="AXR241" s="4"/>
      <c r="AXS241" s="4"/>
      <c r="AXT241" s="4"/>
      <c r="AXU241" s="4"/>
      <c r="AXV241" s="4"/>
      <c r="AXW241" s="4"/>
      <c r="AXX241" s="4"/>
      <c r="AXY241" s="4"/>
      <c r="AXZ241" s="4"/>
      <c r="AYA241" s="4"/>
      <c r="AYB241" s="4"/>
      <c r="AYC241" s="4"/>
      <c r="AYD241" s="4"/>
      <c r="AYE241" s="4"/>
      <c r="AYF241" s="4"/>
      <c r="AYG241" s="4"/>
      <c r="AYH241" s="4"/>
      <c r="AYI241" s="4"/>
      <c r="AYJ241" s="4"/>
      <c r="AYK241" s="4"/>
      <c r="AYL241" s="4"/>
      <c r="AYM241" s="4"/>
      <c r="AYN241" s="4"/>
      <c r="AYO241" s="4"/>
      <c r="AYP241" s="4"/>
      <c r="AYQ241" s="4"/>
      <c r="AYR241" s="4"/>
      <c r="AYS241" s="4"/>
      <c r="AYT241" s="4"/>
      <c r="AYU241" s="4"/>
      <c r="AYV241" s="4"/>
      <c r="AYW241" s="4"/>
      <c r="AYX241" s="4"/>
      <c r="AYY241" s="4"/>
      <c r="AYZ241" s="4"/>
      <c r="AZA241" s="4"/>
      <c r="AZB241" s="4"/>
      <c r="AZC241" s="4"/>
      <c r="AZD241" s="4"/>
      <c r="AZE241" s="4"/>
      <c r="AZF241" s="4"/>
      <c r="AZG241" s="4"/>
      <c r="AZH241" s="4"/>
      <c r="AZI241" s="4"/>
      <c r="AZJ241" s="4"/>
      <c r="AZK241" s="4"/>
      <c r="AZL241" s="4"/>
      <c r="AZM241" s="4"/>
      <c r="AZN241" s="4"/>
      <c r="AZO241" s="4"/>
      <c r="AZP241" s="4"/>
      <c r="AZQ241" s="4"/>
      <c r="AZR241" s="4"/>
      <c r="AZS241" s="4"/>
      <c r="AZT241" s="4"/>
      <c r="AZU241" s="4"/>
      <c r="AZV241" s="4"/>
      <c r="AZW241" s="4"/>
      <c r="AZX241" s="4"/>
      <c r="AZY241" s="4"/>
      <c r="AZZ241" s="4"/>
      <c r="BAA241" s="4"/>
      <c r="BAB241" s="4"/>
      <c r="BAC241" s="4"/>
      <c r="BAD241" s="4"/>
      <c r="BAE241" s="4"/>
      <c r="BAF241" s="4"/>
      <c r="BAG241" s="4"/>
      <c r="BAH241" s="4"/>
      <c r="BAI241" s="4"/>
      <c r="BAJ241" s="4"/>
      <c r="BAK241" s="4"/>
      <c r="BAL241" s="4"/>
      <c r="BAM241" s="4"/>
      <c r="BAN241" s="4"/>
      <c r="BAO241" s="4"/>
      <c r="BAP241" s="4"/>
      <c r="BAQ241" s="4"/>
      <c r="BAR241" s="4"/>
      <c r="BAS241" s="4"/>
      <c r="BAT241" s="4"/>
      <c r="BAU241" s="4"/>
      <c r="BAV241" s="4"/>
      <c r="BAW241" s="4"/>
      <c r="BAX241" s="4"/>
      <c r="BAY241" s="4"/>
      <c r="BAZ241" s="4"/>
      <c r="BBA241" s="4"/>
      <c r="BBB241" s="4"/>
      <c r="BBC241" s="4"/>
      <c r="BBD241" s="4"/>
      <c r="BBE241" s="4"/>
      <c r="BBF241" s="4"/>
      <c r="BBG241" s="4"/>
      <c r="BBH241" s="4"/>
      <c r="BBI241" s="4"/>
      <c r="BBJ241" s="4"/>
      <c r="BBK241" s="4"/>
      <c r="BBL241" s="4"/>
      <c r="BBM241" s="4"/>
      <c r="BBN241" s="4"/>
      <c r="BBO241" s="4"/>
      <c r="BBP241" s="4"/>
      <c r="BBQ241" s="4"/>
      <c r="BBR241" s="4"/>
      <c r="BBS241" s="4"/>
      <c r="BBT241" s="4"/>
      <c r="BBU241" s="4"/>
      <c r="BBV241" s="4"/>
      <c r="BBW241" s="4"/>
      <c r="BBX241" s="4"/>
      <c r="BBY241" s="4"/>
      <c r="BBZ241" s="4"/>
      <c r="BCA241" s="4"/>
      <c r="BCB241" s="4"/>
      <c r="BCC241" s="4"/>
      <c r="BCD241" s="4"/>
      <c r="BCE241" s="4"/>
      <c r="BCF241" s="4"/>
      <c r="BCG241" s="4"/>
      <c r="BCH241" s="4"/>
      <c r="BCI241" s="4"/>
      <c r="BCJ241" s="4"/>
      <c r="BCK241" s="4"/>
      <c r="BCL241" s="4"/>
      <c r="BCM241" s="4"/>
      <c r="BCN241" s="4"/>
      <c r="BCO241" s="4"/>
      <c r="BCP241" s="4"/>
      <c r="BCQ241" s="4"/>
      <c r="BCR241" s="4"/>
      <c r="BCS241" s="4"/>
      <c r="BCT241" s="4"/>
      <c r="BCU241" s="4"/>
      <c r="BCV241" s="4"/>
      <c r="BCW241" s="4"/>
      <c r="BCX241" s="4"/>
      <c r="BCY241" s="4"/>
      <c r="BCZ241" s="4"/>
      <c r="BDA241" s="4"/>
      <c r="BDB241" s="4"/>
      <c r="BDC241" s="4"/>
      <c r="BDD241" s="4"/>
      <c r="BDE241" s="4"/>
      <c r="BDF241" s="4"/>
      <c r="BDG241" s="4"/>
      <c r="BDH241" s="4"/>
      <c r="BDI241" s="4"/>
      <c r="BDJ241" s="4"/>
      <c r="BDK241" s="4"/>
      <c r="BDL241" s="4"/>
      <c r="BDM241" s="4"/>
      <c r="BDN241" s="4"/>
      <c r="BDO241" s="4"/>
      <c r="BDP241" s="4"/>
      <c r="BDQ241" s="4"/>
      <c r="BDR241" s="4"/>
      <c r="BDS241" s="4"/>
      <c r="BDT241" s="4"/>
      <c r="BDU241" s="4"/>
      <c r="BDV241" s="4"/>
      <c r="BDW241" s="4"/>
      <c r="BDX241" s="4"/>
      <c r="BDY241" s="4"/>
      <c r="BDZ241" s="4"/>
      <c r="BEA241" s="4"/>
      <c r="BEB241" s="4"/>
      <c r="BEC241" s="4"/>
      <c r="BED241" s="4"/>
      <c r="BEE241" s="4"/>
      <c r="BEF241" s="4"/>
      <c r="BEG241" s="4"/>
      <c r="BEH241" s="4"/>
      <c r="BEI241" s="4"/>
      <c r="BEJ241" s="4"/>
      <c r="BEK241" s="4"/>
      <c r="BEL241" s="4"/>
      <c r="BEM241" s="4"/>
      <c r="BEN241" s="4"/>
      <c r="BEO241" s="4"/>
      <c r="BEP241" s="4"/>
      <c r="BEQ241" s="4"/>
      <c r="BER241" s="4"/>
      <c r="BES241" s="4"/>
      <c r="BET241" s="4"/>
      <c r="BEU241" s="4"/>
      <c r="BEV241" s="4"/>
      <c r="BEW241" s="4"/>
      <c r="BEX241" s="4"/>
      <c r="BEY241" s="4"/>
      <c r="BEZ241" s="4"/>
      <c r="BFA241" s="4"/>
      <c r="BFB241" s="4"/>
      <c r="BFC241" s="4"/>
      <c r="BFD241" s="4"/>
      <c r="BFE241" s="4"/>
      <c r="BFF241" s="4"/>
      <c r="BFG241" s="4"/>
      <c r="BFH241" s="4"/>
      <c r="BFI241" s="4"/>
      <c r="BFJ241" s="4"/>
      <c r="BFK241" s="4"/>
      <c r="BFL241" s="4"/>
      <c r="BFM241" s="4"/>
      <c r="BFN241" s="4"/>
      <c r="BFO241" s="4"/>
      <c r="BFP241" s="4"/>
      <c r="BFQ241" s="4"/>
      <c r="BFR241" s="4"/>
      <c r="BFS241" s="4"/>
      <c r="BFT241" s="4"/>
      <c r="BFU241" s="4"/>
      <c r="BFV241" s="4"/>
      <c r="BFW241" s="4"/>
      <c r="BFX241" s="4"/>
      <c r="BFY241" s="4"/>
      <c r="BFZ241" s="4"/>
      <c r="BGA241" s="4"/>
      <c r="BGB241" s="4"/>
      <c r="BGC241" s="4"/>
      <c r="BGD241" s="4"/>
      <c r="BGE241" s="4"/>
      <c r="BGF241" s="4"/>
      <c r="BGG241" s="4"/>
      <c r="BGH241" s="4"/>
      <c r="BGI241" s="4"/>
      <c r="BGJ241" s="4"/>
      <c r="BGK241" s="4"/>
      <c r="BGL241" s="4"/>
      <c r="BGM241" s="4"/>
      <c r="BGN241" s="4"/>
      <c r="BGO241" s="4"/>
      <c r="BGP241" s="4"/>
      <c r="BGQ241" s="4"/>
      <c r="BGR241" s="4"/>
      <c r="BGS241" s="4"/>
      <c r="BGT241" s="4"/>
      <c r="BGU241" s="4"/>
      <c r="BGV241" s="4"/>
      <c r="BGW241" s="4"/>
      <c r="BGX241" s="4"/>
      <c r="BGY241" s="4"/>
      <c r="BGZ241" s="4"/>
      <c r="BHA241" s="4"/>
      <c r="BHB241" s="4"/>
      <c r="BHC241" s="4"/>
      <c r="BHD241" s="4"/>
      <c r="BHE241" s="4"/>
      <c r="BHF241" s="4"/>
      <c r="BHG241" s="4"/>
      <c r="BHH241" s="4"/>
      <c r="BHI241" s="4"/>
      <c r="BHJ241" s="4"/>
      <c r="BHK241" s="4"/>
      <c r="BHL241" s="4"/>
      <c r="BHM241" s="4"/>
      <c r="BHN241" s="4"/>
      <c r="BHO241" s="4"/>
      <c r="BHP241" s="4"/>
      <c r="BHQ241" s="4"/>
      <c r="BHR241" s="4"/>
      <c r="BHS241" s="4"/>
      <c r="BHT241" s="4"/>
      <c r="BHU241" s="4"/>
      <c r="BHV241" s="4"/>
      <c r="BHW241" s="4"/>
      <c r="BHX241" s="4"/>
      <c r="BHY241" s="4"/>
      <c r="BHZ241" s="4"/>
      <c r="BIA241" s="4"/>
      <c r="BIB241" s="4"/>
      <c r="BIC241" s="4"/>
      <c r="BID241" s="4"/>
      <c r="BIE241" s="4"/>
      <c r="BIF241" s="4"/>
      <c r="BIG241" s="4"/>
      <c r="BIH241" s="4"/>
      <c r="BII241" s="4"/>
      <c r="BIJ241" s="4"/>
      <c r="BIK241" s="4"/>
      <c r="BIL241" s="4"/>
      <c r="BIM241" s="4"/>
      <c r="BIN241" s="4"/>
      <c r="BIO241" s="4"/>
      <c r="BIP241" s="4"/>
      <c r="BIQ241" s="4"/>
      <c r="BIR241" s="4"/>
      <c r="BIS241" s="4"/>
      <c r="BIT241" s="4"/>
      <c r="BIU241" s="4"/>
      <c r="BIV241" s="4"/>
      <c r="BIW241" s="4"/>
      <c r="BIX241" s="4"/>
      <c r="BIY241" s="4"/>
      <c r="BIZ241" s="4"/>
      <c r="BJA241" s="4"/>
      <c r="BJB241" s="4"/>
      <c r="BJC241" s="4"/>
      <c r="BJD241" s="4"/>
      <c r="BJE241" s="4"/>
      <c r="BJF241" s="4"/>
      <c r="BJG241" s="4"/>
      <c r="BJH241" s="4"/>
      <c r="BJI241" s="4"/>
      <c r="BJJ241" s="4"/>
      <c r="BJK241" s="4"/>
      <c r="BJL241" s="4"/>
      <c r="BJM241" s="4"/>
      <c r="BJN241" s="4"/>
      <c r="BJO241" s="4"/>
      <c r="BJP241" s="4"/>
      <c r="BJQ241" s="4"/>
      <c r="BJR241" s="4"/>
      <c r="BJS241" s="4"/>
      <c r="BJT241" s="4"/>
      <c r="BJU241" s="4"/>
      <c r="BJV241" s="4"/>
      <c r="BJW241" s="4"/>
      <c r="BJX241" s="4"/>
      <c r="BJY241" s="4"/>
      <c r="BJZ241" s="4"/>
      <c r="BKA241" s="4"/>
      <c r="BKB241" s="4"/>
      <c r="BKC241" s="4"/>
      <c r="BKD241" s="4"/>
      <c r="BKE241" s="4"/>
      <c r="BKF241" s="4"/>
      <c r="BKG241" s="4"/>
      <c r="BKH241" s="4"/>
      <c r="BKI241" s="4"/>
      <c r="BKJ241" s="4"/>
      <c r="BKK241" s="4"/>
      <c r="BKL241" s="4"/>
      <c r="BKM241" s="4"/>
      <c r="BKN241" s="4"/>
      <c r="BKO241" s="4"/>
      <c r="BKP241" s="4"/>
      <c r="BKQ241" s="4"/>
      <c r="BKR241" s="4"/>
      <c r="BKS241" s="4"/>
      <c r="BKT241" s="4"/>
      <c r="BKU241" s="4"/>
      <c r="BKV241" s="4"/>
      <c r="BKW241" s="4"/>
      <c r="BKX241" s="4"/>
      <c r="BKY241" s="4"/>
      <c r="BKZ241" s="4"/>
      <c r="BLA241" s="4"/>
      <c r="BLB241" s="4"/>
      <c r="BLC241" s="4"/>
      <c r="BLD241" s="4"/>
      <c r="BLE241" s="4"/>
      <c r="BLF241" s="4"/>
      <c r="BLG241" s="4"/>
      <c r="BLH241" s="4"/>
      <c r="BLI241" s="4"/>
      <c r="BLJ241" s="4"/>
      <c r="BLK241" s="4"/>
      <c r="BLL241" s="4"/>
      <c r="BLM241" s="4"/>
      <c r="BLN241" s="4"/>
      <c r="BLO241" s="4"/>
      <c r="BLP241" s="4"/>
      <c r="BLQ241" s="4"/>
      <c r="BLR241" s="4"/>
      <c r="BLS241" s="4"/>
      <c r="BLT241" s="4"/>
      <c r="BLU241" s="4"/>
      <c r="BLV241" s="4"/>
      <c r="BLW241" s="4"/>
      <c r="BLX241" s="4"/>
      <c r="BLY241" s="4"/>
      <c r="BLZ241" s="4"/>
      <c r="BMA241" s="4"/>
      <c r="BMB241" s="4"/>
      <c r="BMC241" s="4"/>
      <c r="BMD241" s="4"/>
      <c r="BME241" s="4"/>
      <c r="BMF241" s="4"/>
      <c r="BMG241" s="4"/>
      <c r="BMH241" s="4"/>
      <c r="BMI241" s="4"/>
      <c r="BMJ241" s="4"/>
      <c r="BMK241" s="4"/>
      <c r="BML241" s="4"/>
      <c r="BMM241" s="4"/>
      <c r="BMN241" s="4"/>
      <c r="BMO241" s="4"/>
      <c r="BMP241" s="4"/>
      <c r="BMQ241" s="4"/>
      <c r="BMR241" s="4"/>
      <c r="BMS241" s="4"/>
      <c r="BMT241" s="4"/>
      <c r="BMU241" s="4"/>
      <c r="BMV241" s="4"/>
      <c r="BMW241" s="4"/>
      <c r="BMX241" s="4"/>
      <c r="BMY241" s="4"/>
      <c r="BMZ241" s="4"/>
      <c r="BNA241" s="4"/>
      <c r="BNB241" s="4"/>
      <c r="BNC241" s="4"/>
      <c r="BND241" s="4"/>
      <c r="BNE241" s="4"/>
      <c r="BNF241" s="4"/>
      <c r="BNG241" s="4"/>
      <c r="BNH241" s="4"/>
      <c r="BNI241" s="4"/>
      <c r="BNJ241" s="4"/>
      <c r="BNK241" s="4"/>
      <c r="BNL241" s="4"/>
      <c r="BNM241" s="4"/>
      <c r="BNN241" s="4"/>
      <c r="BNO241" s="4"/>
      <c r="BNP241" s="4"/>
      <c r="BNQ241" s="4"/>
      <c r="BNR241" s="4"/>
      <c r="BNS241" s="4"/>
      <c r="BNT241" s="4"/>
      <c r="BNU241" s="4"/>
      <c r="BNV241" s="4"/>
      <c r="BNW241" s="4"/>
      <c r="BNX241" s="4"/>
      <c r="BNY241" s="4"/>
      <c r="BNZ241" s="4"/>
      <c r="BOA241" s="4"/>
      <c r="BOB241" s="4"/>
      <c r="BOC241" s="4"/>
      <c r="BOD241" s="4"/>
      <c r="BOE241" s="4"/>
      <c r="BOF241" s="4"/>
      <c r="BOG241" s="4"/>
      <c r="BOH241" s="4"/>
      <c r="BOI241" s="4"/>
      <c r="BOJ241" s="4"/>
      <c r="BOK241" s="4"/>
      <c r="BOL241" s="4"/>
      <c r="BOM241" s="4"/>
      <c r="BON241" s="4"/>
      <c r="BOO241" s="4"/>
      <c r="BOP241" s="4"/>
      <c r="BOQ241" s="4"/>
      <c r="BOR241" s="4"/>
      <c r="BOS241" s="4"/>
      <c r="BOT241" s="4"/>
      <c r="BOU241" s="4"/>
      <c r="BOV241" s="4"/>
      <c r="BOW241" s="4"/>
      <c r="BOX241" s="4"/>
      <c r="BOY241" s="4"/>
      <c r="BOZ241" s="4"/>
      <c r="BPA241" s="4"/>
      <c r="BPB241" s="4"/>
      <c r="BPC241" s="4"/>
      <c r="BPD241" s="4"/>
      <c r="BPE241" s="4"/>
      <c r="BPF241" s="4"/>
      <c r="BPG241" s="4"/>
      <c r="BPH241" s="4"/>
      <c r="BPI241" s="4"/>
      <c r="BPJ241" s="4"/>
      <c r="BPK241" s="4"/>
      <c r="BPL241" s="4"/>
      <c r="BPM241" s="4"/>
      <c r="BPN241" s="4"/>
      <c r="BPO241" s="4"/>
      <c r="BPP241" s="4"/>
      <c r="BPQ241" s="4"/>
      <c r="BPR241" s="4"/>
      <c r="BPS241" s="4"/>
      <c r="BPT241" s="4"/>
      <c r="BPU241" s="4"/>
      <c r="BPV241" s="4"/>
      <c r="BPW241" s="4"/>
      <c r="BPX241" s="4"/>
      <c r="BPY241" s="4"/>
      <c r="BPZ241" s="4"/>
      <c r="BQA241" s="4"/>
      <c r="BQB241" s="4"/>
      <c r="BQC241" s="4"/>
      <c r="BQD241" s="4"/>
      <c r="BQE241" s="4"/>
      <c r="BQF241" s="4"/>
      <c r="BQG241" s="4"/>
      <c r="BQH241" s="4"/>
      <c r="BQI241" s="4"/>
      <c r="BQJ241" s="4"/>
      <c r="BQK241" s="4"/>
      <c r="BQL241" s="4"/>
      <c r="BQM241" s="4"/>
      <c r="BQN241" s="4"/>
      <c r="BQO241" s="4"/>
      <c r="BQP241" s="4"/>
      <c r="BQQ241" s="4"/>
      <c r="BQR241" s="4"/>
      <c r="BQS241" s="4"/>
      <c r="BQT241" s="4"/>
      <c r="BQU241" s="4"/>
      <c r="BQV241" s="4"/>
      <c r="BQW241" s="4"/>
      <c r="BQX241" s="4"/>
      <c r="BQY241" s="4"/>
      <c r="BQZ241" s="4"/>
      <c r="BRA241" s="4"/>
      <c r="BRB241" s="4"/>
      <c r="BRC241" s="4"/>
      <c r="BRD241" s="4"/>
      <c r="BRE241" s="4"/>
      <c r="BRF241" s="4"/>
      <c r="BRG241" s="4"/>
      <c r="BRH241" s="4"/>
      <c r="BRI241" s="4"/>
      <c r="BRJ241" s="4"/>
      <c r="BRK241" s="4"/>
      <c r="BRL241" s="4"/>
      <c r="BRM241" s="4"/>
      <c r="BRN241" s="4"/>
      <c r="BRO241" s="4"/>
      <c r="BRP241" s="4"/>
      <c r="BRQ241" s="4"/>
      <c r="BRR241" s="4"/>
      <c r="BRS241" s="4"/>
      <c r="BRT241" s="4"/>
      <c r="BRU241" s="4"/>
      <c r="BRV241" s="4"/>
      <c r="BRW241" s="4"/>
      <c r="BRX241" s="4"/>
      <c r="BRY241" s="4"/>
      <c r="BRZ241" s="4"/>
      <c r="BSA241" s="4"/>
      <c r="BSB241" s="4"/>
      <c r="BSC241" s="4"/>
      <c r="BSD241" s="4"/>
      <c r="BSE241" s="4"/>
      <c r="BSF241" s="4"/>
      <c r="BSG241" s="4"/>
      <c r="BSH241" s="4"/>
      <c r="BSI241" s="4"/>
      <c r="BSJ241" s="4"/>
      <c r="BSK241" s="4"/>
      <c r="BSL241" s="4"/>
      <c r="BSM241" s="4"/>
      <c r="BSN241" s="4"/>
      <c r="BSO241" s="4"/>
      <c r="BSP241" s="4"/>
      <c r="BSQ241" s="4"/>
      <c r="BSR241" s="4"/>
      <c r="BSS241" s="4"/>
      <c r="BST241" s="4"/>
      <c r="BSU241" s="4"/>
      <c r="BSV241" s="4"/>
      <c r="BSW241" s="4"/>
      <c r="BSX241" s="4"/>
      <c r="BSY241" s="4"/>
      <c r="BSZ241" s="4"/>
      <c r="BTA241" s="4"/>
      <c r="BTB241" s="4"/>
      <c r="BTC241" s="4"/>
      <c r="BTD241" s="4"/>
      <c r="BTE241" s="4"/>
      <c r="BTF241" s="4"/>
      <c r="BTG241" s="4"/>
      <c r="BTH241" s="4"/>
      <c r="BTI241" s="4"/>
      <c r="BTJ241" s="4"/>
      <c r="BTK241" s="4"/>
      <c r="BTL241" s="4"/>
      <c r="BTM241" s="4"/>
      <c r="BTN241" s="4"/>
      <c r="BTO241" s="4"/>
      <c r="BTP241" s="4"/>
      <c r="BTQ241" s="4"/>
      <c r="BTR241" s="4"/>
      <c r="BTS241" s="4"/>
      <c r="BTT241" s="4"/>
      <c r="BTU241" s="4"/>
      <c r="BTV241" s="4"/>
      <c r="BTW241" s="4"/>
      <c r="BTX241" s="4"/>
      <c r="BTY241" s="4"/>
      <c r="BTZ241" s="4"/>
      <c r="BUA241" s="4"/>
      <c r="BUB241" s="4"/>
      <c r="BUC241" s="4"/>
      <c r="BUD241" s="4"/>
      <c r="BUE241" s="4"/>
      <c r="BUF241" s="4"/>
      <c r="BUG241" s="4"/>
      <c r="BUH241" s="4"/>
      <c r="BUI241" s="4"/>
      <c r="BUJ241" s="4"/>
      <c r="BUK241" s="4"/>
      <c r="BUL241" s="4"/>
      <c r="BUM241" s="4"/>
      <c r="BUN241" s="4"/>
      <c r="BUO241" s="4"/>
      <c r="BUP241" s="4"/>
      <c r="BUQ241" s="4"/>
      <c r="BUR241" s="4"/>
      <c r="BUS241" s="4"/>
      <c r="BUT241" s="4"/>
      <c r="BUU241" s="4"/>
      <c r="BUV241" s="4"/>
      <c r="BUW241" s="4"/>
      <c r="BUX241" s="4"/>
      <c r="BUY241" s="4"/>
      <c r="BUZ241" s="4"/>
      <c r="BVA241" s="4"/>
      <c r="BVB241" s="4"/>
      <c r="BVC241" s="4"/>
      <c r="BVD241" s="4"/>
      <c r="BVE241" s="4"/>
      <c r="BVF241" s="4"/>
      <c r="BVG241" s="4"/>
      <c r="BVH241" s="4"/>
      <c r="BVI241" s="4"/>
      <c r="BVJ241" s="4"/>
      <c r="BVK241" s="4"/>
      <c r="BVL241" s="4"/>
      <c r="BVM241" s="4"/>
      <c r="BVN241" s="4"/>
      <c r="BVO241" s="4"/>
      <c r="BVP241" s="4"/>
      <c r="BVQ241" s="4"/>
      <c r="BVR241" s="4"/>
      <c r="BVS241" s="4"/>
      <c r="BVT241" s="4"/>
      <c r="BVU241" s="4"/>
      <c r="BVV241" s="4"/>
      <c r="BVW241" s="4"/>
      <c r="BVX241" s="4"/>
      <c r="BVY241" s="4"/>
      <c r="BVZ241" s="4"/>
      <c r="BWA241" s="4"/>
      <c r="BWB241" s="4"/>
      <c r="BWC241" s="4"/>
      <c r="BWD241" s="4"/>
      <c r="BWE241" s="4"/>
      <c r="BWF241" s="4"/>
      <c r="BWG241" s="4"/>
      <c r="BWH241" s="4"/>
      <c r="BWI241" s="4"/>
      <c r="BWJ241" s="4"/>
      <c r="BWK241" s="4"/>
      <c r="BWL241" s="4"/>
      <c r="BWM241" s="4"/>
      <c r="BWN241" s="4"/>
      <c r="BWO241" s="4"/>
      <c r="BWP241" s="4"/>
      <c r="BWQ241" s="4"/>
      <c r="BWR241" s="4"/>
      <c r="BWS241" s="4"/>
      <c r="BWT241" s="4"/>
      <c r="BWU241" s="4"/>
      <c r="BWV241" s="4"/>
      <c r="BWW241" s="4"/>
      <c r="BWX241" s="4"/>
      <c r="BWY241" s="4"/>
      <c r="BWZ241" s="4"/>
      <c r="BXA241" s="4"/>
      <c r="BXB241" s="4"/>
      <c r="BXC241" s="4"/>
      <c r="BXD241" s="4"/>
      <c r="BXE241" s="4"/>
      <c r="BXF241" s="4"/>
      <c r="BXG241" s="4"/>
      <c r="BXH241" s="4"/>
      <c r="BXI241" s="4"/>
      <c r="BXJ241" s="4"/>
      <c r="BXK241" s="4"/>
      <c r="BXL241" s="4"/>
      <c r="BXM241" s="4"/>
      <c r="BXN241" s="4"/>
      <c r="BXO241" s="4"/>
      <c r="BXP241" s="4"/>
      <c r="BXQ241" s="4"/>
      <c r="BXR241" s="4"/>
      <c r="BXS241" s="4"/>
      <c r="BXT241" s="4"/>
      <c r="BXU241" s="4"/>
      <c r="BXV241" s="4"/>
      <c r="BXW241" s="4"/>
      <c r="BXX241" s="4"/>
      <c r="BXY241" s="4"/>
      <c r="BXZ241" s="4"/>
      <c r="BYA241" s="4"/>
      <c r="BYB241" s="4"/>
      <c r="BYC241" s="4"/>
      <c r="BYD241" s="4"/>
      <c r="BYE241" s="4"/>
      <c r="BYF241" s="4"/>
      <c r="BYG241" s="4"/>
      <c r="BYH241" s="4"/>
      <c r="BYI241" s="4"/>
      <c r="BYJ241" s="4"/>
      <c r="BYK241" s="4"/>
      <c r="BYL241" s="4"/>
      <c r="BYM241" s="4"/>
      <c r="BYN241" s="4"/>
      <c r="BYO241" s="4"/>
      <c r="BYP241" s="4"/>
      <c r="BYQ241" s="4"/>
      <c r="BYR241" s="4"/>
      <c r="BYS241" s="4"/>
      <c r="BYT241" s="4"/>
      <c r="BYU241" s="4"/>
      <c r="BYV241" s="4"/>
      <c r="BYW241" s="4"/>
      <c r="BYX241" s="4"/>
      <c r="BYY241" s="4"/>
      <c r="BYZ241" s="4"/>
      <c r="BZA241" s="4"/>
      <c r="BZB241" s="4"/>
      <c r="BZC241" s="4"/>
      <c r="BZD241" s="4"/>
      <c r="BZE241" s="4"/>
      <c r="BZF241" s="4"/>
      <c r="BZG241" s="4"/>
      <c r="BZH241" s="4"/>
      <c r="BZI241" s="4"/>
      <c r="BZJ241" s="4"/>
      <c r="BZK241" s="4"/>
      <c r="BZL241" s="4"/>
      <c r="BZM241" s="4"/>
      <c r="BZN241" s="4"/>
      <c r="BZO241" s="4"/>
      <c r="BZP241" s="4"/>
      <c r="BZQ241" s="4"/>
      <c r="BZR241" s="4"/>
      <c r="BZS241" s="4"/>
      <c r="BZT241" s="4"/>
      <c r="BZU241" s="4"/>
      <c r="BZV241" s="4"/>
      <c r="BZW241" s="4"/>
      <c r="BZX241" s="4"/>
      <c r="BZY241" s="4"/>
      <c r="BZZ241" s="4"/>
      <c r="CAA241" s="4"/>
      <c r="CAB241" s="4"/>
      <c r="CAC241" s="4"/>
      <c r="CAD241" s="4"/>
      <c r="CAE241" s="4"/>
      <c r="CAF241" s="4"/>
      <c r="CAG241" s="4"/>
      <c r="CAH241" s="4"/>
      <c r="CAI241" s="4"/>
      <c r="CAJ241" s="4"/>
      <c r="CAK241" s="4"/>
      <c r="CAL241" s="4"/>
      <c r="CAM241" s="4"/>
      <c r="CAN241" s="4"/>
      <c r="CAO241" s="4"/>
      <c r="CAP241" s="4"/>
      <c r="CAQ241" s="4"/>
      <c r="CAR241" s="4"/>
      <c r="CAS241" s="4"/>
      <c r="CAT241" s="4"/>
      <c r="CAU241" s="4"/>
      <c r="CAV241" s="4"/>
      <c r="CAW241" s="4"/>
      <c r="CAX241" s="4"/>
      <c r="CAY241" s="4"/>
      <c r="CAZ241" s="4"/>
      <c r="CBA241" s="4"/>
      <c r="CBB241" s="4"/>
      <c r="CBC241" s="4"/>
      <c r="CBD241" s="4"/>
      <c r="CBE241" s="4"/>
      <c r="CBF241" s="4"/>
      <c r="CBG241" s="4"/>
      <c r="CBH241" s="4"/>
      <c r="CBI241" s="4"/>
      <c r="CBJ241" s="4"/>
      <c r="CBK241" s="4"/>
      <c r="CBL241" s="4"/>
      <c r="CBM241" s="4"/>
      <c r="CBN241" s="4"/>
      <c r="CBO241" s="4"/>
      <c r="CBP241" s="4"/>
      <c r="CBQ241" s="4"/>
      <c r="CBR241" s="4"/>
      <c r="CBS241" s="4"/>
      <c r="CBT241" s="4"/>
      <c r="CBU241" s="4"/>
      <c r="CBV241" s="4"/>
      <c r="CBW241" s="4"/>
      <c r="CBX241" s="4"/>
      <c r="CBY241" s="4"/>
      <c r="CBZ241" s="4"/>
      <c r="CCA241" s="4"/>
      <c r="CCB241" s="4"/>
      <c r="CCC241" s="4"/>
      <c r="CCD241" s="4"/>
      <c r="CCE241" s="4"/>
      <c r="CCF241" s="4"/>
      <c r="CCG241" s="4"/>
      <c r="CCH241" s="4"/>
      <c r="CCI241" s="4"/>
      <c r="CCJ241" s="4"/>
      <c r="CCK241" s="4"/>
      <c r="CCL241" s="4"/>
      <c r="CCM241" s="4"/>
      <c r="CCN241" s="4"/>
      <c r="CCO241" s="4"/>
      <c r="CCP241" s="4"/>
      <c r="CCQ241" s="4"/>
      <c r="CCR241" s="4"/>
      <c r="CCS241" s="4"/>
      <c r="CCT241" s="4"/>
      <c r="CCU241" s="4"/>
      <c r="CCV241" s="4"/>
      <c r="CCW241" s="4"/>
      <c r="CCX241" s="4"/>
      <c r="CCY241" s="4"/>
      <c r="CCZ241" s="4"/>
      <c r="CDA241" s="4"/>
      <c r="CDB241" s="4"/>
      <c r="CDC241" s="4"/>
      <c r="CDD241" s="4"/>
      <c r="CDE241" s="4"/>
      <c r="CDF241" s="4"/>
      <c r="CDG241" s="4"/>
      <c r="CDH241" s="4"/>
      <c r="CDI241" s="4"/>
      <c r="CDJ241" s="4"/>
      <c r="CDK241" s="4"/>
      <c r="CDL241" s="4"/>
      <c r="CDM241" s="4"/>
      <c r="CDN241" s="4"/>
      <c r="CDO241" s="4"/>
      <c r="CDP241" s="4"/>
      <c r="CDQ241" s="4"/>
      <c r="CDR241" s="4"/>
      <c r="CDS241" s="4"/>
      <c r="CDT241" s="4"/>
      <c r="CDU241" s="4"/>
      <c r="CDV241" s="4"/>
      <c r="CDW241" s="4"/>
      <c r="CDX241" s="4"/>
      <c r="CDY241" s="4"/>
      <c r="CDZ241" s="4"/>
      <c r="CEA241" s="4"/>
      <c r="CEB241" s="4"/>
      <c r="CEC241" s="4"/>
      <c r="CED241" s="4"/>
      <c r="CEE241" s="4"/>
      <c r="CEF241" s="4"/>
      <c r="CEG241" s="4"/>
      <c r="CEH241" s="4"/>
      <c r="CEI241" s="4"/>
      <c r="CEJ241" s="4"/>
      <c r="CEK241" s="4"/>
      <c r="CEL241" s="4"/>
      <c r="CEM241" s="4"/>
      <c r="CEN241" s="4"/>
      <c r="CEO241" s="4"/>
      <c r="CEP241" s="4"/>
      <c r="CEQ241" s="4"/>
      <c r="CER241" s="4"/>
      <c r="CES241" s="4"/>
      <c r="CET241" s="4"/>
      <c r="CEU241" s="4"/>
      <c r="CEV241" s="4"/>
      <c r="CEW241" s="4"/>
      <c r="CEX241" s="4"/>
      <c r="CEY241" s="4"/>
      <c r="CEZ241" s="4"/>
      <c r="CFA241" s="4"/>
      <c r="CFB241" s="4"/>
      <c r="CFC241" s="4"/>
      <c r="CFD241" s="4"/>
      <c r="CFE241" s="4"/>
      <c r="CFF241" s="4"/>
      <c r="CFG241" s="4"/>
      <c r="CFH241" s="4"/>
      <c r="CFI241" s="4"/>
      <c r="CFJ241" s="4"/>
      <c r="CFK241" s="4"/>
      <c r="CFL241" s="4"/>
      <c r="CFM241" s="4"/>
      <c r="CFN241" s="4"/>
      <c r="CFO241" s="4"/>
      <c r="CFP241" s="4"/>
      <c r="CFQ241" s="4"/>
      <c r="CFR241" s="4"/>
      <c r="CFS241" s="4"/>
      <c r="CFT241" s="4"/>
      <c r="CFU241" s="4"/>
      <c r="CFV241" s="4"/>
      <c r="CFW241" s="4"/>
      <c r="CFX241" s="4"/>
      <c r="CFY241" s="4"/>
      <c r="CFZ241" s="4"/>
      <c r="CGA241" s="4"/>
      <c r="CGB241" s="4"/>
      <c r="CGC241" s="4"/>
      <c r="CGD241" s="4"/>
      <c r="CGE241" s="4"/>
      <c r="CGF241" s="4"/>
      <c r="CGG241" s="4"/>
      <c r="CGH241" s="4"/>
      <c r="CGI241" s="4"/>
      <c r="CGJ241" s="4"/>
      <c r="CGK241" s="4"/>
      <c r="CGL241" s="4"/>
      <c r="CGM241" s="4"/>
      <c r="CGN241" s="4"/>
      <c r="CGO241" s="4"/>
      <c r="CGP241" s="4"/>
      <c r="CGQ241" s="4"/>
      <c r="CGR241" s="4"/>
      <c r="CGS241" s="4"/>
      <c r="CGT241" s="4"/>
      <c r="CGU241" s="4"/>
      <c r="CGV241" s="4"/>
      <c r="CGW241" s="4"/>
      <c r="CGX241" s="4"/>
      <c r="CGY241" s="4"/>
      <c r="CGZ241" s="4"/>
      <c r="CHA241" s="4"/>
      <c r="CHB241" s="4"/>
      <c r="CHC241" s="4"/>
      <c r="CHD241" s="4"/>
      <c r="CHE241" s="4"/>
      <c r="CHF241" s="4"/>
      <c r="CHG241" s="4"/>
      <c r="CHH241" s="4"/>
      <c r="CHI241" s="4"/>
      <c r="CHJ241" s="4"/>
      <c r="CHK241" s="4"/>
      <c r="CHL241" s="4"/>
      <c r="CHM241" s="4"/>
      <c r="CHN241" s="4"/>
      <c r="CHO241" s="4"/>
      <c r="CHP241" s="4"/>
      <c r="CHQ241" s="4"/>
      <c r="CHR241" s="4"/>
      <c r="CHS241" s="4"/>
      <c r="CHT241" s="4"/>
      <c r="CHU241" s="4"/>
      <c r="CHV241" s="4"/>
      <c r="CHW241" s="4"/>
      <c r="CHX241" s="4"/>
      <c r="CHY241" s="4"/>
      <c r="CHZ241" s="4"/>
      <c r="CIA241" s="4"/>
      <c r="CIB241" s="4"/>
      <c r="CIC241" s="4"/>
      <c r="CID241" s="4"/>
      <c r="CIE241" s="4"/>
      <c r="CIF241" s="4"/>
      <c r="CIG241" s="4"/>
      <c r="CIH241" s="4"/>
      <c r="CII241" s="4"/>
      <c r="CIJ241" s="4"/>
      <c r="CIK241" s="4"/>
      <c r="CIL241" s="4"/>
      <c r="CIM241" s="4"/>
      <c r="CIN241" s="4"/>
      <c r="CIO241" s="4"/>
      <c r="CIP241" s="4"/>
      <c r="CIQ241" s="4"/>
      <c r="CIR241" s="4"/>
      <c r="CIS241" s="4"/>
      <c r="CIT241" s="4"/>
      <c r="CIU241" s="4"/>
      <c r="CIV241" s="4"/>
      <c r="CIW241" s="4"/>
      <c r="CIX241" s="4"/>
      <c r="CIY241" s="4"/>
      <c r="CIZ241" s="4"/>
      <c r="CJA241" s="4"/>
      <c r="CJB241" s="4"/>
      <c r="CJC241" s="4"/>
      <c r="CJD241" s="4"/>
      <c r="CJE241" s="4"/>
      <c r="CJF241" s="4"/>
      <c r="CJG241" s="4"/>
      <c r="CJH241" s="4"/>
      <c r="CJI241" s="4"/>
      <c r="CJJ241" s="4"/>
      <c r="CJK241" s="4"/>
      <c r="CJL241" s="4"/>
      <c r="CJM241" s="4"/>
      <c r="CJN241" s="4"/>
      <c r="CJO241" s="4"/>
      <c r="CJP241" s="4"/>
      <c r="CJQ241" s="4"/>
      <c r="CJR241" s="4"/>
      <c r="CJS241" s="4"/>
      <c r="CJT241" s="4"/>
      <c r="CJU241" s="4"/>
      <c r="CJV241" s="4"/>
      <c r="CJW241" s="4"/>
      <c r="CJX241" s="4"/>
      <c r="CJY241" s="4"/>
      <c r="CJZ241" s="4"/>
      <c r="CKA241" s="4"/>
      <c r="CKB241" s="4"/>
      <c r="CKC241" s="4"/>
      <c r="CKD241" s="4"/>
      <c r="CKE241" s="4"/>
      <c r="CKF241" s="4"/>
      <c r="CKG241" s="4"/>
      <c r="CKH241" s="4"/>
      <c r="CKI241" s="4"/>
      <c r="CKJ241" s="4"/>
      <c r="CKK241" s="4"/>
      <c r="CKL241" s="4"/>
      <c r="CKM241" s="4"/>
      <c r="CKN241" s="4"/>
      <c r="CKO241" s="4"/>
      <c r="CKP241" s="4"/>
      <c r="CKQ241" s="4"/>
      <c r="CKR241" s="4"/>
      <c r="CKS241" s="4"/>
      <c r="CKT241" s="4"/>
      <c r="CKU241" s="4"/>
      <c r="CKV241" s="4"/>
      <c r="CKW241" s="4"/>
      <c r="CKX241" s="4"/>
      <c r="CKY241" s="4"/>
      <c r="CKZ241" s="4"/>
      <c r="CLA241" s="4"/>
      <c r="CLB241" s="4"/>
      <c r="CLC241" s="4"/>
      <c r="CLD241" s="4"/>
      <c r="CLE241" s="4"/>
      <c r="CLF241" s="4"/>
      <c r="CLG241" s="4"/>
      <c r="CLH241" s="4"/>
      <c r="CLI241" s="4"/>
      <c r="CLJ241" s="4"/>
      <c r="CLK241" s="4"/>
      <c r="CLL241" s="4"/>
      <c r="CLM241" s="4"/>
      <c r="CLN241" s="4"/>
      <c r="CLO241" s="4"/>
      <c r="CLP241" s="4"/>
      <c r="CLQ241" s="4"/>
      <c r="CLR241" s="4"/>
      <c r="CLS241" s="4"/>
      <c r="CLT241" s="4"/>
      <c r="CLU241" s="4"/>
      <c r="CLV241" s="4"/>
      <c r="CLW241" s="4"/>
      <c r="CLX241" s="4"/>
      <c r="CLY241" s="4"/>
      <c r="CLZ241" s="4"/>
      <c r="CMA241" s="4"/>
      <c r="CMB241" s="4"/>
      <c r="CMC241" s="4"/>
      <c r="CMD241" s="4"/>
      <c r="CME241" s="4"/>
      <c r="CMF241" s="4"/>
      <c r="CMG241" s="4"/>
      <c r="CMH241" s="4"/>
      <c r="CMI241" s="4"/>
      <c r="CMJ241" s="4"/>
      <c r="CMK241" s="4"/>
      <c r="CML241" s="4"/>
      <c r="CMM241" s="4"/>
      <c r="CMN241" s="4"/>
      <c r="CMO241" s="4"/>
      <c r="CMP241" s="4"/>
      <c r="CMQ241" s="4"/>
      <c r="CMR241" s="4"/>
      <c r="CMS241" s="4"/>
      <c r="CMT241" s="4"/>
      <c r="CMU241" s="4"/>
      <c r="CMV241" s="4"/>
      <c r="CMW241" s="4"/>
      <c r="CMX241" s="4"/>
      <c r="CMY241" s="4"/>
      <c r="CMZ241" s="4"/>
      <c r="CNA241" s="4"/>
      <c r="CNB241" s="4"/>
      <c r="CNC241" s="4"/>
      <c r="CND241" s="4"/>
      <c r="CNE241" s="4"/>
      <c r="CNF241" s="4"/>
      <c r="CNG241" s="4"/>
      <c r="CNH241" s="4"/>
      <c r="CNI241" s="4"/>
      <c r="CNJ241" s="4"/>
      <c r="CNK241" s="4"/>
      <c r="CNL241" s="4"/>
      <c r="CNM241" s="4"/>
      <c r="CNN241" s="4"/>
      <c r="CNO241" s="4"/>
      <c r="CNP241" s="4"/>
      <c r="CNQ241" s="4"/>
      <c r="CNR241" s="4"/>
      <c r="CNS241" s="4"/>
      <c r="CNT241" s="4"/>
      <c r="CNU241" s="4"/>
      <c r="CNV241" s="4"/>
      <c r="CNW241" s="4"/>
      <c r="CNX241" s="4"/>
      <c r="CNY241" s="4"/>
      <c r="CNZ241" s="4"/>
      <c r="COA241" s="4"/>
      <c r="COB241" s="4"/>
      <c r="COC241" s="4"/>
      <c r="COD241" s="4"/>
      <c r="COE241" s="4"/>
      <c r="COF241" s="4"/>
      <c r="COG241" s="4"/>
      <c r="COH241" s="4"/>
      <c r="COI241" s="4"/>
      <c r="COJ241" s="4"/>
      <c r="COK241" s="4"/>
      <c r="COL241" s="4"/>
      <c r="COM241" s="4"/>
      <c r="CON241" s="4"/>
      <c r="COO241" s="4"/>
      <c r="COP241" s="4"/>
      <c r="COQ241" s="4"/>
      <c r="COR241" s="4"/>
      <c r="COS241" s="4"/>
      <c r="COT241" s="4"/>
      <c r="COU241" s="4"/>
      <c r="COV241" s="4"/>
      <c r="COW241" s="4"/>
      <c r="COX241" s="4"/>
      <c r="COY241" s="4"/>
      <c r="COZ241" s="4"/>
      <c r="CPA241" s="4"/>
      <c r="CPB241" s="4"/>
      <c r="CPC241" s="4"/>
      <c r="CPD241" s="4"/>
      <c r="CPE241" s="4"/>
      <c r="CPF241" s="4"/>
      <c r="CPG241" s="4"/>
      <c r="CPH241" s="4"/>
      <c r="CPI241" s="4"/>
      <c r="CPJ241" s="4"/>
      <c r="CPK241" s="4"/>
      <c r="CPL241" s="4"/>
      <c r="CPM241" s="4"/>
      <c r="CPN241" s="4"/>
      <c r="CPO241" s="4"/>
      <c r="CPP241" s="4"/>
      <c r="CPQ241" s="4"/>
      <c r="CPR241" s="4"/>
      <c r="CPS241" s="4"/>
      <c r="CPT241" s="4"/>
      <c r="CPU241" s="4"/>
      <c r="CPV241" s="4"/>
      <c r="CPW241" s="4"/>
      <c r="CPX241" s="4"/>
      <c r="CPY241" s="4"/>
      <c r="CPZ241" s="4"/>
      <c r="CQA241" s="4"/>
      <c r="CQB241" s="4"/>
      <c r="CQC241" s="4"/>
      <c r="CQD241" s="4"/>
      <c r="CQE241" s="4"/>
      <c r="CQF241" s="4"/>
      <c r="CQG241" s="4"/>
      <c r="CQH241" s="4"/>
      <c r="CQI241" s="4"/>
      <c r="CQJ241" s="4"/>
      <c r="CQK241" s="4"/>
      <c r="CQL241" s="4"/>
      <c r="CQM241" s="4"/>
      <c r="CQN241" s="4"/>
      <c r="CQO241" s="4"/>
      <c r="CQP241" s="4"/>
      <c r="CQQ241" s="4"/>
      <c r="CQR241" s="4"/>
      <c r="CQS241" s="4"/>
      <c r="CQT241" s="4"/>
      <c r="CQU241" s="4"/>
      <c r="CQV241" s="4"/>
      <c r="CQW241" s="4"/>
      <c r="CQX241" s="4"/>
      <c r="CQY241" s="4"/>
      <c r="CQZ241" s="4"/>
      <c r="CRA241" s="4"/>
      <c r="CRB241" s="4"/>
      <c r="CRC241" s="4"/>
      <c r="CRD241" s="4"/>
      <c r="CRE241" s="4"/>
      <c r="CRF241" s="4"/>
      <c r="CRG241" s="4"/>
      <c r="CRH241" s="4"/>
      <c r="CRI241" s="4"/>
      <c r="CRJ241" s="4"/>
      <c r="CRK241" s="4"/>
      <c r="CRL241" s="4"/>
      <c r="CRM241" s="4"/>
      <c r="CRN241" s="4"/>
      <c r="CRO241" s="4"/>
      <c r="CRP241" s="4"/>
      <c r="CRQ241" s="4"/>
      <c r="CRR241" s="4"/>
      <c r="CRS241" s="4"/>
      <c r="CRT241" s="4"/>
      <c r="CRU241" s="4"/>
      <c r="CRV241" s="4"/>
      <c r="CRW241" s="4"/>
      <c r="CRX241" s="4"/>
      <c r="CRY241" s="4"/>
      <c r="CRZ241" s="4"/>
      <c r="CSA241" s="4"/>
      <c r="CSB241" s="4"/>
      <c r="CSC241" s="4"/>
      <c r="CSD241" s="4"/>
      <c r="CSE241" s="4"/>
      <c r="CSF241" s="4"/>
      <c r="CSG241" s="4"/>
      <c r="CSH241" s="4"/>
      <c r="CSI241" s="4"/>
      <c r="CSJ241" s="4"/>
      <c r="CSK241" s="4"/>
      <c r="CSL241" s="4"/>
      <c r="CSM241" s="4"/>
      <c r="CSN241" s="4"/>
      <c r="CSO241" s="4"/>
      <c r="CSP241" s="4"/>
      <c r="CSQ241" s="4"/>
      <c r="CSR241" s="4"/>
      <c r="CSS241" s="4"/>
      <c r="CST241" s="4"/>
      <c r="CSU241" s="4"/>
      <c r="CSV241" s="4"/>
      <c r="CSW241" s="4"/>
      <c r="CSX241" s="4"/>
      <c r="CSY241" s="4"/>
      <c r="CSZ241" s="4"/>
      <c r="CTA241" s="4"/>
      <c r="CTB241" s="4"/>
      <c r="CTC241" s="4"/>
      <c r="CTD241" s="4"/>
      <c r="CTE241" s="4"/>
      <c r="CTF241" s="4"/>
      <c r="CTG241" s="4"/>
      <c r="CTH241" s="4"/>
      <c r="CTI241" s="4"/>
      <c r="CTJ241" s="4"/>
      <c r="CTK241" s="4"/>
      <c r="CTL241" s="4"/>
      <c r="CTM241" s="4"/>
      <c r="CTN241" s="4"/>
      <c r="CTO241" s="4"/>
      <c r="CTP241" s="4"/>
      <c r="CTQ241" s="4"/>
      <c r="CTR241" s="4"/>
      <c r="CTS241" s="4"/>
      <c r="CTT241" s="4"/>
      <c r="CTU241" s="4"/>
      <c r="CTV241" s="4"/>
      <c r="CTW241" s="4"/>
      <c r="CTX241" s="4"/>
      <c r="CTY241" s="4"/>
      <c r="CTZ241" s="4"/>
      <c r="CUA241" s="4"/>
      <c r="CUB241" s="4"/>
      <c r="CUC241" s="4"/>
      <c r="CUD241" s="4"/>
      <c r="CUE241" s="4"/>
      <c r="CUF241" s="4"/>
      <c r="CUG241" s="4"/>
      <c r="CUH241" s="4"/>
      <c r="CUI241" s="4"/>
      <c r="CUJ241" s="4"/>
      <c r="CUK241" s="4"/>
      <c r="CUL241" s="4"/>
      <c r="CUM241" s="4"/>
      <c r="CUN241" s="4"/>
      <c r="CUO241" s="4"/>
      <c r="CUP241" s="4"/>
      <c r="CUQ241" s="4"/>
      <c r="CUR241" s="4"/>
      <c r="CUS241" s="4"/>
      <c r="CUT241" s="4"/>
      <c r="CUU241" s="4"/>
      <c r="CUV241" s="4"/>
      <c r="CUW241" s="4"/>
      <c r="CUX241" s="4"/>
      <c r="CUY241" s="4"/>
      <c r="CUZ241" s="4"/>
      <c r="CVA241" s="4"/>
      <c r="CVB241" s="4"/>
      <c r="CVC241" s="4"/>
      <c r="CVD241" s="4"/>
      <c r="CVE241" s="4"/>
      <c r="CVF241" s="4"/>
      <c r="CVG241" s="4"/>
      <c r="CVH241" s="4"/>
      <c r="CVI241" s="4"/>
      <c r="CVJ241" s="4"/>
      <c r="CVK241" s="4"/>
      <c r="CVL241" s="4"/>
      <c r="CVM241" s="4"/>
      <c r="CVN241" s="4"/>
      <c r="CVO241" s="4"/>
      <c r="CVP241" s="4"/>
      <c r="CVQ241" s="4"/>
      <c r="CVR241" s="4"/>
      <c r="CVS241" s="4"/>
      <c r="CVT241" s="4"/>
      <c r="CVU241" s="4"/>
      <c r="CVV241" s="4"/>
      <c r="CVW241" s="4"/>
      <c r="CVX241" s="4"/>
      <c r="CVY241" s="4"/>
      <c r="CVZ241" s="4"/>
      <c r="CWA241" s="4"/>
      <c r="CWB241" s="4"/>
      <c r="CWC241" s="4"/>
      <c r="CWD241" s="4"/>
      <c r="CWE241" s="4"/>
      <c r="CWF241" s="4"/>
      <c r="CWG241" s="4"/>
      <c r="CWH241" s="4"/>
      <c r="CWI241" s="4"/>
      <c r="CWJ241" s="4"/>
      <c r="CWK241" s="4"/>
      <c r="CWL241" s="4"/>
      <c r="CWM241" s="4"/>
      <c r="CWN241" s="4"/>
      <c r="CWO241" s="4"/>
      <c r="CWP241" s="4"/>
      <c r="CWQ241" s="4"/>
      <c r="CWR241" s="4"/>
      <c r="CWS241" s="4"/>
      <c r="CWT241" s="4"/>
      <c r="CWU241" s="4"/>
      <c r="CWV241" s="4"/>
      <c r="CWW241" s="4"/>
      <c r="CWX241" s="4"/>
      <c r="CWY241" s="4"/>
      <c r="CWZ241" s="4"/>
      <c r="CXA241" s="4"/>
      <c r="CXB241" s="4"/>
      <c r="CXC241" s="4"/>
      <c r="CXD241" s="4"/>
      <c r="CXE241" s="4"/>
      <c r="CXF241" s="4"/>
      <c r="CXG241" s="4"/>
      <c r="CXH241" s="4"/>
      <c r="CXI241" s="4"/>
      <c r="CXJ241" s="4"/>
      <c r="CXK241" s="4"/>
      <c r="CXL241" s="4"/>
      <c r="CXM241" s="4"/>
      <c r="CXN241" s="4"/>
      <c r="CXO241" s="4"/>
      <c r="CXP241" s="4"/>
      <c r="CXQ241" s="4"/>
      <c r="CXR241" s="4"/>
      <c r="CXS241" s="4"/>
      <c r="CXT241" s="4"/>
      <c r="CXU241" s="4"/>
      <c r="CXV241" s="4"/>
      <c r="CXW241" s="4"/>
      <c r="CXX241" s="4"/>
      <c r="CXY241" s="4"/>
      <c r="CXZ241" s="4"/>
      <c r="CYA241" s="4"/>
      <c r="CYB241" s="4"/>
      <c r="CYC241" s="4"/>
      <c r="CYD241" s="4"/>
      <c r="CYE241" s="4"/>
      <c r="CYF241" s="4"/>
      <c r="CYG241" s="4"/>
      <c r="CYH241" s="4"/>
      <c r="CYI241" s="4"/>
      <c r="CYJ241" s="4"/>
      <c r="CYK241" s="4"/>
      <c r="CYL241" s="4"/>
      <c r="CYM241" s="4"/>
      <c r="CYN241" s="4"/>
      <c r="CYO241" s="4"/>
      <c r="CYP241" s="4"/>
      <c r="CYQ241" s="4"/>
      <c r="CYR241" s="4"/>
      <c r="CYS241" s="4"/>
      <c r="CYT241" s="4"/>
      <c r="CYU241" s="4"/>
      <c r="CYV241" s="4"/>
      <c r="CYW241" s="4"/>
      <c r="CYX241" s="4"/>
      <c r="CYY241" s="4"/>
      <c r="CYZ241" s="4"/>
      <c r="CZA241" s="4"/>
      <c r="CZB241" s="4"/>
      <c r="CZC241" s="4"/>
      <c r="CZD241" s="4"/>
      <c r="CZE241" s="4"/>
      <c r="CZF241" s="4"/>
      <c r="CZG241" s="4"/>
      <c r="CZH241" s="4"/>
      <c r="CZI241" s="4"/>
      <c r="CZJ241" s="4"/>
      <c r="CZK241" s="4"/>
      <c r="CZL241" s="4"/>
      <c r="CZM241" s="4"/>
      <c r="CZN241" s="4"/>
      <c r="CZO241" s="4"/>
      <c r="CZP241" s="4"/>
      <c r="CZQ241" s="4"/>
      <c r="CZR241" s="4"/>
      <c r="CZS241" s="4"/>
      <c r="CZT241" s="4"/>
      <c r="CZU241" s="4"/>
      <c r="CZV241" s="4"/>
      <c r="CZW241" s="4"/>
      <c r="CZX241" s="4"/>
      <c r="CZY241" s="4"/>
      <c r="CZZ241" s="4"/>
      <c r="DAA241" s="4"/>
      <c r="DAB241" s="4"/>
      <c r="DAC241" s="4"/>
      <c r="DAD241" s="4"/>
      <c r="DAE241" s="4"/>
      <c r="DAF241" s="4"/>
      <c r="DAG241" s="4"/>
      <c r="DAH241" s="4"/>
      <c r="DAI241" s="4"/>
      <c r="DAJ241" s="4"/>
      <c r="DAK241" s="4"/>
      <c r="DAL241" s="4"/>
      <c r="DAM241" s="4"/>
      <c r="DAN241" s="4"/>
      <c r="DAO241" s="4"/>
      <c r="DAP241" s="4"/>
      <c r="DAQ241" s="4"/>
      <c r="DAR241" s="4"/>
      <c r="DAS241" s="4"/>
      <c r="DAT241" s="4"/>
      <c r="DAU241" s="4"/>
      <c r="DAV241" s="4"/>
      <c r="DAW241" s="4"/>
      <c r="DAX241" s="4"/>
      <c r="DAY241" s="4"/>
      <c r="DAZ241" s="4"/>
      <c r="DBA241" s="4"/>
      <c r="DBB241" s="4"/>
      <c r="DBC241" s="4"/>
      <c r="DBD241" s="4"/>
      <c r="DBE241" s="4"/>
      <c r="DBF241" s="4"/>
      <c r="DBG241" s="4"/>
      <c r="DBH241" s="4"/>
      <c r="DBI241" s="4"/>
      <c r="DBJ241" s="4"/>
      <c r="DBK241" s="4"/>
      <c r="DBL241" s="4"/>
      <c r="DBM241" s="4"/>
      <c r="DBN241" s="4"/>
      <c r="DBO241" s="4"/>
      <c r="DBP241" s="4"/>
      <c r="DBQ241" s="4"/>
      <c r="DBR241" s="4"/>
      <c r="DBS241" s="4"/>
      <c r="DBT241" s="4"/>
      <c r="DBU241" s="4"/>
      <c r="DBV241" s="4"/>
      <c r="DBW241" s="4"/>
      <c r="DBX241" s="4"/>
      <c r="DBY241" s="4"/>
      <c r="DBZ241" s="4"/>
      <c r="DCA241" s="4"/>
      <c r="DCB241" s="4"/>
      <c r="DCC241" s="4"/>
      <c r="DCD241" s="4"/>
      <c r="DCE241" s="4"/>
      <c r="DCF241" s="4"/>
      <c r="DCG241" s="4"/>
      <c r="DCH241" s="4"/>
      <c r="DCI241" s="4"/>
      <c r="DCJ241" s="4"/>
      <c r="DCK241" s="4"/>
      <c r="DCL241" s="4"/>
      <c r="DCM241" s="4"/>
      <c r="DCN241" s="4"/>
      <c r="DCO241" s="4"/>
      <c r="DCP241" s="4"/>
      <c r="DCQ241" s="4"/>
      <c r="DCR241" s="4"/>
      <c r="DCS241" s="4"/>
      <c r="DCT241" s="4"/>
      <c r="DCU241" s="4"/>
      <c r="DCV241" s="4"/>
      <c r="DCW241" s="4"/>
      <c r="DCX241" s="4"/>
      <c r="DCY241" s="4"/>
      <c r="DCZ241" s="4"/>
      <c r="DDA241" s="4"/>
      <c r="DDB241" s="4"/>
      <c r="DDC241" s="4"/>
      <c r="DDD241" s="4"/>
      <c r="DDE241" s="4"/>
      <c r="DDF241" s="4"/>
      <c r="DDG241" s="4"/>
      <c r="DDH241" s="4"/>
      <c r="DDI241" s="4"/>
      <c r="DDJ241" s="4"/>
      <c r="DDK241" s="4"/>
      <c r="DDL241" s="4"/>
      <c r="DDM241" s="4"/>
      <c r="DDN241" s="4"/>
      <c r="DDO241" s="4"/>
      <c r="DDP241" s="4"/>
      <c r="DDQ241" s="4"/>
      <c r="DDR241" s="4"/>
      <c r="DDS241" s="4"/>
      <c r="DDT241" s="4"/>
      <c r="DDU241" s="4"/>
      <c r="DDV241" s="4"/>
      <c r="DDW241" s="4"/>
      <c r="DDX241" s="4"/>
      <c r="DDY241" s="4"/>
      <c r="DDZ241" s="4"/>
      <c r="DEA241" s="4"/>
      <c r="DEB241" s="4"/>
      <c r="DEC241" s="4"/>
      <c r="DED241" s="4"/>
      <c r="DEE241" s="4"/>
      <c r="DEF241" s="4"/>
      <c r="DEG241" s="4"/>
      <c r="DEH241" s="4"/>
      <c r="DEI241" s="4"/>
      <c r="DEJ241" s="4"/>
      <c r="DEK241" s="4"/>
      <c r="DEL241" s="4"/>
      <c r="DEM241" s="4"/>
      <c r="DEN241" s="4"/>
      <c r="DEO241" s="4"/>
      <c r="DEP241" s="4"/>
      <c r="DEQ241" s="4"/>
      <c r="DER241" s="4"/>
      <c r="DES241" s="4"/>
      <c r="DET241" s="4"/>
      <c r="DEU241" s="4"/>
      <c r="DEV241" s="4"/>
      <c r="DEW241" s="4"/>
      <c r="DEX241" s="4"/>
      <c r="DEY241" s="4"/>
      <c r="DEZ241" s="4"/>
      <c r="DFA241" s="4"/>
      <c r="DFB241" s="4"/>
      <c r="DFC241" s="4"/>
      <c r="DFD241" s="4"/>
      <c r="DFE241" s="4"/>
      <c r="DFF241" s="4"/>
      <c r="DFG241" s="4"/>
      <c r="DFH241" s="4"/>
      <c r="DFI241" s="4"/>
      <c r="DFJ241" s="4"/>
      <c r="DFK241" s="4"/>
      <c r="DFL241" s="4"/>
      <c r="DFM241" s="4"/>
      <c r="DFN241" s="4"/>
      <c r="DFO241" s="4"/>
      <c r="DFP241" s="4"/>
      <c r="DFQ241" s="4"/>
      <c r="DFR241" s="4"/>
      <c r="DFS241" s="4"/>
      <c r="DFT241" s="4"/>
      <c r="DFU241" s="4"/>
      <c r="DFV241" s="4"/>
      <c r="DFW241" s="4"/>
      <c r="DFX241" s="4"/>
      <c r="DFY241" s="4"/>
      <c r="DFZ241" s="4"/>
      <c r="DGA241" s="4"/>
      <c r="DGB241" s="4"/>
      <c r="DGC241" s="4"/>
      <c r="DGD241" s="4"/>
      <c r="DGE241" s="4"/>
      <c r="DGF241" s="4"/>
      <c r="DGG241" s="4"/>
      <c r="DGH241" s="4"/>
      <c r="DGI241" s="4"/>
      <c r="DGJ241" s="4"/>
      <c r="DGK241" s="4"/>
      <c r="DGL241" s="4"/>
      <c r="DGM241" s="4"/>
      <c r="DGN241" s="4"/>
      <c r="DGO241" s="4"/>
      <c r="DGP241" s="4"/>
      <c r="DGQ241" s="4"/>
      <c r="DGR241" s="4"/>
      <c r="DGS241" s="4"/>
      <c r="DGT241" s="4"/>
      <c r="DGU241" s="4"/>
      <c r="DGV241" s="4"/>
      <c r="DGW241" s="4"/>
      <c r="DGX241" s="4"/>
      <c r="DGY241" s="4"/>
      <c r="DGZ241" s="4"/>
      <c r="DHA241" s="4"/>
      <c r="DHB241" s="4"/>
      <c r="DHC241" s="4"/>
      <c r="DHD241" s="4"/>
      <c r="DHE241" s="4"/>
      <c r="DHF241" s="4"/>
      <c r="DHG241" s="4"/>
      <c r="DHH241" s="4"/>
      <c r="DHI241" s="4"/>
      <c r="DHJ241" s="4"/>
      <c r="DHK241" s="4"/>
      <c r="DHL241" s="4"/>
      <c r="DHM241" s="4"/>
      <c r="DHN241" s="4"/>
      <c r="DHO241" s="4"/>
      <c r="DHP241" s="4"/>
      <c r="DHQ241" s="4"/>
      <c r="DHR241" s="4"/>
      <c r="DHS241" s="4"/>
      <c r="DHT241" s="4"/>
      <c r="DHU241" s="4"/>
      <c r="DHV241" s="4"/>
      <c r="DHW241" s="4"/>
      <c r="DHX241" s="4"/>
      <c r="DHY241" s="4"/>
      <c r="DHZ241" s="4"/>
      <c r="DIA241" s="4"/>
      <c r="DIB241" s="4"/>
      <c r="DIC241" s="4"/>
      <c r="DID241" s="4"/>
      <c r="DIE241" s="4"/>
      <c r="DIF241" s="4"/>
      <c r="DIG241" s="4"/>
      <c r="DIH241" s="4"/>
      <c r="DII241" s="4"/>
      <c r="DIJ241" s="4"/>
      <c r="DIK241" s="4"/>
      <c r="DIL241" s="4"/>
      <c r="DIM241" s="4"/>
      <c r="DIN241" s="4"/>
      <c r="DIO241" s="4"/>
      <c r="DIP241" s="4"/>
      <c r="DIQ241" s="4"/>
      <c r="DIR241" s="4"/>
      <c r="DIS241" s="4"/>
      <c r="DIT241" s="4"/>
      <c r="DIU241" s="4"/>
      <c r="DIV241" s="4"/>
      <c r="DIW241" s="4"/>
      <c r="DIX241" s="4"/>
      <c r="DIY241" s="4"/>
      <c r="DIZ241" s="4"/>
      <c r="DJA241" s="4"/>
      <c r="DJB241" s="4"/>
      <c r="DJC241" s="4"/>
      <c r="DJD241" s="4"/>
      <c r="DJE241" s="4"/>
      <c r="DJF241" s="4"/>
      <c r="DJG241" s="4"/>
      <c r="DJH241" s="4"/>
      <c r="DJI241" s="4"/>
      <c r="DJJ241" s="4"/>
      <c r="DJK241" s="4"/>
      <c r="DJL241" s="4"/>
      <c r="DJM241" s="4"/>
      <c r="DJN241" s="4"/>
      <c r="DJO241" s="4"/>
      <c r="DJP241" s="4"/>
      <c r="DJQ241" s="4"/>
      <c r="DJR241" s="4"/>
      <c r="DJS241" s="4"/>
      <c r="DJT241" s="4"/>
      <c r="DJU241" s="4"/>
      <c r="DJV241" s="4"/>
      <c r="DJW241" s="4"/>
      <c r="DJX241" s="4"/>
      <c r="DJY241" s="4"/>
      <c r="DJZ241" s="4"/>
      <c r="DKA241" s="4"/>
      <c r="DKB241" s="4"/>
      <c r="DKC241" s="4"/>
      <c r="DKD241" s="4"/>
      <c r="DKE241" s="4"/>
      <c r="DKF241" s="4"/>
      <c r="DKG241" s="4"/>
      <c r="DKH241" s="4"/>
      <c r="DKI241" s="4"/>
      <c r="DKJ241" s="4"/>
      <c r="DKK241" s="4"/>
      <c r="DKL241" s="4"/>
      <c r="DKM241" s="4"/>
      <c r="DKN241" s="4"/>
      <c r="DKO241" s="4"/>
      <c r="DKP241" s="4"/>
      <c r="DKQ241" s="4"/>
      <c r="DKR241" s="4"/>
      <c r="DKS241" s="4"/>
      <c r="DKT241" s="4"/>
      <c r="DKU241" s="4"/>
      <c r="DKV241" s="4"/>
      <c r="DKW241" s="4"/>
      <c r="DKX241" s="4"/>
      <c r="DKY241" s="4"/>
      <c r="DKZ241" s="4"/>
      <c r="DLA241" s="4"/>
      <c r="DLB241" s="4"/>
      <c r="DLC241" s="4"/>
      <c r="DLD241" s="4"/>
      <c r="DLE241" s="4"/>
      <c r="DLF241" s="4"/>
      <c r="DLG241" s="4"/>
      <c r="DLH241" s="4"/>
      <c r="DLI241" s="4"/>
      <c r="DLJ241" s="4"/>
      <c r="DLK241" s="4"/>
      <c r="DLL241" s="4"/>
      <c r="DLM241" s="4"/>
      <c r="DLN241" s="4"/>
      <c r="DLO241" s="4"/>
      <c r="DLP241" s="4"/>
      <c r="DLQ241" s="4"/>
      <c r="DLR241" s="4"/>
      <c r="DLS241" s="4"/>
      <c r="DLT241" s="4"/>
      <c r="DLU241" s="4"/>
      <c r="DLV241" s="4"/>
      <c r="DLW241" s="4"/>
      <c r="DLX241" s="4"/>
      <c r="DLY241" s="4"/>
      <c r="DLZ241" s="4"/>
      <c r="DMA241" s="4"/>
      <c r="DMB241" s="4"/>
      <c r="DMC241" s="4"/>
      <c r="DMD241" s="4"/>
      <c r="DME241" s="4"/>
      <c r="DMF241" s="4"/>
      <c r="DMG241" s="4"/>
      <c r="DMH241" s="4"/>
      <c r="DMI241" s="4"/>
      <c r="DMJ241" s="4"/>
      <c r="DMK241" s="4"/>
      <c r="DML241" s="4"/>
      <c r="DMM241" s="4"/>
      <c r="DMN241" s="4"/>
      <c r="DMO241" s="4"/>
      <c r="DMP241" s="4"/>
      <c r="DMQ241" s="4"/>
      <c r="DMR241" s="4"/>
      <c r="DMS241" s="4"/>
      <c r="DMT241" s="4"/>
      <c r="DMU241" s="4"/>
      <c r="DMV241" s="4"/>
      <c r="DMW241" s="4"/>
      <c r="DMX241" s="4"/>
      <c r="DMY241" s="4"/>
      <c r="DMZ241" s="4"/>
      <c r="DNA241" s="4"/>
      <c r="DNB241" s="4"/>
      <c r="DNC241" s="4"/>
      <c r="DND241" s="4"/>
      <c r="DNE241" s="4"/>
      <c r="DNF241" s="4"/>
      <c r="DNG241" s="4"/>
      <c r="DNH241" s="4"/>
      <c r="DNI241" s="4"/>
      <c r="DNJ241" s="4"/>
      <c r="DNK241" s="4"/>
      <c r="DNL241" s="4"/>
      <c r="DNM241" s="4"/>
      <c r="DNN241" s="4"/>
      <c r="DNO241" s="4"/>
      <c r="DNP241" s="4"/>
      <c r="DNQ241" s="4"/>
      <c r="DNR241" s="4"/>
      <c r="DNS241" s="4"/>
      <c r="DNT241" s="4"/>
      <c r="DNU241" s="4"/>
      <c r="DNV241" s="4"/>
      <c r="DNW241" s="4"/>
      <c r="DNX241" s="4"/>
      <c r="DNY241" s="4"/>
      <c r="DNZ241" s="4"/>
      <c r="DOA241" s="4"/>
      <c r="DOB241" s="4"/>
      <c r="DOC241" s="4"/>
      <c r="DOD241" s="4"/>
      <c r="DOE241" s="4"/>
      <c r="DOF241" s="4"/>
      <c r="DOG241" s="4"/>
      <c r="DOH241" s="4"/>
      <c r="DOI241" s="4"/>
      <c r="DOJ241" s="4"/>
      <c r="DOK241" s="4"/>
      <c r="DOL241" s="4"/>
      <c r="DOM241" s="4"/>
      <c r="DON241" s="4"/>
      <c r="DOO241" s="4"/>
      <c r="DOP241" s="4"/>
      <c r="DOQ241" s="4"/>
      <c r="DOR241" s="4"/>
      <c r="DOS241" s="4"/>
      <c r="DOT241" s="4"/>
      <c r="DOU241" s="4"/>
      <c r="DOV241" s="4"/>
      <c r="DOW241" s="4"/>
      <c r="DOX241" s="4"/>
      <c r="DOY241" s="4"/>
      <c r="DOZ241" s="4"/>
      <c r="DPA241" s="4"/>
      <c r="DPB241" s="4"/>
      <c r="DPC241" s="4"/>
      <c r="DPD241" s="4"/>
      <c r="DPE241" s="4"/>
      <c r="DPF241" s="4"/>
      <c r="DPG241" s="4"/>
      <c r="DPH241" s="4"/>
      <c r="DPI241" s="4"/>
      <c r="DPJ241" s="4"/>
      <c r="DPK241" s="4"/>
      <c r="DPL241" s="4"/>
      <c r="DPM241" s="4"/>
      <c r="DPN241" s="4"/>
      <c r="DPO241" s="4"/>
      <c r="DPP241" s="4"/>
      <c r="DPQ241" s="4"/>
      <c r="DPR241" s="4"/>
      <c r="DPS241" s="4"/>
      <c r="DPT241" s="4"/>
      <c r="DPU241" s="4"/>
      <c r="DPV241" s="4"/>
      <c r="DPW241" s="4"/>
      <c r="DPX241" s="4"/>
      <c r="DPY241" s="4"/>
      <c r="DPZ241" s="4"/>
      <c r="DQA241" s="4"/>
      <c r="DQB241" s="4"/>
      <c r="DQC241" s="4"/>
      <c r="DQD241" s="4"/>
      <c r="DQE241" s="4"/>
      <c r="DQF241" s="4"/>
      <c r="DQG241" s="4"/>
      <c r="DQH241" s="4"/>
      <c r="DQI241" s="4"/>
      <c r="DQJ241" s="4"/>
      <c r="DQK241" s="4"/>
      <c r="DQL241" s="4"/>
      <c r="DQM241" s="4"/>
      <c r="DQN241" s="4"/>
      <c r="DQO241" s="4"/>
      <c r="DQP241" s="4"/>
      <c r="DQQ241" s="4"/>
      <c r="DQR241" s="4"/>
      <c r="DQS241" s="4"/>
      <c r="DQT241" s="4"/>
      <c r="DQU241" s="4"/>
      <c r="DQV241" s="4"/>
      <c r="DQW241" s="4"/>
      <c r="DQX241" s="4"/>
      <c r="DQY241" s="4"/>
      <c r="DQZ241" s="4"/>
      <c r="DRA241" s="4"/>
      <c r="DRB241" s="4"/>
      <c r="DRC241" s="4"/>
      <c r="DRD241" s="4"/>
      <c r="DRE241" s="4"/>
      <c r="DRF241" s="4"/>
      <c r="DRG241" s="4"/>
      <c r="DRH241" s="4"/>
      <c r="DRI241" s="4"/>
      <c r="DRJ241" s="4"/>
      <c r="DRK241" s="4"/>
      <c r="DRL241" s="4"/>
      <c r="DRM241" s="4"/>
      <c r="DRN241" s="4"/>
      <c r="DRO241" s="4"/>
      <c r="DRP241" s="4"/>
      <c r="DRQ241" s="4"/>
      <c r="DRR241" s="4"/>
      <c r="DRS241" s="4"/>
      <c r="DRT241" s="4"/>
      <c r="DRU241" s="4"/>
      <c r="DRV241" s="4"/>
      <c r="DRW241" s="4"/>
      <c r="DRX241" s="4"/>
      <c r="DRY241" s="4"/>
      <c r="DRZ241" s="4"/>
      <c r="DSA241" s="4"/>
      <c r="DSB241" s="4"/>
      <c r="DSC241" s="4"/>
      <c r="DSD241" s="4"/>
      <c r="DSE241" s="4"/>
      <c r="DSF241" s="4"/>
      <c r="DSG241" s="4"/>
      <c r="DSH241" s="4"/>
      <c r="DSI241" s="4"/>
      <c r="DSJ241" s="4"/>
      <c r="DSK241" s="4"/>
      <c r="DSL241" s="4"/>
      <c r="DSM241" s="4"/>
      <c r="DSN241" s="4"/>
      <c r="DSO241" s="4"/>
      <c r="DSP241" s="4"/>
      <c r="DSQ241" s="4"/>
      <c r="DSR241" s="4"/>
      <c r="DSS241" s="4"/>
      <c r="DST241" s="4"/>
      <c r="DSU241" s="4"/>
      <c r="DSV241" s="4"/>
      <c r="DSW241" s="4"/>
      <c r="DSX241" s="4"/>
      <c r="DSY241" s="4"/>
      <c r="DSZ241" s="4"/>
      <c r="DTA241" s="4"/>
      <c r="DTB241" s="4"/>
      <c r="DTC241" s="4"/>
      <c r="DTD241" s="4"/>
      <c r="DTE241" s="4"/>
      <c r="DTF241" s="4"/>
      <c r="DTG241" s="4"/>
      <c r="DTH241" s="4"/>
      <c r="DTI241" s="4"/>
      <c r="DTJ241" s="4"/>
      <c r="DTK241" s="4"/>
      <c r="DTL241" s="4"/>
      <c r="DTM241" s="4"/>
      <c r="DTN241" s="4"/>
      <c r="DTO241" s="4"/>
      <c r="DTP241" s="4"/>
      <c r="DTQ241" s="4"/>
      <c r="DTR241" s="4"/>
      <c r="DTS241" s="4"/>
      <c r="DTT241" s="4"/>
      <c r="DTU241" s="4"/>
      <c r="DTV241" s="4"/>
      <c r="DTW241" s="4"/>
      <c r="DTX241" s="4"/>
      <c r="DTY241" s="4"/>
      <c r="DTZ241" s="4"/>
      <c r="DUA241" s="4"/>
      <c r="DUB241" s="4"/>
      <c r="DUC241" s="4"/>
      <c r="DUD241" s="4"/>
      <c r="DUE241" s="4"/>
      <c r="DUF241" s="4"/>
      <c r="DUG241" s="4"/>
      <c r="DUH241" s="4"/>
      <c r="DUI241" s="4"/>
      <c r="DUJ241" s="4"/>
      <c r="DUK241" s="4"/>
      <c r="DUL241" s="4"/>
      <c r="DUM241" s="4"/>
      <c r="DUN241" s="4"/>
      <c r="DUO241" s="4"/>
      <c r="DUP241" s="4"/>
      <c r="DUQ241" s="4"/>
      <c r="DUR241" s="4"/>
      <c r="DUS241" s="4"/>
      <c r="DUT241" s="4"/>
      <c r="DUU241" s="4"/>
      <c r="DUV241" s="4"/>
      <c r="DUW241" s="4"/>
      <c r="DUX241" s="4"/>
      <c r="DUY241" s="4"/>
      <c r="DUZ241" s="4"/>
      <c r="DVA241" s="4"/>
      <c r="DVB241" s="4"/>
      <c r="DVC241" s="4"/>
      <c r="DVD241" s="4"/>
      <c r="DVE241" s="4"/>
      <c r="DVF241" s="4"/>
      <c r="DVG241" s="4"/>
      <c r="DVH241" s="4"/>
      <c r="DVI241" s="4"/>
      <c r="DVJ241" s="4"/>
      <c r="DVK241" s="4"/>
      <c r="DVL241" s="4"/>
      <c r="DVM241" s="4"/>
      <c r="DVN241" s="4"/>
      <c r="DVO241" s="4"/>
      <c r="DVP241" s="4"/>
      <c r="DVQ241" s="4"/>
      <c r="DVR241" s="4"/>
      <c r="DVS241" s="4"/>
      <c r="DVT241" s="4"/>
      <c r="DVU241" s="4"/>
      <c r="DVV241" s="4"/>
      <c r="DVW241" s="4"/>
      <c r="DVX241" s="4"/>
      <c r="DVY241" s="4"/>
      <c r="DVZ241" s="4"/>
      <c r="DWA241" s="4"/>
      <c r="DWB241" s="4"/>
      <c r="DWC241" s="4"/>
      <c r="DWD241" s="4"/>
      <c r="DWE241" s="4"/>
      <c r="DWF241" s="4"/>
      <c r="DWG241" s="4"/>
      <c r="DWH241" s="4"/>
      <c r="DWI241" s="4"/>
      <c r="DWJ241" s="4"/>
      <c r="DWK241" s="4"/>
      <c r="DWL241" s="4"/>
      <c r="DWM241" s="4"/>
      <c r="DWN241" s="4"/>
      <c r="DWO241" s="4"/>
      <c r="DWP241" s="4"/>
      <c r="DWQ241" s="4"/>
      <c r="DWR241" s="4"/>
      <c r="DWS241" s="4"/>
      <c r="DWT241" s="4"/>
      <c r="DWU241" s="4"/>
      <c r="DWV241" s="4"/>
      <c r="DWW241" s="4"/>
      <c r="DWX241" s="4"/>
      <c r="DWY241" s="4"/>
      <c r="DWZ241" s="4"/>
      <c r="DXA241" s="4"/>
      <c r="DXB241" s="4"/>
      <c r="DXC241" s="4"/>
      <c r="DXD241" s="4"/>
      <c r="DXE241" s="4"/>
      <c r="DXF241" s="4"/>
      <c r="DXG241" s="4"/>
      <c r="DXH241" s="4"/>
      <c r="DXI241" s="4"/>
      <c r="DXJ241" s="4"/>
      <c r="DXK241" s="4"/>
      <c r="DXL241" s="4"/>
      <c r="DXM241" s="4"/>
      <c r="DXN241" s="4"/>
      <c r="DXO241" s="4"/>
      <c r="DXP241" s="4"/>
      <c r="DXQ241" s="4"/>
      <c r="DXR241" s="4"/>
      <c r="DXS241" s="4"/>
      <c r="DXT241" s="4"/>
      <c r="DXU241" s="4"/>
      <c r="DXV241" s="4"/>
      <c r="DXW241" s="4"/>
      <c r="DXX241" s="4"/>
      <c r="DXY241" s="4"/>
      <c r="DXZ241" s="4"/>
      <c r="DYA241" s="4"/>
      <c r="DYB241" s="4"/>
      <c r="DYC241" s="4"/>
      <c r="DYD241" s="4"/>
      <c r="DYE241" s="4"/>
      <c r="DYF241" s="4"/>
      <c r="DYG241" s="4"/>
      <c r="DYH241" s="4"/>
      <c r="DYI241" s="4"/>
      <c r="DYJ241" s="4"/>
      <c r="DYK241" s="4"/>
      <c r="DYL241" s="4"/>
      <c r="DYM241" s="4"/>
      <c r="DYN241" s="4"/>
      <c r="DYO241" s="4"/>
      <c r="DYP241" s="4"/>
      <c r="DYQ241" s="4"/>
      <c r="DYR241" s="4"/>
      <c r="DYS241" s="4"/>
      <c r="DYT241" s="4"/>
      <c r="DYU241" s="4"/>
      <c r="DYV241" s="4"/>
      <c r="DYW241" s="4"/>
      <c r="DYX241" s="4"/>
      <c r="DYY241" s="4"/>
      <c r="DYZ241" s="4"/>
      <c r="DZA241" s="4"/>
      <c r="DZB241" s="4"/>
      <c r="DZC241" s="4"/>
      <c r="DZD241" s="4"/>
      <c r="DZE241" s="4"/>
      <c r="DZF241" s="4"/>
      <c r="DZG241" s="4"/>
      <c r="DZH241" s="4"/>
      <c r="DZI241" s="4"/>
      <c r="DZJ241" s="4"/>
      <c r="DZK241" s="4"/>
      <c r="DZL241" s="4"/>
      <c r="DZM241" s="4"/>
      <c r="DZN241" s="4"/>
      <c r="DZO241" s="4"/>
      <c r="DZP241" s="4"/>
      <c r="DZQ241" s="4"/>
      <c r="DZR241" s="4"/>
      <c r="DZS241" s="4"/>
      <c r="DZT241" s="4"/>
      <c r="DZU241" s="4"/>
      <c r="DZV241" s="4"/>
      <c r="DZW241" s="4"/>
      <c r="DZX241" s="4"/>
      <c r="DZY241" s="4"/>
      <c r="DZZ241" s="4"/>
      <c r="EAA241" s="4"/>
      <c r="EAB241" s="4"/>
      <c r="EAC241" s="4"/>
      <c r="EAD241" s="4"/>
      <c r="EAE241" s="4"/>
      <c r="EAF241" s="4"/>
      <c r="EAG241" s="4"/>
      <c r="EAH241" s="4"/>
      <c r="EAI241" s="4"/>
      <c r="EAJ241" s="4"/>
      <c r="EAK241" s="4"/>
      <c r="EAL241" s="4"/>
      <c r="EAM241" s="4"/>
      <c r="EAN241" s="4"/>
      <c r="EAO241" s="4"/>
      <c r="EAP241" s="4"/>
      <c r="EAQ241" s="4"/>
      <c r="EAR241" s="4"/>
      <c r="EAS241" s="4"/>
      <c r="EAT241" s="4"/>
      <c r="EAU241" s="4"/>
      <c r="EAV241" s="4"/>
      <c r="EAW241" s="4"/>
      <c r="EAX241" s="4"/>
      <c r="EAY241" s="4"/>
      <c r="EAZ241" s="4"/>
      <c r="EBA241" s="4"/>
      <c r="EBB241" s="4"/>
      <c r="EBC241" s="4"/>
      <c r="EBD241" s="4"/>
      <c r="EBE241" s="4"/>
      <c r="EBF241" s="4"/>
      <c r="EBG241" s="4"/>
      <c r="EBH241" s="4"/>
      <c r="EBI241" s="4"/>
      <c r="EBJ241" s="4"/>
      <c r="EBK241" s="4"/>
      <c r="EBL241" s="4"/>
      <c r="EBM241" s="4"/>
      <c r="EBN241" s="4"/>
      <c r="EBO241" s="4"/>
      <c r="EBP241" s="4"/>
      <c r="EBQ241" s="4"/>
      <c r="EBR241" s="4"/>
      <c r="EBS241" s="4"/>
      <c r="EBT241" s="4"/>
      <c r="EBU241" s="4"/>
      <c r="EBV241" s="4"/>
      <c r="EBW241" s="4"/>
      <c r="EBX241" s="4"/>
      <c r="EBY241" s="4"/>
      <c r="EBZ241" s="4"/>
      <c r="ECA241" s="4"/>
      <c r="ECB241" s="4"/>
      <c r="ECC241" s="4"/>
      <c r="ECD241" s="4"/>
      <c r="ECE241" s="4"/>
      <c r="ECF241" s="4"/>
      <c r="ECG241" s="4"/>
      <c r="ECH241" s="4"/>
      <c r="ECI241" s="4"/>
      <c r="ECJ241" s="4"/>
      <c r="ECK241" s="4"/>
      <c r="ECL241" s="4"/>
      <c r="ECM241" s="4"/>
      <c r="ECN241" s="4"/>
      <c r="ECO241" s="4"/>
      <c r="ECP241" s="4"/>
      <c r="ECQ241" s="4"/>
      <c r="ECR241" s="4"/>
      <c r="ECS241" s="4"/>
      <c r="ECT241" s="4"/>
      <c r="ECU241" s="4"/>
      <c r="ECV241" s="4"/>
      <c r="ECW241" s="4"/>
      <c r="ECX241" s="4"/>
      <c r="ECY241" s="4"/>
      <c r="ECZ241" s="4"/>
      <c r="EDA241" s="4"/>
      <c r="EDB241" s="4"/>
      <c r="EDC241" s="4"/>
      <c r="EDD241" s="4"/>
      <c r="EDE241" s="4"/>
      <c r="EDF241" s="4"/>
      <c r="EDG241" s="4"/>
      <c r="EDH241" s="4"/>
      <c r="EDI241" s="4"/>
      <c r="EDJ241" s="4"/>
      <c r="EDK241" s="4"/>
      <c r="EDL241" s="4"/>
      <c r="EDM241" s="4"/>
      <c r="EDN241" s="4"/>
      <c r="EDO241" s="4"/>
      <c r="EDP241" s="4"/>
      <c r="EDQ241" s="4"/>
      <c r="EDR241" s="4"/>
      <c r="EDS241" s="4"/>
      <c r="EDT241" s="4"/>
      <c r="EDU241" s="4"/>
      <c r="EDV241" s="4"/>
      <c r="EDW241" s="4"/>
      <c r="EDX241" s="4"/>
      <c r="EDY241" s="4"/>
      <c r="EDZ241" s="4"/>
      <c r="EEA241" s="4"/>
      <c r="EEB241" s="4"/>
      <c r="EEC241" s="4"/>
      <c r="EED241" s="4"/>
      <c r="EEE241" s="4"/>
      <c r="EEF241" s="4"/>
      <c r="EEG241" s="4"/>
      <c r="EEH241" s="4"/>
      <c r="EEI241" s="4"/>
      <c r="EEJ241" s="4"/>
      <c r="EEK241" s="4"/>
      <c r="EEL241" s="4"/>
      <c r="EEM241" s="4"/>
      <c r="EEN241" s="4"/>
      <c r="EEO241" s="4"/>
      <c r="EEP241" s="4"/>
      <c r="EEQ241" s="4"/>
      <c r="EER241" s="4"/>
      <c r="EES241" s="4"/>
      <c r="EET241" s="4"/>
      <c r="EEU241" s="4"/>
      <c r="EEV241" s="4"/>
      <c r="EEW241" s="4"/>
      <c r="EEX241" s="4"/>
      <c r="EEY241" s="4"/>
      <c r="EEZ241" s="4"/>
      <c r="EFA241" s="4"/>
      <c r="EFB241" s="4"/>
      <c r="EFC241" s="4"/>
      <c r="EFD241" s="4"/>
      <c r="EFE241" s="4"/>
      <c r="EFF241" s="4"/>
      <c r="EFG241" s="4"/>
      <c r="EFH241" s="4"/>
      <c r="EFI241" s="4"/>
      <c r="EFJ241" s="4"/>
      <c r="EFK241" s="4"/>
      <c r="EFL241" s="4"/>
      <c r="EFM241" s="4"/>
      <c r="EFN241" s="4"/>
      <c r="EFO241" s="4"/>
      <c r="EFP241" s="4"/>
      <c r="EFQ241" s="4"/>
      <c r="EFR241" s="4"/>
      <c r="EFS241" s="4"/>
      <c r="EFT241" s="4"/>
      <c r="EFU241" s="4"/>
      <c r="EFV241" s="4"/>
      <c r="EFW241" s="4"/>
      <c r="EFX241" s="4"/>
      <c r="EFY241" s="4"/>
      <c r="EFZ241" s="4"/>
      <c r="EGA241" s="4"/>
      <c r="EGB241" s="4"/>
      <c r="EGC241" s="4"/>
      <c r="EGD241" s="4"/>
      <c r="EGE241" s="4"/>
      <c r="EGF241" s="4"/>
      <c r="EGG241" s="4"/>
      <c r="EGH241" s="4"/>
      <c r="EGI241" s="4"/>
      <c r="EGJ241" s="4"/>
      <c r="EGK241" s="4"/>
      <c r="EGL241" s="4"/>
      <c r="EGM241" s="4"/>
      <c r="EGN241" s="4"/>
      <c r="EGO241" s="4"/>
      <c r="EGP241" s="4"/>
      <c r="EGQ241" s="4"/>
      <c r="EGR241" s="4"/>
      <c r="EGS241" s="4"/>
      <c r="EGT241" s="4"/>
      <c r="EGU241" s="4"/>
      <c r="EGV241" s="4"/>
      <c r="EGW241" s="4"/>
      <c r="EGX241" s="4"/>
      <c r="EGY241" s="4"/>
      <c r="EGZ241" s="4"/>
      <c r="EHA241" s="4"/>
      <c r="EHB241" s="4"/>
      <c r="EHC241" s="4"/>
      <c r="EHD241" s="4"/>
      <c r="EHE241" s="4"/>
      <c r="EHF241" s="4"/>
      <c r="EHG241" s="4"/>
      <c r="EHH241" s="4"/>
      <c r="EHI241" s="4"/>
      <c r="EHJ241" s="4"/>
      <c r="EHK241" s="4"/>
      <c r="EHL241" s="4"/>
      <c r="EHM241" s="4"/>
      <c r="EHN241" s="4"/>
      <c r="EHO241" s="4"/>
      <c r="EHP241" s="4"/>
      <c r="EHQ241" s="4"/>
      <c r="EHR241" s="4"/>
      <c r="EHS241" s="4"/>
      <c r="EHT241" s="4"/>
      <c r="EHU241" s="4"/>
      <c r="EHV241" s="4"/>
      <c r="EHW241" s="4"/>
      <c r="EHX241" s="4"/>
      <c r="EHY241" s="4"/>
      <c r="EHZ241" s="4"/>
      <c r="EIA241" s="4"/>
      <c r="EIB241" s="4"/>
      <c r="EIC241" s="4"/>
      <c r="EID241" s="4"/>
      <c r="EIE241" s="4"/>
      <c r="EIF241" s="4"/>
      <c r="EIG241" s="4"/>
      <c r="EIH241" s="4"/>
      <c r="EII241" s="4"/>
      <c r="EIJ241" s="4"/>
      <c r="EIK241" s="4"/>
      <c r="EIL241" s="4"/>
      <c r="EIM241" s="4"/>
      <c r="EIN241" s="4"/>
      <c r="EIO241" s="4"/>
      <c r="EIP241" s="4"/>
      <c r="EIQ241" s="4"/>
      <c r="EIR241" s="4"/>
      <c r="EIS241" s="4"/>
      <c r="EIT241" s="4"/>
      <c r="EIU241" s="4"/>
      <c r="EIV241" s="4"/>
      <c r="EIW241" s="4"/>
      <c r="EIX241" s="4"/>
      <c r="EIY241" s="4"/>
      <c r="EIZ241" s="4"/>
      <c r="EJA241" s="4"/>
      <c r="EJB241" s="4"/>
      <c r="EJC241" s="4"/>
      <c r="EJD241" s="4"/>
      <c r="EJE241" s="4"/>
      <c r="EJF241" s="4"/>
      <c r="EJG241" s="4"/>
      <c r="EJH241" s="4"/>
      <c r="EJI241" s="4"/>
      <c r="EJJ241" s="4"/>
      <c r="EJK241" s="4"/>
      <c r="EJL241" s="4"/>
      <c r="EJM241" s="4"/>
      <c r="EJN241" s="4"/>
      <c r="EJO241" s="4"/>
      <c r="EJP241" s="4"/>
      <c r="EJQ241" s="4"/>
      <c r="EJR241" s="4"/>
      <c r="EJS241" s="4"/>
      <c r="EJT241" s="4"/>
      <c r="EJU241" s="4"/>
      <c r="EJV241" s="4"/>
      <c r="EJW241" s="4"/>
      <c r="EJX241" s="4"/>
      <c r="EJY241" s="4"/>
      <c r="EJZ241" s="4"/>
      <c r="EKA241" s="4"/>
      <c r="EKB241" s="4"/>
      <c r="EKC241" s="4"/>
      <c r="EKD241" s="4"/>
      <c r="EKE241" s="4"/>
      <c r="EKF241" s="4"/>
      <c r="EKG241" s="4"/>
      <c r="EKH241" s="4"/>
      <c r="EKI241" s="4"/>
      <c r="EKJ241" s="4"/>
      <c r="EKK241" s="4"/>
      <c r="EKL241" s="4"/>
      <c r="EKM241" s="4"/>
      <c r="EKN241" s="4"/>
      <c r="EKO241" s="4"/>
      <c r="EKP241" s="4"/>
      <c r="EKQ241" s="4"/>
      <c r="EKR241" s="4"/>
      <c r="EKS241" s="4"/>
      <c r="EKT241" s="4"/>
      <c r="EKU241" s="4"/>
      <c r="EKV241" s="4"/>
      <c r="EKW241" s="4"/>
      <c r="EKX241" s="4"/>
      <c r="EKY241" s="4"/>
      <c r="EKZ241" s="4"/>
      <c r="ELA241" s="4"/>
      <c r="ELB241" s="4"/>
      <c r="ELC241" s="4"/>
      <c r="ELD241" s="4"/>
      <c r="ELE241" s="4"/>
      <c r="ELF241" s="4"/>
      <c r="ELG241" s="4"/>
      <c r="ELH241" s="4"/>
      <c r="ELI241" s="4"/>
      <c r="ELJ241" s="4"/>
      <c r="ELK241" s="4"/>
      <c r="ELL241" s="4"/>
      <c r="ELM241" s="4"/>
      <c r="ELN241" s="4"/>
      <c r="ELO241" s="4"/>
      <c r="ELP241" s="4"/>
      <c r="ELQ241" s="4"/>
      <c r="ELR241" s="4"/>
      <c r="ELS241" s="4"/>
      <c r="ELT241" s="4"/>
      <c r="ELU241" s="4"/>
      <c r="ELV241" s="4"/>
      <c r="ELW241" s="4"/>
      <c r="ELX241" s="4"/>
      <c r="ELY241" s="4"/>
      <c r="ELZ241" s="4"/>
      <c r="EMA241" s="4"/>
      <c r="EMB241" s="4"/>
      <c r="EMC241" s="4"/>
      <c r="EMD241" s="4"/>
      <c r="EME241" s="4"/>
      <c r="EMF241" s="4"/>
      <c r="EMG241" s="4"/>
      <c r="EMH241" s="4"/>
      <c r="EMI241" s="4"/>
      <c r="EMJ241" s="4"/>
      <c r="EMK241" s="4"/>
      <c r="EML241" s="4"/>
      <c r="EMM241" s="4"/>
      <c r="EMN241" s="4"/>
      <c r="EMO241" s="4"/>
      <c r="EMP241" s="4"/>
      <c r="EMQ241" s="4"/>
      <c r="EMR241" s="4"/>
      <c r="EMS241" s="4"/>
      <c r="EMT241" s="4"/>
      <c r="EMU241" s="4"/>
      <c r="EMV241" s="4"/>
      <c r="EMW241" s="4"/>
      <c r="EMX241" s="4"/>
      <c r="EMY241" s="4"/>
      <c r="EMZ241" s="4"/>
      <c r="ENA241" s="4"/>
      <c r="ENB241" s="4"/>
      <c r="ENC241" s="4"/>
      <c r="END241" s="4"/>
      <c r="ENE241" s="4"/>
      <c r="ENF241" s="4"/>
      <c r="ENG241" s="4"/>
      <c r="ENH241" s="4"/>
      <c r="ENI241" s="4"/>
      <c r="ENJ241" s="4"/>
      <c r="ENK241" s="4"/>
      <c r="ENL241" s="4"/>
      <c r="ENM241" s="4"/>
      <c r="ENN241" s="4"/>
      <c r="ENO241" s="4"/>
      <c r="ENP241" s="4"/>
      <c r="ENQ241" s="4"/>
      <c r="ENR241" s="4"/>
      <c r="ENS241" s="4"/>
      <c r="ENT241" s="4"/>
      <c r="ENU241" s="4"/>
      <c r="ENV241" s="4"/>
      <c r="ENW241" s="4"/>
      <c r="ENX241" s="4"/>
      <c r="ENY241" s="4"/>
      <c r="ENZ241" s="4"/>
      <c r="EOA241" s="4"/>
      <c r="EOB241" s="4"/>
      <c r="EOC241" s="4"/>
      <c r="EOD241" s="4"/>
      <c r="EOE241" s="4"/>
      <c r="EOF241" s="4"/>
      <c r="EOG241" s="4"/>
      <c r="EOH241" s="4"/>
      <c r="EOI241" s="4"/>
      <c r="EOJ241" s="4"/>
      <c r="EOK241" s="4"/>
      <c r="EOL241" s="4"/>
      <c r="EOM241" s="4"/>
      <c r="EON241" s="4"/>
      <c r="EOO241" s="4"/>
      <c r="EOP241" s="4"/>
      <c r="EOQ241" s="4"/>
      <c r="EOR241" s="4"/>
      <c r="EOS241" s="4"/>
      <c r="EOT241" s="4"/>
      <c r="EOU241" s="4"/>
      <c r="EOV241" s="4"/>
      <c r="EOW241" s="4"/>
      <c r="EOX241" s="4"/>
      <c r="EOY241" s="4"/>
      <c r="EOZ241" s="4"/>
      <c r="EPA241" s="4"/>
      <c r="EPB241" s="4"/>
      <c r="EPC241" s="4"/>
      <c r="EPD241" s="4"/>
      <c r="EPE241" s="4"/>
      <c r="EPF241" s="4"/>
      <c r="EPG241" s="4"/>
      <c r="EPH241" s="4"/>
      <c r="EPI241" s="4"/>
      <c r="EPJ241" s="4"/>
      <c r="EPK241" s="4"/>
      <c r="EPL241" s="4"/>
      <c r="EPM241" s="4"/>
      <c r="EPN241" s="4"/>
      <c r="EPO241" s="4"/>
      <c r="EPP241" s="4"/>
      <c r="EPQ241" s="4"/>
      <c r="EPR241" s="4"/>
      <c r="EPS241" s="4"/>
      <c r="EPT241" s="4"/>
      <c r="EPU241" s="4"/>
      <c r="EPV241" s="4"/>
      <c r="EPW241" s="4"/>
      <c r="EPX241" s="4"/>
      <c r="EPY241" s="4"/>
      <c r="EPZ241" s="4"/>
      <c r="EQA241" s="4"/>
      <c r="EQB241" s="4"/>
      <c r="EQC241" s="4"/>
      <c r="EQD241" s="4"/>
      <c r="EQE241" s="4"/>
      <c r="EQF241" s="4"/>
      <c r="EQG241" s="4"/>
      <c r="EQH241" s="4"/>
      <c r="EQI241" s="4"/>
      <c r="EQJ241" s="4"/>
      <c r="EQK241" s="4"/>
      <c r="EQL241" s="4"/>
      <c r="EQM241" s="4"/>
      <c r="EQN241" s="4"/>
      <c r="EQO241" s="4"/>
      <c r="EQP241" s="4"/>
      <c r="EQQ241" s="4"/>
      <c r="EQR241" s="4"/>
      <c r="EQS241" s="4"/>
      <c r="EQT241" s="4"/>
      <c r="EQU241" s="4"/>
      <c r="EQV241" s="4"/>
      <c r="EQW241" s="4"/>
      <c r="EQX241" s="4"/>
      <c r="EQY241" s="4"/>
      <c r="EQZ241" s="4"/>
      <c r="ERA241" s="4"/>
      <c r="ERB241" s="4"/>
      <c r="ERC241" s="4"/>
      <c r="ERD241" s="4"/>
      <c r="ERE241" s="4"/>
      <c r="ERF241" s="4"/>
      <c r="ERG241" s="4"/>
      <c r="ERH241" s="4"/>
      <c r="ERI241" s="4"/>
      <c r="ERJ241" s="4"/>
      <c r="ERK241" s="4"/>
      <c r="ERL241" s="4"/>
      <c r="ERM241" s="4"/>
      <c r="ERN241" s="4"/>
      <c r="ERO241" s="4"/>
      <c r="ERP241" s="4"/>
      <c r="ERQ241" s="4"/>
      <c r="ERR241" s="4"/>
      <c r="ERS241" s="4"/>
      <c r="ERT241" s="4"/>
      <c r="ERU241" s="4"/>
      <c r="ERV241" s="4"/>
      <c r="ERW241" s="4"/>
      <c r="ERX241" s="4"/>
      <c r="ERY241" s="4"/>
      <c r="ERZ241" s="4"/>
      <c r="ESA241" s="4"/>
      <c r="ESB241" s="4"/>
      <c r="ESC241" s="4"/>
      <c r="ESD241" s="4"/>
      <c r="ESE241" s="4"/>
      <c r="ESF241" s="4"/>
      <c r="ESG241" s="4"/>
      <c r="ESH241" s="4"/>
      <c r="ESI241" s="4"/>
      <c r="ESJ241" s="4"/>
      <c r="ESK241" s="4"/>
      <c r="ESL241" s="4"/>
      <c r="ESM241" s="4"/>
      <c r="ESN241" s="4"/>
      <c r="ESO241" s="4"/>
      <c r="ESP241" s="4"/>
      <c r="ESQ241" s="4"/>
      <c r="ESR241" s="4"/>
      <c r="ESS241" s="4"/>
      <c r="EST241" s="4"/>
      <c r="ESU241" s="4"/>
      <c r="ESV241" s="4"/>
      <c r="ESW241" s="4"/>
      <c r="ESX241" s="4"/>
      <c r="ESY241" s="4"/>
      <c r="ESZ241" s="4"/>
      <c r="ETA241" s="4"/>
      <c r="ETB241" s="4"/>
      <c r="ETC241" s="4"/>
      <c r="ETD241" s="4"/>
      <c r="ETE241" s="4"/>
      <c r="ETF241" s="4"/>
      <c r="ETG241" s="4"/>
      <c r="ETH241" s="4"/>
      <c r="ETI241" s="4"/>
      <c r="ETJ241" s="4"/>
      <c r="ETK241" s="4"/>
      <c r="ETL241" s="4"/>
      <c r="ETM241" s="4"/>
      <c r="ETN241" s="4"/>
      <c r="ETO241" s="4"/>
      <c r="ETP241" s="4"/>
      <c r="ETQ241" s="4"/>
      <c r="ETR241" s="4"/>
      <c r="ETS241" s="4"/>
      <c r="ETT241" s="4"/>
      <c r="ETU241" s="4"/>
      <c r="ETV241" s="4"/>
      <c r="ETW241" s="4"/>
      <c r="ETX241" s="4"/>
      <c r="ETY241" s="4"/>
      <c r="ETZ241" s="4"/>
      <c r="EUA241" s="4"/>
      <c r="EUB241" s="4"/>
      <c r="EUC241" s="4"/>
      <c r="EUD241" s="4"/>
      <c r="EUE241" s="4"/>
      <c r="EUF241" s="4"/>
      <c r="EUG241" s="4"/>
      <c r="EUH241" s="4"/>
      <c r="EUI241" s="4"/>
      <c r="EUJ241" s="4"/>
      <c r="EUK241" s="4"/>
      <c r="EUL241" s="4"/>
      <c r="EUM241" s="4"/>
      <c r="EUN241" s="4"/>
      <c r="EUO241" s="4"/>
      <c r="EUP241" s="4"/>
      <c r="EUQ241" s="4"/>
      <c r="EUR241" s="4"/>
      <c r="EUS241" s="4"/>
      <c r="EUT241" s="4"/>
      <c r="EUU241" s="4"/>
      <c r="EUV241" s="4"/>
      <c r="EUW241" s="4"/>
      <c r="EUX241" s="4"/>
      <c r="EUY241" s="4"/>
      <c r="EUZ241" s="4"/>
      <c r="EVA241" s="4"/>
      <c r="EVB241" s="4"/>
      <c r="EVC241" s="4"/>
      <c r="EVD241" s="4"/>
      <c r="EVE241" s="4"/>
      <c r="EVF241" s="4"/>
      <c r="EVG241" s="4"/>
      <c r="EVH241" s="4"/>
      <c r="EVI241" s="4"/>
      <c r="EVJ241" s="4"/>
      <c r="EVK241" s="4"/>
      <c r="EVL241" s="4"/>
      <c r="EVM241" s="4"/>
      <c r="EVN241" s="4"/>
      <c r="EVO241" s="4"/>
      <c r="EVP241" s="4"/>
      <c r="EVQ241" s="4"/>
      <c r="EVR241" s="4"/>
      <c r="EVS241" s="4"/>
      <c r="EVT241" s="4"/>
      <c r="EVU241" s="4"/>
      <c r="EVV241" s="4"/>
      <c r="EVW241" s="4"/>
      <c r="EVX241" s="4"/>
      <c r="EVY241" s="4"/>
      <c r="EVZ241" s="4"/>
      <c r="EWA241" s="4"/>
      <c r="EWB241" s="4"/>
      <c r="EWC241" s="4"/>
      <c r="EWD241" s="4"/>
      <c r="EWE241" s="4"/>
      <c r="EWF241" s="4"/>
      <c r="EWG241" s="4"/>
      <c r="EWH241" s="4"/>
      <c r="EWI241" s="4"/>
      <c r="EWJ241" s="4"/>
      <c r="EWK241" s="4"/>
      <c r="EWL241" s="4"/>
      <c r="EWM241" s="4"/>
      <c r="EWN241" s="4"/>
      <c r="EWO241" s="4"/>
      <c r="EWP241" s="4"/>
      <c r="EWQ241" s="4"/>
      <c r="EWR241" s="4"/>
      <c r="EWS241" s="4"/>
      <c r="EWT241" s="4"/>
      <c r="EWU241" s="4"/>
      <c r="EWV241" s="4"/>
      <c r="EWW241" s="4"/>
      <c r="EWX241" s="4"/>
      <c r="EWY241" s="4"/>
      <c r="EWZ241" s="4"/>
      <c r="EXA241" s="4"/>
      <c r="EXB241" s="4"/>
      <c r="EXC241" s="4"/>
      <c r="EXD241" s="4"/>
      <c r="EXE241" s="4"/>
      <c r="EXF241" s="4"/>
      <c r="EXG241" s="4"/>
      <c r="EXH241" s="4"/>
      <c r="EXI241" s="4"/>
      <c r="EXJ241" s="4"/>
      <c r="EXK241" s="4"/>
      <c r="EXL241" s="4"/>
      <c r="EXM241" s="4"/>
      <c r="EXN241" s="4"/>
      <c r="EXO241" s="4"/>
      <c r="EXP241" s="4"/>
      <c r="EXQ241" s="4"/>
      <c r="EXR241" s="4"/>
      <c r="EXS241" s="4"/>
      <c r="EXT241" s="4"/>
      <c r="EXU241" s="4"/>
      <c r="EXV241" s="4"/>
      <c r="EXW241" s="4"/>
      <c r="EXX241" s="4"/>
      <c r="EXY241" s="4"/>
      <c r="EXZ241" s="4"/>
      <c r="EYA241" s="4"/>
      <c r="EYB241" s="4"/>
      <c r="EYC241" s="4"/>
      <c r="EYD241" s="4"/>
      <c r="EYE241" s="4"/>
      <c r="EYF241" s="4"/>
      <c r="EYG241" s="4"/>
      <c r="EYH241" s="4"/>
      <c r="EYI241" s="4"/>
      <c r="EYJ241" s="4"/>
      <c r="EYK241" s="4"/>
      <c r="EYL241" s="4"/>
      <c r="EYM241" s="4"/>
      <c r="EYN241" s="4"/>
      <c r="EYO241" s="4"/>
      <c r="EYP241" s="4"/>
      <c r="EYQ241" s="4"/>
      <c r="EYR241" s="4"/>
      <c r="EYS241" s="4"/>
      <c r="EYT241" s="4"/>
      <c r="EYU241" s="4"/>
      <c r="EYV241" s="4"/>
      <c r="EYW241" s="4"/>
      <c r="EYX241" s="4"/>
      <c r="EYY241" s="4"/>
      <c r="EYZ241" s="4"/>
      <c r="EZA241" s="4"/>
      <c r="EZB241" s="4"/>
      <c r="EZC241" s="4"/>
      <c r="EZD241" s="4"/>
      <c r="EZE241" s="4"/>
      <c r="EZF241" s="4"/>
      <c r="EZG241" s="4"/>
      <c r="EZH241" s="4"/>
      <c r="EZI241" s="4"/>
      <c r="EZJ241" s="4"/>
      <c r="EZK241" s="4"/>
      <c r="EZL241" s="4"/>
      <c r="EZM241" s="4"/>
      <c r="EZN241" s="4"/>
      <c r="EZO241" s="4"/>
      <c r="EZP241" s="4"/>
      <c r="EZQ241" s="4"/>
      <c r="EZR241" s="4"/>
      <c r="EZS241" s="4"/>
      <c r="EZT241" s="4"/>
      <c r="EZU241" s="4"/>
      <c r="EZV241" s="4"/>
      <c r="EZW241" s="4"/>
      <c r="EZX241" s="4"/>
      <c r="EZY241" s="4"/>
      <c r="EZZ241" s="4"/>
      <c r="FAA241" s="4"/>
      <c r="FAB241" s="4"/>
      <c r="FAC241" s="4"/>
      <c r="FAD241" s="4"/>
      <c r="FAE241" s="4"/>
      <c r="FAF241" s="4"/>
      <c r="FAG241" s="4"/>
      <c r="FAH241" s="4"/>
      <c r="FAI241" s="4"/>
      <c r="FAJ241" s="4"/>
      <c r="FAK241" s="4"/>
      <c r="FAL241" s="4"/>
      <c r="FAM241" s="4"/>
      <c r="FAN241" s="4"/>
      <c r="FAO241" s="4"/>
      <c r="FAP241" s="4"/>
      <c r="FAQ241" s="4"/>
      <c r="FAR241" s="4"/>
      <c r="FAS241" s="4"/>
      <c r="FAT241" s="4"/>
      <c r="FAU241" s="4"/>
      <c r="FAV241" s="4"/>
      <c r="FAW241" s="4"/>
      <c r="FAX241" s="4"/>
      <c r="FAY241" s="4"/>
      <c r="FAZ241" s="4"/>
      <c r="FBA241" s="4"/>
      <c r="FBB241" s="4"/>
      <c r="FBC241" s="4"/>
      <c r="FBD241" s="4"/>
      <c r="FBE241" s="4"/>
      <c r="FBF241" s="4"/>
      <c r="FBG241" s="4"/>
      <c r="FBH241" s="4"/>
      <c r="FBI241" s="4"/>
      <c r="FBJ241" s="4"/>
      <c r="FBK241" s="4"/>
      <c r="FBL241" s="4"/>
      <c r="FBM241" s="4"/>
      <c r="FBN241" s="4"/>
      <c r="FBO241" s="4"/>
      <c r="FBP241" s="4"/>
      <c r="FBQ241" s="4"/>
      <c r="FBR241" s="4"/>
      <c r="FBS241" s="4"/>
      <c r="FBT241" s="4"/>
      <c r="FBU241" s="4"/>
      <c r="FBV241" s="4"/>
      <c r="FBW241" s="4"/>
      <c r="FBX241" s="4"/>
      <c r="FBY241" s="4"/>
      <c r="FBZ241" s="4"/>
      <c r="FCA241" s="4"/>
      <c r="FCB241" s="4"/>
      <c r="FCC241" s="4"/>
      <c r="FCD241" s="4"/>
      <c r="FCE241" s="4"/>
      <c r="FCF241" s="4"/>
      <c r="FCG241" s="4"/>
      <c r="FCH241" s="4"/>
      <c r="FCI241" s="4"/>
      <c r="FCJ241" s="4"/>
      <c r="FCK241" s="4"/>
      <c r="FCL241" s="4"/>
      <c r="FCM241" s="4"/>
      <c r="FCN241" s="4"/>
      <c r="FCO241" s="4"/>
      <c r="FCP241" s="4"/>
      <c r="FCQ241" s="4"/>
      <c r="FCR241" s="4"/>
      <c r="FCS241" s="4"/>
      <c r="FCT241" s="4"/>
      <c r="FCU241" s="4"/>
      <c r="FCV241" s="4"/>
      <c r="FCW241" s="4"/>
      <c r="FCX241" s="4"/>
      <c r="FCY241" s="4"/>
      <c r="FCZ241" s="4"/>
      <c r="FDA241" s="4"/>
      <c r="FDB241" s="4"/>
      <c r="FDC241" s="4"/>
      <c r="FDD241" s="4"/>
      <c r="FDE241" s="4"/>
      <c r="FDF241" s="4"/>
      <c r="FDG241" s="4"/>
      <c r="FDH241" s="4"/>
      <c r="FDI241" s="4"/>
      <c r="FDJ241" s="4"/>
      <c r="FDK241" s="4"/>
      <c r="FDL241" s="4"/>
      <c r="FDM241" s="4"/>
      <c r="FDN241" s="4"/>
      <c r="FDO241" s="4"/>
      <c r="FDP241" s="4"/>
      <c r="FDQ241" s="4"/>
      <c r="FDR241" s="4"/>
      <c r="FDS241" s="4"/>
      <c r="FDT241" s="4"/>
      <c r="FDU241" s="4"/>
      <c r="FDV241" s="4"/>
      <c r="FDW241" s="4"/>
      <c r="FDX241" s="4"/>
      <c r="FDY241" s="4"/>
      <c r="FDZ241" s="4"/>
      <c r="FEA241" s="4"/>
      <c r="FEB241" s="4"/>
      <c r="FEC241" s="4"/>
      <c r="FED241" s="4"/>
      <c r="FEE241" s="4"/>
      <c r="FEF241" s="4"/>
      <c r="FEG241" s="4"/>
      <c r="FEH241" s="4"/>
      <c r="FEI241" s="4"/>
      <c r="FEJ241" s="4"/>
      <c r="FEK241" s="4"/>
      <c r="FEL241" s="4"/>
      <c r="FEM241" s="4"/>
      <c r="FEN241" s="4"/>
      <c r="FEO241" s="4"/>
      <c r="FEP241" s="4"/>
      <c r="FEQ241" s="4"/>
      <c r="FER241" s="4"/>
      <c r="FES241" s="4"/>
      <c r="FET241" s="4"/>
      <c r="FEU241" s="4"/>
      <c r="FEV241" s="4"/>
      <c r="FEW241" s="4"/>
      <c r="FEX241" s="4"/>
      <c r="FEY241" s="4"/>
      <c r="FEZ241" s="4"/>
      <c r="FFA241" s="4"/>
      <c r="FFB241" s="4"/>
      <c r="FFC241" s="4"/>
      <c r="FFD241" s="4"/>
      <c r="FFE241" s="4"/>
      <c r="FFF241" s="4"/>
      <c r="FFG241" s="4"/>
      <c r="FFH241" s="4"/>
      <c r="FFI241" s="4"/>
      <c r="FFJ241" s="4"/>
      <c r="FFK241" s="4"/>
      <c r="FFL241" s="4"/>
      <c r="FFM241" s="4"/>
      <c r="FFN241" s="4"/>
      <c r="FFO241" s="4"/>
      <c r="FFP241" s="4"/>
      <c r="FFQ241" s="4"/>
      <c r="FFR241" s="4"/>
      <c r="FFS241" s="4"/>
      <c r="FFT241" s="4"/>
      <c r="FFU241" s="4"/>
      <c r="FFV241" s="4"/>
      <c r="FFW241" s="4"/>
      <c r="FFX241" s="4"/>
      <c r="FFY241" s="4"/>
      <c r="FFZ241" s="4"/>
      <c r="FGA241" s="4"/>
      <c r="FGB241" s="4"/>
      <c r="FGC241" s="4"/>
      <c r="FGD241" s="4"/>
      <c r="FGE241" s="4"/>
      <c r="FGF241" s="4"/>
      <c r="FGG241" s="4"/>
      <c r="FGH241" s="4"/>
      <c r="FGI241" s="4"/>
      <c r="FGJ241" s="4"/>
      <c r="FGK241" s="4"/>
      <c r="FGL241" s="4"/>
      <c r="FGM241" s="4"/>
      <c r="FGN241" s="4"/>
      <c r="FGO241" s="4"/>
      <c r="FGP241" s="4"/>
      <c r="FGQ241" s="4"/>
      <c r="FGR241" s="4"/>
      <c r="FGS241" s="4"/>
      <c r="FGT241" s="4"/>
      <c r="FGU241" s="4"/>
      <c r="FGV241" s="4"/>
      <c r="FGW241" s="4"/>
      <c r="FGX241" s="4"/>
      <c r="FGY241" s="4"/>
      <c r="FGZ241" s="4"/>
      <c r="FHA241" s="4"/>
      <c r="FHB241" s="4"/>
      <c r="FHC241" s="4"/>
      <c r="FHD241" s="4"/>
      <c r="FHE241" s="4"/>
      <c r="FHF241" s="4"/>
      <c r="FHG241" s="4"/>
      <c r="FHH241" s="4"/>
      <c r="FHI241" s="4"/>
      <c r="FHJ241" s="4"/>
      <c r="FHK241" s="4"/>
      <c r="FHL241" s="4"/>
      <c r="FHM241" s="4"/>
      <c r="FHN241" s="4"/>
      <c r="FHO241" s="4"/>
      <c r="FHP241" s="4"/>
      <c r="FHQ241" s="4"/>
      <c r="FHR241" s="4"/>
      <c r="FHS241" s="4"/>
      <c r="FHT241" s="4"/>
      <c r="FHU241" s="4"/>
      <c r="FHV241" s="4"/>
      <c r="FHW241" s="4"/>
      <c r="FHX241" s="4"/>
      <c r="FHY241" s="4"/>
      <c r="FHZ241" s="4"/>
      <c r="FIA241" s="4"/>
      <c r="FIB241" s="4"/>
      <c r="FIC241" s="4"/>
      <c r="FID241" s="4"/>
      <c r="FIE241" s="4"/>
      <c r="FIF241" s="4"/>
      <c r="FIG241" s="4"/>
      <c r="FIH241" s="4"/>
      <c r="FII241" s="4"/>
      <c r="FIJ241" s="4"/>
      <c r="FIK241" s="4"/>
      <c r="FIL241" s="4"/>
      <c r="FIM241" s="4"/>
      <c r="FIN241" s="4"/>
      <c r="FIO241" s="4"/>
      <c r="FIP241" s="4"/>
      <c r="FIQ241" s="4"/>
      <c r="FIR241" s="4"/>
      <c r="FIS241" s="4"/>
      <c r="FIT241" s="4"/>
      <c r="FIU241" s="4"/>
      <c r="FIV241" s="4"/>
      <c r="FIW241" s="4"/>
      <c r="FIX241" s="4"/>
      <c r="FIY241" s="4"/>
      <c r="FIZ241" s="4"/>
      <c r="FJA241" s="4"/>
      <c r="FJB241" s="4"/>
      <c r="FJC241" s="4"/>
      <c r="FJD241" s="4"/>
      <c r="FJE241" s="4"/>
      <c r="FJF241" s="4"/>
      <c r="FJG241" s="4"/>
      <c r="FJH241" s="4"/>
      <c r="FJI241" s="4"/>
      <c r="FJJ241" s="4"/>
      <c r="FJK241" s="4"/>
      <c r="FJL241" s="4"/>
      <c r="FJM241" s="4"/>
      <c r="FJN241" s="4"/>
      <c r="FJO241" s="4"/>
      <c r="FJP241" s="4"/>
      <c r="FJQ241" s="4"/>
      <c r="FJR241" s="4"/>
      <c r="FJS241" s="4"/>
      <c r="FJT241" s="4"/>
      <c r="FJU241" s="4"/>
      <c r="FJV241" s="4"/>
      <c r="FJW241" s="4"/>
      <c r="FJX241" s="4"/>
      <c r="FJY241" s="4"/>
      <c r="FJZ241" s="4"/>
      <c r="FKA241" s="4"/>
      <c r="FKB241" s="4"/>
      <c r="FKC241" s="4"/>
      <c r="FKD241" s="4"/>
      <c r="FKE241" s="4"/>
      <c r="FKF241" s="4"/>
      <c r="FKG241" s="4"/>
      <c r="FKH241" s="4"/>
      <c r="FKI241" s="4"/>
      <c r="FKJ241" s="4"/>
      <c r="FKK241" s="4"/>
      <c r="FKL241" s="4"/>
      <c r="FKM241" s="4"/>
      <c r="FKN241" s="4"/>
      <c r="FKO241" s="4"/>
      <c r="FKP241" s="4"/>
      <c r="FKQ241" s="4"/>
      <c r="FKR241" s="4"/>
      <c r="FKS241" s="4"/>
      <c r="FKT241" s="4"/>
      <c r="FKU241" s="4"/>
      <c r="FKV241" s="4"/>
      <c r="FKW241" s="4"/>
      <c r="FKX241" s="4"/>
      <c r="FKY241" s="4"/>
      <c r="FKZ241" s="4"/>
      <c r="FLA241" s="4"/>
      <c r="FLB241" s="4"/>
      <c r="FLC241" s="4"/>
      <c r="FLD241" s="4"/>
      <c r="FLE241" s="4"/>
      <c r="FLF241" s="4"/>
      <c r="FLG241" s="4"/>
      <c r="FLH241" s="4"/>
      <c r="FLI241" s="4"/>
      <c r="FLJ241" s="4"/>
      <c r="FLK241" s="4"/>
      <c r="FLL241" s="4"/>
      <c r="FLM241" s="4"/>
      <c r="FLN241" s="4"/>
      <c r="FLO241" s="4"/>
      <c r="FLP241" s="4"/>
      <c r="FLQ241" s="4"/>
      <c r="FLR241" s="4"/>
      <c r="FLS241" s="4"/>
      <c r="FLT241" s="4"/>
      <c r="FLU241" s="4"/>
      <c r="FLV241" s="4"/>
      <c r="FLW241" s="4"/>
      <c r="FLX241" s="4"/>
      <c r="FLY241" s="4"/>
      <c r="FLZ241" s="4"/>
      <c r="FMA241" s="4"/>
      <c r="FMB241" s="4"/>
      <c r="FMC241" s="4"/>
      <c r="FMD241" s="4"/>
      <c r="FME241" s="4"/>
      <c r="FMF241" s="4"/>
      <c r="FMG241" s="4"/>
      <c r="FMH241" s="4"/>
      <c r="FMI241" s="4"/>
      <c r="FMJ241" s="4"/>
      <c r="FMK241" s="4"/>
      <c r="FML241" s="4"/>
      <c r="FMM241" s="4"/>
      <c r="FMN241" s="4"/>
      <c r="FMO241" s="4"/>
      <c r="FMP241" s="4"/>
      <c r="FMQ241" s="4"/>
      <c r="FMR241" s="4"/>
      <c r="FMS241" s="4"/>
      <c r="FMT241" s="4"/>
      <c r="FMU241" s="4"/>
      <c r="FMV241" s="4"/>
      <c r="FMW241" s="4"/>
      <c r="FMX241" s="4"/>
      <c r="FMY241" s="4"/>
      <c r="FMZ241" s="4"/>
      <c r="FNA241" s="4"/>
      <c r="FNB241" s="4"/>
      <c r="FNC241" s="4"/>
      <c r="FND241" s="4"/>
      <c r="FNE241" s="4"/>
      <c r="FNF241" s="4"/>
      <c r="FNG241" s="4"/>
      <c r="FNH241" s="4"/>
      <c r="FNI241" s="4"/>
      <c r="FNJ241" s="4"/>
      <c r="FNK241" s="4"/>
      <c r="FNL241" s="4"/>
      <c r="FNM241" s="4"/>
      <c r="FNN241" s="4"/>
      <c r="FNO241" s="4"/>
      <c r="FNP241" s="4"/>
      <c r="FNQ241" s="4"/>
      <c r="FNR241" s="4"/>
      <c r="FNS241" s="4"/>
      <c r="FNT241" s="4"/>
      <c r="FNU241" s="4"/>
      <c r="FNV241" s="4"/>
      <c r="FNW241" s="4"/>
      <c r="FNX241" s="4"/>
      <c r="FNY241" s="4"/>
      <c r="FNZ241" s="4"/>
      <c r="FOA241" s="4"/>
      <c r="FOB241" s="4"/>
      <c r="FOC241" s="4"/>
      <c r="FOD241" s="4"/>
      <c r="FOE241" s="4"/>
      <c r="FOF241" s="4"/>
      <c r="FOG241" s="4"/>
      <c r="FOH241" s="4"/>
      <c r="FOI241" s="4"/>
      <c r="FOJ241" s="4"/>
      <c r="FOK241" s="4"/>
      <c r="FOL241" s="4"/>
      <c r="FOM241" s="4"/>
      <c r="FON241" s="4"/>
      <c r="FOO241" s="4"/>
      <c r="FOP241" s="4"/>
      <c r="FOQ241" s="4"/>
      <c r="FOR241" s="4"/>
      <c r="FOS241" s="4"/>
      <c r="FOT241" s="4"/>
      <c r="FOU241" s="4"/>
      <c r="FOV241" s="4"/>
      <c r="FOW241" s="4"/>
      <c r="FOX241" s="4"/>
      <c r="FOY241" s="4"/>
      <c r="FOZ241" s="4"/>
      <c r="FPA241" s="4"/>
      <c r="FPB241" s="4"/>
      <c r="FPC241" s="4"/>
      <c r="FPD241" s="4"/>
      <c r="FPE241" s="4"/>
      <c r="FPF241" s="4"/>
      <c r="FPG241" s="4"/>
      <c r="FPH241" s="4"/>
      <c r="FPI241" s="4"/>
      <c r="FPJ241" s="4"/>
      <c r="FPK241" s="4"/>
      <c r="FPL241" s="4"/>
      <c r="FPM241" s="4"/>
      <c r="FPN241" s="4"/>
      <c r="FPO241" s="4"/>
      <c r="FPP241" s="4"/>
      <c r="FPQ241" s="4"/>
      <c r="FPR241" s="4"/>
      <c r="FPS241" s="4"/>
      <c r="FPT241" s="4"/>
      <c r="FPU241" s="4"/>
      <c r="FPV241" s="4"/>
      <c r="FPW241" s="4"/>
      <c r="FPX241" s="4"/>
      <c r="FPY241" s="4"/>
      <c r="FPZ241" s="4"/>
      <c r="FQA241" s="4"/>
      <c r="FQB241" s="4"/>
      <c r="FQC241" s="4"/>
      <c r="FQD241" s="4"/>
      <c r="FQE241" s="4"/>
      <c r="FQF241" s="4"/>
      <c r="FQG241" s="4"/>
      <c r="FQH241" s="4"/>
      <c r="FQI241" s="4"/>
      <c r="FQJ241" s="4"/>
      <c r="FQK241" s="4"/>
      <c r="FQL241" s="4"/>
      <c r="FQM241" s="4"/>
      <c r="FQN241" s="4"/>
      <c r="FQO241" s="4"/>
      <c r="FQP241" s="4"/>
      <c r="FQQ241" s="4"/>
      <c r="FQR241" s="4"/>
      <c r="FQS241" s="4"/>
      <c r="FQT241" s="4"/>
      <c r="FQU241" s="4"/>
      <c r="FQV241" s="4"/>
      <c r="FQW241" s="4"/>
      <c r="FQX241" s="4"/>
      <c r="FQY241" s="4"/>
      <c r="FQZ241" s="4"/>
      <c r="FRA241" s="4"/>
      <c r="FRB241" s="4"/>
      <c r="FRC241" s="4"/>
      <c r="FRD241" s="4"/>
      <c r="FRE241" s="4"/>
      <c r="FRF241" s="4"/>
      <c r="FRG241" s="4"/>
      <c r="FRH241" s="4"/>
      <c r="FRI241" s="4"/>
      <c r="FRJ241" s="4"/>
      <c r="FRK241" s="4"/>
      <c r="FRL241" s="4"/>
      <c r="FRM241" s="4"/>
      <c r="FRN241" s="4"/>
      <c r="FRO241" s="4"/>
      <c r="FRP241" s="4"/>
      <c r="FRQ241" s="4"/>
      <c r="FRR241" s="4"/>
      <c r="FRS241" s="4"/>
      <c r="FRT241" s="4"/>
      <c r="FRU241" s="4"/>
      <c r="FRV241" s="4"/>
      <c r="FRW241" s="4"/>
      <c r="FRX241" s="4"/>
      <c r="FRY241" s="4"/>
      <c r="FRZ241" s="4"/>
      <c r="FSA241" s="4"/>
      <c r="FSB241" s="4"/>
      <c r="FSC241" s="4"/>
      <c r="FSD241" s="4"/>
      <c r="FSE241" s="4"/>
      <c r="FSF241" s="4"/>
      <c r="FSG241" s="4"/>
      <c r="FSH241" s="4"/>
      <c r="FSI241" s="4"/>
      <c r="FSJ241" s="4"/>
      <c r="FSK241" s="4"/>
      <c r="FSL241" s="4"/>
      <c r="FSM241" s="4"/>
      <c r="FSN241" s="4"/>
      <c r="FSO241" s="4"/>
      <c r="FSP241" s="4"/>
      <c r="FSQ241" s="4"/>
      <c r="FSR241" s="4"/>
      <c r="FSS241" s="4"/>
      <c r="FST241" s="4"/>
      <c r="FSU241" s="4"/>
      <c r="FSV241" s="4"/>
      <c r="FSW241" s="4"/>
      <c r="FSX241" s="4"/>
      <c r="FSY241" s="4"/>
      <c r="FSZ241" s="4"/>
      <c r="FTA241" s="4"/>
      <c r="FTB241" s="4"/>
      <c r="FTC241" s="4"/>
      <c r="FTD241" s="4"/>
      <c r="FTE241" s="4"/>
      <c r="FTF241" s="4"/>
      <c r="FTG241" s="4"/>
      <c r="FTH241" s="4"/>
      <c r="FTI241" s="4"/>
      <c r="FTJ241" s="4"/>
      <c r="FTK241" s="4"/>
      <c r="FTL241" s="4"/>
      <c r="FTM241" s="4"/>
      <c r="FTN241" s="4"/>
      <c r="FTO241" s="4"/>
      <c r="FTP241" s="4"/>
      <c r="FTQ241" s="4"/>
      <c r="FTR241" s="4"/>
      <c r="FTS241" s="4"/>
      <c r="FTT241" s="4"/>
      <c r="FTU241" s="4"/>
      <c r="FTV241" s="4"/>
      <c r="FTW241" s="4"/>
      <c r="FTX241" s="4"/>
      <c r="FTY241" s="4"/>
      <c r="FTZ241" s="4"/>
      <c r="FUA241" s="4"/>
      <c r="FUB241" s="4"/>
      <c r="FUC241" s="4"/>
      <c r="FUD241" s="4"/>
      <c r="FUE241" s="4"/>
      <c r="FUF241" s="4"/>
      <c r="FUG241" s="4"/>
      <c r="FUH241" s="4"/>
      <c r="FUI241" s="4"/>
      <c r="FUJ241" s="4"/>
      <c r="FUK241" s="4"/>
      <c r="FUL241" s="4"/>
      <c r="FUM241" s="4"/>
      <c r="FUN241" s="4"/>
      <c r="FUO241" s="4"/>
      <c r="FUP241" s="4"/>
      <c r="FUQ241" s="4"/>
      <c r="FUR241" s="4"/>
      <c r="FUS241" s="4"/>
      <c r="FUT241" s="4"/>
      <c r="FUU241" s="4"/>
      <c r="FUV241" s="4"/>
      <c r="FUW241" s="4"/>
      <c r="FUX241" s="4"/>
      <c r="FUY241" s="4"/>
      <c r="FUZ241" s="4"/>
      <c r="FVA241" s="4"/>
      <c r="FVB241" s="4"/>
      <c r="FVC241" s="4"/>
      <c r="FVD241" s="4"/>
      <c r="FVE241" s="4"/>
      <c r="FVF241" s="4"/>
      <c r="FVG241" s="4"/>
      <c r="FVH241" s="4"/>
      <c r="FVI241" s="4"/>
      <c r="FVJ241" s="4"/>
      <c r="FVK241" s="4"/>
      <c r="FVL241" s="4"/>
      <c r="FVM241" s="4"/>
      <c r="FVN241" s="4"/>
      <c r="FVO241" s="4"/>
      <c r="FVP241" s="4"/>
      <c r="FVQ241" s="4"/>
      <c r="FVR241" s="4"/>
      <c r="FVS241" s="4"/>
      <c r="FVT241" s="4"/>
      <c r="FVU241" s="4"/>
      <c r="FVV241" s="4"/>
      <c r="FVW241" s="4"/>
      <c r="FVX241" s="4"/>
      <c r="FVY241" s="4"/>
      <c r="FVZ241" s="4"/>
      <c r="FWA241" s="4"/>
      <c r="FWB241" s="4"/>
      <c r="FWC241" s="4"/>
      <c r="FWD241" s="4"/>
      <c r="FWE241" s="4"/>
      <c r="FWF241" s="4"/>
      <c r="FWG241" s="4"/>
      <c r="FWH241" s="4"/>
      <c r="FWI241" s="4"/>
      <c r="FWJ241" s="4"/>
      <c r="FWK241" s="4"/>
      <c r="FWL241" s="4"/>
      <c r="FWM241" s="4"/>
      <c r="FWN241" s="4"/>
      <c r="FWO241" s="4"/>
      <c r="FWP241" s="4"/>
      <c r="FWQ241" s="4"/>
      <c r="FWR241" s="4"/>
      <c r="FWS241" s="4"/>
      <c r="FWT241" s="4"/>
      <c r="FWU241" s="4"/>
      <c r="FWV241" s="4"/>
      <c r="FWW241" s="4"/>
      <c r="FWX241" s="4"/>
      <c r="FWY241" s="4"/>
      <c r="FWZ241" s="4"/>
      <c r="FXA241" s="4"/>
      <c r="FXB241" s="4"/>
      <c r="FXC241" s="4"/>
      <c r="FXD241" s="4"/>
      <c r="FXE241" s="4"/>
      <c r="FXF241" s="4"/>
      <c r="FXG241" s="4"/>
      <c r="FXH241" s="4"/>
      <c r="FXI241" s="4"/>
      <c r="FXJ241" s="4"/>
      <c r="FXK241" s="4"/>
      <c r="FXL241" s="4"/>
      <c r="FXM241" s="4"/>
      <c r="FXN241" s="4"/>
      <c r="FXO241" s="4"/>
      <c r="FXP241" s="4"/>
      <c r="FXQ241" s="4"/>
      <c r="FXR241" s="4"/>
      <c r="FXS241" s="4"/>
      <c r="FXT241" s="4"/>
      <c r="FXU241" s="4"/>
      <c r="FXV241" s="4"/>
      <c r="FXW241" s="4"/>
      <c r="FXX241" s="4"/>
      <c r="FXY241" s="4"/>
      <c r="FXZ241" s="4"/>
      <c r="FYA241" s="4"/>
      <c r="FYB241" s="4"/>
      <c r="FYC241" s="4"/>
      <c r="FYD241" s="4"/>
      <c r="FYE241" s="4"/>
      <c r="FYF241" s="4"/>
      <c r="FYG241" s="4"/>
      <c r="FYH241" s="4"/>
      <c r="FYI241" s="4"/>
      <c r="FYJ241" s="4"/>
      <c r="FYK241" s="4"/>
      <c r="FYL241" s="4"/>
      <c r="FYM241" s="4"/>
      <c r="FYN241" s="4"/>
      <c r="FYO241" s="4"/>
      <c r="FYP241" s="4"/>
      <c r="FYQ241" s="4"/>
      <c r="FYR241" s="4"/>
      <c r="FYS241" s="4"/>
      <c r="FYT241" s="4"/>
      <c r="FYU241" s="4"/>
      <c r="FYV241" s="4"/>
      <c r="FYW241" s="4"/>
      <c r="FYX241" s="4"/>
      <c r="FYY241" s="4"/>
      <c r="FYZ241" s="4"/>
      <c r="FZA241" s="4"/>
      <c r="FZB241" s="4"/>
      <c r="FZC241" s="4"/>
      <c r="FZD241" s="4"/>
      <c r="FZE241" s="4"/>
      <c r="FZF241" s="4"/>
      <c r="FZG241" s="4"/>
      <c r="FZH241" s="4"/>
      <c r="FZI241" s="4"/>
      <c r="FZJ241" s="4"/>
      <c r="FZK241" s="4"/>
      <c r="FZL241" s="4"/>
      <c r="FZM241" s="4"/>
      <c r="FZN241" s="4"/>
      <c r="FZO241" s="4"/>
      <c r="FZP241" s="4"/>
      <c r="FZQ241" s="4"/>
      <c r="FZR241" s="4"/>
      <c r="FZS241" s="4"/>
      <c r="FZT241" s="4"/>
      <c r="FZU241" s="4"/>
      <c r="FZV241" s="4"/>
      <c r="FZW241" s="4"/>
      <c r="FZX241" s="4"/>
      <c r="FZY241" s="4"/>
      <c r="FZZ241" s="4"/>
      <c r="GAA241" s="4"/>
      <c r="GAB241" s="4"/>
      <c r="GAC241" s="4"/>
      <c r="GAD241" s="4"/>
      <c r="GAE241" s="4"/>
      <c r="GAF241" s="4"/>
      <c r="GAG241" s="4"/>
      <c r="GAH241" s="4"/>
      <c r="GAI241" s="4"/>
      <c r="GAJ241" s="4"/>
      <c r="GAK241" s="4"/>
      <c r="GAL241" s="4"/>
      <c r="GAM241" s="4"/>
      <c r="GAN241" s="4"/>
      <c r="GAO241" s="4"/>
      <c r="GAP241" s="4"/>
      <c r="GAQ241" s="4"/>
      <c r="GAR241" s="4"/>
      <c r="GAS241" s="4"/>
      <c r="GAT241" s="4"/>
      <c r="GAU241" s="4"/>
      <c r="GAV241" s="4"/>
      <c r="GAW241" s="4"/>
      <c r="GAX241" s="4"/>
      <c r="GAY241" s="4"/>
      <c r="GAZ241" s="4"/>
      <c r="GBA241" s="4"/>
      <c r="GBB241" s="4"/>
      <c r="GBC241" s="4"/>
      <c r="GBD241" s="4"/>
      <c r="GBE241" s="4"/>
      <c r="GBF241" s="4"/>
      <c r="GBG241" s="4"/>
      <c r="GBH241" s="4"/>
      <c r="GBI241" s="4"/>
      <c r="GBJ241" s="4"/>
      <c r="GBK241" s="4"/>
      <c r="GBL241" s="4"/>
      <c r="GBM241" s="4"/>
      <c r="GBN241" s="4"/>
      <c r="GBO241" s="4"/>
      <c r="GBP241" s="4"/>
      <c r="GBQ241" s="4"/>
      <c r="GBR241" s="4"/>
      <c r="GBS241" s="4"/>
      <c r="GBT241" s="4"/>
      <c r="GBU241" s="4"/>
      <c r="GBV241" s="4"/>
      <c r="GBW241" s="4"/>
      <c r="GBX241" s="4"/>
      <c r="GBY241" s="4"/>
      <c r="GBZ241" s="4"/>
      <c r="GCA241" s="4"/>
      <c r="GCB241" s="4"/>
      <c r="GCC241" s="4"/>
      <c r="GCD241" s="4"/>
      <c r="GCE241" s="4"/>
      <c r="GCF241" s="4"/>
      <c r="GCG241" s="4"/>
      <c r="GCH241" s="4"/>
      <c r="GCI241" s="4"/>
      <c r="GCJ241" s="4"/>
      <c r="GCK241" s="4"/>
      <c r="GCL241" s="4"/>
      <c r="GCM241" s="4"/>
      <c r="GCN241" s="4"/>
      <c r="GCO241" s="4"/>
      <c r="GCP241" s="4"/>
      <c r="GCQ241" s="4"/>
      <c r="GCR241" s="4"/>
      <c r="GCS241" s="4"/>
      <c r="GCT241" s="4"/>
      <c r="GCU241" s="4"/>
      <c r="GCV241" s="4"/>
      <c r="GCW241" s="4"/>
      <c r="GCX241" s="4"/>
      <c r="GCY241" s="4"/>
      <c r="GCZ241" s="4"/>
      <c r="GDA241" s="4"/>
      <c r="GDB241" s="4"/>
      <c r="GDC241" s="4"/>
      <c r="GDD241" s="4"/>
      <c r="GDE241" s="4"/>
      <c r="GDF241" s="4"/>
      <c r="GDG241" s="4"/>
      <c r="GDH241" s="4"/>
      <c r="GDI241" s="4"/>
      <c r="GDJ241" s="4"/>
      <c r="GDK241" s="4"/>
      <c r="GDL241" s="4"/>
      <c r="GDM241" s="4"/>
      <c r="GDN241" s="4"/>
      <c r="GDO241" s="4"/>
      <c r="GDP241" s="4"/>
      <c r="GDQ241" s="4"/>
      <c r="GDR241" s="4"/>
      <c r="GDS241" s="4"/>
      <c r="GDT241" s="4"/>
      <c r="GDU241" s="4"/>
      <c r="GDV241" s="4"/>
      <c r="GDW241" s="4"/>
      <c r="GDX241" s="4"/>
      <c r="GDY241" s="4"/>
      <c r="GDZ241" s="4"/>
      <c r="GEA241" s="4"/>
      <c r="GEB241" s="4"/>
      <c r="GEC241" s="4"/>
      <c r="GED241" s="4"/>
      <c r="GEE241" s="4"/>
      <c r="GEF241" s="4"/>
      <c r="GEG241" s="4"/>
      <c r="GEH241" s="4"/>
      <c r="GEI241" s="4"/>
      <c r="GEJ241" s="4"/>
      <c r="GEK241" s="4"/>
      <c r="GEL241" s="4"/>
      <c r="GEM241" s="4"/>
      <c r="GEN241" s="4"/>
      <c r="GEO241" s="4"/>
      <c r="GEP241" s="4"/>
      <c r="GEQ241" s="4"/>
      <c r="GER241" s="4"/>
      <c r="GES241" s="4"/>
      <c r="GET241" s="4"/>
      <c r="GEU241" s="4"/>
      <c r="GEV241" s="4"/>
      <c r="GEW241" s="4"/>
      <c r="GEX241" s="4"/>
      <c r="GEY241" s="4"/>
      <c r="GEZ241" s="4"/>
      <c r="GFA241" s="4"/>
      <c r="GFB241" s="4"/>
      <c r="GFC241" s="4"/>
      <c r="GFD241" s="4"/>
      <c r="GFE241" s="4"/>
      <c r="GFF241" s="4"/>
      <c r="GFG241" s="4"/>
      <c r="GFH241" s="4"/>
      <c r="GFI241" s="4"/>
      <c r="GFJ241" s="4"/>
      <c r="GFK241" s="4"/>
      <c r="GFL241" s="4"/>
      <c r="GFM241" s="4"/>
      <c r="GFN241" s="4"/>
      <c r="GFO241" s="4"/>
      <c r="GFP241" s="4"/>
      <c r="GFQ241" s="4"/>
      <c r="GFR241" s="4"/>
      <c r="GFS241" s="4"/>
      <c r="GFT241" s="4"/>
      <c r="GFU241" s="4"/>
      <c r="GFV241" s="4"/>
      <c r="GFW241" s="4"/>
      <c r="GFX241" s="4"/>
      <c r="GFY241" s="4"/>
      <c r="GFZ241" s="4"/>
      <c r="GGA241" s="4"/>
      <c r="GGB241" s="4"/>
      <c r="GGC241" s="4"/>
      <c r="GGD241" s="4"/>
      <c r="GGE241" s="4"/>
      <c r="GGF241" s="4"/>
      <c r="GGG241" s="4"/>
      <c r="GGH241" s="4"/>
      <c r="GGI241" s="4"/>
      <c r="GGJ241" s="4"/>
      <c r="GGK241" s="4"/>
      <c r="GGL241" s="4"/>
      <c r="GGM241" s="4"/>
      <c r="GGN241" s="4"/>
      <c r="GGO241" s="4"/>
      <c r="GGP241" s="4"/>
      <c r="GGQ241" s="4"/>
      <c r="GGR241" s="4"/>
      <c r="GGS241" s="4"/>
      <c r="GGT241" s="4"/>
      <c r="GGU241" s="4"/>
      <c r="GGV241" s="4"/>
      <c r="GGW241" s="4"/>
      <c r="GGX241" s="4"/>
      <c r="GGY241" s="4"/>
      <c r="GGZ241" s="4"/>
      <c r="GHA241" s="4"/>
      <c r="GHB241" s="4"/>
      <c r="GHC241" s="4"/>
      <c r="GHD241" s="4"/>
      <c r="GHE241" s="4"/>
      <c r="GHF241" s="4"/>
      <c r="GHG241" s="4"/>
      <c r="GHH241" s="4"/>
      <c r="GHI241" s="4"/>
      <c r="GHJ241" s="4"/>
      <c r="GHK241" s="4"/>
      <c r="GHL241" s="4"/>
      <c r="GHM241" s="4"/>
      <c r="GHN241" s="4"/>
      <c r="GHO241" s="4"/>
      <c r="GHP241" s="4"/>
      <c r="GHQ241" s="4"/>
      <c r="GHR241" s="4"/>
      <c r="GHS241" s="4"/>
      <c r="GHT241" s="4"/>
      <c r="GHU241" s="4"/>
      <c r="GHV241" s="4"/>
      <c r="GHW241" s="4"/>
      <c r="GHX241" s="4"/>
      <c r="GHY241" s="4"/>
      <c r="GHZ241" s="4"/>
      <c r="GIA241" s="4"/>
      <c r="GIB241" s="4"/>
      <c r="GIC241" s="4"/>
      <c r="GID241" s="4"/>
      <c r="GIE241" s="4"/>
      <c r="GIF241" s="4"/>
      <c r="GIG241" s="4"/>
      <c r="GIH241" s="4"/>
      <c r="GII241" s="4"/>
      <c r="GIJ241" s="4"/>
      <c r="GIK241" s="4"/>
      <c r="GIL241" s="4"/>
      <c r="GIM241" s="4"/>
      <c r="GIN241" s="4"/>
      <c r="GIO241" s="4"/>
      <c r="GIP241" s="4"/>
      <c r="GIQ241" s="4"/>
      <c r="GIR241" s="4"/>
      <c r="GIS241" s="4"/>
      <c r="GIT241" s="4"/>
      <c r="GIU241" s="4"/>
      <c r="GIV241" s="4"/>
      <c r="GIW241" s="4"/>
      <c r="GIX241" s="4"/>
      <c r="GIY241" s="4"/>
      <c r="GIZ241" s="4"/>
      <c r="GJA241" s="4"/>
      <c r="GJB241" s="4"/>
      <c r="GJC241" s="4"/>
      <c r="GJD241" s="4"/>
      <c r="GJE241" s="4"/>
      <c r="GJF241" s="4"/>
      <c r="GJG241" s="4"/>
      <c r="GJH241" s="4"/>
      <c r="GJI241" s="4"/>
      <c r="GJJ241" s="4"/>
      <c r="GJK241" s="4"/>
      <c r="GJL241" s="4"/>
      <c r="GJM241" s="4"/>
      <c r="GJN241" s="4"/>
      <c r="GJO241" s="4"/>
      <c r="GJP241" s="4"/>
      <c r="GJQ241" s="4"/>
      <c r="GJR241" s="4"/>
      <c r="GJS241" s="4"/>
      <c r="GJT241" s="4"/>
      <c r="GJU241" s="4"/>
      <c r="GJV241" s="4"/>
      <c r="GJW241" s="4"/>
      <c r="GJX241" s="4"/>
      <c r="GJY241" s="4"/>
      <c r="GJZ241" s="4"/>
      <c r="GKA241" s="4"/>
      <c r="GKB241" s="4"/>
      <c r="GKC241" s="4"/>
      <c r="GKD241" s="4"/>
      <c r="GKE241" s="4"/>
      <c r="GKF241" s="4"/>
      <c r="GKG241" s="4"/>
      <c r="GKH241" s="4"/>
      <c r="GKI241" s="4"/>
      <c r="GKJ241" s="4"/>
      <c r="GKK241" s="4"/>
      <c r="GKL241" s="4"/>
      <c r="GKM241" s="4"/>
      <c r="GKN241" s="4"/>
      <c r="GKO241" s="4"/>
      <c r="GKP241" s="4"/>
      <c r="GKQ241" s="4"/>
      <c r="GKR241" s="4"/>
      <c r="GKS241" s="4"/>
      <c r="GKT241" s="4"/>
      <c r="GKU241" s="4"/>
      <c r="GKV241" s="4"/>
      <c r="GKW241" s="4"/>
      <c r="GKX241" s="4"/>
      <c r="GKY241" s="4"/>
      <c r="GKZ241" s="4"/>
      <c r="GLA241" s="4"/>
      <c r="GLB241" s="4"/>
      <c r="GLC241" s="4"/>
      <c r="GLD241" s="4"/>
      <c r="GLE241" s="4"/>
      <c r="GLF241" s="4"/>
      <c r="GLG241" s="4"/>
      <c r="GLH241" s="4"/>
      <c r="GLI241" s="4"/>
      <c r="GLJ241" s="4"/>
      <c r="GLK241" s="4"/>
      <c r="GLL241" s="4"/>
      <c r="GLM241" s="4"/>
      <c r="GLN241" s="4"/>
      <c r="GLO241" s="4"/>
      <c r="GLP241" s="4"/>
      <c r="GLQ241" s="4"/>
      <c r="GLR241" s="4"/>
      <c r="GLS241" s="4"/>
      <c r="GLT241" s="4"/>
      <c r="GLU241" s="4"/>
      <c r="GLV241" s="4"/>
      <c r="GLW241" s="4"/>
      <c r="GLX241" s="4"/>
      <c r="GLY241" s="4"/>
      <c r="GLZ241" s="4"/>
      <c r="GMA241" s="4"/>
      <c r="GMB241" s="4"/>
      <c r="GMC241" s="4"/>
      <c r="GMD241" s="4"/>
      <c r="GME241" s="4"/>
      <c r="GMF241" s="4"/>
      <c r="GMG241" s="4"/>
      <c r="GMH241" s="4"/>
      <c r="GMI241" s="4"/>
      <c r="GMJ241" s="4"/>
      <c r="GMK241" s="4"/>
      <c r="GML241" s="4"/>
      <c r="GMM241" s="4"/>
      <c r="GMN241" s="4"/>
      <c r="GMO241" s="4"/>
      <c r="GMP241" s="4"/>
      <c r="GMQ241" s="4"/>
      <c r="GMR241" s="4"/>
      <c r="GMS241" s="4"/>
      <c r="GMT241" s="4"/>
      <c r="GMU241" s="4"/>
      <c r="GMV241" s="4"/>
      <c r="GMW241" s="4"/>
      <c r="GMX241" s="4"/>
      <c r="GMY241" s="4"/>
      <c r="GMZ241" s="4"/>
      <c r="GNA241" s="4"/>
      <c r="GNB241" s="4"/>
      <c r="GNC241" s="4"/>
      <c r="GND241" s="4"/>
      <c r="GNE241" s="4"/>
      <c r="GNF241" s="4"/>
      <c r="GNG241" s="4"/>
      <c r="GNH241" s="4"/>
      <c r="GNI241" s="4"/>
      <c r="GNJ241" s="4"/>
      <c r="GNK241" s="4"/>
      <c r="GNL241" s="4"/>
      <c r="GNM241" s="4"/>
      <c r="GNN241" s="4"/>
      <c r="GNO241" s="4"/>
      <c r="GNP241" s="4"/>
      <c r="GNQ241" s="4"/>
      <c r="GNR241" s="4"/>
      <c r="GNS241" s="4"/>
      <c r="GNT241" s="4"/>
      <c r="GNU241" s="4"/>
      <c r="GNV241" s="4"/>
      <c r="GNW241" s="4"/>
      <c r="GNX241" s="4"/>
      <c r="GNY241" s="4"/>
      <c r="GNZ241" s="4"/>
      <c r="GOA241" s="4"/>
      <c r="GOB241" s="4"/>
      <c r="GOC241" s="4"/>
      <c r="GOD241" s="4"/>
      <c r="GOE241" s="4"/>
      <c r="GOF241" s="4"/>
      <c r="GOG241" s="4"/>
      <c r="GOH241" s="4"/>
      <c r="GOI241" s="4"/>
      <c r="GOJ241" s="4"/>
      <c r="GOK241" s="4"/>
      <c r="GOL241" s="4"/>
      <c r="GOM241" s="4"/>
      <c r="GON241" s="4"/>
      <c r="GOO241" s="4"/>
      <c r="GOP241" s="4"/>
      <c r="GOQ241" s="4"/>
      <c r="GOR241" s="4"/>
      <c r="GOS241" s="4"/>
      <c r="GOT241" s="4"/>
      <c r="GOU241" s="4"/>
      <c r="GOV241" s="4"/>
      <c r="GOW241" s="4"/>
      <c r="GOX241" s="4"/>
      <c r="GOY241" s="4"/>
      <c r="GOZ241" s="4"/>
      <c r="GPA241" s="4"/>
      <c r="GPB241" s="4"/>
      <c r="GPC241" s="4"/>
      <c r="GPD241" s="4"/>
      <c r="GPE241" s="4"/>
      <c r="GPF241" s="4"/>
      <c r="GPG241" s="4"/>
      <c r="GPH241" s="4"/>
      <c r="GPI241" s="4"/>
      <c r="GPJ241" s="4"/>
      <c r="GPK241" s="4"/>
      <c r="GPL241" s="4"/>
      <c r="GPM241" s="4"/>
      <c r="GPN241" s="4"/>
      <c r="GPO241" s="4"/>
      <c r="GPP241" s="4"/>
      <c r="GPQ241" s="4"/>
      <c r="GPR241" s="4"/>
      <c r="GPS241" s="4"/>
      <c r="GPT241" s="4"/>
      <c r="GPU241" s="4"/>
      <c r="GPV241" s="4"/>
      <c r="GPW241" s="4"/>
      <c r="GPX241" s="4"/>
      <c r="GPY241" s="4"/>
      <c r="GPZ241" s="4"/>
      <c r="GQA241" s="4"/>
      <c r="GQB241" s="4"/>
      <c r="GQC241" s="4"/>
      <c r="GQD241" s="4"/>
      <c r="GQE241" s="4"/>
      <c r="GQF241" s="4"/>
      <c r="GQG241" s="4"/>
      <c r="GQH241" s="4"/>
      <c r="GQI241" s="4"/>
      <c r="GQJ241" s="4"/>
      <c r="GQK241" s="4"/>
      <c r="GQL241" s="4"/>
      <c r="GQM241" s="4"/>
      <c r="GQN241" s="4"/>
      <c r="GQO241" s="4"/>
      <c r="GQP241" s="4"/>
      <c r="GQQ241" s="4"/>
      <c r="GQR241" s="4"/>
      <c r="GQS241" s="4"/>
      <c r="GQT241" s="4"/>
      <c r="GQU241" s="4"/>
      <c r="GQV241" s="4"/>
      <c r="GQW241" s="4"/>
      <c r="GQX241" s="4"/>
      <c r="GQY241" s="4"/>
      <c r="GQZ241" s="4"/>
      <c r="GRA241" s="4"/>
      <c r="GRB241" s="4"/>
      <c r="GRC241" s="4"/>
      <c r="GRD241" s="4"/>
      <c r="GRE241" s="4"/>
      <c r="GRF241" s="4"/>
      <c r="GRG241" s="4"/>
      <c r="GRH241" s="4"/>
      <c r="GRI241" s="4"/>
      <c r="GRJ241" s="4"/>
      <c r="GRK241" s="4"/>
      <c r="GRL241" s="4"/>
      <c r="GRM241" s="4"/>
      <c r="GRN241" s="4"/>
      <c r="GRO241" s="4"/>
      <c r="GRP241" s="4"/>
      <c r="GRQ241" s="4"/>
      <c r="GRR241" s="4"/>
      <c r="GRS241" s="4"/>
      <c r="GRT241" s="4"/>
      <c r="GRU241" s="4"/>
      <c r="GRV241" s="4"/>
      <c r="GRW241" s="4"/>
      <c r="GRX241" s="4"/>
      <c r="GRY241" s="4"/>
      <c r="GRZ241" s="4"/>
      <c r="GSA241" s="4"/>
      <c r="GSB241" s="4"/>
      <c r="GSC241" s="4"/>
      <c r="GSD241" s="4"/>
      <c r="GSE241" s="4"/>
      <c r="GSF241" s="4"/>
      <c r="GSG241" s="4"/>
      <c r="GSH241" s="4"/>
      <c r="GSI241" s="4"/>
      <c r="GSJ241" s="4"/>
      <c r="GSK241" s="4"/>
      <c r="GSL241" s="4"/>
      <c r="GSM241" s="4"/>
      <c r="GSN241" s="4"/>
      <c r="GSO241" s="4"/>
      <c r="GSP241" s="4"/>
      <c r="GSQ241" s="4"/>
      <c r="GSR241" s="4"/>
      <c r="GSS241" s="4"/>
      <c r="GST241" s="4"/>
      <c r="GSU241" s="4"/>
      <c r="GSV241" s="4"/>
      <c r="GSW241" s="4"/>
      <c r="GSX241" s="4"/>
      <c r="GSY241" s="4"/>
      <c r="GSZ241" s="4"/>
      <c r="GTA241" s="4"/>
      <c r="GTB241" s="4"/>
      <c r="GTC241" s="4"/>
      <c r="GTD241" s="4"/>
      <c r="GTE241" s="4"/>
      <c r="GTF241" s="4"/>
      <c r="GTG241" s="4"/>
      <c r="GTH241" s="4"/>
      <c r="GTI241" s="4"/>
      <c r="GTJ241" s="4"/>
      <c r="GTK241" s="4"/>
      <c r="GTL241" s="4"/>
      <c r="GTM241" s="4"/>
      <c r="GTN241" s="4"/>
      <c r="GTO241" s="4"/>
      <c r="GTP241" s="4"/>
      <c r="GTQ241" s="4"/>
      <c r="GTR241" s="4"/>
      <c r="GTS241" s="4"/>
      <c r="GTT241" s="4"/>
      <c r="GTU241" s="4"/>
      <c r="GTV241" s="4"/>
      <c r="GTW241" s="4"/>
      <c r="GTX241" s="4"/>
      <c r="GTY241" s="4"/>
      <c r="GTZ241" s="4"/>
      <c r="GUA241" s="4"/>
      <c r="GUB241" s="4"/>
      <c r="GUC241" s="4"/>
      <c r="GUD241" s="4"/>
      <c r="GUE241" s="4"/>
      <c r="GUF241" s="4"/>
      <c r="GUG241" s="4"/>
      <c r="GUH241" s="4"/>
      <c r="GUI241" s="4"/>
      <c r="GUJ241" s="4"/>
      <c r="GUK241" s="4"/>
      <c r="GUL241" s="4"/>
      <c r="GUM241" s="4"/>
      <c r="GUN241" s="4"/>
      <c r="GUO241" s="4"/>
      <c r="GUP241" s="4"/>
      <c r="GUQ241" s="4"/>
      <c r="GUR241" s="4"/>
      <c r="GUS241" s="4"/>
      <c r="GUT241" s="4"/>
      <c r="GUU241" s="4"/>
      <c r="GUV241" s="4"/>
      <c r="GUW241" s="4"/>
      <c r="GUX241" s="4"/>
      <c r="GUY241" s="4"/>
      <c r="GUZ241" s="4"/>
      <c r="GVA241" s="4"/>
      <c r="GVB241" s="4"/>
      <c r="GVC241" s="4"/>
      <c r="GVD241" s="4"/>
      <c r="GVE241" s="4"/>
      <c r="GVF241" s="4"/>
      <c r="GVG241" s="4"/>
      <c r="GVH241" s="4"/>
      <c r="GVI241" s="4"/>
      <c r="GVJ241" s="4"/>
      <c r="GVK241" s="4"/>
      <c r="GVL241" s="4"/>
      <c r="GVM241" s="4"/>
      <c r="GVN241" s="4"/>
      <c r="GVO241" s="4"/>
      <c r="GVP241" s="4"/>
      <c r="GVQ241" s="4"/>
      <c r="GVR241" s="4"/>
      <c r="GVS241" s="4"/>
      <c r="GVT241" s="4"/>
      <c r="GVU241" s="4"/>
      <c r="GVV241" s="4"/>
      <c r="GVW241" s="4"/>
      <c r="GVX241" s="4"/>
      <c r="GVY241" s="4"/>
      <c r="GVZ241" s="4"/>
      <c r="GWA241" s="4"/>
      <c r="GWB241" s="4"/>
      <c r="GWC241" s="4"/>
      <c r="GWD241" s="4"/>
      <c r="GWE241" s="4"/>
      <c r="GWF241" s="4"/>
      <c r="GWG241" s="4"/>
      <c r="GWH241" s="4"/>
      <c r="GWI241" s="4"/>
      <c r="GWJ241" s="4"/>
      <c r="GWK241" s="4"/>
      <c r="GWL241" s="4"/>
      <c r="GWM241" s="4"/>
      <c r="GWN241" s="4"/>
      <c r="GWO241" s="4"/>
      <c r="GWP241" s="4"/>
      <c r="GWQ241" s="4"/>
      <c r="GWR241" s="4"/>
      <c r="GWS241" s="4"/>
      <c r="GWT241" s="4"/>
      <c r="GWU241" s="4"/>
      <c r="GWV241" s="4"/>
      <c r="GWW241" s="4"/>
      <c r="GWX241" s="4"/>
      <c r="GWY241" s="4"/>
      <c r="GWZ241" s="4"/>
      <c r="GXA241" s="4"/>
      <c r="GXB241" s="4"/>
      <c r="GXC241" s="4"/>
      <c r="GXD241" s="4"/>
      <c r="GXE241" s="4"/>
      <c r="GXF241" s="4"/>
      <c r="GXG241" s="4"/>
      <c r="GXH241" s="4"/>
      <c r="GXI241" s="4"/>
      <c r="GXJ241" s="4"/>
      <c r="GXK241" s="4"/>
      <c r="GXL241" s="4"/>
      <c r="GXM241" s="4"/>
      <c r="GXN241" s="4"/>
      <c r="GXO241" s="4"/>
      <c r="GXP241" s="4"/>
      <c r="GXQ241" s="4"/>
      <c r="GXR241" s="4"/>
      <c r="GXS241" s="4"/>
      <c r="GXT241" s="4"/>
      <c r="GXU241" s="4"/>
      <c r="GXV241" s="4"/>
      <c r="GXW241" s="4"/>
      <c r="GXX241" s="4"/>
      <c r="GXY241" s="4"/>
      <c r="GXZ241" s="4"/>
      <c r="GYA241" s="4"/>
      <c r="GYB241" s="4"/>
      <c r="GYC241" s="4"/>
      <c r="GYD241" s="4"/>
      <c r="GYE241" s="4"/>
      <c r="GYF241" s="4"/>
      <c r="GYG241" s="4"/>
      <c r="GYH241" s="4"/>
      <c r="GYI241" s="4"/>
      <c r="GYJ241" s="4"/>
      <c r="GYK241" s="4"/>
      <c r="GYL241" s="4"/>
      <c r="GYM241" s="4"/>
      <c r="GYN241" s="4"/>
      <c r="GYO241" s="4"/>
      <c r="GYP241" s="4"/>
      <c r="GYQ241" s="4"/>
      <c r="GYR241" s="4"/>
      <c r="GYS241" s="4"/>
      <c r="GYT241" s="4"/>
      <c r="GYU241" s="4"/>
      <c r="GYV241" s="4"/>
      <c r="GYW241" s="4"/>
      <c r="GYX241" s="4"/>
      <c r="GYY241" s="4"/>
      <c r="GYZ241" s="4"/>
      <c r="GZA241" s="4"/>
      <c r="GZB241" s="4"/>
      <c r="GZC241" s="4"/>
      <c r="GZD241" s="4"/>
      <c r="GZE241" s="4"/>
      <c r="GZF241" s="4"/>
      <c r="GZG241" s="4"/>
      <c r="GZH241" s="4"/>
      <c r="GZI241" s="4"/>
      <c r="GZJ241" s="4"/>
      <c r="GZK241" s="4"/>
      <c r="GZL241" s="4"/>
      <c r="GZM241" s="4"/>
      <c r="GZN241" s="4"/>
      <c r="GZO241" s="4"/>
      <c r="GZP241" s="4"/>
      <c r="GZQ241" s="4"/>
      <c r="GZR241" s="4"/>
      <c r="GZS241" s="4"/>
      <c r="GZT241" s="4"/>
      <c r="GZU241" s="4"/>
      <c r="GZV241" s="4"/>
      <c r="GZW241" s="4"/>
      <c r="GZX241" s="4"/>
      <c r="GZY241" s="4"/>
      <c r="GZZ241" s="4"/>
      <c r="HAA241" s="4"/>
      <c r="HAB241" s="4"/>
      <c r="HAC241" s="4"/>
      <c r="HAD241" s="4"/>
      <c r="HAE241" s="4"/>
      <c r="HAF241" s="4"/>
      <c r="HAG241" s="4"/>
      <c r="HAH241" s="4"/>
      <c r="HAI241" s="4"/>
      <c r="HAJ241" s="4"/>
      <c r="HAK241" s="4"/>
      <c r="HAL241" s="4"/>
      <c r="HAM241" s="4"/>
      <c r="HAN241" s="4"/>
      <c r="HAO241" s="4"/>
      <c r="HAP241" s="4"/>
      <c r="HAQ241" s="4"/>
      <c r="HAR241" s="4"/>
      <c r="HAS241" s="4"/>
      <c r="HAT241" s="4"/>
      <c r="HAU241" s="4"/>
      <c r="HAV241" s="4"/>
      <c r="HAW241" s="4"/>
      <c r="HAX241" s="4"/>
      <c r="HAY241" s="4"/>
      <c r="HAZ241" s="4"/>
      <c r="HBA241" s="4"/>
      <c r="HBB241" s="4"/>
      <c r="HBC241" s="4"/>
      <c r="HBD241" s="4"/>
      <c r="HBE241" s="4"/>
      <c r="HBF241" s="4"/>
      <c r="HBG241" s="4"/>
      <c r="HBH241" s="4"/>
      <c r="HBI241" s="4"/>
      <c r="HBJ241" s="4"/>
      <c r="HBK241" s="4"/>
      <c r="HBL241" s="4"/>
      <c r="HBM241" s="4"/>
      <c r="HBN241" s="4"/>
      <c r="HBO241" s="4"/>
      <c r="HBP241" s="4"/>
      <c r="HBQ241" s="4"/>
      <c r="HBR241" s="4"/>
      <c r="HBS241" s="4"/>
      <c r="HBT241" s="4"/>
      <c r="HBU241" s="4"/>
      <c r="HBV241" s="4"/>
      <c r="HBW241" s="4"/>
      <c r="HBX241" s="4"/>
      <c r="HBY241" s="4"/>
      <c r="HBZ241" s="4"/>
      <c r="HCA241" s="4"/>
      <c r="HCB241" s="4"/>
      <c r="HCC241" s="4"/>
      <c r="HCD241" s="4"/>
      <c r="HCE241" s="4"/>
      <c r="HCF241" s="4"/>
      <c r="HCG241" s="4"/>
      <c r="HCH241" s="4"/>
      <c r="HCI241" s="4"/>
      <c r="HCJ241" s="4"/>
      <c r="HCK241" s="4"/>
      <c r="HCL241" s="4"/>
      <c r="HCM241" s="4"/>
      <c r="HCN241" s="4"/>
      <c r="HCO241" s="4"/>
      <c r="HCP241" s="4"/>
      <c r="HCQ241" s="4"/>
      <c r="HCR241" s="4"/>
      <c r="HCS241" s="4"/>
      <c r="HCT241" s="4"/>
      <c r="HCU241" s="4"/>
      <c r="HCV241" s="4"/>
      <c r="HCW241" s="4"/>
      <c r="HCX241" s="4"/>
      <c r="HCY241" s="4"/>
      <c r="HCZ241" s="4"/>
      <c r="HDA241" s="4"/>
      <c r="HDB241" s="4"/>
      <c r="HDC241" s="4"/>
      <c r="HDD241" s="4"/>
      <c r="HDE241" s="4"/>
      <c r="HDF241" s="4"/>
      <c r="HDG241" s="4"/>
      <c r="HDH241" s="4"/>
      <c r="HDI241" s="4"/>
      <c r="HDJ241" s="4"/>
      <c r="HDK241" s="4"/>
      <c r="HDL241" s="4"/>
      <c r="HDM241" s="4"/>
      <c r="HDN241" s="4"/>
      <c r="HDO241" s="4"/>
      <c r="HDP241" s="4"/>
      <c r="HDQ241" s="4"/>
      <c r="HDR241" s="4"/>
      <c r="HDS241" s="4"/>
      <c r="HDT241" s="4"/>
      <c r="HDU241" s="4"/>
      <c r="HDV241" s="4"/>
      <c r="HDW241" s="4"/>
      <c r="HDX241" s="4"/>
      <c r="HDY241" s="4"/>
      <c r="HDZ241" s="4"/>
      <c r="HEA241" s="4"/>
      <c r="HEB241" s="4"/>
      <c r="HEC241" s="4"/>
      <c r="HED241" s="4"/>
      <c r="HEE241" s="4"/>
      <c r="HEF241" s="4"/>
      <c r="HEG241" s="4"/>
      <c r="HEH241" s="4"/>
      <c r="HEI241" s="4"/>
      <c r="HEJ241" s="4"/>
      <c r="HEK241" s="4"/>
      <c r="HEL241" s="4"/>
      <c r="HEM241" s="4"/>
      <c r="HEN241" s="4"/>
      <c r="HEO241" s="4"/>
      <c r="HEP241" s="4"/>
      <c r="HEQ241" s="4"/>
      <c r="HER241" s="4"/>
      <c r="HES241" s="4"/>
      <c r="HET241" s="4"/>
      <c r="HEU241" s="4"/>
      <c r="HEV241" s="4"/>
      <c r="HEW241" s="4"/>
      <c r="HEX241" s="4"/>
      <c r="HEY241" s="4"/>
      <c r="HEZ241" s="4"/>
      <c r="HFA241" s="4"/>
      <c r="HFB241" s="4"/>
      <c r="HFC241" s="4"/>
      <c r="HFD241" s="4"/>
      <c r="HFE241" s="4"/>
      <c r="HFF241" s="4"/>
      <c r="HFG241" s="4"/>
      <c r="HFH241" s="4"/>
      <c r="HFI241" s="4"/>
      <c r="HFJ241" s="4"/>
      <c r="HFK241" s="4"/>
      <c r="HFL241" s="4"/>
      <c r="HFM241" s="4"/>
      <c r="HFN241" s="4"/>
      <c r="HFO241" s="4"/>
      <c r="HFP241" s="4"/>
      <c r="HFQ241" s="4"/>
      <c r="HFR241" s="4"/>
      <c r="HFS241" s="4"/>
      <c r="HFT241" s="4"/>
      <c r="HFU241" s="4"/>
      <c r="HFV241" s="4"/>
      <c r="HFW241" s="4"/>
      <c r="HFX241" s="4"/>
      <c r="HFY241" s="4"/>
      <c r="HFZ241" s="4"/>
      <c r="HGA241" s="4"/>
      <c r="HGB241" s="4"/>
      <c r="HGC241" s="4"/>
      <c r="HGD241" s="4"/>
      <c r="HGE241" s="4"/>
      <c r="HGF241" s="4"/>
      <c r="HGG241" s="4"/>
      <c r="HGH241" s="4"/>
      <c r="HGI241" s="4"/>
      <c r="HGJ241" s="4"/>
      <c r="HGK241" s="4"/>
      <c r="HGL241" s="4"/>
      <c r="HGM241" s="4"/>
      <c r="HGN241" s="4"/>
      <c r="HGO241" s="4"/>
      <c r="HGP241" s="4"/>
      <c r="HGQ241" s="4"/>
      <c r="HGR241" s="4"/>
      <c r="HGS241" s="4"/>
      <c r="HGT241" s="4"/>
      <c r="HGU241" s="4"/>
      <c r="HGV241" s="4"/>
      <c r="HGW241" s="4"/>
      <c r="HGX241" s="4"/>
      <c r="HGY241" s="4"/>
      <c r="HGZ241" s="4"/>
      <c r="HHA241" s="4"/>
      <c r="HHB241" s="4"/>
      <c r="HHC241" s="4"/>
      <c r="HHD241" s="4"/>
      <c r="HHE241" s="4"/>
      <c r="HHF241" s="4"/>
      <c r="HHG241" s="4"/>
      <c r="HHH241" s="4"/>
      <c r="HHI241" s="4"/>
      <c r="HHJ241" s="4"/>
      <c r="HHK241" s="4"/>
      <c r="HHL241" s="4"/>
      <c r="HHM241" s="4"/>
      <c r="HHN241" s="4"/>
      <c r="HHO241" s="4"/>
      <c r="HHP241" s="4"/>
      <c r="HHQ241" s="4"/>
      <c r="HHR241" s="4"/>
      <c r="HHS241" s="4"/>
      <c r="HHT241" s="4"/>
      <c r="HHU241" s="4"/>
      <c r="HHV241" s="4"/>
      <c r="HHW241" s="4"/>
      <c r="HHX241" s="4"/>
      <c r="HHY241" s="4"/>
      <c r="HHZ241" s="4"/>
      <c r="HIA241" s="4"/>
      <c r="HIB241" s="4"/>
      <c r="HIC241" s="4"/>
      <c r="HID241" s="4"/>
      <c r="HIE241" s="4"/>
      <c r="HIF241" s="4"/>
      <c r="HIG241" s="4"/>
      <c r="HIH241" s="4"/>
      <c r="HII241" s="4"/>
      <c r="HIJ241" s="4"/>
      <c r="HIK241" s="4"/>
      <c r="HIL241" s="4"/>
      <c r="HIM241" s="4"/>
      <c r="HIN241" s="4"/>
      <c r="HIO241" s="4"/>
      <c r="HIP241" s="4"/>
      <c r="HIQ241" s="4"/>
      <c r="HIR241" s="4"/>
      <c r="HIS241" s="4"/>
      <c r="HIT241" s="4"/>
      <c r="HIU241" s="4"/>
      <c r="HIV241" s="4"/>
      <c r="HIW241" s="4"/>
      <c r="HIX241" s="4"/>
      <c r="HIY241" s="4"/>
      <c r="HIZ241" s="4"/>
      <c r="HJA241" s="4"/>
      <c r="HJB241" s="4"/>
      <c r="HJC241" s="4"/>
      <c r="HJD241" s="4"/>
      <c r="HJE241" s="4"/>
      <c r="HJF241" s="4"/>
      <c r="HJG241" s="4"/>
      <c r="HJH241" s="4"/>
      <c r="HJI241" s="4"/>
      <c r="HJJ241" s="4"/>
      <c r="HJK241" s="4"/>
      <c r="HJL241" s="4"/>
      <c r="HJM241" s="4"/>
      <c r="HJN241" s="4"/>
      <c r="HJO241" s="4"/>
      <c r="HJP241" s="4"/>
      <c r="HJQ241" s="4"/>
      <c r="HJR241" s="4"/>
      <c r="HJS241" s="4"/>
      <c r="HJT241" s="4"/>
      <c r="HJU241" s="4"/>
      <c r="HJV241" s="4"/>
      <c r="HJW241" s="4"/>
      <c r="HJX241" s="4"/>
      <c r="HJY241" s="4"/>
      <c r="HJZ241" s="4"/>
      <c r="HKA241" s="4"/>
      <c r="HKB241" s="4"/>
      <c r="HKC241" s="4"/>
      <c r="HKD241" s="4"/>
      <c r="HKE241" s="4"/>
      <c r="HKF241" s="4"/>
      <c r="HKG241" s="4"/>
      <c r="HKH241" s="4"/>
      <c r="HKI241" s="4"/>
      <c r="HKJ241" s="4"/>
      <c r="HKK241" s="4"/>
      <c r="HKL241" s="4"/>
      <c r="HKM241" s="4"/>
      <c r="HKN241" s="4"/>
      <c r="HKO241" s="4"/>
      <c r="HKP241" s="4"/>
      <c r="HKQ241" s="4"/>
      <c r="HKR241" s="4"/>
      <c r="HKS241" s="4"/>
      <c r="HKT241" s="4"/>
      <c r="HKU241" s="4"/>
      <c r="HKV241" s="4"/>
      <c r="HKW241" s="4"/>
      <c r="HKX241" s="4"/>
      <c r="HKY241" s="4"/>
      <c r="HKZ241" s="4"/>
      <c r="HLA241" s="4"/>
      <c r="HLB241" s="4"/>
      <c r="HLC241" s="4"/>
      <c r="HLD241" s="4"/>
      <c r="HLE241" s="4"/>
      <c r="HLF241" s="4"/>
      <c r="HLG241" s="4"/>
      <c r="HLH241" s="4"/>
      <c r="HLI241" s="4"/>
      <c r="HLJ241" s="4"/>
      <c r="HLK241" s="4"/>
      <c r="HLL241" s="4"/>
      <c r="HLM241" s="4"/>
      <c r="HLN241" s="4"/>
      <c r="HLO241" s="4"/>
      <c r="HLP241" s="4"/>
      <c r="HLQ241" s="4"/>
      <c r="HLR241" s="4"/>
      <c r="HLS241" s="4"/>
      <c r="HLT241" s="4"/>
      <c r="HLU241" s="4"/>
      <c r="HLV241" s="4"/>
      <c r="HLW241" s="4"/>
      <c r="HLX241" s="4"/>
      <c r="HLY241" s="4"/>
      <c r="HLZ241" s="4"/>
      <c r="HMA241" s="4"/>
      <c r="HMB241" s="4"/>
      <c r="HMC241" s="4"/>
      <c r="HMD241" s="4"/>
      <c r="HME241" s="4"/>
      <c r="HMF241" s="4"/>
      <c r="HMG241" s="4"/>
      <c r="HMH241" s="4"/>
      <c r="HMI241" s="4"/>
      <c r="HMJ241" s="4"/>
      <c r="HMK241" s="4"/>
      <c r="HML241" s="4"/>
      <c r="HMM241" s="4"/>
      <c r="HMN241" s="4"/>
      <c r="HMO241" s="4"/>
      <c r="HMP241" s="4"/>
      <c r="HMQ241" s="4"/>
      <c r="HMR241" s="4"/>
      <c r="HMS241" s="4"/>
      <c r="HMT241" s="4"/>
      <c r="HMU241" s="4"/>
      <c r="HMV241" s="4"/>
      <c r="HMW241" s="4"/>
      <c r="HMX241" s="4"/>
      <c r="HMY241" s="4"/>
      <c r="HMZ241" s="4"/>
      <c r="HNA241" s="4"/>
      <c r="HNB241" s="4"/>
      <c r="HNC241" s="4"/>
      <c r="HND241" s="4"/>
      <c r="HNE241" s="4"/>
      <c r="HNF241" s="4"/>
      <c r="HNG241" s="4"/>
      <c r="HNH241" s="4"/>
      <c r="HNI241" s="4"/>
      <c r="HNJ241" s="4"/>
      <c r="HNK241" s="4"/>
      <c r="HNL241" s="4"/>
      <c r="HNM241" s="4"/>
      <c r="HNN241" s="4"/>
      <c r="HNO241" s="4"/>
      <c r="HNP241" s="4"/>
      <c r="HNQ241" s="4"/>
      <c r="HNR241" s="4"/>
      <c r="HNS241" s="4"/>
      <c r="HNT241" s="4"/>
      <c r="HNU241" s="4"/>
      <c r="HNV241" s="4"/>
      <c r="HNW241" s="4"/>
      <c r="HNX241" s="4"/>
      <c r="HNY241" s="4"/>
      <c r="HNZ241" s="4"/>
      <c r="HOA241" s="4"/>
      <c r="HOB241" s="4"/>
      <c r="HOC241" s="4"/>
      <c r="HOD241" s="4"/>
      <c r="HOE241" s="4"/>
      <c r="HOF241" s="4"/>
      <c r="HOG241" s="4"/>
      <c r="HOH241" s="4"/>
      <c r="HOI241" s="4"/>
      <c r="HOJ241" s="4"/>
      <c r="HOK241" s="4"/>
      <c r="HOL241" s="4"/>
      <c r="HOM241" s="4"/>
      <c r="HON241" s="4"/>
      <c r="HOO241" s="4"/>
      <c r="HOP241" s="4"/>
      <c r="HOQ241" s="4"/>
      <c r="HOR241" s="4"/>
      <c r="HOS241" s="4"/>
      <c r="HOT241" s="4"/>
      <c r="HOU241" s="4"/>
      <c r="HOV241" s="4"/>
      <c r="HOW241" s="4"/>
      <c r="HOX241" s="4"/>
      <c r="HOY241" s="4"/>
      <c r="HOZ241" s="4"/>
      <c r="HPA241" s="4"/>
      <c r="HPB241" s="4"/>
      <c r="HPC241" s="4"/>
      <c r="HPD241" s="4"/>
      <c r="HPE241" s="4"/>
      <c r="HPF241" s="4"/>
      <c r="HPG241" s="4"/>
      <c r="HPH241" s="4"/>
      <c r="HPI241" s="4"/>
      <c r="HPJ241" s="4"/>
      <c r="HPK241" s="4"/>
      <c r="HPL241" s="4"/>
      <c r="HPM241" s="4"/>
      <c r="HPN241" s="4"/>
      <c r="HPO241" s="4"/>
      <c r="HPP241" s="4"/>
      <c r="HPQ241" s="4"/>
      <c r="HPR241" s="4"/>
      <c r="HPS241" s="4"/>
      <c r="HPT241" s="4"/>
      <c r="HPU241" s="4"/>
      <c r="HPV241" s="4"/>
      <c r="HPW241" s="4"/>
      <c r="HPX241" s="4"/>
      <c r="HPY241" s="4"/>
      <c r="HPZ241" s="4"/>
      <c r="HQA241" s="4"/>
      <c r="HQB241" s="4"/>
      <c r="HQC241" s="4"/>
      <c r="HQD241" s="4"/>
      <c r="HQE241" s="4"/>
      <c r="HQF241" s="4"/>
      <c r="HQG241" s="4"/>
      <c r="HQH241" s="4"/>
      <c r="HQI241" s="4"/>
      <c r="HQJ241" s="4"/>
      <c r="HQK241" s="4"/>
      <c r="HQL241" s="4"/>
      <c r="HQM241" s="4"/>
      <c r="HQN241" s="4"/>
      <c r="HQO241" s="4"/>
      <c r="HQP241" s="4"/>
      <c r="HQQ241" s="4"/>
      <c r="HQR241" s="4"/>
      <c r="HQS241" s="4"/>
      <c r="HQT241" s="4"/>
      <c r="HQU241" s="4"/>
      <c r="HQV241" s="4"/>
      <c r="HQW241" s="4"/>
      <c r="HQX241" s="4"/>
      <c r="HQY241" s="4"/>
      <c r="HQZ241" s="4"/>
      <c r="HRA241" s="4"/>
      <c r="HRB241" s="4"/>
      <c r="HRC241" s="4"/>
      <c r="HRD241" s="4"/>
      <c r="HRE241" s="4"/>
      <c r="HRF241" s="4"/>
      <c r="HRG241" s="4"/>
      <c r="HRH241" s="4"/>
      <c r="HRI241" s="4"/>
      <c r="HRJ241" s="4"/>
      <c r="HRK241" s="4"/>
      <c r="HRL241" s="4"/>
      <c r="HRM241" s="4"/>
      <c r="HRN241" s="4"/>
      <c r="HRO241" s="4"/>
      <c r="HRP241" s="4"/>
      <c r="HRQ241" s="4"/>
      <c r="HRR241" s="4"/>
      <c r="HRS241" s="4"/>
      <c r="HRT241" s="4"/>
      <c r="HRU241" s="4"/>
      <c r="HRV241" s="4"/>
      <c r="HRW241" s="4"/>
      <c r="HRX241" s="4"/>
      <c r="HRY241" s="4"/>
      <c r="HRZ241" s="4"/>
      <c r="HSA241" s="4"/>
      <c r="HSB241" s="4"/>
      <c r="HSC241" s="4"/>
      <c r="HSD241" s="4"/>
      <c r="HSE241" s="4"/>
      <c r="HSF241" s="4"/>
      <c r="HSG241" s="4"/>
      <c r="HSH241" s="4"/>
      <c r="HSI241" s="4"/>
      <c r="HSJ241" s="4"/>
      <c r="HSK241" s="4"/>
      <c r="HSL241" s="4"/>
      <c r="HSM241" s="4"/>
      <c r="HSN241" s="4"/>
      <c r="HSO241" s="4"/>
      <c r="HSP241" s="4"/>
      <c r="HSQ241" s="4"/>
      <c r="HSR241" s="4"/>
      <c r="HSS241" s="4"/>
      <c r="HST241" s="4"/>
      <c r="HSU241" s="4"/>
      <c r="HSV241" s="4"/>
      <c r="HSW241" s="4"/>
      <c r="HSX241" s="4"/>
      <c r="HSY241" s="4"/>
      <c r="HSZ241" s="4"/>
      <c r="HTA241" s="4"/>
      <c r="HTB241" s="4"/>
      <c r="HTC241" s="4"/>
      <c r="HTD241" s="4"/>
      <c r="HTE241" s="4"/>
      <c r="HTF241" s="4"/>
      <c r="HTG241" s="4"/>
      <c r="HTH241" s="4"/>
      <c r="HTI241" s="4"/>
      <c r="HTJ241" s="4"/>
      <c r="HTK241" s="4"/>
      <c r="HTL241" s="4"/>
      <c r="HTM241" s="4"/>
      <c r="HTN241" s="4"/>
      <c r="HTO241" s="4"/>
      <c r="HTP241" s="4"/>
      <c r="HTQ241" s="4"/>
      <c r="HTR241" s="4"/>
      <c r="HTS241" s="4"/>
      <c r="HTT241" s="4"/>
      <c r="HTU241" s="4"/>
      <c r="HTV241" s="4"/>
      <c r="HTW241" s="4"/>
      <c r="HTX241" s="4"/>
      <c r="HTY241" s="4"/>
      <c r="HTZ241" s="4"/>
      <c r="HUA241" s="4"/>
      <c r="HUB241" s="4"/>
      <c r="HUC241" s="4"/>
      <c r="HUD241" s="4"/>
      <c r="HUE241" s="4"/>
      <c r="HUF241" s="4"/>
      <c r="HUG241" s="4"/>
      <c r="HUH241" s="4"/>
      <c r="HUI241" s="4"/>
      <c r="HUJ241" s="4"/>
      <c r="HUK241" s="4"/>
      <c r="HUL241" s="4"/>
      <c r="HUM241" s="4"/>
      <c r="HUN241" s="4"/>
      <c r="HUO241" s="4"/>
      <c r="HUP241" s="4"/>
      <c r="HUQ241" s="4"/>
      <c r="HUR241" s="4"/>
      <c r="HUS241" s="4"/>
      <c r="HUT241" s="4"/>
      <c r="HUU241" s="4"/>
      <c r="HUV241" s="4"/>
      <c r="HUW241" s="4"/>
      <c r="HUX241" s="4"/>
      <c r="HUY241" s="4"/>
      <c r="HUZ241" s="4"/>
      <c r="HVA241" s="4"/>
      <c r="HVB241" s="4"/>
      <c r="HVC241" s="4"/>
      <c r="HVD241" s="4"/>
      <c r="HVE241" s="4"/>
      <c r="HVF241" s="4"/>
      <c r="HVG241" s="4"/>
      <c r="HVH241" s="4"/>
      <c r="HVI241" s="4"/>
      <c r="HVJ241" s="4"/>
      <c r="HVK241" s="4"/>
      <c r="HVL241" s="4"/>
      <c r="HVM241" s="4"/>
      <c r="HVN241" s="4"/>
      <c r="HVO241" s="4"/>
      <c r="HVP241" s="4"/>
      <c r="HVQ241" s="4"/>
      <c r="HVR241" s="4"/>
      <c r="HVS241" s="4"/>
      <c r="HVT241" s="4"/>
      <c r="HVU241" s="4"/>
      <c r="HVV241" s="4"/>
      <c r="HVW241" s="4"/>
      <c r="HVX241" s="4"/>
      <c r="HVY241" s="4"/>
      <c r="HVZ241" s="4"/>
      <c r="HWA241" s="4"/>
      <c r="HWB241" s="4"/>
      <c r="HWC241" s="4"/>
      <c r="HWD241" s="4"/>
      <c r="HWE241" s="4"/>
      <c r="HWF241" s="4"/>
      <c r="HWG241" s="4"/>
      <c r="HWH241" s="4"/>
      <c r="HWI241" s="4"/>
      <c r="HWJ241" s="4"/>
      <c r="HWK241" s="4"/>
      <c r="HWL241" s="4"/>
      <c r="HWM241" s="4"/>
      <c r="HWN241" s="4"/>
      <c r="HWO241" s="4"/>
      <c r="HWP241" s="4"/>
      <c r="HWQ241" s="4"/>
      <c r="HWR241" s="4"/>
      <c r="HWS241" s="4"/>
      <c r="HWT241" s="4"/>
      <c r="HWU241" s="4"/>
      <c r="HWV241" s="4"/>
      <c r="HWW241" s="4"/>
      <c r="HWX241" s="4"/>
      <c r="HWY241" s="4"/>
      <c r="HWZ241" s="4"/>
      <c r="HXA241" s="4"/>
      <c r="HXB241" s="4"/>
      <c r="HXC241" s="4"/>
      <c r="HXD241" s="4"/>
      <c r="HXE241" s="4"/>
      <c r="HXF241" s="4"/>
      <c r="HXG241" s="4"/>
      <c r="HXH241" s="4"/>
      <c r="HXI241" s="4"/>
      <c r="HXJ241" s="4"/>
      <c r="HXK241" s="4"/>
      <c r="HXL241" s="4"/>
      <c r="HXM241" s="4"/>
      <c r="HXN241" s="4"/>
      <c r="HXO241" s="4"/>
      <c r="HXP241" s="4"/>
      <c r="HXQ241" s="4"/>
      <c r="HXR241" s="4"/>
      <c r="HXS241" s="4"/>
      <c r="HXT241" s="4"/>
      <c r="HXU241" s="4"/>
      <c r="HXV241" s="4"/>
      <c r="HXW241" s="4"/>
      <c r="HXX241" s="4"/>
      <c r="HXY241" s="4"/>
      <c r="HXZ241" s="4"/>
      <c r="HYA241" s="4"/>
      <c r="HYB241" s="4"/>
      <c r="HYC241" s="4"/>
      <c r="HYD241" s="4"/>
      <c r="HYE241" s="4"/>
      <c r="HYF241" s="4"/>
      <c r="HYG241" s="4"/>
      <c r="HYH241" s="4"/>
      <c r="HYI241" s="4"/>
      <c r="HYJ241" s="4"/>
      <c r="HYK241" s="4"/>
      <c r="HYL241" s="4"/>
      <c r="HYM241" s="4"/>
      <c r="HYN241" s="4"/>
      <c r="HYO241" s="4"/>
      <c r="HYP241" s="4"/>
      <c r="HYQ241" s="4"/>
      <c r="HYR241" s="4"/>
      <c r="HYS241" s="4"/>
      <c r="HYT241" s="4"/>
      <c r="HYU241" s="4"/>
      <c r="HYV241" s="4"/>
      <c r="HYW241" s="4"/>
      <c r="HYX241" s="4"/>
      <c r="HYY241" s="4"/>
      <c r="HYZ241" s="4"/>
      <c r="HZA241" s="4"/>
      <c r="HZB241" s="4"/>
      <c r="HZC241" s="4"/>
      <c r="HZD241" s="4"/>
      <c r="HZE241" s="4"/>
      <c r="HZF241" s="4"/>
      <c r="HZG241" s="4"/>
      <c r="HZH241" s="4"/>
      <c r="HZI241" s="4"/>
      <c r="HZJ241" s="4"/>
      <c r="HZK241" s="4"/>
      <c r="HZL241" s="4"/>
      <c r="HZM241" s="4"/>
      <c r="HZN241" s="4"/>
      <c r="HZO241" s="4"/>
      <c r="HZP241" s="4"/>
      <c r="HZQ241" s="4"/>
      <c r="HZR241" s="4"/>
      <c r="HZS241" s="4"/>
      <c r="HZT241" s="4"/>
      <c r="HZU241" s="4"/>
      <c r="HZV241" s="4"/>
      <c r="HZW241" s="4"/>
      <c r="HZX241" s="4"/>
      <c r="HZY241" s="4"/>
      <c r="HZZ241" s="4"/>
      <c r="IAA241" s="4"/>
      <c r="IAB241" s="4"/>
      <c r="IAC241" s="4"/>
      <c r="IAD241" s="4"/>
      <c r="IAE241" s="4"/>
      <c r="IAF241" s="4"/>
      <c r="IAG241" s="4"/>
      <c r="IAH241" s="4"/>
      <c r="IAI241" s="4"/>
      <c r="IAJ241" s="4"/>
      <c r="IAK241" s="4"/>
      <c r="IAL241" s="4"/>
      <c r="IAM241" s="4"/>
      <c r="IAN241" s="4"/>
      <c r="IAO241" s="4"/>
      <c r="IAP241" s="4"/>
      <c r="IAQ241" s="4"/>
      <c r="IAR241" s="4"/>
      <c r="IAS241" s="4"/>
      <c r="IAT241" s="4"/>
      <c r="IAU241" s="4"/>
      <c r="IAV241" s="4"/>
      <c r="IAW241" s="4"/>
      <c r="IAX241" s="4"/>
      <c r="IAY241" s="4"/>
      <c r="IAZ241" s="4"/>
      <c r="IBA241" s="4"/>
      <c r="IBB241" s="4"/>
      <c r="IBC241" s="4"/>
      <c r="IBD241" s="4"/>
      <c r="IBE241" s="4"/>
      <c r="IBF241" s="4"/>
      <c r="IBG241" s="4"/>
      <c r="IBH241" s="4"/>
      <c r="IBI241" s="4"/>
      <c r="IBJ241" s="4"/>
      <c r="IBK241" s="4"/>
      <c r="IBL241" s="4"/>
      <c r="IBM241" s="4"/>
      <c r="IBN241" s="4"/>
      <c r="IBO241" s="4"/>
      <c r="IBP241" s="4"/>
      <c r="IBQ241" s="4"/>
      <c r="IBR241" s="4"/>
      <c r="IBS241" s="4"/>
      <c r="IBT241" s="4"/>
      <c r="IBU241" s="4"/>
      <c r="IBV241" s="4"/>
      <c r="IBW241" s="4"/>
      <c r="IBX241" s="4"/>
      <c r="IBY241" s="4"/>
      <c r="IBZ241" s="4"/>
      <c r="ICA241" s="4"/>
      <c r="ICB241" s="4"/>
      <c r="ICC241" s="4"/>
      <c r="ICD241" s="4"/>
      <c r="ICE241" s="4"/>
      <c r="ICF241" s="4"/>
      <c r="ICG241" s="4"/>
      <c r="ICH241" s="4"/>
      <c r="ICI241" s="4"/>
      <c r="ICJ241" s="4"/>
      <c r="ICK241" s="4"/>
      <c r="ICL241" s="4"/>
      <c r="ICM241" s="4"/>
      <c r="ICN241" s="4"/>
      <c r="ICO241" s="4"/>
      <c r="ICP241" s="4"/>
      <c r="ICQ241" s="4"/>
      <c r="ICR241" s="4"/>
      <c r="ICS241" s="4"/>
      <c r="ICT241" s="4"/>
      <c r="ICU241" s="4"/>
      <c r="ICV241" s="4"/>
      <c r="ICW241" s="4"/>
      <c r="ICX241" s="4"/>
      <c r="ICY241" s="4"/>
      <c r="ICZ241" s="4"/>
      <c r="IDA241" s="4"/>
      <c r="IDB241" s="4"/>
      <c r="IDC241" s="4"/>
      <c r="IDD241" s="4"/>
      <c r="IDE241" s="4"/>
      <c r="IDF241" s="4"/>
      <c r="IDG241" s="4"/>
      <c r="IDH241" s="4"/>
      <c r="IDI241" s="4"/>
      <c r="IDJ241" s="4"/>
      <c r="IDK241" s="4"/>
      <c r="IDL241" s="4"/>
      <c r="IDM241" s="4"/>
      <c r="IDN241" s="4"/>
      <c r="IDO241" s="4"/>
      <c r="IDP241" s="4"/>
      <c r="IDQ241" s="4"/>
      <c r="IDR241" s="4"/>
      <c r="IDS241" s="4"/>
      <c r="IDT241" s="4"/>
      <c r="IDU241" s="4"/>
      <c r="IDV241" s="4"/>
      <c r="IDW241" s="4"/>
      <c r="IDX241" s="4"/>
      <c r="IDY241" s="4"/>
      <c r="IDZ241" s="4"/>
      <c r="IEA241" s="4"/>
      <c r="IEB241" s="4"/>
      <c r="IEC241" s="4"/>
      <c r="IED241" s="4"/>
      <c r="IEE241" s="4"/>
      <c r="IEF241" s="4"/>
      <c r="IEG241" s="4"/>
      <c r="IEH241" s="4"/>
      <c r="IEI241" s="4"/>
      <c r="IEJ241" s="4"/>
      <c r="IEK241" s="4"/>
      <c r="IEL241" s="4"/>
      <c r="IEM241" s="4"/>
      <c r="IEN241" s="4"/>
      <c r="IEO241" s="4"/>
      <c r="IEP241" s="4"/>
      <c r="IEQ241" s="4"/>
      <c r="IER241" s="4"/>
      <c r="IES241" s="4"/>
      <c r="IET241" s="4"/>
      <c r="IEU241" s="4"/>
      <c r="IEV241" s="4"/>
      <c r="IEW241" s="4"/>
      <c r="IEX241" s="4"/>
      <c r="IEY241" s="4"/>
      <c r="IEZ241" s="4"/>
      <c r="IFA241" s="4"/>
      <c r="IFB241" s="4"/>
      <c r="IFC241" s="4"/>
      <c r="IFD241" s="4"/>
      <c r="IFE241" s="4"/>
      <c r="IFF241" s="4"/>
      <c r="IFG241" s="4"/>
      <c r="IFH241" s="4"/>
      <c r="IFI241" s="4"/>
      <c r="IFJ241" s="4"/>
      <c r="IFK241" s="4"/>
      <c r="IFL241" s="4"/>
      <c r="IFM241" s="4"/>
      <c r="IFN241" s="4"/>
      <c r="IFO241" s="4"/>
      <c r="IFP241" s="4"/>
      <c r="IFQ241" s="4"/>
      <c r="IFR241" s="4"/>
      <c r="IFS241" s="4"/>
      <c r="IFT241" s="4"/>
      <c r="IFU241" s="4"/>
      <c r="IFV241" s="4"/>
      <c r="IFW241" s="4"/>
      <c r="IFX241" s="4"/>
      <c r="IFY241" s="4"/>
      <c r="IFZ241" s="4"/>
      <c r="IGA241" s="4"/>
      <c r="IGB241" s="4"/>
      <c r="IGC241" s="4"/>
      <c r="IGD241" s="4"/>
      <c r="IGE241" s="4"/>
      <c r="IGF241" s="4"/>
      <c r="IGG241" s="4"/>
      <c r="IGH241" s="4"/>
      <c r="IGI241" s="4"/>
      <c r="IGJ241" s="4"/>
      <c r="IGK241" s="4"/>
      <c r="IGL241" s="4"/>
      <c r="IGM241" s="4"/>
      <c r="IGN241" s="4"/>
      <c r="IGO241" s="4"/>
      <c r="IGP241" s="4"/>
      <c r="IGQ241" s="4"/>
      <c r="IGR241" s="4"/>
      <c r="IGS241" s="4"/>
      <c r="IGT241" s="4"/>
      <c r="IGU241" s="4"/>
      <c r="IGV241" s="4"/>
      <c r="IGW241" s="4"/>
      <c r="IGX241" s="4"/>
      <c r="IGY241" s="4"/>
      <c r="IGZ241" s="4"/>
      <c r="IHA241" s="4"/>
      <c r="IHB241" s="4"/>
      <c r="IHC241" s="4"/>
      <c r="IHD241" s="4"/>
      <c r="IHE241" s="4"/>
      <c r="IHF241" s="4"/>
      <c r="IHG241" s="4"/>
      <c r="IHH241" s="4"/>
      <c r="IHI241" s="4"/>
      <c r="IHJ241" s="4"/>
      <c r="IHK241" s="4"/>
      <c r="IHL241" s="4"/>
      <c r="IHM241" s="4"/>
      <c r="IHN241" s="4"/>
      <c r="IHO241" s="4"/>
      <c r="IHP241" s="4"/>
      <c r="IHQ241" s="4"/>
      <c r="IHR241" s="4"/>
      <c r="IHS241" s="4"/>
      <c r="IHT241" s="4"/>
      <c r="IHU241" s="4"/>
      <c r="IHV241" s="4"/>
      <c r="IHW241" s="4"/>
      <c r="IHX241" s="4"/>
      <c r="IHY241" s="4"/>
      <c r="IHZ241" s="4"/>
      <c r="IIA241" s="4"/>
      <c r="IIB241" s="4"/>
      <c r="IIC241" s="4"/>
      <c r="IID241" s="4"/>
      <c r="IIE241" s="4"/>
      <c r="IIF241" s="4"/>
      <c r="IIG241" s="4"/>
      <c r="IIH241" s="4"/>
      <c r="III241" s="4"/>
      <c r="IIJ241" s="4"/>
      <c r="IIK241" s="4"/>
      <c r="IIL241" s="4"/>
      <c r="IIM241" s="4"/>
      <c r="IIN241" s="4"/>
      <c r="IIO241" s="4"/>
      <c r="IIP241" s="4"/>
      <c r="IIQ241" s="4"/>
      <c r="IIR241" s="4"/>
      <c r="IIS241" s="4"/>
      <c r="IIT241" s="4"/>
      <c r="IIU241" s="4"/>
      <c r="IIV241" s="4"/>
      <c r="IIW241" s="4"/>
      <c r="IIX241" s="4"/>
      <c r="IIY241" s="4"/>
      <c r="IIZ241" s="4"/>
      <c r="IJA241" s="4"/>
      <c r="IJB241" s="4"/>
      <c r="IJC241" s="4"/>
      <c r="IJD241" s="4"/>
      <c r="IJE241" s="4"/>
      <c r="IJF241" s="4"/>
      <c r="IJG241" s="4"/>
      <c r="IJH241" s="4"/>
      <c r="IJI241" s="4"/>
      <c r="IJJ241" s="4"/>
      <c r="IJK241" s="4"/>
      <c r="IJL241" s="4"/>
      <c r="IJM241" s="4"/>
      <c r="IJN241" s="4"/>
      <c r="IJO241" s="4"/>
      <c r="IJP241" s="4"/>
      <c r="IJQ241" s="4"/>
      <c r="IJR241" s="4"/>
      <c r="IJS241" s="4"/>
      <c r="IJT241" s="4"/>
      <c r="IJU241" s="4"/>
      <c r="IJV241" s="4"/>
      <c r="IJW241" s="4"/>
      <c r="IJX241" s="4"/>
      <c r="IJY241" s="4"/>
      <c r="IJZ241" s="4"/>
      <c r="IKA241" s="4"/>
      <c r="IKB241" s="4"/>
      <c r="IKC241" s="4"/>
      <c r="IKD241" s="4"/>
      <c r="IKE241" s="4"/>
      <c r="IKF241" s="4"/>
      <c r="IKG241" s="4"/>
      <c r="IKH241" s="4"/>
      <c r="IKI241" s="4"/>
      <c r="IKJ241" s="4"/>
      <c r="IKK241" s="4"/>
      <c r="IKL241" s="4"/>
      <c r="IKM241" s="4"/>
      <c r="IKN241" s="4"/>
      <c r="IKO241" s="4"/>
      <c r="IKP241" s="4"/>
      <c r="IKQ241" s="4"/>
      <c r="IKR241" s="4"/>
      <c r="IKS241" s="4"/>
      <c r="IKT241" s="4"/>
      <c r="IKU241" s="4"/>
      <c r="IKV241" s="4"/>
      <c r="IKW241" s="4"/>
      <c r="IKX241" s="4"/>
      <c r="IKY241" s="4"/>
      <c r="IKZ241" s="4"/>
      <c r="ILA241" s="4"/>
      <c r="ILB241" s="4"/>
      <c r="ILC241" s="4"/>
      <c r="ILD241" s="4"/>
      <c r="ILE241" s="4"/>
      <c r="ILF241" s="4"/>
      <c r="ILG241" s="4"/>
      <c r="ILH241" s="4"/>
      <c r="ILI241" s="4"/>
      <c r="ILJ241" s="4"/>
      <c r="ILK241" s="4"/>
      <c r="ILL241" s="4"/>
      <c r="ILM241" s="4"/>
      <c r="ILN241" s="4"/>
      <c r="ILO241" s="4"/>
      <c r="ILP241" s="4"/>
      <c r="ILQ241" s="4"/>
      <c r="ILR241" s="4"/>
      <c r="ILS241" s="4"/>
      <c r="ILT241" s="4"/>
      <c r="ILU241" s="4"/>
      <c r="ILV241" s="4"/>
      <c r="ILW241" s="4"/>
      <c r="ILX241" s="4"/>
      <c r="ILY241" s="4"/>
      <c r="ILZ241" s="4"/>
      <c r="IMA241" s="4"/>
      <c r="IMB241" s="4"/>
      <c r="IMC241" s="4"/>
      <c r="IMD241" s="4"/>
      <c r="IME241" s="4"/>
      <c r="IMF241" s="4"/>
      <c r="IMG241" s="4"/>
      <c r="IMH241" s="4"/>
      <c r="IMI241" s="4"/>
      <c r="IMJ241" s="4"/>
      <c r="IMK241" s="4"/>
      <c r="IML241" s="4"/>
      <c r="IMM241" s="4"/>
      <c r="IMN241" s="4"/>
      <c r="IMO241" s="4"/>
      <c r="IMP241" s="4"/>
      <c r="IMQ241" s="4"/>
      <c r="IMR241" s="4"/>
      <c r="IMS241" s="4"/>
      <c r="IMT241" s="4"/>
      <c r="IMU241" s="4"/>
      <c r="IMV241" s="4"/>
      <c r="IMW241" s="4"/>
      <c r="IMX241" s="4"/>
      <c r="IMY241" s="4"/>
      <c r="IMZ241" s="4"/>
      <c r="INA241" s="4"/>
      <c r="INB241" s="4"/>
      <c r="INC241" s="4"/>
      <c r="IND241" s="4"/>
      <c r="INE241" s="4"/>
      <c r="INF241" s="4"/>
      <c r="ING241" s="4"/>
      <c r="INH241" s="4"/>
      <c r="INI241" s="4"/>
      <c r="INJ241" s="4"/>
      <c r="INK241" s="4"/>
      <c r="INL241" s="4"/>
      <c r="INM241" s="4"/>
      <c r="INN241" s="4"/>
      <c r="INO241" s="4"/>
      <c r="INP241" s="4"/>
      <c r="INQ241" s="4"/>
      <c r="INR241" s="4"/>
      <c r="INS241" s="4"/>
      <c r="INT241" s="4"/>
      <c r="INU241" s="4"/>
      <c r="INV241" s="4"/>
      <c r="INW241" s="4"/>
      <c r="INX241" s="4"/>
      <c r="INY241" s="4"/>
      <c r="INZ241" s="4"/>
      <c r="IOA241" s="4"/>
      <c r="IOB241" s="4"/>
      <c r="IOC241" s="4"/>
      <c r="IOD241" s="4"/>
      <c r="IOE241" s="4"/>
      <c r="IOF241" s="4"/>
      <c r="IOG241" s="4"/>
      <c r="IOH241" s="4"/>
      <c r="IOI241" s="4"/>
      <c r="IOJ241" s="4"/>
      <c r="IOK241" s="4"/>
      <c r="IOL241" s="4"/>
      <c r="IOM241" s="4"/>
      <c r="ION241" s="4"/>
      <c r="IOO241" s="4"/>
      <c r="IOP241" s="4"/>
      <c r="IOQ241" s="4"/>
      <c r="IOR241" s="4"/>
      <c r="IOS241" s="4"/>
      <c r="IOT241" s="4"/>
      <c r="IOU241" s="4"/>
      <c r="IOV241" s="4"/>
      <c r="IOW241" s="4"/>
      <c r="IOX241" s="4"/>
      <c r="IOY241" s="4"/>
      <c r="IOZ241" s="4"/>
      <c r="IPA241" s="4"/>
      <c r="IPB241" s="4"/>
      <c r="IPC241" s="4"/>
      <c r="IPD241" s="4"/>
      <c r="IPE241" s="4"/>
      <c r="IPF241" s="4"/>
      <c r="IPG241" s="4"/>
      <c r="IPH241" s="4"/>
      <c r="IPI241" s="4"/>
      <c r="IPJ241" s="4"/>
      <c r="IPK241" s="4"/>
      <c r="IPL241" s="4"/>
      <c r="IPM241" s="4"/>
      <c r="IPN241" s="4"/>
      <c r="IPO241" s="4"/>
      <c r="IPP241" s="4"/>
      <c r="IPQ241" s="4"/>
      <c r="IPR241" s="4"/>
      <c r="IPS241" s="4"/>
      <c r="IPT241" s="4"/>
      <c r="IPU241" s="4"/>
      <c r="IPV241" s="4"/>
      <c r="IPW241" s="4"/>
      <c r="IPX241" s="4"/>
      <c r="IPY241" s="4"/>
      <c r="IPZ241" s="4"/>
      <c r="IQA241" s="4"/>
      <c r="IQB241" s="4"/>
      <c r="IQC241" s="4"/>
      <c r="IQD241" s="4"/>
      <c r="IQE241" s="4"/>
      <c r="IQF241" s="4"/>
      <c r="IQG241" s="4"/>
      <c r="IQH241" s="4"/>
      <c r="IQI241" s="4"/>
      <c r="IQJ241" s="4"/>
      <c r="IQK241" s="4"/>
      <c r="IQL241" s="4"/>
      <c r="IQM241" s="4"/>
      <c r="IQN241" s="4"/>
      <c r="IQO241" s="4"/>
      <c r="IQP241" s="4"/>
      <c r="IQQ241" s="4"/>
      <c r="IQR241" s="4"/>
      <c r="IQS241" s="4"/>
      <c r="IQT241" s="4"/>
      <c r="IQU241" s="4"/>
      <c r="IQV241" s="4"/>
      <c r="IQW241" s="4"/>
      <c r="IQX241" s="4"/>
      <c r="IQY241" s="4"/>
      <c r="IQZ241" s="4"/>
      <c r="IRA241" s="4"/>
      <c r="IRB241" s="4"/>
      <c r="IRC241" s="4"/>
      <c r="IRD241" s="4"/>
      <c r="IRE241" s="4"/>
      <c r="IRF241" s="4"/>
      <c r="IRG241" s="4"/>
      <c r="IRH241" s="4"/>
      <c r="IRI241" s="4"/>
      <c r="IRJ241" s="4"/>
      <c r="IRK241" s="4"/>
      <c r="IRL241" s="4"/>
      <c r="IRM241" s="4"/>
      <c r="IRN241" s="4"/>
      <c r="IRO241" s="4"/>
      <c r="IRP241" s="4"/>
      <c r="IRQ241" s="4"/>
      <c r="IRR241" s="4"/>
      <c r="IRS241" s="4"/>
      <c r="IRT241" s="4"/>
      <c r="IRU241" s="4"/>
      <c r="IRV241" s="4"/>
      <c r="IRW241" s="4"/>
      <c r="IRX241" s="4"/>
      <c r="IRY241" s="4"/>
      <c r="IRZ241" s="4"/>
      <c r="ISA241" s="4"/>
      <c r="ISB241" s="4"/>
      <c r="ISC241" s="4"/>
      <c r="ISD241" s="4"/>
      <c r="ISE241" s="4"/>
      <c r="ISF241" s="4"/>
      <c r="ISG241" s="4"/>
      <c r="ISH241" s="4"/>
      <c r="ISI241" s="4"/>
      <c r="ISJ241" s="4"/>
      <c r="ISK241" s="4"/>
      <c r="ISL241" s="4"/>
      <c r="ISM241" s="4"/>
      <c r="ISN241" s="4"/>
      <c r="ISO241" s="4"/>
      <c r="ISP241" s="4"/>
      <c r="ISQ241" s="4"/>
      <c r="ISR241" s="4"/>
      <c r="ISS241" s="4"/>
      <c r="IST241" s="4"/>
      <c r="ISU241" s="4"/>
      <c r="ISV241" s="4"/>
      <c r="ISW241" s="4"/>
      <c r="ISX241" s="4"/>
      <c r="ISY241" s="4"/>
      <c r="ISZ241" s="4"/>
      <c r="ITA241" s="4"/>
      <c r="ITB241" s="4"/>
      <c r="ITC241" s="4"/>
      <c r="ITD241" s="4"/>
      <c r="ITE241" s="4"/>
      <c r="ITF241" s="4"/>
      <c r="ITG241" s="4"/>
      <c r="ITH241" s="4"/>
      <c r="ITI241" s="4"/>
      <c r="ITJ241" s="4"/>
      <c r="ITK241" s="4"/>
      <c r="ITL241" s="4"/>
      <c r="ITM241" s="4"/>
      <c r="ITN241" s="4"/>
      <c r="ITO241" s="4"/>
      <c r="ITP241" s="4"/>
      <c r="ITQ241" s="4"/>
      <c r="ITR241" s="4"/>
      <c r="ITS241" s="4"/>
      <c r="ITT241" s="4"/>
      <c r="ITU241" s="4"/>
      <c r="ITV241" s="4"/>
      <c r="ITW241" s="4"/>
      <c r="ITX241" s="4"/>
      <c r="ITY241" s="4"/>
      <c r="ITZ241" s="4"/>
      <c r="IUA241" s="4"/>
      <c r="IUB241" s="4"/>
      <c r="IUC241" s="4"/>
      <c r="IUD241" s="4"/>
      <c r="IUE241" s="4"/>
      <c r="IUF241" s="4"/>
      <c r="IUG241" s="4"/>
      <c r="IUH241" s="4"/>
      <c r="IUI241" s="4"/>
      <c r="IUJ241" s="4"/>
      <c r="IUK241" s="4"/>
      <c r="IUL241" s="4"/>
      <c r="IUM241" s="4"/>
      <c r="IUN241" s="4"/>
      <c r="IUO241" s="4"/>
      <c r="IUP241" s="4"/>
      <c r="IUQ241" s="4"/>
      <c r="IUR241" s="4"/>
      <c r="IUS241" s="4"/>
      <c r="IUT241" s="4"/>
      <c r="IUU241" s="4"/>
      <c r="IUV241" s="4"/>
      <c r="IUW241" s="4"/>
      <c r="IUX241" s="4"/>
      <c r="IUY241" s="4"/>
      <c r="IUZ241" s="4"/>
      <c r="IVA241" s="4"/>
      <c r="IVB241" s="4"/>
      <c r="IVC241" s="4"/>
      <c r="IVD241" s="4"/>
      <c r="IVE241" s="4"/>
      <c r="IVF241" s="4"/>
      <c r="IVG241" s="4"/>
      <c r="IVH241" s="4"/>
      <c r="IVI241" s="4"/>
      <c r="IVJ241" s="4"/>
      <c r="IVK241" s="4"/>
      <c r="IVL241" s="4"/>
      <c r="IVM241" s="4"/>
      <c r="IVN241" s="4"/>
      <c r="IVO241" s="4"/>
      <c r="IVP241" s="4"/>
      <c r="IVQ241" s="4"/>
      <c r="IVR241" s="4"/>
      <c r="IVS241" s="4"/>
      <c r="IVT241" s="4"/>
      <c r="IVU241" s="4"/>
      <c r="IVV241" s="4"/>
      <c r="IVW241" s="4"/>
      <c r="IVX241" s="4"/>
      <c r="IVY241" s="4"/>
      <c r="IVZ241" s="4"/>
      <c r="IWA241" s="4"/>
      <c r="IWB241" s="4"/>
      <c r="IWC241" s="4"/>
      <c r="IWD241" s="4"/>
      <c r="IWE241" s="4"/>
      <c r="IWF241" s="4"/>
      <c r="IWG241" s="4"/>
      <c r="IWH241" s="4"/>
      <c r="IWI241" s="4"/>
      <c r="IWJ241" s="4"/>
      <c r="IWK241" s="4"/>
      <c r="IWL241" s="4"/>
      <c r="IWM241" s="4"/>
      <c r="IWN241" s="4"/>
      <c r="IWO241" s="4"/>
      <c r="IWP241" s="4"/>
      <c r="IWQ241" s="4"/>
      <c r="IWR241" s="4"/>
      <c r="IWS241" s="4"/>
      <c r="IWT241" s="4"/>
      <c r="IWU241" s="4"/>
      <c r="IWV241" s="4"/>
      <c r="IWW241" s="4"/>
      <c r="IWX241" s="4"/>
      <c r="IWY241" s="4"/>
      <c r="IWZ241" s="4"/>
      <c r="IXA241" s="4"/>
      <c r="IXB241" s="4"/>
      <c r="IXC241" s="4"/>
      <c r="IXD241" s="4"/>
      <c r="IXE241" s="4"/>
      <c r="IXF241" s="4"/>
      <c r="IXG241" s="4"/>
      <c r="IXH241" s="4"/>
      <c r="IXI241" s="4"/>
      <c r="IXJ241" s="4"/>
      <c r="IXK241" s="4"/>
      <c r="IXL241" s="4"/>
      <c r="IXM241" s="4"/>
      <c r="IXN241" s="4"/>
      <c r="IXO241" s="4"/>
      <c r="IXP241" s="4"/>
      <c r="IXQ241" s="4"/>
      <c r="IXR241" s="4"/>
      <c r="IXS241" s="4"/>
      <c r="IXT241" s="4"/>
      <c r="IXU241" s="4"/>
      <c r="IXV241" s="4"/>
      <c r="IXW241" s="4"/>
      <c r="IXX241" s="4"/>
      <c r="IXY241" s="4"/>
      <c r="IXZ241" s="4"/>
      <c r="IYA241" s="4"/>
      <c r="IYB241" s="4"/>
      <c r="IYC241" s="4"/>
      <c r="IYD241" s="4"/>
      <c r="IYE241" s="4"/>
      <c r="IYF241" s="4"/>
      <c r="IYG241" s="4"/>
      <c r="IYH241" s="4"/>
      <c r="IYI241" s="4"/>
      <c r="IYJ241" s="4"/>
      <c r="IYK241" s="4"/>
      <c r="IYL241" s="4"/>
      <c r="IYM241" s="4"/>
      <c r="IYN241" s="4"/>
      <c r="IYO241" s="4"/>
      <c r="IYP241" s="4"/>
      <c r="IYQ241" s="4"/>
      <c r="IYR241" s="4"/>
      <c r="IYS241" s="4"/>
      <c r="IYT241" s="4"/>
      <c r="IYU241" s="4"/>
      <c r="IYV241" s="4"/>
      <c r="IYW241" s="4"/>
      <c r="IYX241" s="4"/>
      <c r="IYY241" s="4"/>
      <c r="IYZ241" s="4"/>
      <c r="IZA241" s="4"/>
      <c r="IZB241" s="4"/>
      <c r="IZC241" s="4"/>
      <c r="IZD241" s="4"/>
      <c r="IZE241" s="4"/>
      <c r="IZF241" s="4"/>
      <c r="IZG241" s="4"/>
      <c r="IZH241" s="4"/>
      <c r="IZI241" s="4"/>
      <c r="IZJ241" s="4"/>
      <c r="IZK241" s="4"/>
      <c r="IZL241" s="4"/>
      <c r="IZM241" s="4"/>
      <c r="IZN241" s="4"/>
      <c r="IZO241" s="4"/>
      <c r="IZP241" s="4"/>
      <c r="IZQ241" s="4"/>
      <c r="IZR241" s="4"/>
      <c r="IZS241" s="4"/>
      <c r="IZT241" s="4"/>
      <c r="IZU241" s="4"/>
      <c r="IZV241" s="4"/>
      <c r="IZW241" s="4"/>
      <c r="IZX241" s="4"/>
      <c r="IZY241" s="4"/>
      <c r="IZZ241" s="4"/>
      <c r="JAA241" s="4"/>
      <c r="JAB241" s="4"/>
      <c r="JAC241" s="4"/>
      <c r="JAD241" s="4"/>
      <c r="JAE241" s="4"/>
      <c r="JAF241" s="4"/>
      <c r="JAG241" s="4"/>
      <c r="JAH241" s="4"/>
      <c r="JAI241" s="4"/>
      <c r="JAJ241" s="4"/>
      <c r="JAK241" s="4"/>
      <c r="JAL241" s="4"/>
      <c r="JAM241" s="4"/>
      <c r="JAN241" s="4"/>
      <c r="JAO241" s="4"/>
      <c r="JAP241" s="4"/>
      <c r="JAQ241" s="4"/>
      <c r="JAR241" s="4"/>
      <c r="JAS241" s="4"/>
      <c r="JAT241" s="4"/>
      <c r="JAU241" s="4"/>
      <c r="JAV241" s="4"/>
      <c r="JAW241" s="4"/>
      <c r="JAX241" s="4"/>
      <c r="JAY241" s="4"/>
      <c r="JAZ241" s="4"/>
      <c r="JBA241" s="4"/>
      <c r="JBB241" s="4"/>
      <c r="JBC241" s="4"/>
      <c r="JBD241" s="4"/>
      <c r="JBE241" s="4"/>
      <c r="JBF241" s="4"/>
      <c r="JBG241" s="4"/>
      <c r="JBH241" s="4"/>
      <c r="JBI241" s="4"/>
      <c r="JBJ241" s="4"/>
      <c r="JBK241" s="4"/>
      <c r="JBL241" s="4"/>
      <c r="JBM241" s="4"/>
      <c r="JBN241" s="4"/>
      <c r="JBO241" s="4"/>
      <c r="JBP241" s="4"/>
      <c r="JBQ241" s="4"/>
      <c r="JBR241" s="4"/>
      <c r="JBS241" s="4"/>
      <c r="JBT241" s="4"/>
      <c r="JBU241" s="4"/>
      <c r="JBV241" s="4"/>
      <c r="JBW241" s="4"/>
      <c r="JBX241" s="4"/>
      <c r="JBY241" s="4"/>
      <c r="JBZ241" s="4"/>
      <c r="JCA241" s="4"/>
      <c r="JCB241" s="4"/>
      <c r="JCC241" s="4"/>
      <c r="JCD241" s="4"/>
      <c r="JCE241" s="4"/>
      <c r="JCF241" s="4"/>
      <c r="JCG241" s="4"/>
      <c r="JCH241" s="4"/>
      <c r="JCI241" s="4"/>
      <c r="JCJ241" s="4"/>
      <c r="JCK241" s="4"/>
      <c r="JCL241" s="4"/>
      <c r="JCM241" s="4"/>
      <c r="JCN241" s="4"/>
      <c r="JCO241" s="4"/>
      <c r="JCP241" s="4"/>
      <c r="JCQ241" s="4"/>
      <c r="JCR241" s="4"/>
      <c r="JCS241" s="4"/>
      <c r="JCT241" s="4"/>
      <c r="JCU241" s="4"/>
      <c r="JCV241" s="4"/>
      <c r="JCW241" s="4"/>
      <c r="JCX241" s="4"/>
      <c r="JCY241" s="4"/>
      <c r="JCZ241" s="4"/>
      <c r="JDA241" s="4"/>
      <c r="JDB241" s="4"/>
      <c r="JDC241" s="4"/>
      <c r="JDD241" s="4"/>
      <c r="JDE241" s="4"/>
      <c r="JDF241" s="4"/>
      <c r="JDG241" s="4"/>
      <c r="JDH241" s="4"/>
      <c r="JDI241" s="4"/>
      <c r="JDJ241" s="4"/>
      <c r="JDK241" s="4"/>
      <c r="JDL241" s="4"/>
      <c r="JDM241" s="4"/>
      <c r="JDN241" s="4"/>
      <c r="JDO241" s="4"/>
      <c r="JDP241" s="4"/>
      <c r="JDQ241" s="4"/>
      <c r="JDR241" s="4"/>
      <c r="JDS241" s="4"/>
      <c r="JDT241" s="4"/>
      <c r="JDU241" s="4"/>
      <c r="JDV241" s="4"/>
      <c r="JDW241" s="4"/>
      <c r="JDX241" s="4"/>
      <c r="JDY241" s="4"/>
      <c r="JDZ241" s="4"/>
      <c r="JEA241" s="4"/>
      <c r="JEB241" s="4"/>
      <c r="JEC241" s="4"/>
      <c r="JED241" s="4"/>
      <c r="JEE241" s="4"/>
      <c r="JEF241" s="4"/>
      <c r="JEG241" s="4"/>
      <c r="JEH241" s="4"/>
      <c r="JEI241" s="4"/>
      <c r="JEJ241" s="4"/>
      <c r="JEK241" s="4"/>
      <c r="JEL241" s="4"/>
      <c r="JEM241" s="4"/>
      <c r="JEN241" s="4"/>
      <c r="JEO241" s="4"/>
      <c r="JEP241" s="4"/>
      <c r="JEQ241" s="4"/>
      <c r="JER241" s="4"/>
      <c r="JES241" s="4"/>
      <c r="JET241" s="4"/>
      <c r="JEU241" s="4"/>
      <c r="JEV241" s="4"/>
      <c r="JEW241" s="4"/>
      <c r="JEX241" s="4"/>
      <c r="JEY241" s="4"/>
      <c r="JEZ241" s="4"/>
      <c r="JFA241" s="4"/>
      <c r="JFB241" s="4"/>
      <c r="JFC241" s="4"/>
      <c r="JFD241" s="4"/>
      <c r="JFE241" s="4"/>
      <c r="JFF241" s="4"/>
      <c r="JFG241" s="4"/>
      <c r="JFH241" s="4"/>
      <c r="JFI241" s="4"/>
      <c r="JFJ241" s="4"/>
      <c r="JFK241" s="4"/>
      <c r="JFL241" s="4"/>
      <c r="JFM241" s="4"/>
      <c r="JFN241" s="4"/>
      <c r="JFO241" s="4"/>
      <c r="JFP241" s="4"/>
      <c r="JFQ241" s="4"/>
      <c r="JFR241" s="4"/>
      <c r="JFS241" s="4"/>
      <c r="JFT241" s="4"/>
      <c r="JFU241" s="4"/>
      <c r="JFV241" s="4"/>
      <c r="JFW241" s="4"/>
      <c r="JFX241" s="4"/>
      <c r="JFY241" s="4"/>
      <c r="JFZ241" s="4"/>
      <c r="JGA241" s="4"/>
      <c r="JGB241" s="4"/>
      <c r="JGC241" s="4"/>
      <c r="JGD241" s="4"/>
      <c r="JGE241" s="4"/>
      <c r="JGF241" s="4"/>
      <c r="JGG241" s="4"/>
      <c r="JGH241" s="4"/>
      <c r="JGI241" s="4"/>
      <c r="JGJ241" s="4"/>
      <c r="JGK241" s="4"/>
      <c r="JGL241" s="4"/>
      <c r="JGM241" s="4"/>
      <c r="JGN241" s="4"/>
      <c r="JGO241" s="4"/>
      <c r="JGP241" s="4"/>
      <c r="JGQ241" s="4"/>
      <c r="JGR241" s="4"/>
      <c r="JGS241" s="4"/>
      <c r="JGT241" s="4"/>
      <c r="JGU241" s="4"/>
      <c r="JGV241" s="4"/>
      <c r="JGW241" s="4"/>
      <c r="JGX241" s="4"/>
      <c r="JGY241" s="4"/>
      <c r="JGZ241" s="4"/>
      <c r="JHA241" s="4"/>
      <c r="JHB241" s="4"/>
      <c r="JHC241" s="4"/>
      <c r="JHD241" s="4"/>
      <c r="JHE241" s="4"/>
      <c r="JHF241" s="4"/>
      <c r="JHG241" s="4"/>
      <c r="JHH241" s="4"/>
      <c r="JHI241" s="4"/>
      <c r="JHJ241" s="4"/>
      <c r="JHK241" s="4"/>
      <c r="JHL241" s="4"/>
      <c r="JHM241" s="4"/>
      <c r="JHN241" s="4"/>
      <c r="JHO241" s="4"/>
      <c r="JHP241" s="4"/>
      <c r="JHQ241" s="4"/>
      <c r="JHR241" s="4"/>
      <c r="JHS241" s="4"/>
      <c r="JHT241" s="4"/>
      <c r="JHU241" s="4"/>
      <c r="JHV241" s="4"/>
      <c r="JHW241" s="4"/>
      <c r="JHX241" s="4"/>
      <c r="JHY241" s="4"/>
      <c r="JHZ241" s="4"/>
      <c r="JIA241" s="4"/>
      <c r="JIB241" s="4"/>
      <c r="JIC241" s="4"/>
      <c r="JID241" s="4"/>
      <c r="JIE241" s="4"/>
      <c r="JIF241" s="4"/>
      <c r="JIG241" s="4"/>
      <c r="JIH241" s="4"/>
      <c r="JII241" s="4"/>
      <c r="JIJ241" s="4"/>
      <c r="JIK241" s="4"/>
      <c r="JIL241" s="4"/>
      <c r="JIM241" s="4"/>
      <c r="JIN241" s="4"/>
      <c r="JIO241" s="4"/>
      <c r="JIP241" s="4"/>
      <c r="JIQ241" s="4"/>
      <c r="JIR241" s="4"/>
      <c r="JIS241" s="4"/>
      <c r="JIT241" s="4"/>
      <c r="JIU241" s="4"/>
      <c r="JIV241" s="4"/>
      <c r="JIW241" s="4"/>
      <c r="JIX241" s="4"/>
      <c r="JIY241" s="4"/>
      <c r="JIZ241" s="4"/>
      <c r="JJA241" s="4"/>
      <c r="JJB241" s="4"/>
      <c r="JJC241" s="4"/>
      <c r="JJD241" s="4"/>
      <c r="JJE241" s="4"/>
      <c r="JJF241" s="4"/>
      <c r="JJG241" s="4"/>
      <c r="JJH241" s="4"/>
      <c r="JJI241" s="4"/>
      <c r="JJJ241" s="4"/>
      <c r="JJK241" s="4"/>
      <c r="JJL241" s="4"/>
      <c r="JJM241" s="4"/>
      <c r="JJN241" s="4"/>
      <c r="JJO241" s="4"/>
      <c r="JJP241" s="4"/>
      <c r="JJQ241" s="4"/>
      <c r="JJR241" s="4"/>
      <c r="JJS241" s="4"/>
      <c r="JJT241" s="4"/>
      <c r="JJU241" s="4"/>
      <c r="JJV241" s="4"/>
      <c r="JJW241" s="4"/>
      <c r="JJX241" s="4"/>
      <c r="JJY241" s="4"/>
      <c r="JJZ241" s="4"/>
      <c r="JKA241" s="4"/>
      <c r="JKB241" s="4"/>
      <c r="JKC241" s="4"/>
      <c r="JKD241" s="4"/>
      <c r="JKE241" s="4"/>
      <c r="JKF241" s="4"/>
      <c r="JKG241" s="4"/>
      <c r="JKH241" s="4"/>
      <c r="JKI241" s="4"/>
      <c r="JKJ241" s="4"/>
      <c r="JKK241" s="4"/>
      <c r="JKL241" s="4"/>
      <c r="JKM241" s="4"/>
      <c r="JKN241" s="4"/>
      <c r="JKO241" s="4"/>
      <c r="JKP241" s="4"/>
      <c r="JKQ241" s="4"/>
      <c r="JKR241" s="4"/>
      <c r="JKS241" s="4"/>
      <c r="JKT241" s="4"/>
      <c r="JKU241" s="4"/>
      <c r="JKV241" s="4"/>
      <c r="JKW241" s="4"/>
      <c r="JKX241" s="4"/>
      <c r="JKY241" s="4"/>
      <c r="JKZ241" s="4"/>
      <c r="JLA241" s="4"/>
      <c r="JLB241" s="4"/>
      <c r="JLC241" s="4"/>
      <c r="JLD241" s="4"/>
      <c r="JLE241" s="4"/>
      <c r="JLF241" s="4"/>
      <c r="JLG241" s="4"/>
      <c r="JLH241" s="4"/>
      <c r="JLI241" s="4"/>
      <c r="JLJ241" s="4"/>
      <c r="JLK241" s="4"/>
      <c r="JLL241" s="4"/>
      <c r="JLM241" s="4"/>
      <c r="JLN241" s="4"/>
      <c r="JLO241" s="4"/>
      <c r="JLP241" s="4"/>
      <c r="JLQ241" s="4"/>
      <c r="JLR241" s="4"/>
      <c r="JLS241" s="4"/>
      <c r="JLT241" s="4"/>
      <c r="JLU241" s="4"/>
      <c r="JLV241" s="4"/>
      <c r="JLW241" s="4"/>
      <c r="JLX241" s="4"/>
      <c r="JLY241" s="4"/>
      <c r="JLZ241" s="4"/>
      <c r="JMA241" s="4"/>
      <c r="JMB241" s="4"/>
      <c r="JMC241" s="4"/>
      <c r="JMD241" s="4"/>
      <c r="JME241" s="4"/>
      <c r="JMF241" s="4"/>
      <c r="JMG241" s="4"/>
      <c r="JMH241" s="4"/>
      <c r="JMI241" s="4"/>
      <c r="JMJ241" s="4"/>
      <c r="JMK241" s="4"/>
      <c r="JML241" s="4"/>
      <c r="JMM241" s="4"/>
      <c r="JMN241" s="4"/>
      <c r="JMO241" s="4"/>
      <c r="JMP241" s="4"/>
      <c r="JMQ241" s="4"/>
      <c r="JMR241" s="4"/>
      <c r="JMS241" s="4"/>
      <c r="JMT241" s="4"/>
      <c r="JMU241" s="4"/>
      <c r="JMV241" s="4"/>
      <c r="JMW241" s="4"/>
      <c r="JMX241" s="4"/>
      <c r="JMY241" s="4"/>
      <c r="JMZ241" s="4"/>
      <c r="JNA241" s="4"/>
      <c r="JNB241" s="4"/>
      <c r="JNC241" s="4"/>
      <c r="JND241" s="4"/>
      <c r="JNE241" s="4"/>
      <c r="JNF241" s="4"/>
      <c r="JNG241" s="4"/>
      <c r="JNH241" s="4"/>
      <c r="JNI241" s="4"/>
      <c r="JNJ241" s="4"/>
      <c r="JNK241" s="4"/>
      <c r="JNL241" s="4"/>
      <c r="JNM241" s="4"/>
      <c r="JNN241" s="4"/>
      <c r="JNO241" s="4"/>
      <c r="JNP241" s="4"/>
      <c r="JNQ241" s="4"/>
      <c r="JNR241" s="4"/>
      <c r="JNS241" s="4"/>
      <c r="JNT241" s="4"/>
      <c r="JNU241" s="4"/>
      <c r="JNV241" s="4"/>
      <c r="JNW241" s="4"/>
      <c r="JNX241" s="4"/>
      <c r="JNY241" s="4"/>
      <c r="JNZ241" s="4"/>
      <c r="JOA241" s="4"/>
      <c r="JOB241" s="4"/>
      <c r="JOC241" s="4"/>
      <c r="JOD241" s="4"/>
      <c r="JOE241" s="4"/>
      <c r="JOF241" s="4"/>
      <c r="JOG241" s="4"/>
      <c r="JOH241" s="4"/>
      <c r="JOI241" s="4"/>
      <c r="JOJ241" s="4"/>
      <c r="JOK241" s="4"/>
      <c r="JOL241" s="4"/>
      <c r="JOM241" s="4"/>
      <c r="JON241" s="4"/>
      <c r="JOO241" s="4"/>
      <c r="JOP241" s="4"/>
      <c r="JOQ241" s="4"/>
      <c r="JOR241" s="4"/>
      <c r="JOS241" s="4"/>
      <c r="JOT241" s="4"/>
      <c r="JOU241" s="4"/>
      <c r="JOV241" s="4"/>
      <c r="JOW241" s="4"/>
      <c r="JOX241" s="4"/>
      <c r="JOY241" s="4"/>
      <c r="JOZ241" s="4"/>
      <c r="JPA241" s="4"/>
      <c r="JPB241" s="4"/>
      <c r="JPC241" s="4"/>
      <c r="JPD241" s="4"/>
      <c r="JPE241" s="4"/>
      <c r="JPF241" s="4"/>
      <c r="JPG241" s="4"/>
      <c r="JPH241" s="4"/>
      <c r="JPI241" s="4"/>
      <c r="JPJ241" s="4"/>
      <c r="JPK241" s="4"/>
      <c r="JPL241" s="4"/>
      <c r="JPM241" s="4"/>
      <c r="JPN241" s="4"/>
      <c r="JPO241" s="4"/>
      <c r="JPP241" s="4"/>
      <c r="JPQ241" s="4"/>
      <c r="JPR241" s="4"/>
      <c r="JPS241" s="4"/>
      <c r="JPT241" s="4"/>
      <c r="JPU241" s="4"/>
      <c r="JPV241" s="4"/>
      <c r="JPW241" s="4"/>
      <c r="JPX241" s="4"/>
      <c r="JPY241" s="4"/>
      <c r="JPZ241" s="4"/>
      <c r="JQA241" s="4"/>
      <c r="JQB241" s="4"/>
      <c r="JQC241" s="4"/>
      <c r="JQD241" s="4"/>
      <c r="JQE241" s="4"/>
      <c r="JQF241" s="4"/>
      <c r="JQG241" s="4"/>
      <c r="JQH241" s="4"/>
      <c r="JQI241" s="4"/>
      <c r="JQJ241" s="4"/>
      <c r="JQK241" s="4"/>
      <c r="JQL241" s="4"/>
      <c r="JQM241" s="4"/>
      <c r="JQN241" s="4"/>
      <c r="JQO241" s="4"/>
      <c r="JQP241" s="4"/>
      <c r="JQQ241" s="4"/>
      <c r="JQR241" s="4"/>
      <c r="JQS241" s="4"/>
      <c r="JQT241" s="4"/>
      <c r="JQU241" s="4"/>
      <c r="JQV241" s="4"/>
      <c r="JQW241" s="4"/>
      <c r="JQX241" s="4"/>
      <c r="JQY241" s="4"/>
      <c r="JQZ241" s="4"/>
      <c r="JRA241" s="4"/>
      <c r="JRB241" s="4"/>
      <c r="JRC241" s="4"/>
      <c r="JRD241" s="4"/>
      <c r="JRE241" s="4"/>
      <c r="JRF241" s="4"/>
      <c r="JRG241" s="4"/>
      <c r="JRH241" s="4"/>
      <c r="JRI241" s="4"/>
      <c r="JRJ241" s="4"/>
      <c r="JRK241" s="4"/>
      <c r="JRL241" s="4"/>
      <c r="JRM241" s="4"/>
      <c r="JRN241" s="4"/>
      <c r="JRO241" s="4"/>
      <c r="JRP241" s="4"/>
      <c r="JRQ241" s="4"/>
      <c r="JRR241" s="4"/>
      <c r="JRS241" s="4"/>
      <c r="JRT241" s="4"/>
      <c r="JRU241" s="4"/>
      <c r="JRV241" s="4"/>
      <c r="JRW241" s="4"/>
      <c r="JRX241" s="4"/>
      <c r="JRY241" s="4"/>
      <c r="JRZ241" s="4"/>
      <c r="JSA241" s="4"/>
      <c r="JSB241" s="4"/>
      <c r="JSC241" s="4"/>
      <c r="JSD241" s="4"/>
      <c r="JSE241" s="4"/>
      <c r="JSF241" s="4"/>
      <c r="JSG241" s="4"/>
      <c r="JSH241" s="4"/>
      <c r="JSI241" s="4"/>
      <c r="JSJ241" s="4"/>
      <c r="JSK241" s="4"/>
      <c r="JSL241" s="4"/>
      <c r="JSM241" s="4"/>
      <c r="JSN241" s="4"/>
      <c r="JSO241" s="4"/>
      <c r="JSP241" s="4"/>
      <c r="JSQ241" s="4"/>
      <c r="JSR241" s="4"/>
      <c r="JSS241" s="4"/>
      <c r="JST241" s="4"/>
      <c r="JSU241" s="4"/>
      <c r="JSV241" s="4"/>
      <c r="JSW241" s="4"/>
      <c r="JSX241" s="4"/>
      <c r="JSY241" s="4"/>
      <c r="JSZ241" s="4"/>
      <c r="JTA241" s="4"/>
      <c r="JTB241" s="4"/>
      <c r="JTC241" s="4"/>
      <c r="JTD241" s="4"/>
      <c r="JTE241" s="4"/>
      <c r="JTF241" s="4"/>
      <c r="JTG241" s="4"/>
      <c r="JTH241" s="4"/>
      <c r="JTI241" s="4"/>
      <c r="JTJ241" s="4"/>
      <c r="JTK241" s="4"/>
      <c r="JTL241" s="4"/>
      <c r="JTM241" s="4"/>
      <c r="JTN241" s="4"/>
      <c r="JTO241" s="4"/>
      <c r="JTP241" s="4"/>
      <c r="JTQ241" s="4"/>
      <c r="JTR241" s="4"/>
      <c r="JTS241" s="4"/>
      <c r="JTT241" s="4"/>
      <c r="JTU241" s="4"/>
      <c r="JTV241" s="4"/>
      <c r="JTW241" s="4"/>
      <c r="JTX241" s="4"/>
      <c r="JTY241" s="4"/>
      <c r="JTZ241" s="4"/>
      <c r="JUA241" s="4"/>
      <c r="JUB241" s="4"/>
      <c r="JUC241" s="4"/>
      <c r="JUD241" s="4"/>
      <c r="JUE241" s="4"/>
      <c r="JUF241" s="4"/>
      <c r="JUG241" s="4"/>
      <c r="JUH241" s="4"/>
      <c r="JUI241" s="4"/>
      <c r="JUJ241" s="4"/>
      <c r="JUK241" s="4"/>
      <c r="JUL241" s="4"/>
      <c r="JUM241" s="4"/>
      <c r="JUN241" s="4"/>
      <c r="JUO241" s="4"/>
      <c r="JUP241" s="4"/>
      <c r="JUQ241" s="4"/>
      <c r="JUR241" s="4"/>
      <c r="JUS241" s="4"/>
      <c r="JUT241" s="4"/>
      <c r="JUU241" s="4"/>
      <c r="JUV241" s="4"/>
      <c r="JUW241" s="4"/>
      <c r="JUX241" s="4"/>
      <c r="JUY241" s="4"/>
      <c r="JUZ241" s="4"/>
      <c r="JVA241" s="4"/>
      <c r="JVB241" s="4"/>
      <c r="JVC241" s="4"/>
      <c r="JVD241" s="4"/>
      <c r="JVE241" s="4"/>
      <c r="JVF241" s="4"/>
      <c r="JVG241" s="4"/>
      <c r="JVH241" s="4"/>
      <c r="JVI241" s="4"/>
      <c r="JVJ241" s="4"/>
      <c r="JVK241" s="4"/>
      <c r="JVL241" s="4"/>
      <c r="JVM241" s="4"/>
      <c r="JVN241" s="4"/>
      <c r="JVO241" s="4"/>
      <c r="JVP241" s="4"/>
      <c r="JVQ241" s="4"/>
      <c r="JVR241" s="4"/>
      <c r="JVS241" s="4"/>
      <c r="JVT241" s="4"/>
      <c r="JVU241" s="4"/>
      <c r="JVV241" s="4"/>
      <c r="JVW241" s="4"/>
      <c r="JVX241" s="4"/>
      <c r="JVY241" s="4"/>
      <c r="JVZ241" s="4"/>
      <c r="JWA241" s="4"/>
      <c r="JWB241" s="4"/>
      <c r="JWC241" s="4"/>
      <c r="JWD241" s="4"/>
      <c r="JWE241" s="4"/>
      <c r="JWF241" s="4"/>
      <c r="JWG241" s="4"/>
      <c r="JWH241" s="4"/>
      <c r="JWI241" s="4"/>
      <c r="JWJ241" s="4"/>
      <c r="JWK241" s="4"/>
      <c r="JWL241" s="4"/>
      <c r="JWM241" s="4"/>
      <c r="JWN241" s="4"/>
      <c r="JWO241" s="4"/>
      <c r="JWP241" s="4"/>
      <c r="JWQ241" s="4"/>
      <c r="JWR241" s="4"/>
      <c r="JWS241" s="4"/>
      <c r="JWT241" s="4"/>
      <c r="JWU241" s="4"/>
      <c r="JWV241" s="4"/>
      <c r="JWW241" s="4"/>
      <c r="JWX241" s="4"/>
      <c r="JWY241" s="4"/>
      <c r="JWZ241" s="4"/>
      <c r="JXA241" s="4"/>
      <c r="JXB241" s="4"/>
      <c r="JXC241" s="4"/>
      <c r="JXD241" s="4"/>
      <c r="JXE241" s="4"/>
      <c r="JXF241" s="4"/>
      <c r="JXG241" s="4"/>
      <c r="JXH241" s="4"/>
      <c r="JXI241" s="4"/>
      <c r="JXJ241" s="4"/>
      <c r="JXK241" s="4"/>
      <c r="JXL241" s="4"/>
      <c r="JXM241" s="4"/>
      <c r="JXN241" s="4"/>
      <c r="JXO241" s="4"/>
      <c r="JXP241" s="4"/>
      <c r="JXQ241" s="4"/>
      <c r="JXR241" s="4"/>
      <c r="JXS241" s="4"/>
      <c r="JXT241" s="4"/>
      <c r="JXU241" s="4"/>
      <c r="JXV241" s="4"/>
      <c r="JXW241" s="4"/>
      <c r="JXX241" s="4"/>
      <c r="JXY241" s="4"/>
      <c r="JXZ241" s="4"/>
      <c r="JYA241" s="4"/>
      <c r="JYB241" s="4"/>
      <c r="JYC241" s="4"/>
      <c r="JYD241" s="4"/>
      <c r="JYE241" s="4"/>
      <c r="JYF241" s="4"/>
      <c r="JYG241" s="4"/>
      <c r="JYH241" s="4"/>
      <c r="JYI241" s="4"/>
      <c r="JYJ241" s="4"/>
      <c r="JYK241" s="4"/>
      <c r="JYL241" s="4"/>
      <c r="JYM241" s="4"/>
      <c r="JYN241" s="4"/>
      <c r="JYO241" s="4"/>
      <c r="JYP241" s="4"/>
      <c r="JYQ241" s="4"/>
      <c r="JYR241" s="4"/>
      <c r="JYS241" s="4"/>
      <c r="JYT241" s="4"/>
      <c r="JYU241" s="4"/>
      <c r="JYV241" s="4"/>
      <c r="JYW241" s="4"/>
      <c r="JYX241" s="4"/>
      <c r="JYY241" s="4"/>
      <c r="JYZ241" s="4"/>
      <c r="JZA241" s="4"/>
      <c r="JZB241" s="4"/>
      <c r="JZC241" s="4"/>
      <c r="JZD241" s="4"/>
      <c r="JZE241" s="4"/>
      <c r="JZF241" s="4"/>
      <c r="JZG241" s="4"/>
      <c r="JZH241" s="4"/>
      <c r="JZI241" s="4"/>
      <c r="JZJ241" s="4"/>
      <c r="JZK241" s="4"/>
      <c r="JZL241" s="4"/>
      <c r="JZM241" s="4"/>
      <c r="JZN241" s="4"/>
      <c r="JZO241" s="4"/>
      <c r="JZP241" s="4"/>
      <c r="JZQ241" s="4"/>
      <c r="JZR241" s="4"/>
      <c r="JZS241" s="4"/>
      <c r="JZT241" s="4"/>
      <c r="JZU241" s="4"/>
      <c r="JZV241" s="4"/>
      <c r="JZW241" s="4"/>
      <c r="JZX241" s="4"/>
      <c r="JZY241" s="4"/>
      <c r="JZZ241" s="4"/>
      <c r="KAA241" s="4"/>
      <c r="KAB241" s="4"/>
      <c r="KAC241" s="4"/>
      <c r="KAD241" s="4"/>
      <c r="KAE241" s="4"/>
      <c r="KAF241" s="4"/>
      <c r="KAG241" s="4"/>
      <c r="KAH241" s="4"/>
      <c r="KAI241" s="4"/>
      <c r="KAJ241" s="4"/>
      <c r="KAK241" s="4"/>
      <c r="KAL241" s="4"/>
      <c r="KAM241" s="4"/>
      <c r="KAN241" s="4"/>
      <c r="KAO241" s="4"/>
      <c r="KAP241" s="4"/>
      <c r="KAQ241" s="4"/>
      <c r="KAR241" s="4"/>
      <c r="KAS241" s="4"/>
      <c r="KAT241" s="4"/>
      <c r="KAU241" s="4"/>
      <c r="KAV241" s="4"/>
      <c r="KAW241" s="4"/>
      <c r="KAX241" s="4"/>
      <c r="KAY241" s="4"/>
      <c r="KAZ241" s="4"/>
      <c r="KBA241" s="4"/>
      <c r="KBB241" s="4"/>
      <c r="KBC241" s="4"/>
      <c r="KBD241" s="4"/>
      <c r="KBE241" s="4"/>
      <c r="KBF241" s="4"/>
      <c r="KBG241" s="4"/>
      <c r="KBH241" s="4"/>
      <c r="KBI241" s="4"/>
      <c r="KBJ241" s="4"/>
      <c r="KBK241" s="4"/>
      <c r="KBL241" s="4"/>
      <c r="KBM241" s="4"/>
      <c r="KBN241" s="4"/>
      <c r="KBO241" s="4"/>
      <c r="KBP241" s="4"/>
      <c r="KBQ241" s="4"/>
      <c r="KBR241" s="4"/>
      <c r="KBS241" s="4"/>
      <c r="KBT241" s="4"/>
      <c r="KBU241" s="4"/>
      <c r="KBV241" s="4"/>
      <c r="KBW241" s="4"/>
      <c r="KBX241" s="4"/>
      <c r="KBY241" s="4"/>
      <c r="KBZ241" s="4"/>
      <c r="KCA241" s="4"/>
      <c r="KCB241" s="4"/>
      <c r="KCC241" s="4"/>
      <c r="KCD241" s="4"/>
      <c r="KCE241" s="4"/>
      <c r="KCF241" s="4"/>
      <c r="KCG241" s="4"/>
      <c r="KCH241" s="4"/>
      <c r="KCI241" s="4"/>
      <c r="KCJ241" s="4"/>
      <c r="KCK241" s="4"/>
      <c r="KCL241" s="4"/>
      <c r="KCM241" s="4"/>
      <c r="KCN241" s="4"/>
      <c r="KCO241" s="4"/>
      <c r="KCP241" s="4"/>
      <c r="KCQ241" s="4"/>
      <c r="KCR241" s="4"/>
      <c r="KCS241" s="4"/>
      <c r="KCT241" s="4"/>
      <c r="KCU241" s="4"/>
      <c r="KCV241" s="4"/>
      <c r="KCW241" s="4"/>
      <c r="KCX241" s="4"/>
      <c r="KCY241" s="4"/>
      <c r="KCZ241" s="4"/>
      <c r="KDA241" s="4"/>
      <c r="KDB241" s="4"/>
      <c r="KDC241" s="4"/>
      <c r="KDD241" s="4"/>
      <c r="KDE241" s="4"/>
      <c r="KDF241" s="4"/>
      <c r="KDG241" s="4"/>
      <c r="KDH241" s="4"/>
      <c r="KDI241" s="4"/>
      <c r="KDJ241" s="4"/>
      <c r="KDK241" s="4"/>
      <c r="KDL241" s="4"/>
      <c r="KDM241" s="4"/>
      <c r="KDN241" s="4"/>
      <c r="KDO241" s="4"/>
      <c r="KDP241" s="4"/>
      <c r="KDQ241" s="4"/>
      <c r="KDR241" s="4"/>
      <c r="KDS241" s="4"/>
      <c r="KDT241" s="4"/>
      <c r="KDU241" s="4"/>
      <c r="KDV241" s="4"/>
      <c r="KDW241" s="4"/>
      <c r="KDX241" s="4"/>
      <c r="KDY241" s="4"/>
      <c r="KDZ241" s="4"/>
      <c r="KEA241" s="4"/>
      <c r="KEB241" s="4"/>
      <c r="KEC241" s="4"/>
      <c r="KED241" s="4"/>
      <c r="KEE241" s="4"/>
      <c r="KEF241" s="4"/>
      <c r="KEG241" s="4"/>
      <c r="KEH241" s="4"/>
      <c r="KEI241" s="4"/>
      <c r="KEJ241" s="4"/>
      <c r="KEK241" s="4"/>
      <c r="KEL241" s="4"/>
      <c r="KEM241" s="4"/>
      <c r="KEN241" s="4"/>
      <c r="KEO241" s="4"/>
      <c r="KEP241" s="4"/>
      <c r="KEQ241" s="4"/>
      <c r="KER241" s="4"/>
      <c r="KES241" s="4"/>
      <c r="KET241" s="4"/>
      <c r="KEU241" s="4"/>
      <c r="KEV241" s="4"/>
      <c r="KEW241" s="4"/>
      <c r="KEX241" s="4"/>
      <c r="KEY241" s="4"/>
      <c r="KEZ241" s="4"/>
      <c r="KFA241" s="4"/>
      <c r="KFB241" s="4"/>
      <c r="KFC241" s="4"/>
      <c r="KFD241" s="4"/>
      <c r="KFE241" s="4"/>
      <c r="KFF241" s="4"/>
      <c r="KFG241" s="4"/>
      <c r="KFH241" s="4"/>
      <c r="KFI241" s="4"/>
      <c r="KFJ241" s="4"/>
      <c r="KFK241" s="4"/>
      <c r="KFL241" s="4"/>
      <c r="KFM241" s="4"/>
      <c r="KFN241" s="4"/>
      <c r="KFO241" s="4"/>
      <c r="KFP241" s="4"/>
      <c r="KFQ241" s="4"/>
      <c r="KFR241" s="4"/>
      <c r="KFS241" s="4"/>
      <c r="KFT241" s="4"/>
      <c r="KFU241" s="4"/>
      <c r="KFV241" s="4"/>
      <c r="KFW241" s="4"/>
      <c r="KFX241" s="4"/>
      <c r="KFY241" s="4"/>
      <c r="KFZ241" s="4"/>
      <c r="KGA241" s="4"/>
      <c r="KGB241" s="4"/>
      <c r="KGC241" s="4"/>
      <c r="KGD241" s="4"/>
      <c r="KGE241" s="4"/>
      <c r="KGF241" s="4"/>
      <c r="KGG241" s="4"/>
      <c r="KGH241" s="4"/>
      <c r="KGI241" s="4"/>
      <c r="KGJ241" s="4"/>
      <c r="KGK241" s="4"/>
      <c r="KGL241" s="4"/>
      <c r="KGM241" s="4"/>
      <c r="KGN241" s="4"/>
      <c r="KGO241" s="4"/>
      <c r="KGP241" s="4"/>
      <c r="KGQ241" s="4"/>
      <c r="KGR241" s="4"/>
      <c r="KGS241" s="4"/>
      <c r="KGT241" s="4"/>
      <c r="KGU241" s="4"/>
      <c r="KGV241" s="4"/>
      <c r="KGW241" s="4"/>
      <c r="KGX241" s="4"/>
      <c r="KGY241" s="4"/>
      <c r="KGZ241" s="4"/>
      <c r="KHA241" s="4"/>
      <c r="KHB241" s="4"/>
      <c r="KHC241" s="4"/>
      <c r="KHD241" s="4"/>
      <c r="KHE241" s="4"/>
      <c r="KHF241" s="4"/>
      <c r="KHG241" s="4"/>
      <c r="KHH241" s="4"/>
      <c r="KHI241" s="4"/>
      <c r="KHJ241" s="4"/>
      <c r="KHK241" s="4"/>
      <c r="KHL241" s="4"/>
      <c r="KHM241" s="4"/>
      <c r="KHN241" s="4"/>
      <c r="KHO241" s="4"/>
      <c r="KHP241" s="4"/>
      <c r="KHQ241" s="4"/>
      <c r="KHR241" s="4"/>
      <c r="KHS241" s="4"/>
      <c r="KHT241" s="4"/>
      <c r="KHU241" s="4"/>
      <c r="KHV241" s="4"/>
      <c r="KHW241" s="4"/>
      <c r="KHX241" s="4"/>
      <c r="KHY241" s="4"/>
      <c r="KHZ241" s="4"/>
      <c r="KIA241" s="4"/>
      <c r="KIB241" s="4"/>
      <c r="KIC241" s="4"/>
      <c r="KID241" s="4"/>
      <c r="KIE241" s="4"/>
      <c r="KIF241" s="4"/>
      <c r="KIG241" s="4"/>
      <c r="KIH241" s="4"/>
      <c r="KII241" s="4"/>
      <c r="KIJ241" s="4"/>
      <c r="KIK241" s="4"/>
      <c r="KIL241" s="4"/>
      <c r="KIM241" s="4"/>
      <c r="KIN241" s="4"/>
      <c r="KIO241" s="4"/>
      <c r="KIP241" s="4"/>
      <c r="KIQ241" s="4"/>
      <c r="KIR241" s="4"/>
      <c r="KIS241" s="4"/>
      <c r="KIT241" s="4"/>
      <c r="KIU241" s="4"/>
      <c r="KIV241" s="4"/>
      <c r="KIW241" s="4"/>
      <c r="KIX241" s="4"/>
      <c r="KIY241" s="4"/>
      <c r="KIZ241" s="4"/>
      <c r="KJA241" s="4"/>
      <c r="KJB241" s="4"/>
      <c r="KJC241" s="4"/>
      <c r="KJD241" s="4"/>
      <c r="KJE241" s="4"/>
      <c r="KJF241" s="4"/>
      <c r="KJG241" s="4"/>
      <c r="KJH241" s="4"/>
      <c r="KJI241" s="4"/>
      <c r="KJJ241" s="4"/>
      <c r="KJK241" s="4"/>
      <c r="KJL241" s="4"/>
      <c r="KJM241" s="4"/>
      <c r="KJN241" s="4"/>
      <c r="KJO241" s="4"/>
      <c r="KJP241" s="4"/>
      <c r="KJQ241" s="4"/>
      <c r="KJR241" s="4"/>
      <c r="KJS241" s="4"/>
      <c r="KJT241" s="4"/>
      <c r="KJU241" s="4"/>
      <c r="KJV241" s="4"/>
      <c r="KJW241" s="4"/>
      <c r="KJX241" s="4"/>
      <c r="KJY241" s="4"/>
      <c r="KJZ241" s="4"/>
      <c r="KKA241" s="4"/>
      <c r="KKB241" s="4"/>
      <c r="KKC241" s="4"/>
      <c r="KKD241" s="4"/>
      <c r="KKE241" s="4"/>
      <c r="KKF241" s="4"/>
      <c r="KKG241" s="4"/>
      <c r="KKH241" s="4"/>
      <c r="KKI241" s="4"/>
      <c r="KKJ241" s="4"/>
      <c r="KKK241" s="4"/>
      <c r="KKL241" s="4"/>
      <c r="KKM241" s="4"/>
      <c r="KKN241" s="4"/>
      <c r="KKO241" s="4"/>
      <c r="KKP241" s="4"/>
      <c r="KKQ241" s="4"/>
      <c r="KKR241" s="4"/>
      <c r="KKS241" s="4"/>
      <c r="KKT241" s="4"/>
      <c r="KKU241" s="4"/>
      <c r="KKV241" s="4"/>
      <c r="KKW241" s="4"/>
      <c r="KKX241" s="4"/>
      <c r="KKY241" s="4"/>
      <c r="KKZ241" s="4"/>
      <c r="KLA241" s="4"/>
      <c r="KLB241" s="4"/>
      <c r="KLC241" s="4"/>
      <c r="KLD241" s="4"/>
      <c r="KLE241" s="4"/>
      <c r="KLF241" s="4"/>
      <c r="KLG241" s="4"/>
      <c r="KLH241" s="4"/>
      <c r="KLI241" s="4"/>
      <c r="KLJ241" s="4"/>
      <c r="KLK241" s="4"/>
      <c r="KLL241" s="4"/>
      <c r="KLM241" s="4"/>
      <c r="KLN241" s="4"/>
      <c r="KLO241" s="4"/>
      <c r="KLP241" s="4"/>
      <c r="KLQ241" s="4"/>
      <c r="KLR241" s="4"/>
      <c r="KLS241" s="4"/>
      <c r="KLT241" s="4"/>
      <c r="KLU241" s="4"/>
      <c r="KLV241" s="4"/>
      <c r="KLW241" s="4"/>
      <c r="KLX241" s="4"/>
      <c r="KLY241" s="4"/>
      <c r="KLZ241" s="4"/>
      <c r="KMA241" s="4"/>
      <c r="KMB241" s="4"/>
      <c r="KMC241" s="4"/>
      <c r="KMD241" s="4"/>
      <c r="KME241" s="4"/>
      <c r="KMF241" s="4"/>
      <c r="KMG241" s="4"/>
      <c r="KMH241" s="4"/>
      <c r="KMI241" s="4"/>
      <c r="KMJ241" s="4"/>
      <c r="KMK241" s="4"/>
      <c r="KML241" s="4"/>
      <c r="KMM241" s="4"/>
      <c r="KMN241" s="4"/>
      <c r="KMO241" s="4"/>
      <c r="KMP241" s="4"/>
      <c r="KMQ241" s="4"/>
      <c r="KMR241" s="4"/>
      <c r="KMS241" s="4"/>
      <c r="KMT241" s="4"/>
      <c r="KMU241" s="4"/>
      <c r="KMV241" s="4"/>
      <c r="KMW241" s="4"/>
      <c r="KMX241" s="4"/>
      <c r="KMY241" s="4"/>
      <c r="KMZ241" s="4"/>
      <c r="KNA241" s="4"/>
      <c r="KNB241" s="4"/>
      <c r="KNC241" s="4"/>
      <c r="KND241" s="4"/>
      <c r="KNE241" s="4"/>
      <c r="KNF241" s="4"/>
      <c r="KNG241" s="4"/>
      <c r="KNH241" s="4"/>
      <c r="KNI241" s="4"/>
      <c r="KNJ241" s="4"/>
      <c r="KNK241" s="4"/>
      <c r="KNL241" s="4"/>
      <c r="KNM241" s="4"/>
      <c r="KNN241" s="4"/>
      <c r="KNO241" s="4"/>
      <c r="KNP241" s="4"/>
      <c r="KNQ241" s="4"/>
      <c r="KNR241" s="4"/>
      <c r="KNS241" s="4"/>
      <c r="KNT241" s="4"/>
      <c r="KNU241" s="4"/>
      <c r="KNV241" s="4"/>
      <c r="KNW241" s="4"/>
      <c r="KNX241" s="4"/>
      <c r="KNY241" s="4"/>
      <c r="KNZ241" s="4"/>
      <c r="KOA241" s="4"/>
      <c r="KOB241" s="4"/>
      <c r="KOC241" s="4"/>
      <c r="KOD241" s="4"/>
      <c r="KOE241" s="4"/>
      <c r="KOF241" s="4"/>
      <c r="KOG241" s="4"/>
      <c r="KOH241" s="4"/>
      <c r="KOI241" s="4"/>
      <c r="KOJ241" s="4"/>
      <c r="KOK241" s="4"/>
      <c r="KOL241" s="4"/>
      <c r="KOM241" s="4"/>
      <c r="KON241" s="4"/>
      <c r="KOO241" s="4"/>
      <c r="KOP241" s="4"/>
      <c r="KOQ241" s="4"/>
      <c r="KOR241" s="4"/>
      <c r="KOS241" s="4"/>
      <c r="KOT241" s="4"/>
      <c r="KOU241" s="4"/>
      <c r="KOV241" s="4"/>
      <c r="KOW241" s="4"/>
      <c r="KOX241" s="4"/>
      <c r="KOY241" s="4"/>
      <c r="KOZ241" s="4"/>
      <c r="KPA241" s="4"/>
      <c r="KPB241" s="4"/>
      <c r="KPC241" s="4"/>
      <c r="KPD241" s="4"/>
      <c r="KPE241" s="4"/>
      <c r="KPF241" s="4"/>
      <c r="KPG241" s="4"/>
      <c r="KPH241" s="4"/>
      <c r="KPI241" s="4"/>
      <c r="KPJ241" s="4"/>
      <c r="KPK241" s="4"/>
      <c r="KPL241" s="4"/>
      <c r="KPM241" s="4"/>
      <c r="KPN241" s="4"/>
      <c r="KPO241" s="4"/>
      <c r="KPP241" s="4"/>
      <c r="KPQ241" s="4"/>
      <c r="KPR241" s="4"/>
      <c r="KPS241" s="4"/>
      <c r="KPT241" s="4"/>
      <c r="KPU241" s="4"/>
      <c r="KPV241" s="4"/>
      <c r="KPW241" s="4"/>
      <c r="KPX241" s="4"/>
      <c r="KPY241" s="4"/>
      <c r="KPZ241" s="4"/>
      <c r="KQA241" s="4"/>
      <c r="KQB241" s="4"/>
      <c r="KQC241" s="4"/>
      <c r="KQD241" s="4"/>
      <c r="KQE241" s="4"/>
      <c r="KQF241" s="4"/>
      <c r="KQG241" s="4"/>
      <c r="KQH241" s="4"/>
      <c r="KQI241" s="4"/>
      <c r="KQJ241" s="4"/>
      <c r="KQK241" s="4"/>
      <c r="KQL241" s="4"/>
      <c r="KQM241" s="4"/>
      <c r="KQN241" s="4"/>
      <c r="KQO241" s="4"/>
      <c r="KQP241" s="4"/>
      <c r="KQQ241" s="4"/>
      <c r="KQR241" s="4"/>
      <c r="KQS241" s="4"/>
      <c r="KQT241" s="4"/>
      <c r="KQU241" s="4"/>
      <c r="KQV241" s="4"/>
      <c r="KQW241" s="4"/>
      <c r="KQX241" s="4"/>
      <c r="KQY241" s="4"/>
      <c r="KQZ241" s="4"/>
      <c r="KRA241" s="4"/>
      <c r="KRB241" s="4"/>
      <c r="KRC241" s="4"/>
      <c r="KRD241" s="4"/>
      <c r="KRE241" s="4"/>
      <c r="KRF241" s="4"/>
      <c r="KRG241" s="4"/>
      <c r="KRH241" s="4"/>
      <c r="KRI241" s="4"/>
      <c r="KRJ241" s="4"/>
      <c r="KRK241" s="4"/>
      <c r="KRL241" s="4"/>
      <c r="KRM241" s="4"/>
      <c r="KRN241" s="4"/>
      <c r="KRO241" s="4"/>
      <c r="KRP241" s="4"/>
      <c r="KRQ241" s="4"/>
      <c r="KRR241" s="4"/>
      <c r="KRS241" s="4"/>
      <c r="KRT241" s="4"/>
      <c r="KRU241" s="4"/>
      <c r="KRV241" s="4"/>
      <c r="KRW241" s="4"/>
      <c r="KRX241" s="4"/>
      <c r="KRY241" s="4"/>
      <c r="KRZ241" s="4"/>
      <c r="KSA241" s="4"/>
      <c r="KSB241" s="4"/>
      <c r="KSC241" s="4"/>
      <c r="KSD241" s="4"/>
      <c r="KSE241" s="4"/>
      <c r="KSF241" s="4"/>
      <c r="KSG241" s="4"/>
      <c r="KSH241" s="4"/>
      <c r="KSI241" s="4"/>
      <c r="KSJ241" s="4"/>
      <c r="KSK241" s="4"/>
      <c r="KSL241" s="4"/>
      <c r="KSM241" s="4"/>
      <c r="KSN241" s="4"/>
      <c r="KSO241" s="4"/>
      <c r="KSP241" s="4"/>
      <c r="KSQ241" s="4"/>
      <c r="KSR241" s="4"/>
      <c r="KSS241" s="4"/>
      <c r="KST241" s="4"/>
      <c r="KSU241" s="4"/>
      <c r="KSV241" s="4"/>
      <c r="KSW241" s="4"/>
      <c r="KSX241" s="4"/>
      <c r="KSY241" s="4"/>
      <c r="KSZ241" s="4"/>
      <c r="KTA241" s="4"/>
      <c r="KTB241" s="4"/>
      <c r="KTC241" s="4"/>
      <c r="KTD241" s="4"/>
      <c r="KTE241" s="4"/>
      <c r="KTF241" s="4"/>
      <c r="KTG241" s="4"/>
      <c r="KTH241" s="4"/>
      <c r="KTI241" s="4"/>
      <c r="KTJ241" s="4"/>
      <c r="KTK241" s="4"/>
      <c r="KTL241" s="4"/>
      <c r="KTM241" s="4"/>
      <c r="KTN241" s="4"/>
      <c r="KTO241" s="4"/>
      <c r="KTP241" s="4"/>
      <c r="KTQ241" s="4"/>
      <c r="KTR241" s="4"/>
      <c r="KTS241" s="4"/>
      <c r="KTT241" s="4"/>
      <c r="KTU241" s="4"/>
      <c r="KTV241" s="4"/>
      <c r="KTW241" s="4"/>
      <c r="KTX241" s="4"/>
      <c r="KTY241" s="4"/>
      <c r="KTZ241" s="4"/>
      <c r="KUA241" s="4"/>
      <c r="KUB241" s="4"/>
      <c r="KUC241" s="4"/>
      <c r="KUD241" s="4"/>
      <c r="KUE241" s="4"/>
      <c r="KUF241" s="4"/>
      <c r="KUG241" s="4"/>
      <c r="KUH241" s="4"/>
      <c r="KUI241" s="4"/>
      <c r="KUJ241" s="4"/>
      <c r="KUK241" s="4"/>
      <c r="KUL241" s="4"/>
      <c r="KUM241" s="4"/>
      <c r="KUN241" s="4"/>
      <c r="KUO241" s="4"/>
      <c r="KUP241" s="4"/>
      <c r="KUQ241" s="4"/>
      <c r="KUR241" s="4"/>
      <c r="KUS241" s="4"/>
      <c r="KUT241" s="4"/>
      <c r="KUU241" s="4"/>
      <c r="KUV241" s="4"/>
      <c r="KUW241" s="4"/>
      <c r="KUX241" s="4"/>
      <c r="KUY241" s="4"/>
      <c r="KUZ241" s="4"/>
      <c r="KVA241" s="4"/>
      <c r="KVB241" s="4"/>
      <c r="KVC241" s="4"/>
      <c r="KVD241" s="4"/>
      <c r="KVE241" s="4"/>
      <c r="KVF241" s="4"/>
      <c r="KVG241" s="4"/>
      <c r="KVH241" s="4"/>
      <c r="KVI241" s="4"/>
      <c r="KVJ241" s="4"/>
      <c r="KVK241" s="4"/>
      <c r="KVL241" s="4"/>
      <c r="KVM241" s="4"/>
      <c r="KVN241" s="4"/>
      <c r="KVO241" s="4"/>
      <c r="KVP241" s="4"/>
      <c r="KVQ241" s="4"/>
      <c r="KVR241" s="4"/>
      <c r="KVS241" s="4"/>
      <c r="KVT241" s="4"/>
      <c r="KVU241" s="4"/>
      <c r="KVV241" s="4"/>
      <c r="KVW241" s="4"/>
      <c r="KVX241" s="4"/>
      <c r="KVY241" s="4"/>
      <c r="KVZ241" s="4"/>
      <c r="KWA241" s="4"/>
      <c r="KWB241" s="4"/>
      <c r="KWC241" s="4"/>
      <c r="KWD241" s="4"/>
      <c r="KWE241" s="4"/>
      <c r="KWF241" s="4"/>
      <c r="KWG241" s="4"/>
      <c r="KWH241" s="4"/>
      <c r="KWI241" s="4"/>
      <c r="KWJ241" s="4"/>
      <c r="KWK241" s="4"/>
      <c r="KWL241" s="4"/>
      <c r="KWM241" s="4"/>
      <c r="KWN241" s="4"/>
      <c r="KWO241" s="4"/>
      <c r="KWP241" s="4"/>
      <c r="KWQ241" s="4"/>
      <c r="KWR241" s="4"/>
      <c r="KWS241" s="4"/>
      <c r="KWT241" s="4"/>
      <c r="KWU241" s="4"/>
      <c r="KWV241" s="4"/>
      <c r="KWW241" s="4"/>
      <c r="KWX241" s="4"/>
      <c r="KWY241" s="4"/>
      <c r="KWZ241" s="4"/>
      <c r="KXA241" s="4"/>
      <c r="KXB241" s="4"/>
      <c r="KXC241" s="4"/>
      <c r="KXD241" s="4"/>
      <c r="KXE241" s="4"/>
      <c r="KXF241" s="4"/>
      <c r="KXG241" s="4"/>
      <c r="KXH241" s="4"/>
      <c r="KXI241" s="4"/>
      <c r="KXJ241" s="4"/>
      <c r="KXK241" s="4"/>
      <c r="KXL241" s="4"/>
      <c r="KXM241" s="4"/>
      <c r="KXN241" s="4"/>
      <c r="KXO241" s="4"/>
      <c r="KXP241" s="4"/>
      <c r="KXQ241" s="4"/>
      <c r="KXR241" s="4"/>
      <c r="KXS241" s="4"/>
      <c r="KXT241" s="4"/>
      <c r="KXU241" s="4"/>
      <c r="KXV241" s="4"/>
      <c r="KXW241" s="4"/>
      <c r="KXX241" s="4"/>
      <c r="KXY241" s="4"/>
      <c r="KXZ241" s="4"/>
      <c r="KYA241" s="4"/>
      <c r="KYB241" s="4"/>
      <c r="KYC241" s="4"/>
      <c r="KYD241" s="4"/>
      <c r="KYE241" s="4"/>
      <c r="KYF241" s="4"/>
      <c r="KYG241" s="4"/>
      <c r="KYH241" s="4"/>
      <c r="KYI241" s="4"/>
      <c r="KYJ241" s="4"/>
      <c r="KYK241" s="4"/>
      <c r="KYL241" s="4"/>
      <c r="KYM241" s="4"/>
      <c r="KYN241" s="4"/>
      <c r="KYO241" s="4"/>
      <c r="KYP241" s="4"/>
      <c r="KYQ241" s="4"/>
      <c r="KYR241" s="4"/>
      <c r="KYS241" s="4"/>
      <c r="KYT241" s="4"/>
      <c r="KYU241" s="4"/>
      <c r="KYV241" s="4"/>
      <c r="KYW241" s="4"/>
      <c r="KYX241" s="4"/>
      <c r="KYY241" s="4"/>
      <c r="KYZ241" s="4"/>
      <c r="KZA241" s="4"/>
      <c r="KZB241" s="4"/>
      <c r="KZC241" s="4"/>
      <c r="KZD241" s="4"/>
      <c r="KZE241" s="4"/>
      <c r="KZF241" s="4"/>
      <c r="KZG241" s="4"/>
      <c r="KZH241" s="4"/>
      <c r="KZI241" s="4"/>
      <c r="KZJ241" s="4"/>
      <c r="KZK241" s="4"/>
      <c r="KZL241" s="4"/>
      <c r="KZM241" s="4"/>
      <c r="KZN241" s="4"/>
      <c r="KZO241" s="4"/>
      <c r="KZP241" s="4"/>
      <c r="KZQ241" s="4"/>
      <c r="KZR241" s="4"/>
      <c r="KZS241" s="4"/>
      <c r="KZT241" s="4"/>
      <c r="KZU241" s="4"/>
      <c r="KZV241" s="4"/>
      <c r="KZW241" s="4"/>
      <c r="KZX241" s="4"/>
      <c r="KZY241" s="4"/>
      <c r="KZZ241" s="4"/>
      <c r="LAA241" s="4"/>
      <c r="LAB241" s="4"/>
      <c r="LAC241" s="4"/>
      <c r="LAD241" s="4"/>
      <c r="LAE241" s="4"/>
      <c r="LAF241" s="4"/>
      <c r="LAG241" s="4"/>
      <c r="LAH241" s="4"/>
      <c r="LAI241" s="4"/>
      <c r="LAJ241" s="4"/>
      <c r="LAK241" s="4"/>
      <c r="LAL241" s="4"/>
      <c r="LAM241" s="4"/>
      <c r="LAN241" s="4"/>
      <c r="LAO241" s="4"/>
      <c r="LAP241" s="4"/>
      <c r="LAQ241" s="4"/>
      <c r="LAR241" s="4"/>
      <c r="LAS241" s="4"/>
      <c r="LAT241" s="4"/>
      <c r="LAU241" s="4"/>
      <c r="LAV241" s="4"/>
      <c r="LAW241" s="4"/>
      <c r="LAX241" s="4"/>
      <c r="LAY241" s="4"/>
      <c r="LAZ241" s="4"/>
      <c r="LBA241" s="4"/>
      <c r="LBB241" s="4"/>
      <c r="LBC241" s="4"/>
      <c r="LBD241" s="4"/>
      <c r="LBE241" s="4"/>
      <c r="LBF241" s="4"/>
      <c r="LBG241" s="4"/>
      <c r="LBH241" s="4"/>
      <c r="LBI241" s="4"/>
      <c r="LBJ241" s="4"/>
      <c r="LBK241" s="4"/>
      <c r="LBL241" s="4"/>
      <c r="LBM241" s="4"/>
      <c r="LBN241" s="4"/>
      <c r="LBO241" s="4"/>
      <c r="LBP241" s="4"/>
      <c r="LBQ241" s="4"/>
      <c r="LBR241" s="4"/>
      <c r="LBS241" s="4"/>
      <c r="LBT241" s="4"/>
      <c r="LBU241" s="4"/>
      <c r="LBV241" s="4"/>
      <c r="LBW241" s="4"/>
      <c r="LBX241" s="4"/>
      <c r="LBY241" s="4"/>
      <c r="LBZ241" s="4"/>
      <c r="LCA241" s="4"/>
      <c r="LCB241" s="4"/>
      <c r="LCC241" s="4"/>
      <c r="LCD241" s="4"/>
      <c r="LCE241" s="4"/>
      <c r="LCF241" s="4"/>
      <c r="LCG241" s="4"/>
      <c r="LCH241" s="4"/>
      <c r="LCI241" s="4"/>
      <c r="LCJ241" s="4"/>
      <c r="LCK241" s="4"/>
      <c r="LCL241" s="4"/>
      <c r="LCM241" s="4"/>
      <c r="LCN241" s="4"/>
      <c r="LCO241" s="4"/>
      <c r="LCP241" s="4"/>
      <c r="LCQ241" s="4"/>
      <c r="LCR241" s="4"/>
      <c r="LCS241" s="4"/>
      <c r="LCT241" s="4"/>
      <c r="LCU241" s="4"/>
      <c r="LCV241" s="4"/>
      <c r="LCW241" s="4"/>
      <c r="LCX241" s="4"/>
      <c r="LCY241" s="4"/>
      <c r="LCZ241" s="4"/>
      <c r="LDA241" s="4"/>
      <c r="LDB241" s="4"/>
      <c r="LDC241" s="4"/>
      <c r="LDD241" s="4"/>
      <c r="LDE241" s="4"/>
      <c r="LDF241" s="4"/>
      <c r="LDG241" s="4"/>
      <c r="LDH241" s="4"/>
      <c r="LDI241" s="4"/>
      <c r="LDJ241" s="4"/>
      <c r="LDK241" s="4"/>
      <c r="LDL241" s="4"/>
      <c r="LDM241" s="4"/>
      <c r="LDN241" s="4"/>
      <c r="LDO241" s="4"/>
      <c r="LDP241" s="4"/>
      <c r="LDQ241" s="4"/>
      <c r="LDR241" s="4"/>
      <c r="LDS241" s="4"/>
      <c r="LDT241" s="4"/>
      <c r="LDU241" s="4"/>
      <c r="LDV241" s="4"/>
      <c r="LDW241" s="4"/>
      <c r="LDX241" s="4"/>
      <c r="LDY241" s="4"/>
      <c r="LDZ241" s="4"/>
      <c r="LEA241" s="4"/>
      <c r="LEB241" s="4"/>
      <c r="LEC241" s="4"/>
      <c r="LED241" s="4"/>
      <c r="LEE241" s="4"/>
      <c r="LEF241" s="4"/>
      <c r="LEG241" s="4"/>
      <c r="LEH241" s="4"/>
      <c r="LEI241" s="4"/>
      <c r="LEJ241" s="4"/>
      <c r="LEK241" s="4"/>
      <c r="LEL241" s="4"/>
      <c r="LEM241" s="4"/>
      <c r="LEN241" s="4"/>
      <c r="LEO241" s="4"/>
      <c r="LEP241" s="4"/>
      <c r="LEQ241" s="4"/>
      <c r="LER241" s="4"/>
      <c r="LES241" s="4"/>
      <c r="LET241" s="4"/>
      <c r="LEU241" s="4"/>
      <c r="LEV241" s="4"/>
      <c r="LEW241" s="4"/>
      <c r="LEX241" s="4"/>
      <c r="LEY241" s="4"/>
      <c r="LEZ241" s="4"/>
      <c r="LFA241" s="4"/>
      <c r="LFB241" s="4"/>
      <c r="LFC241" s="4"/>
      <c r="LFD241" s="4"/>
      <c r="LFE241" s="4"/>
      <c r="LFF241" s="4"/>
      <c r="LFG241" s="4"/>
      <c r="LFH241" s="4"/>
      <c r="LFI241" s="4"/>
      <c r="LFJ241" s="4"/>
      <c r="LFK241" s="4"/>
      <c r="LFL241" s="4"/>
      <c r="LFM241" s="4"/>
      <c r="LFN241" s="4"/>
      <c r="LFO241" s="4"/>
      <c r="LFP241" s="4"/>
      <c r="LFQ241" s="4"/>
      <c r="LFR241" s="4"/>
      <c r="LFS241" s="4"/>
      <c r="LFT241" s="4"/>
      <c r="LFU241" s="4"/>
      <c r="LFV241" s="4"/>
      <c r="LFW241" s="4"/>
      <c r="LFX241" s="4"/>
      <c r="LFY241" s="4"/>
      <c r="LFZ241" s="4"/>
      <c r="LGA241" s="4"/>
      <c r="LGB241" s="4"/>
      <c r="LGC241" s="4"/>
      <c r="LGD241" s="4"/>
      <c r="LGE241" s="4"/>
      <c r="LGF241" s="4"/>
      <c r="LGG241" s="4"/>
      <c r="LGH241" s="4"/>
      <c r="LGI241" s="4"/>
      <c r="LGJ241" s="4"/>
      <c r="LGK241" s="4"/>
      <c r="LGL241" s="4"/>
      <c r="LGM241" s="4"/>
      <c r="LGN241" s="4"/>
      <c r="LGO241" s="4"/>
      <c r="LGP241" s="4"/>
      <c r="LGQ241" s="4"/>
      <c r="LGR241" s="4"/>
      <c r="LGS241" s="4"/>
      <c r="LGT241" s="4"/>
      <c r="LGU241" s="4"/>
      <c r="LGV241" s="4"/>
      <c r="LGW241" s="4"/>
      <c r="LGX241" s="4"/>
      <c r="LGY241" s="4"/>
      <c r="LGZ241" s="4"/>
      <c r="LHA241" s="4"/>
      <c r="LHB241" s="4"/>
      <c r="LHC241" s="4"/>
      <c r="LHD241" s="4"/>
      <c r="LHE241" s="4"/>
      <c r="LHF241" s="4"/>
      <c r="LHG241" s="4"/>
      <c r="LHH241" s="4"/>
      <c r="LHI241" s="4"/>
      <c r="LHJ241" s="4"/>
      <c r="LHK241" s="4"/>
      <c r="LHL241" s="4"/>
      <c r="LHM241" s="4"/>
      <c r="LHN241" s="4"/>
      <c r="LHO241" s="4"/>
      <c r="LHP241" s="4"/>
      <c r="LHQ241" s="4"/>
      <c r="LHR241" s="4"/>
      <c r="LHS241" s="4"/>
      <c r="LHT241" s="4"/>
      <c r="LHU241" s="4"/>
      <c r="LHV241" s="4"/>
      <c r="LHW241" s="4"/>
      <c r="LHX241" s="4"/>
      <c r="LHY241" s="4"/>
      <c r="LHZ241" s="4"/>
      <c r="LIA241" s="4"/>
      <c r="LIB241" s="4"/>
      <c r="LIC241" s="4"/>
      <c r="LID241" s="4"/>
      <c r="LIE241" s="4"/>
      <c r="LIF241" s="4"/>
      <c r="LIG241" s="4"/>
      <c r="LIH241" s="4"/>
      <c r="LII241" s="4"/>
      <c r="LIJ241" s="4"/>
      <c r="LIK241" s="4"/>
      <c r="LIL241" s="4"/>
      <c r="LIM241" s="4"/>
      <c r="LIN241" s="4"/>
      <c r="LIO241" s="4"/>
      <c r="LIP241" s="4"/>
      <c r="LIQ241" s="4"/>
      <c r="LIR241" s="4"/>
      <c r="LIS241" s="4"/>
      <c r="LIT241" s="4"/>
      <c r="LIU241" s="4"/>
      <c r="LIV241" s="4"/>
      <c r="LIW241" s="4"/>
      <c r="LIX241" s="4"/>
      <c r="LIY241" s="4"/>
      <c r="LIZ241" s="4"/>
      <c r="LJA241" s="4"/>
      <c r="LJB241" s="4"/>
      <c r="LJC241" s="4"/>
      <c r="LJD241" s="4"/>
      <c r="LJE241" s="4"/>
      <c r="LJF241" s="4"/>
      <c r="LJG241" s="4"/>
      <c r="LJH241" s="4"/>
      <c r="LJI241" s="4"/>
      <c r="LJJ241" s="4"/>
      <c r="LJK241" s="4"/>
      <c r="LJL241" s="4"/>
      <c r="LJM241" s="4"/>
      <c r="LJN241" s="4"/>
      <c r="LJO241" s="4"/>
      <c r="LJP241" s="4"/>
      <c r="LJQ241" s="4"/>
      <c r="LJR241" s="4"/>
      <c r="LJS241" s="4"/>
      <c r="LJT241" s="4"/>
      <c r="LJU241" s="4"/>
      <c r="LJV241" s="4"/>
      <c r="LJW241" s="4"/>
      <c r="LJX241" s="4"/>
      <c r="LJY241" s="4"/>
      <c r="LJZ241" s="4"/>
      <c r="LKA241" s="4"/>
      <c r="LKB241" s="4"/>
      <c r="LKC241" s="4"/>
      <c r="LKD241" s="4"/>
      <c r="LKE241" s="4"/>
      <c r="LKF241" s="4"/>
      <c r="LKG241" s="4"/>
      <c r="LKH241" s="4"/>
      <c r="LKI241" s="4"/>
      <c r="LKJ241" s="4"/>
      <c r="LKK241" s="4"/>
      <c r="LKL241" s="4"/>
      <c r="LKM241" s="4"/>
      <c r="LKN241" s="4"/>
      <c r="LKO241" s="4"/>
      <c r="LKP241" s="4"/>
      <c r="LKQ241" s="4"/>
      <c r="LKR241" s="4"/>
      <c r="LKS241" s="4"/>
      <c r="LKT241" s="4"/>
      <c r="LKU241" s="4"/>
      <c r="LKV241" s="4"/>
      <c r="LKW241" s="4"/>
      <c r="LKX241" s="4"/>
      <c r="LKY241" s="4"/>
      <c r="LKZ241" s="4"/>
      <c r="LLA241" s="4"/>
      <c r="LLB241" s="4"/>
      <c r="LLC241" s="4"/>
      <c r="LLD241" s="4"/>
      <c r="LLE241" s="4"/>
      <c r="LLF241" s="4"/>
      <c r="LLG241" s="4"/>
      <c r="LLH241" s="4"/>
      <c r="LLI241" s="4"/>
      <c r="LLJ241" s="4"/>
      <c r="LLK241" s="4"/>
      <c r="LLL241" s="4"/>
      <c r="LLM241" s="4"/>
      <c r="LLN241" s="4"/>
      <c r="LLO241" s="4"/>
      <c r="LLP241" s="4"/>
      <c r="LLQ241" s="4"/>
      <c r="LLR241" s="4"/>
      <c r="LLS241" s="4"/>
      <c r="LLT241" s="4"/>
      <c r="LLU241" s="4"/>
      <c r="LLV241" s="4"/>
      <c r="LLW241" s="4"/>
      <c r="LLX241" s="4"/>
      <c r="LLY241" s="4"/>
      <c r="LLZ241" s="4"/>
      <c r="LMA241" s="4"/>
      <c r="LMB241" s="4"/>
      <c r="LMC241" s="4"/>
      <c r="LMD241" s="4"/>
      <c r="LME241" s="4"/>
      <c r="LMF241" s="4"/>
      <c r="LMG241" s="4"/>
      <c r="LMH241" s="4"/>
      <c r="LMI241" s="4"/>
      <c r="LMJ241" s="4"/>
      <c r="LMK241" s="4"/>
      <c r="LML241" s="4"/>
      <c r="LMM241" s="4"/>
      <c r="LMN241" s="4"/>
      <c r="LMO241" s="4"/>
      <c r="LMP241" s="4"/>
      <c r="LMQ241" s="4"/>
      <c r="LMR241" s="4"/>
      <c r="LMS241" s="4"/>
      <c r="LMT241" s="4"/>
      <c r="LMU241" s="4"/>
      <c r="LMV241" s="4"/>
      <c r="LMW241" s="4"/>
      <c r="LMX241" s="4"/>
      <c r="LMY241" s="4"/>
      <c r="LMZ241" s="4"/>
      <c r="LNA241" s="4"/>
      <c r="LNB241" s="4"/>
      <c r="LNC241" s="4"/>
      <c r="LND241" s="4"/>
      <c r="LNE241" s="4"/>
      <c r="LNF241" s="4"/>
      <c r="LNG241" s="4"/>
      <c r="LNH241" s="4"/>
      <c r="LNI241" s="4"/>
      <c r="LNJ241" s="4"/>
      <c r="LNK241" s="4"/>
      <c r="LNL241" s="4"/>
      <c r="LNM241" s="4"/>
      <c r="LNN241" s="4"/>
      <c r="LNO241" s="4"/>
      <c r="LNP241" s="4"/>
      <c r="LNQ241" s="4"/>
      <c r="LNR241" s="4"/>
      <c r="LNS241" s="4"/>
      <c r="LNT241" s="4"/>
      <c r="LNU241" s="4"/>
      <c r="LNV241" s="4"/>
      <c r="LNW241" s="4"/>
      <c r="LNX241" s="4"/>
      <c r="LNY241" s="4"/>
      <c r="LNZ241" s="4"/>
      <c r="LOA241" s="4"/>
      <c r="LOB241" s="4"/>
      <c r="LOC241" s="4"/>
      <c r="LOD241" s="4"/>
      <c r="LOE241" s="4"/>
      <c r="LOF241" s="4"/>
      <c r="LOG241" s="4"/>
      <c r="LOH241" s="4"/>
      <c r="LOI241" s="4"/>
      <c r="LOJ241" s="4"/>
      <c r="LOK241" s="4"/>
      <c r="LOL241" s="4"/>
      <c r="LOM241" s="4"/>
      <c r="LON241" s="4"/>
      <c r="LOO241" s="4"/>
      <c r="LOP241" s="4"/>
      <c r="LOQ241" s="4"/>
      <c r="LOR241" s="4"/>
      <c r="LOS241" s="4"/>
      <c r="LOT241" s="4"/>
      <c r="LOU241" s="4"/>
      <c r="LOV241" s="4"/>
      <c r="LOW241" s="4"/>
      <c r="LOX241" s="4"/>
      <c r="LOY241" s="4"/>
      <c r="LOZ241" s="4"/>
      <c r="LPA241" s="4"/>
      <c r="LPB241" s="4"/>
      <c r="LPC241" s="4"/>
      <c r="LPD241" s="4"/>
      <c r="LPE241" s="4"/>
      <c r="LPF241" s="4"/>
      <c r="LPG241" s="4"/>
      <c r="LPH241" s="4"/>
      <c r="LPI241" s="4"/>
      <c r="LPJ241" s="4"/>
      <c r="LPK241" s="4"/>
      <c r="LPL241" s="4"/>
      <c r="LPM241" s="4"/>
      <c r="LPN241" s="4"/>
      <c r="LPO241" s="4"/>
      <c r="LPP241" s="4"/>
      <c r="LPQ241" s="4"/>
      <c r="LPR241" s="4"/>
      <c r="LPS241" s="4"/>
      <c r="LPT241" s="4"/>
      <c r="LPU241" s="4"/>
      <c r="LPV241" s="4"/>
      <c r="LPW241" s="4"/>
      <c r="LPX241" s="4"/>
      <c r="LPY241" s="4"/>
      <c r="LPZ241" s="4"/>
      <c r="LQA241" s="4"/>
      <c r="LQB241" s="4"/>
      <c r="LQC241" s="4"/>
      <c r="LQD241" s="4"/>
      <c r="LQE241" s="4"/>
      <c r="LQF241" s="4"/>
      <c r="LQG241" s="4"/>
      <c r="LQH241" s="4"/>
      <c r="LQI241" s="4"/>
      <c r="LQJ241" s="4"/>
      <c r="LQK241" s="4"/>
      <c r="LQL241" s="4"/>
      <c r="LQM241" s="4"/>
      <c r="LQN241" s="4"/>
      <c r="LQO241" s="4"/>
      <c r="LQP241" s="4"/>
      <c r="LQQ241" s="4"/>
      <c r="LQR241" s="4"/>
      <c r="LQS241" s="4"/>
      <c r="LQT241" s="4"/>
      <c r="LQU241" s="4"/>
      <c r="LQV241" s="4"/>
      <c r="LQW241" s="4"/>
      <c r="LQX241" s="4"/>
      <c r="LQY241" s="4"/>
      <c r="LQZ241" s="4"/>
      <c r="LRA241" s="4"/>
      <c r="LRB241" s="4"/>
      <c r="LRC241" s="4"/>
      <c r="LRD241" s="4"/>
      <c r="LRE241" s="4"/>
      <c r="LRF241" s="4"/>
      <c r="LRG241" s="4"/>
      <c r="LRH241" s="4"/>
      <c r="LRI241" s="4"/>
      <c r="LRJ241" s="4"/>
      <c r="LRK241" s="4"/>
      <c r="LRL241" s="4"/>
      <c r="LRM241" s="4"/>
      <c r="LRN241" s="4"/>
      <c r="LRO241" s="4"/>
      <c r="LRP241" s="4"/>
      <c r="LRQ241" s="4"/>
      <c r="LRR241" s="4"/>
      <c r="LRS241" s="4"/>
      <c r="LRT241" s="4"/>
      <c r="LRU241" s="4"/>
      <c r="LRV241" s="4"/>
      <c r="LRW241" s="4"/>
      <c r="LRX241" s="4"/>
      <c r="LRY241" s="4"/>
      <c r="LRZ241" s="4"/>
      <c r="LSA241" s="4"/>
      <c r="LSB241" s="4"/>
      <c r="LSC241" s="4"/>
      <c r="LSD241" s="4"/>
      <c r="LSE241" s="4"/>
      <c r="LSF241" s="4"/>
      <c r="LSG241" s="4"/>
      <c r="LSH241" s="4"/>
      <c r="LSI241" s="4"/>
      <c r="LSJ241" s="4"/>
      <c r="LSK241" s="4"/>
      <c r="LSL241" s="4"/>
      <c r="LSM241" s="4"/>
      <c r="LSN241" s="4"/>
      <c r="LSO241" s="4"/>
      <c r="LSP241" s="4"/>
      <c r="LSQ241" s="4"/>
      <c r="LSR241" s="4"/>
      <c r="LSS241" s="4"/>
      <c r="LST241" s="4"/>
      <c r="LSU241" s="4"/>
      <c r="LSV241" s="4"/>
      <c r="LSW241" s="4"/>
      <c r="LSX241" s="4"/>
      <c r="LSY241" s="4"/>
      <c r="LSZ241" s="4"/>
      <c r="LTA241" s="4"/>
      <c r="LTB241" s="4"/>
      <c r="LTC241" s="4"/>
      <c r="LTD241" s="4"/>
      <c r="LTE241" s="4"/>
      <c r="LTF241" s="4"/>
      <c r="LTG241" s="4"/>
      <c r="LTH241" s="4"/>
      <c r="LTI241" s="4"/>
      <c r="LTJ241" s="4"/>
      <c r="LTK241" s="4"/>
      <c r="LTL241" s="4"/>
      <c r="LTM241" s="4"/>
      <c r="LTN241" s="4"/>
      <c r="LTO241" s="4"/>
      <c r="LTP241" s="4"/>
      <c r="LTQ241" s="4"/>
      <c r="LTR241" s="4"/>
      <c r="LTS241" s="4"/>
      <c r="LTT241" s="4"/>
      <c r="LTU241" s="4"/>
      <c r="LTV241" s="4"/>
      <c r="LTW241" s="4"/>
      <c r="LTX241" s="4"/>
      <c r="LTY241" s="4"/>
      <c r="LTZ241" s="4"/>
      <c r="LUA241" s="4"/>
      <c r="LUB241" s="4"/>
      <c r="LUC241" s="4"/>
      <c r="LUD241" s="4"/>
      <c r="LUE241" s="4"/>
      <c r="LUF241" s="4"/>
      <c r="LUG241" s="4"/>
      <c r="LUH241" s="4"/>
      <c r="LUI241" s="4"/>
      <c r="LUJ241" s="4"/>
      <c r="LUK241" s="4"/>
      <c r="LUL241" s="4"/>
      <c r="LUM241" s="4"/>
      <c r="LUN241" s="4"/>
      <c r="LUO241" s="4"/>
      <c r="LUP241" s="4"/>
      <c r="LUQ241" s="4"/>
      <c r="LUR241" s="4"/>
      <c r="LUS241" s="4"/>
      <c r="LUT241" s="4"/>
      <c r="LUU241" s="4"/>
      <c r="LUV241" s="4"/>
      <c r="LUW241" s="4"/>
      <c r="LUX241" s="4"/>
      <c r="LUY241" s="4"/>
      <c r="LUZ241" s="4"/>
      <c r="LVA241" s="4"/>
      <c r="LVB241" s="4"/>
      <c r="LVC241" s="4"/>
      <c r="LVD241" s="4"/>
      <c r="LVE241" s="4"/>
      <c r="LVF241" s="4"/>
      <c r="LVG241" s="4"/>
      <c r="LVH241" s="4"/>
      <c r="LVI241" s="4"/>
      <c r="LVJ241" s="4"/>
      <c r="LVK241" s="4"/>
      <c r="LVL241" s="4"/>
      <c r="LVM241" s="4"/>
      <c r="LVN241" s="4"/>
      <c r="LVO241" s="4"/>
      <c r="LVP241" s="4"/>
      <c r="LVQ241" s="4"/>
      <c r="LVR241" s="4"/>
      <c r="LVS241" s="4"/>
      <c r="LVT241" s="4"/>
      <c r="LVU241" s="4"/>
      <c r="LVV241" s="4"/>
      <c r="LVW241" s="4"/>
      <c r="LVX241" s="4"/>
      <c r="LVY241" s="4"/>
      <c r="LVZ241" s="4"/>
      <c r="LWA241" s="4"/>
      <c r="LWB241" s="4"/>
      <c r="LWC241" s="4"/>
      <c r="LWD241" s="4"/>
      <c r="LWE241" s="4"/>
      <c r="LWF241" s="4"/>
      <c r="LWG241" s="4"/>
      <c r="LWH241" s="4"/>
      <c r="LWI241" s="4"/>
      <c r="LWJ241" s="4"/>
      <c r="LWK241" s="4"/>
      <c r="LWL241" s="4"/>
      <c r="LWM241" s="4"/>
      <c r="LWN241" s="4"/>
      <c r="LWO241" s="4"/>
      <c r="LWP241" s="4"/>
      <c r="LWQ241" s="4"/>
      <c r="LWR241" s="4"/>
      <c r="LWS241" s="4"/>
      <c r="LWT241" s="4"/>
      <c r="LWU241" s="4"/>
      <c r="LWV241" s="4"/>
      <c r="LWW241" s="4"/>
      <c r="LWX241" s="4"/>
      <c r="LWY241" s="4"/>
      <c r="LWZ241" s="4"/>
      <c r="LXA241" s="4"/>
      <c r="LXB241" s="4"/>
      <c r="LXC241" s="4"/>
      <c r="LXD241" s="4"/>
      <c r="LXE241" s="4"/>
      <c r="LXF241" s="4"/>
      <c r="LXG241" s="4"/>
      <c r="LXH241" s="4"/>
      <c r="LXI241" s="4"/>
      <c r="LXJ241" s="4"/>
      <c r="LXK241" s="4"/>
      <c r="LXL241" s="4"/>
      <c r="LXM241" s="4"/>
      <c r="LXN241" s="4"/>
      <c r="LXO241" s="4"/>
      <c r="LXP241" s="4"/>
      <c r="LXQ241" s="4"/>
      <c r="LXR241" s="4"/>
      <c r="LXS241" s="4"/>
      <c r="LXT241" s="4"/>
      <c r="LXU241" s="4"/>
      <c r="LXV241" s="4"/>
      <c r="LXW241" s="4"/>
      <c r="LXX241" s="4"/>
      <c r="LXY241" s="4"/>
      <c r="LXZ241" s="4"/>
      <c r="LYA241" s="4"/>
      <c r="LYB241" s="4"/>
      <c r="LYC241" s="4"/>
      <c r="LYD241" s="4"/>
      <c r="LYE241" s="4"/>
      <c r="LYF241" s="4"/>
      <c r="LYG241" s="4"/>
      <c r="LYH241" s="4"/>
      <c r="LYI241" s="4"/>
      <c r="LYJ241" s="4"/>
      <c r="LYK241" s="4"/>
      <c r="LYL241" s="4"/>
      <c r="LYM241" s="4"/>
      <c r="LYN241" s="4"/>
      <c r="LYO241" s="4"/>
      <c r="LYP241" s="4"/>
      <c r="LYQ241" s="4"/>
      <c r="LYR241" s="4"/>
      <c r="LYS241" s="4"/>
      <c r="LYT241" s="4"/>
      <c r="LYU241" s="4"/>
      <c r="LYV241" s="4"/>
      <c r="LYW241" s="4"/>
      <c r="LYX241" s="4"/>
      <c r="LYY241" s="4"/>
      <c r="LYZ241" s="4"/>
      <c r="LZA241" s="4"/>
      <c r="LZB241" s="4"/>
      <c r="LZC241" s="4"/>
      <c r="LZD241" s="4"/>
      <c r="LZE241" s="4"/>
      <c r="LZF241" s="4"/>
      <c r="LZG241" s="4"/>
      <c r="LZH241" s="4"/>
      <c r="LZI241" s="4"/>
      <c r="LZJ241" s="4"/>
      <c r="LZK241" s="4"/>
      <c r="LZL241" s="4"/>
      <c r="LZM241" s="4"/>
      <c r="LZN241" s="4"/>
      <c r="LZO241" s="4"/>
      <c r="LZP241" s="4"/>
      <c r="LZQ241" s="4"/>
      <c r="LZR241" s="4"/>
      <c r="LZS241" s="4"/>
      <c r="LZT241" s="4"/>
      <c r="LZU241" s="4"/>
      <c r="LZV241" s="4"/>
      <c r="LZW241" s="4"/>
      <c r="LZX241" s="4"/>
      <c r="LZY241" s="4"/>
      <c r="LZZ241" s="4"/>
      <c r="MAA241" s="4"/>
      <c r="MAB241" s="4"/>
      <c r="MAC241" s="4"/>
      <c r="MAD241" s="4"/>
      <c r="MAE241" s="4"/>
      <c r="MAF241" s="4"/>
      <c r="MAG241" s="4"/>
      <c r="MAH241" s="4"/>
      <c r="MAI241" s="4"/>
      <c r="MAJ241" s="4"/>
      <c r="MAK241" s="4"/>
      <c r="MAL241" s="4"/>
      <c r="MAM241" s="4"/>
      <c r="MAN241" s="4"/>
      <c r="MAO241" s="4"/>
      <c r="MAP241" s="4"/>
      <c r="MAQ241" s="4"/>
      <c r="MAR241" s="4"/>
      <c r="MAS241" s="4"/>
      <c r="MAT241" s="4"/>
      <c r="MAU241" s="4"/>
      <c r="MAV241" s="4"/>
      <c r="MAW241" s="4"/>
      <c r="MAX241" s="4"/>
      <c r="MAY241" s="4"/>
      <c r="MAZ241" s="4"/>
      <c r="MBA241" s="4"/>
      <c r="MBB241" s="4"/>
      <c r="MBC241" s="4"/>
      <c r="MBD241" s="4"/>
      <c r="MBE241" s="4"/>
      <c r="MBF241" s="4"/>
      <c r="MBG241" s="4"/>
      <c r="MBH241" s="4"/>
      <c r="MBI241" s="4"/>
      <c r="MBJ241" s="4"/>
      <c r="MBK241" s="4"/>
      <c r="MBL241" s="4"/>
      <c r="MBM241" s="4"/>
      <c r="MBN241" s="4"/>
      <c r="MBO241" s="4"/>
      <c r="MBP241" s="4"/>
      <c r="MBQ241" s="4"/>
      <c r="MBR241" s="4"/>
      <c r="MBS241" s="4"/>
      <c r="MBT241" s="4"/>
      <c r="MBU241" s="4"/>
      <c r="MBV241" s="4"/>
      <c r="MBW241" s="4"/>
      <c r="MBX241" s="4"/>
      <c r="MBY241" s="4"/>
      <c r="MBZ241" s="4"/>
      <c r="MCA241" s="4"/>
      <c r="MCB241" s="4"/>
      <c r="MCC241" s="4"/>
      <c r="MCD241" s="4"/>
      <c r="MCE241" s="4"/>
      <c r="MCF241" s="4"/>
      <c r="MCG241" s="4"/>
      <c r="MCH241" s="4"/>
      <c r="MCI241" s="4"/>
      <c r="MCJ241" s="4"/>
      <c r="MCK241" s="4"/>
      <c r="MCL241" s="4"/>
      <c r="MCM241" s="4"/>
      <c r="MCN241" s="4"/>
      <c r="MCO241" s="4"/>
      <c r="MCP241" s="4"/>
      <c r="MCQ241" s="4"/>
      <c r="MCR241" s="4"/>
      <c r="MCS241" s="4"/>
      <c r="MCT241" s="4"/>
      <c r="MCU241" s="4"/>
      <c r="MCV241" s="4"/>
      <c r="MCW241" s="4"/>
      <c r="MCX241" s="4"/>
      <c r="MCY241" s="4"/>
      <c r="MCZ241" s="4"/>
      <c r="MDA241" s="4"/>
      <c r="MDB241" s="4"/>
      <c r="MDC241" s="4"/>
      <c r="MDD241" s="4"/>
      <c r="MDE241" s="4"/>
      <c r="MDF241" s="4"/>
      <c r="MDG241" s="4"/>
      <c r="MDH241" s="4"/>
      <c r="MDI241" s="4"/>
      <c r="MDJ241" s="4"/>
      <c r="MDK241" s="4"/>
      <c r="MDL241" s="4"/>
      <c r="MDM241" s="4"/>
      <c r="MDN241" s="4"/>
      <c r="MDO241" s="4"/>
      <c r="MDP241" s="4"/>
      <c r="MDQ241" s="4"/>
      <c r="MDR241" s="4"/>
      <c r="MDS241" s="4"/>
      <c r="MDT241" s="4"/>
      <c r="MDU241" s="4"/>
      <c r="MDV241" s="4"/>
      <c r="MDW241" s="4"/>
      <c r="MDX241" s="4"/>
      <c r="MDY241" s="4"/>
      <c r="MDZ241" s="4"/>
      <c r="MEA241" s="4"/>
      <c r="MEB241" s="4"/>
      <c r="MEC241" s="4"/>
      <c r="MED241" s="4"/>
      <c r="MEE241" s="4"/>
      <c r="MEF241" s="4"/>
      <c r="MEG241" s="4"/>
      <c r="MEH241" s="4"/>
      <c r="MEI241" s="4"/>
      <c r="MEJ241" s="4"/>
      <c r="MEK241" s="4"/>
      <c r="MEL241" s="4"/>
      <c r="MEM241" s="4"/>
      <c r="MEN241" s="4"/>
      <c r="MEO241" s="4"/>
      <c r="MEP241" s="4"/>
      <c r="MEQ241" s="4"/>
      <c r="MER241" s="4"/>
      <c r="MES241" s="4"/>
      <c r="MET241" s="4"/>
      <c r="MEU241" s="4"/>
      <c r="MEV241" s="4"/>
      <c r="MEW241" s="4"/>
      <c r="MEX241" s="4"/>
      <c r="MEY241" s="4"/>
      <c r="MEZ241" s="4"/>
      <c r="MFA241" s="4"/>
      <c r="MFB241" s="4"/>
      <c r="MFC241" s="4"/>
      <c r="MFD241" s="4"/>
      <c r="MFE241" s="4"/>
      <c r="MFF241" s="4"/>
      <c r="MFG241" s="4"/>
      <c r="MFH241" s="4"/>
      <c r="MFI241" s="4"/>
      <c r="MFJ241" s="4"/>
      <c r="MFK241" s="4"/>
      <c r="MFL241" s="4"/>
      <c r="MFM241" s="4"/>
      <c r="MFN241" s="4"/>
      <c r="MFO241" s="4"/>
      <c r="MFP241" s="4"/>
      <c r="MFQ241" s="4"/>
      <c r="MFR241" s="4"/>
      <c r="MFS241" s="4"/>
      <c r="MFT241" s="4"/>
      <c r="MFU241" s="4"/>
      <c r="MFV241" s="4"/>
      <c r="MFW241" s="4"/>
      <c r="MFX241" s="4"/>
      <c r="MFY241" s="4"/>
      <c r="MFZ241" s="4"/>
      <c r="MGA241" s="4"/>
      <c r="MGB241" s="4"/>
      <c r="MGC241" s="4"/>
      <c r="MGD241" s="4"/>
      <c r="MGE241" s="4"/>
      <c r="MGF241" s="4"/>
      <c r="MGG241" s="4"/>
      <c r="MGH241" s="4"/>
      <c r="MGI241" s="4"/>
      <c r="MGJ241" s="4"/>
      <c r="MGK241" s="4"/>
      <c r="MGL241" s="4"/>
      <c r="MGM241" s="4"/>
      <c r="MGN241" s="4"/>
      <c r="MGO241" s="4"/>
      <c r="MGP241" s="4"/>
      <c r="MGQ241" s="4"/>
      <c r="MGR241" s="4"/>
      <c r="MGS241" s="4"/>
      <c r="MGT241" s="4"/>
      <c r="MGU241" s="4"/>
      <c r="MGV241" s="4"/>
      <c r="MGW241" s="4"/>
      <c r="MGX241" s="4"/>
      <c r="MGY241" s="4"/>
      <c r="MGZ241" s="4"/>
      <c r="MHA241" s="4"/>
      <c r="MHB241" s="4"/>
      <c r="MHC241" s="4"/>
      <c r="MHD241" s="4"/>
      <c r="MHE241" s="4"/>
      <c r="MHF241" s="4"/>
      <c r="MHG241" s="4"/>
      <c r="MHH241" s="4"/>
      <c r="MHI241" s="4"/>
      <c r="MHJ241" s="4"/>
      <c r="MHK241" s="4"/>
      <c r="MHL241" s="4"/>
      <c r="MHM241" s="4"/>
      <c r="MHN241" s="4"/>
      <c r="MHO241" s="4"/>
      <c r="MHP241" s="4"/>
      <c r="MHQ241" s="4"/>
      <c r="MHR241" s="4"/>
      <c r="MHS241" s="4"/>
      <c r="MHT241" s="4"/>
      <c r="MHU241" s="4"/>
      <c r="MHV241" s="4"/>
      <c r="MHW241" s="4"/>
      <c r="MHX241" s="4"/>
      <c r="MHY241" s="4"/>
      <c r="MHZ241" s="4"/>
      <c r="MIA241" s="4"/>
      <c r="MIB241" s="4"/>
      <c r="MIC241" s="4"/>
      <c r="MID241" s="4"/>
      <c r="MIE241" s="4"/>
      <c r="MIF241" s="4"/>
      <c r="MIG241" s="4"/>
      <c r="MIH241" s="4"/>
      <c r="MII241" s="4"/>
      <c r="MIJ241" s="4"/>
      <c r="MIK241" s="4"/>
      <c r="MIL241" s="4"/>
      <c r="MIM241" s="4"/>
      <c r="MIN241" s="4"/>
      <c r="MIO241" s="4"/>
      <c r="MIP241" s="4"/>
      <c r="MIQ241" s="4"/>
      <c r="MIR241" s="4"/>
      <c r="MIS241" s="4"/>
      <c r="MIT241" s="4"/>
      <c r="MIU241" s="4"/>
      <c r="MIV241" s="4"/>
      <c r="MIW241" s="4"/>
      <c r="MIX241" s="4"/>
      <c r="MIY241" s="4"/>
      <c r="MIZ241" s="4"/>
      <c r="MJA241" s="4"/>
      <c r="MJB241" s="4"/>
      <c r="MJC241" s="4"/>
      <c r="MJD241" s="4"/>
      <c r="MJE241" s="4"/>
      <c r="MJF241" s="4"/>
      <c r="MJG241" s="4"/>
      <c r="MJH241" s="4"/>
      <c r="MJI241" s="4"/>
      <c r="MJJ241" s="4"/>
      <c r="MJK241" s="4"/>
      <c r="MJL241" s="4"/>
      <c r="MJM241" s="4"/>
      <c r="MJN241" s="4"/>
      <c r="MJO241" s="4"/>
      <c r="MJP241" s="4"/>
      <c r="MJQ241" s="4"/>
      <c r="MJR241" s="4"/>
      <c r="MJS241" s="4"/>
      <c r="MJT241" s="4"/>
      <c r="MJU241" s="4"/>
      <c r="MJV241" s="4"/>
      <c r="MJW241" s="4"/>
      <c r="MJX241" s="4"/>
      <c r="MJY241" s="4"/>
      <c r="MJZ241" s="4"/>
      <c r="MKA241" s="4"/>
      <c r="MKB241" s="4"/>
      <c r="MKC241" s="4"/>
      <c r="MKD241" s="4"/>
      <c r="MKE241" s="4"/>
      <c r="MKF241" s="4"/>
      <c r="MKG241" s="4"/>
      <c r="MKH241" s="4"/>
      <c r="MKI241" s="4"/>
      <c r="MKJ241" s="4"/>
      <c r="MKK241" s="4"/>
      <c r="MKL241" s="4"/>
      <c r="MKM241" s="4"/>
      <c r="MKN241" s="4"/>
      <c r="MKO241" s="4"/>
      <c r="MKP241" s="4"/>
      <c r="MKQ241" s="4"/>
      <c r="MKR241" s="4"/>
      <c r="MKS241" s="4"/>
      <c r="MKT241" s="4"/>
      <c r="MKU241" s="4"/>
      <c r="MKV241" s="4"/>
      <c r="MKW241" s="4"/>
      <c r="MKX241" s="4"/>
      <c r="MKY241" s="4"/>
      <c r="MKZ241" s="4"/>
      <c r="MLA241" s="4"/>
      <c r="MLB241" s="4"/>
      <c r="MLC241" s="4"/>
      <c r="MLD241" s="4"/>
      <c r="MLE241" s="4"/>
      <c r="MLF241" s="4"/>
      <c r="MLG241" s="4"/>
      <c r="MLH241" s="4"/>
      <c r="MLI241" s="4"/>
      <c r="MLJ241" s="4"/>
      <c r="MLK241" s="4"/>
      <c r="MLL241" s="4"/>
      <c r="MLM241" s="4"/>
      <c r="MLN241" s="4"/>
      <c r="MLO241" s="4"/>
      <c r="MLP241" s="4"/>
      <c r="MLQ241" s="4"/>
      <c r="MLR241" s="4"/>
      <c r="MLS241" s="4"/>
      <c r="MLT241" s="4"/>
      <c r="MLU241" s="4"/>
      <c r="MLV241" s="4"/>
      <c r="MLW241" s="4"/>
      <c r="MLX241" s="4"/>
      <c r="MLY241" s="4"/>
      <c r="MLZ241" s="4"/>
      <c r="MMA241" s="4"/>
      <c r="MMB241" s="4"/>
      <c r="MMC241" s="4"/>
      <c r="MMD241" s="4"/>
      <c r="MME241" s="4"/>
      <c r="MMF241" s="4"/>
      <c r="MMG241" s="4"/>
      <c r="MMH241" s="4"/>
      <c r="MMI241" s="4"/>
      <c r="MMJ241" s="4"/>
      <c r="MMK241" s="4"/>
      <c r="MML241" s="4"/>
      <c r="MMM241" s="4"/>
      <c r="MMN241" s="4"/>
      <c r="MMO241" s="4"/>
      <c r="MMP241" s="4"/>
      <c r="MMQ241" s="4"/>
      <c r="MMR241" s="4"/>
      <c r="MMS241" s="4"/>
      <c r="MMT241" s="4"/>
      <c r="MMU241" s="4"/>
      <c r="MMV241" s="4"/>
      <c r="MMW241" s="4"/>
      <c r="MMX241" s="4"/>
      <c r="MMY241" s="4"/>
      <c r="MMZ241" s="4"/>
      <c r="MNA241" s="4"/>
      <c r="MNB241" s="4"/>
      <c r="MNC241" s="4"/>
      <c r="MND241" s="4"/>
      <c r="MNE241" s="4"/>
      <c r="MNF241" s="4"/>
      <c r="MNG241" s="4"/>
      <c r="MNH241" s="4"/>
      <c r="MNI241" s="4"/>
      <c r="MNJ241" s="4"/>
      <c r="MNK241" s="4"/>
      <c r="MNL241" s="4"/>
      <c r="MNM241" s="4"/>
      <c r="MNN241" s="4"/>
      <c r="MNO241" s="4"/>
      <c r="MNP241" s="4"/>
      <c r="MNQ241" s="4"/>
      <c r="MNR241" s="4"/>
      <c r="MNS241" s="4"/>
      <c r="MNT241" s="4"/>
      <c r="MNU241" s="4"/>
      <c r="MNV241" s="4"/>
      <c r="MNW241" s="4"/>
      <c r="MNX241" s="4"/>
      <c r="MNY241" s="4"/>
      <c r="MNZ241" s="4"/>
      <c r="MOA241" s="4"/>
      <c r="MOB241" s="4"/>
      <c r="MOC241" s="4"/>
      <c r="MOD241" s="4"/>
      <c r="MOE241" s="4"/>
      <c r="MOF241" s="4"/>
      <c r="MOG241" s="4"/>
      <c r="MOH241" s="4"/>
      <c r="MOI241" s="4"/>
      <c r="MOJ241" s="4"/>
      <c r="MOK241" s="4"/>
      <c r="MOL241" s="4"/>
      <c r="MOM241" s="4"/>
      <c r="MON241" s="4"/>
      <c r="MOO241" s="4"/>
      <c r="MOP241" s="4"/>
      <c r="MOQ241" s="4"/>
      <c r="MOR241" s="4"/>
      <c r="MOS241" s="4"/>
      <c r="MOT241" s="4"/>
      <c r="MOU241" s="4"/>
      <c r="MOV241" s="4"/>
      <c r="MOW241" s="4"/>
      <c r="MOX241" s="4"/>
      <c r="MOY241" s="4"/>
      <c r="MOZ241" s="4"/>
      <c r="MPA241" s="4"/>
      <c r="MPB241" s="4"/>
      <c r="MPC241" s="4"/>
      <c r="MPD241" s="4"/>
      <c r="MPE241" s="4"/>
      <c r="MPF241" s="4"/>
      <c r="MPG241" s="4"/>
      <c r="MPH241" s="4"/>
      <c r="MPI241" s="4"/>
      <c r="MPJ241" s="4"/>
      <c r="MPK241" s="4"/>
      <c r="MPL241" s="4"/>
      <c r="MPM241" s="4"/>
      <c r="MPN241" s="4"/>
      <c r="MPO241" s="4"/>
      <c r="MPP241" s="4"/>
      <c r="MPQ241" s="4"/>
      <c r="MPR241" s="4"/>
      <c r="MPS241" s="4"/>
      <c r="MPT241" s="4"/>
      <c r="MPU241" s="4"/>
      <c r="MPV241" s="4"/>
      <c r="MPW241" s="4"/>
      <c r="MPX241" s="4"/>
      <c r="MPY241" s="4"/>
      <c r="MPZ241" s="4"/>
      <c r="MQA241" s="4"/>
      <c r="MQB241" s="4"/>
      <c r="MQC241" s="4"/>
      <c r="MQD241" s="4"/>
      <c r="MQE241" s="4"/>
      <c r="MQF241" s="4"/>
      <c r="MQG241" s="4"/>
      <c r="MQH241" s="4"/>
      <c r="MQI241" s="4"/>
      <c r="MQJ241" s="4"/>
      <c r="MQK241" s="4"/>
      <c r="MQL241" s="4"/>
      <c r="MQM241" s="4"/>
      <c r="MQN241" s="4"/>
      <c r="MQO241" s="4"/>
      <c r="MQP241" s="4"/>
      <c r="MQQ241" s="4"/>
      <c r="MQR241" s="4"/>
      <c r="MQS241" s="4"/>
      <c r="MQT241" s="4"/>
      <c r="MQU241" s="4"/>
      <c r="MQV241" s="4"/>
      <c r="MQW241" s="4"/>
      <c r="MQX241" s="4"/>
      <c r="MQY241" s="4"/>
      <c r="MQZ241" s="4"/>
      <c r="MRA241" s="4"/>
      <c r="MRB241" s="4"/>
      <c r="MRC241" s="4"/>
      <c r="MRD241" s="4"/>
      <c r="MRE241" s="4"/>
      <c r="MRF241" s="4"/>
      <c r="MRG241" s="4"/>
      <c r="MRH241" s="4"/>
      <c r="MRI241" s="4"/>
      <c r="MRJ241" s="4"/>
      <c r="MRK241" s="4"/>
      <c r="MRL241" s="4"/>
      <c r="MRM241" s="4"/>
      <c r="MRN241" s="4"/>
      <c r="MRO241" s="4"/>
      <c r="MRP241" s="4"/>
      <c r="MRQ241" s="4"/>
      <c r="MRR241" s="4"/>
      <c r="MRS241" s="4"/>
      <c r="MRT241" s="4"/>
      <c r="MRU241" s="4"/>
      <c r="MRV241" s="4"/>
      <c r="MRW241" s="4"/>
      <c r="MRX241" s="4"/>
      <c r="MRY241" s="4"/>
      <c r="MRZ241" s="4"/>
      <c r="MSA241" s="4"/>
      <c r="MSB241" s="4"/>
      <c r="MSC241" s="4"/>
      <c r="MSD241" s="4"/>
      <c r="MSE241" s="4"/>
      <c r="MSF241" s="4"/>
      <c r="MSG241" s="4"/>
      <c r="MSH241" s="4"/>
      <c r="MSI241" s="4"/>
      <c r="MSJ241" s="4"/>
      <c r="MSK241" s="4"/>
      <c r="MSL241" s="4"/>
      <c r="MSM241" s="4"/>
      <c r="MSN241" s="4"/>
      <c r="MSO241" s="4"/>
      <c r="MSP241" s="4"/>
      <c r="MSQ241" s="4"/>
      <c r="MSR241" s="4"/>
      <c r="MSS241" s="4"/>
      <c r="MST241" s="4"/>
      <c r="MSU241" s="4"/>
      <c r="MSV241" s="4"/>
      <c r="MSW241" s="4"/>
      <c r="MSX241" s="4"/>
      <c r="MSY241" s="4"/>
      <c r="MSZ241" s="4"/>
      <c r="MTA241" s="4"/>
      <c r="MTB241" s="4"/>
      <c r="MTC241" s="4"/>
      <c r="MTD241" s="4"/>
      <c r="MTE241" s="4"/>
      <c r="MTF241" s="4"/>
      <c r="MTG241" s="4"/>
      <c r="MTH241" s="4"/>
      <c r="MTI241" s="4"/>
      <c r="MTJ241" s="4"/>
      <c r="MTK241" s="4"/>
      <c r="MTL241" s="4"/>
      <c r="MTM241" s="4"/>
      <c r="MTN241" s="4"/>
      <c r="MTO241" s="4"/>
      <c r="MTP241" s="4"/>
      <c r="MTQ241" s="4"/>
      <c r="MTR241" s="4"/>
      <c r="MTS241" s="4"/>
      <c r="MTT241" s="4"/>
      <c r="MTU241" s="4"/>
      <c r="MTV241" s="4"/>
      <c r="MTW241" s="4"/>
      <c r="MTX241" s="4"/>
      <c r="MTY241" s="4"/>
      <c r="MTZ241" s="4"/>
      <c r="MUA241" s="4"/>
      <c r="MUB241" s="4"/>
      <c r="MUC241" s="4"/>
      <c r="MUD241" s="4"/>
      <c r="MUE241" s="4"/>
      <c r="MUF241" s="4"/>
      <c r="MUG241" s="4"/>
      <c r="MUH241" s="4"/>
      <c r="MUI241" s="4"/>
      <c r="MUJ241" s="4"/>
      <c r="MUK241" s="4"/>
      <c r="MUL241" s="4"/>
      <c r="MUM241" s="4"/>
      <c r="MUN241" s="4"/>
      <c r="MUO241" s="4"/>
      <c r="MUP241" s="4"/>
      <c r="MUQ241" s="4"/>
      <c r="MUR241" s="4"/>
      <c r="MUS241" s="4"/>
      <c r="MUT241" s="4"/>
      <c r="MUU241" s="4"/>
      <c r="MUV241" s="4"/>
      <c r="MUW241" s="4"/>
      <c r="MUX241" s="4"/>
      <c r="MUY241" s="4"/>
      <c r="MUZ241" s="4"/>
      <c r="MVA241" s="4"/>
      <c r="MVB241" s="4"/>
      <c r="MVC241" s="4"/>
      <c r="MVD241" s="4"/>
      <c r="MVE241" s="4"/>
      <c r="MVF241" s="4"/>
      <c r="MVG241" s="4"/>
      <c r="MVH241" s="4"/>
      <c r="MVI241" s="4"/>
      <c r="MVJ241" s="4"/>
      <c r="MVK241" s="4"/>
      <c r="MVL241" s="4"/>
      <c r="MVM241" s="4"/>
      <c r="MVN241" s="4"/>
      <c r="MVO241" s="4"/>
      <c r="MVP241" s="4"/>
      <c r="MVQ241" s="4"/>
      <c r="MVR241" s="4"/>
      <c r="MVS241" s="4"/>
      <c r="MVT241" s="4"/>
      <c r="MVU241" s="4"/>
      <c r="MVV241" s="4"/>
      <c r="MVW241" s="4"/>
      <c r="MVX241" s="4"/>
      <c r="MVY241" s="4"/>
      <c r="MVZ241" s="4"/>
      <c r="MWA241" s="4"/>
      <c r="MWB241" s="4"/>
      <c r="MWC241" s="4"/>
      <c r="MWD241" s="4"/>
      <c r="MWE241" s="4"/>
      <c r="MWF241" s="4"/>
      <c r="MWG241" s="4"/>
      <c r="MWH241" s="4"/>
      <c r="MWI241" s="4"/>
      <c r="MWJ241" s="4"/>
      <c r="MWK241" s="4"/>
      <c r="MWL241" s="4"/>
      <c r="MWM241" s="4"/>
      <c r="MWN241" s="4"/>
      <c r="MWO241" s="4"/>
      <c r="MWP241" s="4"/>
      <c r="MWQ241" s="4"/>
      <c r="MWR241" s="4"/>
      <c r="MWS241" s="4"/>
      <c r="MWT241" s="4"/>
      <c r="MWU241" s="4"/>
      <c r="MWV241" s="4"/>
      <c r="MWW241" s="4"/>
      <c r="MWX241" s="4"/>
      <c r="MWY241" s="4"/>
      <c r="MWZ241" s="4"/>
      <c r="MXA241" s="4"/>
      <c r="MXB241" s="4"/>
      <c r="MXC241" s="4"/>
      <c r="MXD241" s="4"/>
      <c r="MXE241" s="4"/>
      <c r="MXF241" s="4"/>
      <c r="MXG241" s="4"/>
      <c r="MXH241" s="4"/>
      <c r="MXI241" s="4"/>
      <c r="MXJ241" s="4"/>
      <c r="MXK241" s="4"/>
      <c r="MXL241" s="4"/>
      <c r="MXM241" s="4"/>
      <c r="MXN241" s="4"/>
      <c r="MXO241" s="4"/>
      <c r="MXP241" s="4"/>
      <c r="MXQ241" s="4"/>
      <c r="MXR241" s="4"/>
      <c r="MXS241" s="4"/>
      <c r="MXT241" s="4"/>
      <c r="MXU241" s="4"/>
      <c r="MXV241" s="4"/>
      <c r="MXW241" s="4"/>
      <c r="MXX241" s="4"/>
      <c r="MXY241" s="4"/>
      <c r="MXZ241" s="4"/>
      <c r="MYA241" s="4"/>
      <c r="MYB241" s="4"/>
      <c r="MYC241" s="4"/>
      <c r="MYD241" s="4"/>
      <c r="MYE241" s="4"/>
      <c r="MYF241" s="4"/>
      <c r="MYG241" s="4"/>
      <c r="MYH241" s="4"/>
      <c r="MYI241" s="4"/>
      <c r="MYJ241" s="4"/>
      <c r="MYK241" s="4"/>
      <c r="MYL241" s="4"/>
      <c r="MYM241" s="4"/>
      <c r="MYN241" s="4"/>
      <c r="MYO241" s="4"/>
      <c r="MYP241" s="4"/>
      <c r="MYQ241" s="4"/>
      <c r="MYR241" s="4"/>
      <c r="MYS241" s="4"/>
      <c r="MYT241" s="4"/>
      <c r="MYU241" s="4"/>
      <c r="MYV241" s="4"/>
      <c r="MYW241" s="4"/>
      <c r="MYX241" s="4"/>
      <c r="MYY241" s="4"/>
      <c r="MYZ241" s="4"/>
      <c r="MZA241" s="4"/>
      <c r="MZB241" s="4"/>
      <c r="MZC241" s="4"/>
      <c r="MZD241" s="4"/>
      <c r="MZE241" s="4"/>
      <c r="MZF241" s="4"/>
      <c r="MZG241" s="4"/>
      <c r="MZH241" s="4"/>
      <c r="MZI241" s="4"/>
      <c r="MZJ241" s="4"/>
      <c r="MZK241" s="4"/>
      <c r="MZL241" s="4"/>
      <c r="MZM241" s="4"/>
      <c r="MZN241" s="4"/>
      <c r="MZO241" s="4"/>
      <c r="MZP241" s="4"/>
      <c r="MZQ241" s="4"/>
      <c r="MZR241" s="4"/>
      <c r="MZS241" s="4"/>
      <c r="MZT241" s="4"/>
      <c r="MZU241" s="4"/>
      <c r="MZV241" s="4"/>
      <c r="MZW241" s="4"/>
      <c r="MZX241" s="4"/>
      <c r="MZY241" s="4"/>
      <c r="MZZ241" s="4"/>
      <c r="NAA241" s="4"/>
      <c r="NAB241" s="4"/>
      <c r="NAC241" s="4"/>
      <c r="NAD241" s="4"/>
      <c r="NAE241" s="4"/>
      <c r="NAF241" s="4"/>
      <c r="NAG241" s="4"/>
      <c r="NAH241" s="4"/>
      <c r="NAI241" s="4"/>
      <c r="NAJ241" s="4"/>
      <c r="NAK241" s="4"/>
      <c r="NAL241" s="4"/>
      <c r="NAM241" s="4"/>
      <c r="NAN241" s="4"/>
      <c r="NAO241" s="4"/>
      <c r="NAP241" s="4"/>
      <c r="NAQ241" s="4"/>
      <c r="NAR241" s="4"/>
      <c r="NAS241" s="4"/>
      <c r="NAT241" s="4"/>
      <c r="NAU241" s="4"/>
      <c r="NAV241" s="4"/>
      <c r="NAW241" s="4"/>
      <c r="NAX241" s="4"/>
      <c r="NAY241" s="4"/>
      <c r="NAZ241" s="4"/>
      <c r="NBA241" s="4"/>
      <c r="NBB241" s="4"/>
      <c r="NBC241" s="4"/>
      <c r="NBD241" s="4"/>
      <c r="NBE241" s="4"/>
      <c r="NBF241" s="4"/>
      <c r="NBG241" s="4"/>
      <c r="NBH241" s="4"/>
      <c r="NBI241" s="4"/>
      <c r="NBJ241" s="4"/>
      <c r="NBK241" s="4"/>
      <c r="NBL241" s="4"/>
      <c r="NBM241" s="4"/>
      <c r="NBN241" s="4"/>
      <c r="NBO241" s="4"/>
      <c r="NBP241" s="4"/>
      <c r="NBQ241" s="4"/>
      <c r="NBR241" s="4"/>
      <c r="NBS241" s="4"/>
      <c r="NBT241" s="4"/>
      <c r="NBU241" s="4"/>
      <c r="NBV241" s="4"/>
      <c r="NBW241" s="4"/>
      <c r="NBX241" s="4"/>
      <c r="NBY241" s="4"/>
      <c r="NBZ241" s="4"/>
      <c r="NCA241" s="4"/>
      <c r="NCB241" s="4"/>
      <c r="NCC241" s="4"/>
      <c r="NCD241" s="4"/>
      <c r="NCE241" s="4"/>
      <c r="NCF241" s="4"/>
      <c r="NCG241" s="4"/>
      <c r="NCH241" s="4"/>
      <c r="NCI241" s="4"/>
      <c r="NCJ241" s="4"/>
      <c r="NCK241" s="4"/>
      <c r="NCL241" s="4"/>
      <c r="NCM241" s="4"/>
      <c r="NCN241" s="4"/>
      <c r="NCO241" s="4"/>
      <c r="NCP241" s="4"/>
      <c r="NCQ241" s="4"/>
      <c r="NCR241" s="4"/>
      <c r="NCS241" s="4"/>
      <c r="NCT241" s="4"/>
      <c r="NCU241" s="4"/>
      <c r="NCV241" s="4"/>
      <c r="NCW241" s="4"/>
      <c r="NCX241" s="4"/>
      <c r="NCY241" s="4"/>
      <c r="NCZ241" s="4"/>
      <c r="NDA241" s="4"/>
      <c r="NDB241" s="4"/>
      <c r="NDC241" s="4"/>
      <c r="NDD241" s="4"/>
      <c r="NDE241" s="4"/>
      <c r="NDF241" s="4"/>
      <c r="NDG241" s="4"/>
      <c r="NDH241" s="4"/>
      <c r="NDI241" s="4"/>
      <c r="NDJ241" s="4"/>
      <c r="NDK241" s="4"/>
      <c r="NDL241" s="4"/>
      <c r="NDM241" s="4"/>
      <c r="NDN241" s="4"/>
      <c r="NDO241" s="4"/>
      <c r="NDP241" s="4"/>
      <c r="NDQ241" s="4"/>
      <c r="NDR241" s="4"/>
      <c r="NDS241" s="4"/>
      <c r="NDT241" s="4"/>
      <c r="NDU241" s="4"/>
      <c r="NDV241" s="4"/>
      <c r="NDW241" s="4"/>
      <c r="NDX241" s="4"/>
      <c r="NDY241" s="4"/>
      <c r="NDZ241" s="4"/>
      <c r="NEA241" s="4"/>
      <c r="NEB241" s="4"/>
      <c r="NEC241" s="4"/>
      <c r="NED241" s="4"/>
      <c r="NEE241" s="4"/>
      <c r="NEF241" s="4"/>
      <c r="NEG241" s="4"/>
      <c r="NEH241" s="4"/>
      <c r="NEI241" s="4"/>
      <c r="NEJ241" s="4"/>
      <c r="NEK241" s="4"/>
      <c r="NEL241" s="4"/>
      <c r="NEM241" s="4"/>
      <c r="NEN241" s="4"/>
      <c r="NEO241" s="4"/>
      <c r="NEP241" s="4"/>
      <c r="NEQ241" s="4"/>
      <c r="NER241" s="4"/>
      <c r="NES241" s="4"/>
      <c r="NET241" s="4"/>
      <c r="NEU241" s="4"/>
      <c r="NEV241" s="4"/>
      <c r="NEW241" s="4"/>
      <c r="NEX241" s="4"/>
      <c r="NEY241" s="4"/>
      <c r="NEZ241" s="4"/>
      <c r="NFA241" s="4"/>
      <c r="NFB241" s="4"/>
      <c r="NFC241" s="4"/>
      <c r="NFD241" s="4"/>
      <c r="NFE241" s="4"/>
      <c r="NFF241" s="4"/>
      <c r="NFG241" s="4"/>
      <c r="NFH241" s="4"/>
      <c r="NFI241" s="4"/>
      <c r="NFJ241" s="4"/>
      <c r="NFK241" s="4"/>
      <c r="NFL241" s="4"/>
      <c r="NFM241" s="4"/>
      <c r="NFN241" s="4"/>
      <c r="NFO241" s="4"/>
      <c r="NFP241" s="4"/>
      <c r="NFQ241" s="4"/>
      <c r="NFR241" s="4"/>
      <c r="NFS241" s="4"/>
      <c r="NFT241" s="4"/>
      <c r="NFU241" s="4"/>
      <c r="NFV241" s="4"/>
      <c r="NFW241" s="4"/>
      <c r="NFX241" s="4"/>
      <c r="NFY241" s="4"/>
      <c r="NFZ241" s="4"/>
      <c r="NGA241" s="4"/>
      <c r="NGB241" s="4"/>
      <c r="NGC241" s="4"/>
      <c r="NGD241" s="4"/>
      <c r="NGE241" s="4"/>
      <c r="NGF241" s="4"/>
      <c r="NGG241" s="4"/>
      <c r="NGH241" s="4"/>
      <c r="NGI241" s="4"/>
      <c r="NGJ241" s="4"/>
      <c r="NGK241" s="4"/>
      <c r="NGL241" s="4"/>
      <c r="NGM241" s="4"/>
      <c r="NGN241" s="4"/>
      <c r="NGO241" s="4"/>
      <c r="NGP241" s="4"/>
      <c r="NGQ241" s="4"/>
      <c r="NGR241" s="4"/>
      <c r="NGS241" s="4"/>
      <c r="NGT241" s="4"/>
      <c r="NGU241" s="4"/>
      <c r="NGV241" s="4"/>
      <c r="NGW241" s="4"/>
      <c r="NGX241" s="4"/>
      <c r="NGY241" s="4"/>
      <c r="NGZ241" s="4"/>
      <c r="NHA241" s="4"/>
      <c r="NHB241" s="4"/>
      <c r="NHC241" s="4"/>
      <c r="NHD241" s="4"/>
      <c r="NHE241" s="4"/>
      <c r="NHF241" s="4"/>
      <c r="NHG241" s="4"/>
      <c r="NHH241" s="4"/>
      <c r="NHI241" s="4"/>
      <c r="NHJ241" s="4"/>
      <c r="NHK241" s="4"/>
      <c r="NHL241" s="4"/>
      <c r="NHM241" s="4"/>
      <c r="NHN241" s="4"/>
      <c r="NHO241" s="4"/>
      <c r="NHP241" s="4"/>
      <c r="NHQ241" s="4"/>
      <c r="NHR241" s="4"/>
      <c r="NHS241" s="4"/>
      <c r="NHT241" s="4"/>
      <c r="NHU241" s="4"/>
      <c r="NHV241" s="4"/>
      <c r="NHW241" s="4"/>
      <c r="NHX241" s="4"/>
      <c r="NHY241" s="4"/>
      <c r="NHZ241" s="4"/>
      <c r="NIA241" s="4"/>
      <c r="NIB241" s="4"/>
      <c r="NIC241" s="4"/>
      <c r="NID241" s="4"/>
      <c r="NIE241" s="4"/>
      <c r="NIF241" s="4"/>
      <c r="NIG241" s="4"/>
      <c r="NIH241" s="4"/>
      <c r="NII241" s="4"/>
      <c r="NIJ241" s="4"/>
      <c r="NIK241" s="4"/>
      <c r="NIL241" s="4"/>
      <c r="NIM241" s="4"/>
      <c r="NIN241" s="4"/>
      <c r="NIO241" s="4"/>
      <c r="NIP241" s="4"/>
      <c r="NIQ241" s="4"/>
      <c r="NIR241" s="4"/>
      <c r="NIS241" s="4"/>
      <c r="NIT241" s="4"/>
      <c r="NIU241" s="4"/>
      <c r="NIV241" s="4"/>
      <c r="NIW241" s="4"/>
      <c r="NIX241" s="4"/>
      <c r="NIY241" s="4"/>
      <c r="NIZ241" s="4"/>
      <c r="NJA241" s="4"/>
      <c r="NJB241" s="4"/>
      <c r="NJC241" s="4"/>
      <c r="NJD241" s="4"/>
      <c r="NJE241" s="4"/>
      <c r="NJF241" s="4"/>
      <c r="NJG241" s="4"/>
      <c r="NJH241" s="4"/>
      <c r="NJI241" s="4"/>
      <c r="NJJ241" s="4"/>
      <c r="NJK241" s="4"/>
      <c r="NJL241" s="4"/>
      <c r="NJM241" s="4"/>
      <c r="NJN241" s="4"/>
      <c r="NJO241" s="4"/>
      <c r="NJP241" s="4"/>
      <c r="NJQ241" s="4"/>
      <c r="NJR241" s="4"/>
      <c r="NJS241" s="4"/>
      <c r="NJT241" s="4"/>
      <c r="NJU241" s="4"/>
      <c r="NJV241" s="4"/>
      <c r="NJW241" s="4"/>
      <c r="NJX241" s="4"/>
      <c r="NJY241" s="4"/>
      <c r="NJZ241" s="4"/>
      <c r="NKA241" s="4"/>
      <c r="NKB241" s="4"/>
      <c r="NKC241" s="4"/>
      <c r="NKD241" s="4"/>
      <c r="NKE241" s="4"/>
      <c r="NKF241" s="4"/>
      <c r="NKG241" s="4"/>
      <c r="NKH241" s="4"/>
      <c r="NKI241" s="4"/>
      <c r="NKJ241" s="4"/>
      <c r="NKK241" s="4"/>
      <c r="NKL241" s="4"/>
      <c r="NKM241" s="4"/>
      <c r="NKN241" s="4"/>
      <c r="NKO241" s="4"/>
      <c r="NKP241" s="4"/>
      <c r="NKQ241" s="4"/>
      <c r="NKR241" s="4"/>
      <c r="NKS241" s="4"/>
      <c r="NKT241" s="4"/>
      <c r="NKU241" s="4"/>
      <c r="NKV241" s="4"/>
      <c r="NKW241" s="4"/>
      <c r="NKX241" s="4"/>
      <c r="NKY241" s="4"/>
      <c r="NKZ241" s="4"/>
      <c r="NLA241" s="4"/>
      <c r="NLB241" s="4"/>
      <c r="NLC241" s="4"/>
      <c r="NLD241" s="4"/>
      <c r="NLE241" s="4"/>
      <c r="NLF241" s="4"/>
      <c r="NLG241" s="4"/>
      <c r="NLH241" s="4"/>
      <c r="NLI241" s="4"/>
      <c r="NLJ241" s="4"/>
      <c r="NLK241" s="4"/>
      <c r="NLL241" s="4"/>
      <c r="NLM241" s="4"/>
      <c r="NLN241" s="4"/>
      <c r="NLO241" s="4"/>
      <c r="NLP241" s="4"/>
      <c r="NLQ241" s="4"/>
      <c r="NLR241" s="4"/>
      <c r="NLS241" s="4"/>
      <c r="NLT241" s="4"/>
      <c r="NLU241" s="4"/>
      <c r="NLV241" s="4"/>
      <c r="NLW241" s="4"/>
      <c r="NLX241" s="4"/>
      <c r="NLY241" s="4"/>
      <c r="NLZ241" s="4"/>
      <c r="NMA241" s="4"/>
      <c r="NMB241" s="4"/>
      <c r="NMC241" s="4"/>
      <c r="NMD241" s="4"/>
      <c r="NME241" s="4"/>
      <c r="NMF241" s="4"/>
      <c r="NMG241" s="4"/>
      <c r="NMH241" s="4"/>
      <c r="NMI241" s="4"/>
      <c r="NMJ241" s="4"/>
      <c r="NMK241" s="4"/>
      <c r="NML241" s="4"/>
      <c r="NMM241" s="4"/>
      <c r="NMN241" s="4"/>
      <c r="NMO241" s="4"/>
      <c r="NMP241" s="4"/>
      <c r="NMQ241" s="4"/>
      <c r="NMR241" s="4"/>
      <c r="NMS241" s="4"/>
      <c r="NMT241" s="4"/>
      <c r="NMU241" s="4"/>
      <c r="NMV241" s="4"/>
      <c r="NMW241" s="4"/>
      <c r="NMX241" s="4"/>
      <c r="NMY241" s="4"/>
      <c r="NMZ241" s="4"/>
      <c r="NNA241" s="4"/>
      <c r="NNB241" s="4"/>
      <c r="NNC241" s="4"/>
      <c r="NND241" s="4"/>
      <c r="NNE241" s="4"/>
      <c r="NNF241" s="4"/>
      <c r="NNG241" s="4"/>
      <c r="NNH241" s="4"/>
      <c r="NNI241" s="4"/>
      <c r="NNJ241" s="4"/>
      <c r="NNK241" s="4"/>
      <c r="NNL241" s="4"/>
      <c r="NNM241" s="4"/>
      <c r="NNN241" s="4"/>
      <c r="NNO241" s="4"/>
      <c r="NNP241" s="4"/>
      <c r="NNQ241" s="4"/>
      <c r="NNR241" s="4"/>
      <c r="NNS241" s="4"/>
      <c r="NNT241" s="4"/>
      <c r="NNU241" s="4"/>
      <c r="NNV241" s="4"/>
      <c r="NNW241" s="4"/>
      <c r="NNX241" s="4"/>
      <c r="NNY241" s="4"/>
      <c r="NNZ241" s="4"/>
      <c r="NOA241" s="4"/>
      <c r="NOB241" s="4"/>
      <c r="NOC241" s="4"/>
      <c r="NOD241" s="4"/>
      <c r="NOE241" s="4"/>
      <c r="NOF241" s="4"/>
      <c r="NOG241" s="4"/>
      <c r="NOH241" s="4"/>
      <c r="NOI241" s="4"/>
      <c r="NOJ241" s="4"/>
      <c r="NOK241" s="4"/>
      <c r="NOL241" s="4"/>
      <c r="NOM241" s="4"/>
      <c r="NON241" s="4"/>
      <c r="NOO241" s="4"/>
      <c r="NOP241" s="4"/>
      <c r="NOQ241" s="4"/>
      <c r="NOR241" s="4"/>
      <c r="NOS241" s="4"/>
      <c r="NOT241" s="4"/>
      <c r="NOU241" s="4"/>
      <c r="NOV241" s="4"/>
      <c r="NOW241" s="4"/>
      <c r="NOX241" s="4"/>
      <c r="NOY241" s="4"/>
      <c r="NOZ241" s="4"/>
      <c r="NPA241" s="4"/>
      <c r="NPB241" s="4"/>
      <c r="NPC241" s="4"/>
      <c r="NPD241" s="4"/>
      <c r="NPE241" s="4"/>
      <c r="NPF241" s="4"/>
      <c r="NPG241" s="4"/>
      <c r="NPH241" s="4"/>
      <c r="NPI241" s="4"/>
      <c r="NPJ241" s="4"/>
      <c r="NPK241" s="4"/>
      <c r="NPL241" s="4"/>
      <c r="NPM241" s="4"/>
      <c r="NPN241" s="4"/>
      <c r="NPO241" s="4"/>
      <c r="NPP241" s="4"/>
      <c r="NPQ241" s="4"/>
      <c r="NPR241" s="4"/>
      <c r="NPS241" s="4"/>
      <c r="NPT241" s="4"/>
      <c r="NPU241" s="4"/>
      <c r="NPV241" s="4"/>
      <c r="NPW241" s="4"/>
      <c r="NPX241" s="4"/>
      <c r="NPY241" s="4"/>
      <c r="NPZ241" s="4"/>
      <c r="NQA241" s="4"/>
      <c r="NQB241" s="4"/>
      <c r="NQC241" s="4"/>
      <c r="NQD241" s="4"/>
      <c r="NQE241" s="4"/>
      <c r="NQF241" s="4"/>
      <c r="NQG241" s="4"/>
      <c r="NQH241" s="4"/>
      <c r="NQI241" s="4"/>
      <c r="NQJ241" s="4"/>
      <c r="NQK241" s="4"/>
      <c r="NQL241" s="4"/>
      <c r="NQM241" s="4"/>
      <c r="NQN241" s="4"/>
      <c r="NQO241" s="4"/>
      <c r="NQP241" s="4"/>
      <c r="NQQ241" s="4"/>
      <c r="NQR241" s="4"/>
      <c r="NQS241" s="4"/>
      <c r="NQT241" s="4"/>
      <c r="NQU241" s="4"/>
      <c r="NQV241" s="4"/>
      <c r="NQW241" s="4"/>
      <c r="NQX241" s="4"/>
      <c r="NQY241" s="4"/>
      <c r="NQZ241" s="4"/>
      <c r="NRA241" s="4"/>
      <c r="NRB241" s="4"/>
      <c r="NRC241" s="4"/>
      <c r="NRD241" s="4"/>
      <c r="NRE241" s="4"/>
      <c r="NRF241" s="4"/>
      <c r="NRG241" s="4"/>
      <c r="NRH241" s="4"/>
      <c r="NRI241" s="4"/>
      <c r="NRJ241" s="4"/>
      <c r="NRK241" s="4"/>
      <c r="NRL241" s="4"/>
      <c r="NRM241" s="4"/>
      <c r="NRN241" s="4"/>
      <c r="NRO241" s="4"/>
      <c r="NRP241" s="4"/>
      <c r="NRQ241" s="4"/>
      <c r="NRR241" s="4"/>
      <c r="NRS241" s="4"/>
      <c r="NRT241" s="4"/>
      <c r="NRU241" s="4"/>
      <c r="NRV241" s="4"/>
      <c r="NRW241" s="4"/>
      <c r="NRX241" s="4"/>
      <c r="NRY241" s="4"/>
      <c r="NRZ241" s="4"/>
      <c r="NSA241" s="4"/>
      <c r="NSB241" s="4"/>
      <c r="NSC241" s="4"/>
      <c r="NSD241" s="4"/>
      <c r="NSE241" s="4"/>
      <c r="NSF241" s="4"/>
      <c r="NSG241" s="4"/>
      <c r="NSH241" s="4"/>
      <c r="NSI241" s="4"/>
      <c r="NSJ241" s="4"/>
      <c r="NSK241" s="4"/>
      <c r="NSL241" s="4"/>
      <c r="NSM241" s="4"/>
      <c r="NSN241" s="4"/>
      <c r="NSO241" s="4"/>
      <c r="NSP241" s="4"/>
      <c r="NSQ241" s="4"/>
      <c r="NSR241" s="4"/>
      <c r="NSS241" s="4"/>
      <c r="NST241" s="4"/>
      <c r="NSU241" s="4"/>
      <c r="NSV241" s="4"/>
      <c r="NSW241" s="4"/>
      <c r="NSX241" s="4"/>
      <c r="NSY241" s="4"/>
      <c r="NSZ241" s="4"/>
      <c r="NTA241" s="4"/>
      <c r="NTB241" s="4"/>
      <c r="NTC241" s="4"/>
      <c r="NTD241" s="4"/>
      <c r="NTE241" s="4"/>
      <c r="NTF241" s="4"/>
      <c r="NTG241" s="4"/>
      <c r="NTH241" s="4"/>
      <c r="NTI241" s="4"/>
      <c r="NTJ241" s="4"/>
      <c r="NTK241" s="4"/>
      <c r="NTL241" s="4"/>
      <c r="NTM241" s="4"/>
      <c r="NTN241" s="4"/>
      <c r="NTO241" s="4"/>
      <c r="NTP241" s="4"/>
      <c r="NTQ241" s="4"/>
      <c r="NTR241" s="4"/>
      <c r="NTS241" s="4"/>
      <c r="NTT241" s="4"/>
      <c r="NTU241" s="4"/>
      <c r="NTV241" s="4"/>
      <c r="NTW241" s="4"/>
      <c r="NTX241" s="4"/>
      <c r="NTY241" s="4"/>
      <c r="NTZ241" s="4"/>
      <c r="NUA241" s="4"/>
      <c r="NUB241" s="4"/>
      <c r="NUC241" s="4"/>
      <c r="NUD241" s="4"/>
      <c r="NUE241" s="4"/>
      <c r="NUF241" s="4"/>
      <c r="NUG241" s="4"/>
      <c r="NUH241" s="4"/>
      <c r="NUI241" s="4"/>
      <c r="NUJ241" s="4"/>
      <c r="NUK241" s="4"/>
      <c r="NUL241" s="4"/>
      <c r="NUM241" s="4"/>
      <c r="NUN241" s="4"/>
      <c r="NUO241" s="4"/>
      <c r="NUP241" s="4"/>
      <c r="NUQ241" s="4"/>
      <c r="NUR241" s="4"/>
      <c r="NUS241" s="4"/>
      <c r="NUT241" s="4"/>
      <c r="NUU241" s="4"/>
      <c r="NUV241" s="4"/>
      <c r="NUW241" s="4"/>
      <c r="NUX241" s="4"/>
      <c r="NUY241" s="4"/>
      <c r="NUZ241" s="4"/>
      <c r="NVA241" s="4"/>
      <c r="NVB241" s="4"/>
      <c r="NVC241" s="4"/>
      <c r="NVD241" s="4"/>
      <c r="NVE241" s="4"/>
      <c r="NVF241" s="4"/>
      <c r="NVG241" s="4"/>
      <c r="NVH241" s="4"/>
      <c r="NVI241" s="4"/>
      <c r="NVJ241" s="4"/>
      <c r="NVK241" s="4"/>
      <c r="NVL241" s="4"/>
      <c r="NVM241" s="4"/>
      <c r="NVN241" s="4"/>
      <c r="NVO241" s="4"/>
      <c r="NVP241" s="4"/>
      <c r="NVQ241" s="4"/>
      <c r="NVR241" s="4"/>
      <c r="NVS241" s="4"/>
      <c r="NVT241" s="4"/>
      <c r="NVU241" s="4"/>
      <c r="NVV241" s="4"/>
      <c r="NVW241" s="4"/>
      <c r="NVX241" s="4"/>
      <c r="NVY241" s="4"/>
      <c r="NVZ241" s="4"/>
      <c r="NWA241" s="4"/>
      <c r="NWB241" s="4"/>
      <c r="NWC241" s="4"/>
      <c r="NWD241" s="4"/>
      <c r="NWE241" s="4"/>
      <c r="NWF241" s="4"/>
      <c r="NWG241" s="4"/>
      <c r="NWH241" s="4"/>
      <c r="NWI241" s="4"/>
      <c r="NWJ241" s="4"/>
      <c r="NWK241" s="4"/>
      <c r="NWL241" s="4"/>
      <c r="NWM241" s="4"/>
      <c r="NWN241" s="4"/>
      <c r="NWO241" s="4"/>
      <c r="NWP241" s="4"/>
      <c r="NWQ241" s="4"/>
      <c r="NWR241" s="4"/>
      <c r="NWS241" s="4"/>
      <c r="NWT241" s="4"/>
      <c r="NWU241" s="4"/>
      <c r="NWV241" s="4"/>
      <c r="NWW241" s="4"/>
      <c r="NWX241" s="4"/>
      <c r="NWY241" s="4"/>
      <c r="NWZ241" s="4"/>
      <c r="NXA241" s="4"/>
      <c r="NXB241" s="4"/>
      <c r="NXC241" s="4"/>
      <c r="NXD241" s="4"/>
      <c r="NXE241" s="4"/>
      <c r="NXF241" s="4"/>
      <c r="NXG241" s="4"/>
      <c r="NXH241" s="4"/>
      <c r="NXI241" s="4"/>
      <c r="NXJ241" s="4"/>
      <c r="NXK241" s="4"/>
      <c r="NXL241" s="4"/>
      <c r="NXM241" s="4"/>
      <c r="NXN241" s="4"/>
      <c r="NXO241" s="4"/>
      <c r="NXP241" s="4"/>
      <c r="NXQ241" s="4"/>
      <c r="NXR241" s="4"/>
      <c r="NXS241" s="4"/>
      <c r="NXT241" s="4"/>
      <c r="NXU241" s="4"/>
      <c r="NXV241" s="4"/>
      <c r="NXW241" s="4"/>
      <c r="NXX241" s="4"/>
      <c r="NXY241" s="4"/>
      <c r="NXZ241" s="4"/>
      <c r="NYA241" s="4"/>
      <c r="NYB241" s="4"/>
      <c r="NYC241" s="4"/>
      <c r="NYD241" s="4"/>
      <c r="NYE241" s="4"/>
      <c r="NYF241" s="4"/>
      <c r="NYG241" s="4"/>
      <c r="NYH241" s="4"/>
      <c r="NYI241" s="4"/>
      <c r="NYJ241" s="4"/>
      <c r="NYK241" s="4"/>
      <c r="NYL241" s="4"/>
      <c r="NYM241" s="4"/>
      <c r="NYN241" s="4"/>
      <c r="NYO241" s="4"/>
      <c r="NYP241" s="4"/>
      <c r="NYQ241" s="4"/>
      <c r="NYR241" s="4"/>
      <c r="NYS241" s="4"/>
      <c r="NYT241" s="4"/>
      <c r="NYU241" s="4"/>
      <c r="NYV241" s="4"/>
      <c r="NYW241" s="4"/>
      <c r="NYX241" s="4"/>
      <c r="NYY241" s="4"/>
      <c r="NYZ241" s="4"/>
      <c r="NZA241" s="4"/>
      <c r="NZB241" s="4"/>
      <c r="NZC241" s="4"/>
      <c r="NZD241" s="4"/>
      <c r="NZE241" s="4"/>
      <c r="NZF241" s="4"/>
      <c r="NZG241" s="4"/>
      <c r="NZH241" s="4"/>
      <c r="NZI241" s="4"/>
      <c r="NZJ241" s="4"/>
      <c r="NZK241" s="4"/>
      <c r="NZL241" s="4"/>
      <c r="NZM241" s="4"/>
      <c r="NZN241" s="4"/>
      <c r="NZO241" s="4"/>
      <c r="NZP241" s="4"/>
      <c r="NZQ241" s="4"/>
      <c r="NZR241" s="4"/>
      <c r="NZS241" s="4"/>
      <c r="NZT241" s="4"/>
      <c r="NZU241" s="4"/>
      <c r="NZV241" s="4"/>
      <c r="NZW241" s="4"/>
      <c r="NZX241" s="4"/>
      <c r="NZY241" s="4"/>
      <c r="NZZ241" s="4"/>
      <c r="OAA241" s="4"/>
      <c r="OAB241" s="4"/>
      <c r="OAC241" s="4"/>
      <c r="OAD241" s="4"/>
      <c r="OAE241" s="4"/>
      <c r="OAF241" s="4"/>
      <c r="OAG241" s="4"/>
      <c r="OAH241" s="4"/>
      <c r="OAI241" s="4"/>
      <c r="OAJ241" s="4"/>
      <c r="OAK241" s="4"/>
      <c r="OAL241" s="4"/>
      <c r="OAM241" s="4"/>
      <c r="OAN241" s="4"/>
      <c r="OAO241" s="4"/>
      <c r="OAP241" s="4"/>
      <c r="OAQ241" s="4"/>
      <c r="OAR241" s="4"/>
      <c r="OAS241" s="4"/>
      <c r="OAT241" s="4"/>
      <c r="OAU241" s="4"/>
      <c r="OAV241" s="4"/>
      <c r="OAW241" s="4"/>
      <c r="OAX241" s="4"/>
      <c r="OAY241" s="4"/>
      <c r="OAZ241" s="4"/>
      <c r="OBA241" s="4"/>
      <c r="OBB241" s="4"/>
      <c r="OBC241" s="4"/>
      <c r="OBD241" s="4"/>
      <c r="OBE241" s="4"/>
      <c r="OBF241" s="4"/>
      <c r="OBG241" s="4"/>
      <c r="OBH241" s="4"/>
      <c r="OBI241" s="4"/>
      <c r="OBJ241" s="4"/>
      <c r="OBK241" s="4"/>
      <c r="OBL241" s="4"/>
      <c r="OBM241" s="4"/>
      <c r="OBN241" s="4"/>
      <c r="OBO241" s="4"/>
      <c r="OBP241" s="4"/>
      <c r="OBQ241" s="4"/>
      <c r="OBR241" s="4"/>
      <c r="OBS241" s="4"/>
      <c r="OBT241" s="4"/>
      <c r="OBU241" s="4"/>
      <c r="OBV241" s="4"/>
      <c r="OBW241" s="4"/>
      <c r="OBX241" s="4"/>
      <c r="OBY241" s="4"/>
      <c r="OBZ241" s="4"/>
      <c r="OCA241" s="4"/>
      <c r="OCB241" s="4"/>
      <c r="OCC241" s="4"/>
      <c r="OCD241" s="4"/>
      <c r="OCE241" s="4"/>
      <c r="OCF241" s="4"/>
      <c r="OCG241" s="4"/>
      <c r="OCH241" s="4"/>
      <c r="OCI241" s="4"/>
      <c r="OCJ241" s="4"/>
      <c r="OCK241" s="4"/>
      <c r="OCL241" s="4"/>
      <c r="OCM241" s="4"/>
      <c r="OCN241" s="4"/>
      <c r="OCO241" s="4"/>
      <c r="OCP241" s="4"/>
      <c r="OCQ241" s="4"/>
      <c r="OCR241" s="4"/>
      <c r="OCS241" s="4"/>
      <c r="OCT241" s="4"/>
      <c r="OCU241" s="4"/>
      <c r="OCV241" s="4"/>
      <c r="OCW241" s="4"/>
      <c r="OCX241" s="4"/>
      <c r="OCY241" s="4"/>
      <c r="OCZ241" s="4"/>
      <c r="ODA241" s="4"/>
      <c r="ODB241" s="4"/>
      <c r="ODC241" s="4"/>
      <c r="ODD241" s="4"/>
      <c r="ODE241" s="4"/>
      <c r="ODF241" s="4"/>
      <c r="ODG241" s="4"/>
      <c r="ODH241" s="4"/>
      <c r="ODI241" s="4"/>
      <c r="ODJ241" s="4"/>
      <c r="ODK241" s="4"/>
      <c r="ODL241" s="4"/>
      <c r="ODM241" s="4"/>
      <c r="ODN241" s="4"/>
      <c r="ODO241" s="4"/>
      <c r="ODP241" s="4"/>
      <c r="ODQ241" s="4"/>
      <c r="ODR241" s="4"/>
      <c r="ODS241" s="4"/>
      <c r="ODT241" s="4"/>
      <c r="ODU241" s="4"/>
      <c r="ODV241" s="4"/>
      <c r="ODW241" s="4"/>
      <c r="ODX241" s="4"/>
      <c r="ODY241" s="4"/>
      <c r="ODZ241" s="4"/>
      <c r="OEA241" s="4"/>
      <c r="OEB241" s="4"/>
      <c r="OEC241" s="4"/>
      <c r="OED241" s="4"/>
      <c r="OEE241" s="4"/>
      <c r="OEF241" s="4"/>
      <c r="OEG241" s="4"/>
      <c r="OEH241" s="4"/>
      <c r="OEI241" s="4"/>
      <c r="OEJ241" s="4"/>
      <c r="OEK241" s="4"/>
      <c r="OEL241" s="4"/>
      <c r="OEM241" s="4"/>
      <c r="OEN241" s="4"/>
      <c r="OEO241" s="4"/>
      <c r="OEP241" s="4"/>
      <c r="OEQ241" s="4"/>
      <c r="OER241" s="4"/>
      <c r="OES241" s="4"/>
      <c r="OET241" s="4"/>
      <c r="OEU241" s="4"/>
      <c r="OEV241" s="4"/>
      <c r="OEW241" s="4"/>
      <c r="OEX241" s="4"/>
      <c r="OEY241" s="4"/>
      <c r="OEZ241" s="4"/>
      <c r="OFA241" s="4"/>
      <c r="OFB241" s="4"/>
      <c r="OFC241" s="4"/>
      <c r="OFD241" s="4"/>
      <c r="OFE241" s="4"/>
      <c r="OFF241" s="4"/>
      <c r="OFG241" s="4"/>
      <c r="OFH241" s="4"/>
      <c r="OFI241" s="4"/>
      <c r="OFJ241" s="4"/>
      <c r="OFK241" s="4"/>
      <c r="OFL241" s="4"/>
      <c r="OFM241" s="4"/>
      <c r="OFN241" s="4"/>
      <c r="OFO241" s="4"/>
      <c r="OFP241" s="4"/>
      <c r="OFQ241" s="4"/>
      <c r="OFR241" s="4"/>
      <c r="OFS241" s="4"/>
      <c r="OFT241" s="4"/>
      <c r="OFU241" s="4"/>
      <c r="OFV241" s="4"/>
      <c r="OFW241" s="4"/>
      <c r="OFX241" s="4"/>
      <c r="OFY241" s="4"/>
      <c r="OFZ241" s="4"/>
      <c r="OGA241" s="4"/>
      <c r="OGB241" s="4"/>
      <c r="OGC241" s="4"/>
      <c r="OGD241" s="4"/>
      <c r="OGE241" s="4"/>
      <c r="OGF241" s="4"/>
      <c r="OGG241" s="4"/>
      <c r="OGH241" s="4"/>
      <c r="OGI241" s="4"/>
      <c r="OGJ241" s="4"/>
      <c r="OGK241" s="4"/>
      <c r="OGL241" s="4"/>
      <c r="OGM241" s="4"/>
      <c r="OGN241" s="4"/>
      <c r="OGO241" s="4"/>
      <c r="OGP241" s="4"/>
      <c r="OGQ241" s="4"/>
      <c r="OGR241" s="4"/>
      <c r="OGS241" s="4"/>
      <c r="OGT241" s="4"/>
      <c r="OGU241" s="4"/>
      <c r="OGV241" s="4"/>
      <c r="OGW241" s="4"/>
      <c r="OGX241" s="4"/>
      <c r="OGY241" s="4"/>
      <c r="OGZ241" s="4"/>
      <c r="OHA241" s="4"/>
      <c r="OHB241" s="4"/>
      <c r="OHC241" s="4"/>
      <c r="OHD241" s="4"/>
      <c r="OHE241" s="4"/>
      <c r="OHF241" s="4"/>
      <c r="OHG241" s="4"/>
      <c r="OHH241" s="4"/>
      <c r="OHI241" s="4"/>
      <c r="OHJ241" s="4"/>
      <c r="OHK241" s="4"/>
      <c r="OHL241" s="4"/>
      <c r="OHM241" s="4"/>
      <c r="OHN241" s="4"/>
      <c r="OHO241" s="4"/>
      <c r="OHP241" s="4"/>
      <c r="OHQ241" s="4"/>
      <c r="OHR241" s="4"/>
      <c r="OHS241" s="4"/>
      <c r="OHT241" s="4"/>
      <c r="OHU241" s="4"/>
      <c r="OHV241" s="4"/>
      <c r="OHW241" s="4"/>
      <c r="OHX241" s="4"/>
      <c r="OHY241" s="4"/>
      <c r="OHZ241" s="4"/>
      <c r="OIA241" s="4"/>
      <c r="OIB241" s="4"/>
      <c r="OIC241" s="4"/>
      <c r="OID241" s="4"/>
      <c r="OIE241" s="4"/>
      <c r="OIF241" s="4"/>
      <c r="OIG241" s="4"/>
      <c r="OIH241" s="4"/>
      <c r="OII241" s="4"/>
      <c r="OIJ241" s="4"/>
      <c r="OIK241" s="4"/>
      <c r="OIL241" s="4"/>
      <c r="OIM241" s="4"/>
      <c r="OIN241" s="4"/>
      <c r="OIO241" s="4"/>
      <c r="OIP241" s="4"/>
      <c r="OIQ241" s="4"/>
      <c r="OIR241" s="4"/>
      <c r="OIS241" s="4"/>
      <c r="OIT241" s="4"/>
      <c r="OIU241" s="4"/>
      <c r="OIV241" s="4"/>
      <c r="OIW241" s="4"/>
      <c r="OIX241" s="4"/>
      <c r="OIY241" s="4"/>
      <c r="OIZ241" s="4"/>
      <c r="OJA241" s="4"/>
      <c r="OJB241" s="4"/>
      <c r="OJC241" s="4"/>
      <c r="OJD241" s="4"/>
      <c r="OJE241" s="4"/>
      <c r="OJF241" s="4"/>
      <c r="OJG241" s="4"/>
      <c r="OJH241" s="4"/>
      <c r="OJI241" s="4"/>
      <c r="OJJ241" s="4"/>
      <c r="OJK241" s="4"/>
      <c r="OJL241" s="4"/>
      <c r="OJM241" s="4"/>
      <c r="OJN241" s="4"/>
      <c r="OJO241" s="4"/>
      <c r="OJP241" s="4"/>
      <c r="OJQ241" s="4"/>
      <c r="OJR241" s="4"/>
      <c r="OJS241" s="4"/>
      <c r="OJT241" s="4"/>
      <c r="OJU241" s="4"/>
      <c r="OJV241" s="4"/>
      <c r="OJW241" s="4"/>
      <c r="OJX241" s="4"/>
      <c r="OJY241" s="4"/>
      <c r="OJZ241" s="4"/>
      <c r="OKA241" s="4"/>
      <c r="OKB241" s="4"/>
      <c r="OKC241" s="4"/>
      <c r="OKD241" s="4"/>
      <c r="OKE241" s="4"/>
      <c r="OKF241" s="4"/>
      <c r="OKG241" s="4"/>
      <c r="OKH241" s="4"/>
      <c r="OKI241" s="4"/>
      <c r="OKJ241" s="4"/>
      <c r="OKK241" s="4"/>
      <c r="OKL241" s="4"/>
      <c r="OKM241" s="4"/>
      <c r="OKN241" s="4"/>
      <c r="OKO241" s="4"/>
      <c r="OKP241" s="4"/>
      <c r="OKQ241" s="4"/>
      <c r="OKR241" s="4"/>
      <c r="OKS241" s="4"/>
      <c r="OKT241" s="4"/>
      <c r="OKU241" s="4"/>
      <c r="OKV241" s="4"/>
      <c r="OKW241" s="4"/>
      <c r="OKX241" s="4"/>
      <c r="OKY241" s="4"/>
      <c r="OKZ241" s="4"/>
      <c r="OLA241" s="4"/>
      <c r="OLB241" s="4"/>
      <c r="OLC241" s="4"/>
      <c r="OLD241" s="4"/>
      <c r="OLE241" s="4"/>
      <c r="OLF241" s="4"/>
      <c r="OLG241" s="4"/>
      <c r="OLH241" s="4"/>
      <c r="OLI241" s="4"/>
      <c r="OLJ241" s="4"/>
      <c r="OLK241" s="4"/>
      <c r="OLL241" s="4"/>
      <c r="OLM241" s="4"/>
      <c r="OLN241" s="4"/>
      <c r="OLO241" s="4"/>
      <c r="OLP241" s="4"/>
      <c r="OLQ241" s="4"/>
      <c r="OLR241" s="4"/>
      <c r="OLS241" s="4"/>
      <c r="OLT241" s="4"/>
      <c r="OLU241" s="4"/>
      <c r="OLV241" s="4"/>
      <c r="OLW241" s="4"/>
      <c r="OLX241" s="4"/>
      <c r="OLY241" s="4"/>
      <c r="OLZ241" s="4"/>
      <c r="OMA241" s="4"/>
      <c r="OMB241" s="4"/>
      <c r="OMC241" s="4"/>
      <c r="OMD241" s="4"/>
      <c r="OME241" s="4"/>
      <c r="OMF241" s="4"/>
      <c r="OMG241" s="4"/>
      <c r="OMH241" s="4"/>
      <c r="OMI241" s="4"/>
      <c r="OMJ241" s="4"/>
      <c r="OMK241" s="4"/>
      <c r="OML241" s="4"/>
      <c r="OMM241" s="4"/>
      <c r="OMN241" s="4"/>
      <c r="OMO241" s="4"/>
      <c r="OMP241" s="4"/>
      <c r="OMQ241" s="4"/>
      <c r="OMR241" s="4"/>
      <c r="OMS241" s="4"/>
      <c r="OMT241" s="4"/>
      <c r="OMU241" s="4"/>
      <c r="OMV241" s="4"/>
      <c r="OMW241" s="4"/>
      <c r="OMX241" s="4"/>
      <c r="OMY241" s="4"/>
      <c r="OMZ241" s="4"/>
      <c r="ONA241" s="4"/>
      <c r="ONB241" s="4"/>
      <c r="ONC241" s="4"/>
      <c r="OND241" s="4"/>
      <c r="ONE241" s="4"/>
      <c r="ONF241" s="4"/>
      <c r="ONG241" s="4"/>
      <c r="ONH241" s="4"/>
      <c r="ONI241" s="4"/>
      <c r="ONJ241" s="4"/>
      <c r="ONK241" s="4"/>
      <c r="ONL241" s="4"/>
      <c r="ONM241" s="4"/>
      <c r="ONN241" s="4"/>
      <c r="ONO241" s="4"/>
      <c r="ONP241" s="4"/>
      <c r="ONQ241" s="4"/>
      <c r="ONR241" s="4"/>
      <c r="ONS241" s="4"/>
      <c r="ONT241" s="4"/>
      <c r="ONU241" s="4"/>
      <c r="ONV241" s="4"/>
      <c r="ONW241" s="4"/>
      <c r="ONX241" s="4"/>
      <c r="ONY241" s="4"/>
      <c r="ONZ241" s="4"/>
      <c r="OOA241" s="4"/>
      <c r="OOB241" s="4"/>
      <c r="OOC241" s="4"/>
      <c r="OOD241" s="4"/>
      <c r="OOE241" s="4"/>
      <c r="OOF241" s="4"/>
      <c r="OOG241" s="4"/>
      <c r="OOH241" s="4"/>
      <c r="OOI241" s="4"/>
      <c r="OOJ241" s="4"/>
      <c r="OOK241" s="4"/>
      <c r="OOL241" s="4"/>
      <c r="OOM241" s="4"/>
      <c r="OON241" s="4"/>
      <c r="OOO241" s="4"/>
      <c r="OOP241" s="4"/>
      <c r="OOQ241" s="4"/>
      <c r="OOR241" s="4"/>
      <c r="OOS241" s="4"/>
      <c r="OOT241" s="4"/>
      <c r="OOU241" s="4"/>
      <c r="OOV241" s="4"/>
      <c r="OOW241" s="4"/>
      <c r="OOX241" s="4"/>
      <c r="OOY241" s="4"/>
      <c r="OOZ241" s="4"/>
      <c r="OPA241" s="4"/>
      <c r="OPB241" s="4"/>
      <c r="OPC241" s="4"/>
      <c r="OPD241" s="4"/>
      <c r="OPE241" s="4"/>
      <c r="OPF241" s="4"/>
      <c r="OPG241" s="4"/>
      <c r="OPH241" s="4"/>
      <c r="OPI241" s="4"/>
      <c r="OPJ241" s="4"/>
      <c r="OPK241" s="4"/>
      <c r="OPL241" s="4"/>
      <c r="OPM241" s="4"/>
      <c r="OPN241" s="4"/>
      <c r="OPO241" s="4"/>
      <c r="OPP241" s="4"/>
      <c r="OPQ241" s="4"/>
      <c r="OPR241" s="4"/>
      <c r="OPS241" s="4"/>
      <c r="OPT241" s="4"/>
      <c r="OPU241" s="4"/>
      <c r="OPV241" s="4"/>
      <c r="OPW241" s="4"/>
      <c r="OPX241" s="4"/>
      <c r="OPY241" s="4"/>
      <c r="OPZ241" s="4"/>
      <c r="OQA241" s="4"/>
      <c r="OQB241" s="4"/>
      <c r="OQC241" s="4"/>
      <c r="OQD241" s="4"/>
      <c r="OQE241" s="4"/>
      <c r="OQF241" s="4"/>
      <c r="OQG241" s="4"/>
      <c r="OQH241" s="4"/>
      <c r="OQI241" s="4"/>
      <c r="OQJ241" s="4"/>
      <c r="OQK241" s="4"/>
      <c r="OQL241" s="4"/>
      <c r="OQM241" s="4"/>
      <c r="OQN241" s="4"/>
      <c r="OQO241" s="4"/>
      <c r="OQP241" s="4"/>
      <c r="OQQ241" s="4"/>
      <c r="OQR241" s="4"/>
      <c r="OQS241" s="4"/>
      <c r="OQT241" s="4"/>
      <c r="OQU241" s="4"/>
      <c r="OQV241" s="4"/>
      <c r="OQW241" s="4"/>
      <c r="OQX241" s="4"/>
      <c r="OQY241" s="4"/>
      <c r="OQZ241" s="4"/>
      <c r="ORA241" s="4"/>
      <c r="ORB241" s="4"/>
      <c r="ORC241" s="4"/>
      <c r="ORD241" s="4"/>
      <c r="ORE241" s="4"/>
      <c r="ORF241" s="4"/>
      <c r="ORG241" s="4"/>
      <c r="ORH241" s="4"/>
      <c r="ORI241" s="4"/>
      <c r="ORJ241" s="4"/>
      <c r="ORK241" s="4"/>
      <c r="ORL241" s="4"/>
      <c r="ORM241" s="4"/>
      <c r="ORN241" s="4"/>
      <c r="ORO241" s="4"/>
      <c r="ORP241" s="4"/>
      <c r="ORQ241" s="4"/>
      <c r="ORR241" s="4"/>
      <c r="ORS241" s="4"/>
      <c r="ORT241" s="4"/>
      <c r="ORU241" s="4"/>
      <c r="ORV241" s="4"/>
      <c r="ORW241" s="4"/>
      <c r="ORX241" s="4"/>
      <c r="ORY241" s="4"/>
      <c r="ORZ241" s="4"/>
      <c r="OSA241" s="4"/>
      <c r="OSB241" s="4"/>
      <c r="OSC241" s="4"/>
      <c r="OSD241" s="4"/>
      <c r="OSE241" s="4"/>
      <c r="OSF241" s="4"/>
      <c r="OSG241" s="4"/>
      <c r="OSH241" s="4"/>
      <c r="OSI241" s="4"/>
      <c r="OSJ241" s="4"/>
      <c r="OSK241" s="4"/>
      <c r="OSL241" s="4"/>
      <c r="OSM241" s="4"/>
      <c r="OSN241" s="4"/>
      <c r="OSO241" s="4"/>
      <c r="OSP241" s="4"/>
      <c r="OSQ241" s="4"/>
      <c r="OSR241" s="4"/>
      <c r="OSS241" s="4"/>
      <c r="OST241" s="4"/>
      <c r="OSU241" s="4"/>
      <c r="OSV241" s="4"/>
      <c r="OSW241" s="4"/>
      <c r="OSX241" s="4"/>
      <c r="OSY241" s="4"/>
      <c r="OSZ241" s="4"/>
      <c r="OTA241" s="4"/>
      <c r="OTB241" s="4"/>
      <c r="OTC241" s="4"/>
      <c r="OTD241" s="4"/>
      <c r="OTE241" s="4"/>
      <c r="OTF241" s="4"/>
      <c r="OTG241" s="4"/>
      <c r="OTH241" s="4"/>
      <c r="OTI241" s="4"/>
      <c r="OTJ241" s="4"/>
      <c r="OTK241" s="4"/>
      <c r="OTL241" s="4"/>
      <c r="OTM241" s="4"/>
      <c r="OTN241" s="4"/>
      <c r="OTO241" s="4"/>
      <c r="OTP241" s="4"/>
      <c r="OTQ241" s="4"/>
      <c r="OTR241" s="4"/>
      <c r="OTS241" s="4"/>
      <c r="OTT241" s="4"/>
      <c r="OTU241" s="4"/>
      <c r="OTV241" s="4"/>
      <c r="OTW241" s="4"/>
      <c r="OTX241" s="4"/>
      <c r="OTY241" s="4"/>
      <c r="OTZ241" s="4"/>
      <c r="OUA241" s="4"/>
      <c r="OUB241" s="4"/>
      <c r="OUC241" s="4"/>
      <c r="OUD241" s="4"/>
      <c r="OUE241" s="4"/>
      <c r="OUF241" s="4"/>
      <c r="OUG241" s="4"/>
      <c r="OUH241" s="4"/>
      <c r="OUI241" s="4"/>
      <c r="OUJ241" s="4"/>
      <c r="OUK241" s="4"/>
      <c r="OUL241" s="4"/>
      <c r="OUM241" s="4"/>
      <c r="OUN241" s="4"/>
      <c r="OUO241" s="4"/>
      <c r="OUP241" s="4"/>
      <c r="OUQ241" s="4"/>
      <c r="OUR241" s="4"/>
      <c r="OUS241" s="4"/>
      <c r="OUT241" s="4"/>
      <c r="OUU241" s="4"/>
      <c r="OUV241" s="4"/>
      <c r="OUW241" s="4"/>
      <c r="OUX241" s="4"/>
      <c r="OUY241" s="4"/>
      <c r="OUZ241" s="4"/>
      <c r="OVA241" s="4"/>
      <c r="OVB241" s="4"/>
      <c r="OVC241" s="4"/>
      <c r="OVD241" s="4"/>
      <c r="OVE241" s="4"/>
      <c r="OVF241" s="4"/>
      <c r="OVG241" s="4"/>
      <c r="OVH241" s="4"/>
      <c r="OVI241" s="4"/>
      <c r="OVJ241" s="4"/>
      <c r="OVK241" s="4"/>
      <c r="OVL241" s="4"/>
      <c r="OVM241" s="4"/>
      <c r="OVN241" s="4"/>
      <c r="OVO241" s="4"/>
      <c r="OVP241" s="4"/>
      <c r="OVQ241" s="4"/>
      <c r="OVR241" s="4"/>
      <c r="OVS241" s="4"/>
      <c r="OVT241" s="4"/>
      <c r="OVU241" s="4"/>
      <c r="OVV241" s="4"/>
      <c r="OVW241" s="4"/>
      <c r="OVX241" s="4"/>
      <c r="OVY241" s="4"/>
      <c r="OVZ241" s="4"/>
      <c r="OWA241" s="4"/>
      <c r="OWB241" s="4"/>
      <c r="OWC241" s="4"/>
      <c r="OWD241" s="4"/>
      <c r="OWE241" s="4"/>
      <c r="OWF241" s="4"/>
      <c r="OWG241" s="4"/>
      <c r="OWH241" s="4"/>
      <c r="OWI241" s="4"/>
      <c r="OWJ241" s="4"/>
      <c r="OWK241" s="4"/>
      <c r="OWL241" s="4"/>
      <c r="OWM241" s="4"/>
      <c r="OWN241" s="4"/>
      <c r="OWO241" s="4"/>
      <c r="OWP241" s="4"/>
      <c r="OWQ241" s="4"/>
      <c r="OWR241" s="4"/>
      <c r="OWS241" s="4"/>
      <c r="OWT241" s="4"/>
      <c r="OWU241" s="4"/>
      <c r="OWV241" s="4"/>
      <c r="OWW241" s="4"/>
      <c r="OWX241" s="4"/>
      <c r="OWY241" s="4"/>
      <c r="OWZ241" s="4"/>
      <c r="OXA241" s="4"/>
      <c r="OXB241" s="4"/>
      <c r="OXC241" s="4"/>
      <c r="OXD241" s="4"/>
      <c r="OXE241" s="4"/>
      <c r="OXF241" s="4"/>
      <c r="OXG241" s="4"/>
      <c r="OXH241" s="4"/>
      <c r="OXI241" s="4"/>
      <c r="OXJ241" s="4"/>
      <c r="OXK241" s="4"/>
      <c r="OXL241" s="4"/>
      <c r="OXM241" s="4"/>
      <c r="OXN241" s="4"/>
      <c r="OXO241" s="4"/>
      <c r="OXP241" s="4"/>
      <c r="OXQ241" s="4"/>
      <c r="OXR241" s="4"/>
      <c r="OXS241" s="4"/>
      <c r="OXT241" s="4"/>
      <c r="OXU241" s="4"/>
      <c r="OXV241" s="4"/>
      <c r="OXW241" s="4"/>
      <c r="OXX241" s="4"/>
      <c r="OXY241" s="4"/>
      <c r="OXZ241" s="4"/>
      <c r="OYA241" s="4"/>
      <c r="OYB241" s="4"/>
      <c r="OYC241" s="4"/>
      <c r="OYD241" s="4"/>
      <c r="OYE241" s="4"/>
      <c r="OYF241" s="4"/>
      <c r="OYG241" s="4"/>
      <c r="OYH241" s="4"/>
      <c r="OYI241" s="4"/>
      <c r="OYJ241" s="4"/>
      <c r="OYK241" s="4"/>
      <c r="OYL241" s="4"/>
      <c r="OYM241" s="4"/>
      <c r="OYN241" s="4"/>
      <c r="OYO241" s="4"/>
      <c r="OYP241" s="4"/>
      <c r="OYQ241" s="4"/>
      <c r="OYR241" s="4"/>
      <c r="OYS241" s="4"/>
      <c r="OYT241" s="4"/>
      <c r="OYU241" s="4"/>
      <c r="OYV241" s="4"/>
      <c r="OYW241" s="4"/>
      <c r="OYX241" s="4"/>
      <c r="OYY241" s="4"/>
      <c r="OYZ241" s="4"/>
      <c r="OZA241" s="4"/>
      <c r="OZB241" s="4"/>
      <c r="OZC241" s="4"/>
      <c r="OZD241" s="4"/>
      <c r="OZE241" s="4"/>
      <c r="OZF241" s="4"/>
      <c r="OZG241" s="4"/>
      <c r="OZH241" s="4"/>
      <c r="OZI241" s="4"/>
      <c r="OZJ241" s="4"/>
      <c r="OZK241" s="4"/>
      <c r="OZL241" s="4"/>
      <c r="OZM241" s="4"/>
      <c r="OZN241" s="4"/>
      <c r="OZO241" s="4"/>
      <c r="OZP241" s="4"/>
      <c r="OZQ241" s="4"/>
      <c r="OZR241" s="4"/>
      <c r="OZS241" s="4"/>
      <c r="OZT241" s="4"/>
      <c r="OZU241" s="4"/>
      <c r="OZV241" s="4"/>
      <c r="OZW241" s="4"/>
      <c r="OZX241" s="4"/>
      <c r="OZY241" s="4"/>
      <c r="OZZ241" s="4"/>
      <c r="PAA241" s="4"/>
      <c r="PAB241" s="4"/>
      <c r="PAC241" s="4"/>
      <c r="PAD241" s="4"/>
      <c r="PAE241" s="4"/>
      <c r="PAF241" s="4"/>
      <c r="PAG241" s="4"/>
      <c r="PAH241" s="4"/>
      <c r="PAI241" s="4"/>
      <c r="PAJ241" s="4"/>
      <c r="PAK241" s="4"/>
      <c r="PAL241" s="4"/>
      <c r="PAM241" s="4"/>
      <c r="PAN241" s="4"/>
      <c r="PAO241" s="4"/>
      <c r="PAP241" s="4"/>
      <c r="PAQ241" s="4"/>
      <c r="PAR241" s="4"/>
      <c r="PAS241" s="4"/>
      <c r="PAT241" s="4"/>
      <c r="PAU241" s="4"/>
      <c r="PAV241" s="4"/>
      <c r="PAW241" s="4"/>
      <c r="PAX241" s="4"/>
      <c r="PAY241" s="4"/>
      <c r="PAZ241" s="4"/>
      <c r="PBA241" s="4"/>
      <c r="PBB241" s="4"/>
      <c r="PBC241" s="4"/>
      <c r="PBD241" s="4"/>
      <c r="PBE241" s="4"/>
      <c r="PBF241" s="4"/>
      <c r="PBG241" s="4"/>
      <c r="PBH241" s="4"/>
      <c r="PBI241" s="4"/>
      <c r="PBJ241" s="4"/>
      <c r="PBK241" s="4"/>
      <c r="PBL241" s="4"/>
      <c r="PBM241" s="4"/>
      <c r="PBN241" s="4"/>
      <c r="PBO241" s="4"/>
      <c r="PBP241" s="4"/>
      <c r="PBQ241" s="4"/>
      <c r="PBR241" s="4"/>
      <c r="PBS241" s="4"/>
      <c r="PBT241" s="4"/>
      <c r="PBU241" s="4"/>
      <c r="PBV241" s="4"/>
      <c r="PBW241" s="4"/>
      <c r="PBX241" s="4"/>
      <c r="PBY241" s="4"/>
      <c r="PBZ241" s="4"/>
      <c r="PCA241" s="4"/>
      <c r="PCB241" s="4"/>
      <c r="PCC241" s="4"/>
      <c r="PCD241" s="4"/>
      <c r="PCE241" s="4"/>
      <c r="PCF241" s="4"/>
      <c r="PCG241" s="4"/>
      <c r="PCH241" s="4"/>
      <c r="PCI241" s="4"/>
      <c r="PCJ241" s="4"/>
      <c r="PCK241" s="4"/>
      <c r="PCL241" s="4"/>
      <c r="PCM241" s="4"/>
      <c r="PCN241" s="4"/>
      <c r="PCO241" s="4"/>
      <c r="PCP241" s="4"/>
      <c r="PCQ241" s="4"/>
      <c r="PCR241" s="4"/>
      <c r="PCS241" s="4"/>
      <c r="PCT241" s="4"/>
      <c r="PCU241" s="4"/>
      <c r="PCV241" s="4"/>
      <c r="PCW241" s="4"/>
      <c r="PCX241" s="4"/>
      <c r="PCY241" s="4"/>
      <c r="PCZ241" s="4"/>
      <c r="PDA241" s="4"/>
      <c r="PDB241" s="4"/>
      <c r="PDC241" s="4"/>
      <c r="PDD241" s="4"/>
      <c r="PDE241" s="4"/>
      <c r="PDF241" s="4"/>
      <c r="PDG241" s="4"/>
      <c r="PDH241" s="4"/>
      <c r="PDI241" s="4"/>
      <c r="PDJ241" s="4"/>
      <c r="PDK241" s="4"/>
      <c r="PDL241" s="4"/>
      <c r="PDM241" s="4"/>
      <c r="PDN241" s="4"/>
      <c r="PDO241" s="4"/>
      <c r="PDP241" s="4"/>
      <c r="PDQ241" s="4"/>
      <c r="PDR241" s="4"/>
      <c r="PDS241" s="4"/>
      <c r="PDT241" s="4"/>
      <c r="PDU241" s="4"/>
      <c r="PDV241" s="4"/>
      <c r="PDW241" s="4"/>
      <c r="PDX241" s="4"/>
      <c r="PDY241" s="4"/>
      <c r="PDZ241" s="4"/>
      <c r="PEA241" s="4"/>
      <c r="PEB241" s="4"/>
      <c r="PEC241" s="4"/>
      <c r="PED241" s="4"/>
      <c r="PEE241" s="4"/>
      <c r="PEF241" s="4"/>
      <c r="PEG241" s="4"/>
      <c r="PEH241" s="4"/>
      <c r="PEI241" s="4"/>
      <c r="PEJ241" s="4"/>
      <c r="PEK241" s="4"/>
      <c r="PEL241" s="4"/>
      <c r="PEM241" s="4"/>
      <c r="PEN241" s="4"/>
      <c r="PEO241" s="4"/>
      <c r="PEP241" s="4"/>
      <c r="PEQ241" s="4"/>
      <c r="PER241" s="4"/>
      <c r="PES241" s="4"/>
      <c r="PET241" s="4"/>
      <c r="PEU241" s="4"/>
      <c r="PEV241" s="4"/>
      <c r="PEW241" s="4"/>
      <c r="PEX241" s="4"/>
      <c r="PEY241" s="4"/>
      <c r="PEZ241" s="4"/>
      <c r="PFA241" s="4"/>
      <c r="PFB241" s="4"/>
      <c r="PFC241" s="4"/>
      <c r="PFD241" s="4"/>
      <c r="PFE241" s="4"/>
      <c r="PFF241" s="4"/>
      <c r="PFG241" s="4"/>
      <c r="PFH241" s="4"/>
      <c r="PFI241" s="4"/>
      <c r="PFJ241" s="4"/>
      <c r="PFK241" s="4"/>
      <c r="PFL241" s="4"/>
      <c r="PFM241" s="4"/>
      <c r="PFN241" s="4"/>
      <c r="PFO241" s="4"/>
      <c r="PFP241" s="4"/>
      <c r="PFQ241" s="4"/>
      <c r="PFR241" s="4"/>
      <c r="PFS241" s="4"/>
      <c r="PFT241" s="4"/>
      <c r="PFU241" s="4"/>
      <c r="PFV241" s="4"/>
      <c r="PFW241" s="4"/>
      <c r="PFX241" s="4"/>
      <c r="PFY241" s="4"/>
      <c r="PFZ241" s="4"/>
      <c r="PGA241" s="4"/>
      <c r="PGB241" s="4"/>
      <c r="PGC241" s="4"/>
      <c r="PGD241" s="4"/>
      <c r="PGE241" s="4"/>
      <c r="PGF241" s="4"/>
      <c r="PGG241" s="4"/>
      <c r="PGH241" s="4"/>
      <c r="PGI241" s="4"/>
      <c r="PGJ241" s="4"/>
      <c r="PGK241" s="4"/>
      <c r="PGL241" s="4"/>
      <c r="PGM241" s="4"/>
      <c r="PGN241" s="4"/>
      <c r="PGO241" s="4"/>
      <c r="PGP241" s="4"/>
      <c r="PGQ241" s="4"/>
      <c r="PGR241" s="4"/>
      <c r="PGS241" s="4"/>
      <c r="PGT241" s="4"/>
      <c r="PGU241" s="4"/>
      <c r="PGV241" s="4"/>
      <c r="PGW241" s="4"/>
      <c r="PGX241" s="4"/>
      <c r="PGY241" s="4"/>
      <c r="PGZ241" s="4"/>
      <c r="PHA241" s="4"/>
      <c r="PHB241" s="4"/>
      <c r="PHC241" s="4"/>
      <c r="PHD241" s="4"/>
      <c r="PHE241" s="4"/>
      <c r="PHF241" s="4"/>
      <c r="PHG241" s="4"/>
      <c r="PHH241" s="4"/>
      <c r="PHI241" s="4"/>
      <c r="PHJ241" s="4"/>
      <c r="PHK241" s="4"/>
      <c r="PHL241" s="4"/>
      <c r="PHM241" s="4"/>
      <c r="PHN241" s="4"/>
      <c r="PHO241" s="4"/>
      <c r="PHP241" s="4"/>
      <c r="PHQ241" s="4"/>
      <c r="PHR241" s="4"/>
      <c r="PHS241" s="4"/>
      <c r="PHT241" s="4"/>
      <c r="PHU241" s="4"/>
      <c r="PHV241" s="4"/>
      <c r="PHW241" s="4"/>
      <c r="PHX241" s="4"/>
      <c r="PHY241" s="4"/>
      <c r="PHZ241" s="4"/>
      <c r="PIA241" s="4"/>
      <c r="PIB241" s="4"/>
      <c r="PIC241" s="4"/>
      <c r="PID241" s="4"/>
      <c r="PIE241" s="4"/>
      <c r="PIF241" s="4"/>
      <c r="PIG241" s="4"/>
      <c r="PIH241" s="4"/>
      <c r="PII241" s="4"/>
      <c r="PIJ241" s="4"/>
      <c r="PIK241" s="4"/>
      <c r="PIL241" s="4"/>
      <c r="PIM241" s="4"/>
      <c r="PIN241" s="4"/>
      <c r="PIO241" s="4"/>
      <c r="PIP241" s="4"/>
      <c r="PIQ241" s="4"/>
      <c r="PIR241" s="4"/>
      <c r="PIS241" s="4"/>
      <c r="PIT241" s="4"/>
      <c r="PIU241" s="4"/>
      <c r="PIV241" s="4"/>
      <c r="PIW241" s="4"/>
      <c r="PIX241" s="4"/>
      <c r="PIY241" s="4"/>
      <c r="PIZ241" s="4"/>
      <c r="PJA241" s="4"/>
      <c r="PJB241" s="4"/>
      <c r="PJC241" s="4"/>
      <c r="PJD241" s="4"/>
      <c r="PJE241" s="4"/>
      <c r="PJF241" s="4"/>
      <c r="PJG241" s="4"/>
      <c r="PJH241" s="4"/>
      <c r="PJI241" s="4"/>
      <c r="PJJ241" s="4"/>
      <c r="PJK241" s="4"/>
      <c r="PJL241" s="4"/>
      <c r="PJM241" s="4"/>
      <c r="PJN241" s="4"/>
      <c r="PJO241" s="4"/>
      <c r="PJP241" s="4"/>
      <c r="PJQ241" s="4"/>
      <c r="PJR241" s="4"/>
      <c r="PJS241" s="4"/>
      <c r="PJT241" s="4"/>
      <c r="PJU241" s="4"/>
      <c r="PJV241" s="4"/>
      <c r="PJW241" s="4"/>
      <c r="PJX241" s="4"/>
      <c r="PJY241" s="4"/>
      <c r="PJZ241" s="4"/>
      <c r="PKA241" s="4"/>
      <c r="PKB241" s="4"/>
      <c r="PKC241" s="4"/>
      <c r="PKD241" s="4"/>
      <c r="PKE241" s="4"/>
      <c r="PKF241" s="4"/>
      <c r="PKG241" s="4"/>
      <c r="PKH241" s="4"/>
      <c r="PKI241" s="4"/>
      <c r="PKJ241" s="4"/>
      <c r="PKK241" s="4"/>
      <c r="PKL241" s="4"/>
      <c r="PKM241" s="4"/>
      <c r="PKN241" s="4"/>
      <c r="PKO241" s="4"/>
      <c r="PKP241" s="4"/>
      <c r="PKQ241" s="4"/>
      <c r="PKR241" s="4"/>
      <c r="PKS241" s="4"/>
      <c r="PKT241" s="4"/>
      <c r="PKU241" s="4"/>
      <c r="PKV241" s="4"/>
      <c r="PKW241" s="4"/>
      <c r="PKX241" s="4"/>
      <c r="PKY241" s="4"/>
      <c r="PKZ241" s="4"/>
      <c r="PLA241" s="4"/>
      <c r="PLB241" s="4"/>
      <c r="PLC241" s="4"/>
      <c r="PLD241" s="4"/>
      <c r="PLE241" s="4"/>
      <c r="PLF241" s="4"/>
      <c r="PLG241" s="4"/>
      <c r="PLH241" s="4"/>
      <c r="PLI241" s="4"/>
      <c r="PLJ241" s="4"/>
      <c r="PLK241" s="4"/>
      <c r="PLL241" s="4"/>
      <c r="PLM241" s="4"/>
      <c r="PLN241" s="4"/>
      <c r="PLO241" s="4"/>
      <c r="PLP241" s="4"/>
      <c r="PLQ241" s="4"/>
      <c r="PLR241" s="4"/>
      <c r="PLS241" s="4"/>
      <c r="PLT241" s="4"/>
      <c r="PLU241" s="4"/>
      <c r="PLV241" s="4"/>
      <c r="PLW241" s="4"/>
      <c r="PLX241" s="4"/>
      <c r="PLY241" s="4"/>
      <c r="PLZ241" s="4"/>
      <c r="PMA241" s="4"/>
      <c r="PMB241" s="4"/>
      <c r="PMC241" s="4"/>
      <c r="PMD241" s="4"/>
      <c r="PME241" s="4"/>
      <c r="PMF241" s="4"/>
      <c r="PMG241" s="4"/>
      <c r="PMH241" s="4"/>
      <c r="PMI241" s="4"/>
      <c r="PMJ241" s="4"/>
      <c r="PMK241" s="4"/>
      <c r="PML241" s="4"/>
      <c r="PMM241" s="4"/>
      <c r="PMN241" s="4"/>
      <c r="PMO241" s="4"/>
      <c r="PMP241" s="4"/>
      <c r="PMQ241" s="4"/>
      <c r="PMR241" s="4"/>
      <c r="PMS241" s="4"/>
      <c r="PMT241" s="4"/>
      <c r="PMU241" s="4"/>
      <c r="PMV241" s="4"/>
      <c r="PMW241" s="4"/>
      <c r="PMX241" s="4"/>
      <c r="PMY241" s="4"/>
      <c r="PMZ241" s="4"/>
      <c r="PNA241" s="4"/>
      <c r="PNB241" s="4"/>
      <c r="PNC241" s="4"/>
      <c r="PND241" s="4"/>
      <c r="PNE241" s="4"/>
      <c r="PNF241" s="4"/>
      <c r="PNG241" s="4"/>
      <c r="PNH241" s="4"/>
      <c r="PNI241" s="4"/>
      <c r="PNJ241" s="4"/>
      <c r="PNK241" s="4"/>
      <c r="PNL241" s="4"/>
      <c r="PNM241" s="4"/>
      <c r="PNN241" s="4"/>
      <c r="PNO241" s="4"/>
      <c r="PNP241" s="4"/>
      <c r="PNQ241" s="4"/>
      <c r="PNR241" s="4"/>
      <c r="PNS241" s="4"/>
      <c r="PNT241" s="4"/>
      <c r="PNU241" s="4"/>
      <c r="PNV241" s="4"/>
      <c r="PNW241" s="4"/>
      <c r="PNX241" s="4"/>
      <c r="PNY241" s="4"/>
      <c r="PNZ241" s="4"/>
      <c r="POA241" s="4"/>
      <c r="POB241" s="4"/>
      <c r="POC241" s="4"/>
      <c r="POD241" s="4"/>
      <c r="POE241" s="4"/>
      <c r="POF241" s="4"/>
      <c r="POG241" s="4"/>
      <c r="POH241" s="4"/>
      <c r="POI241" s="4"/>
      <c r="POJ241" s="4"/>
      <c r="POK241" s="4"/>
      <c r="POL241" s="4"/>
      <c r="POM241" s="4"/>
      <c r="PON241" s="4"/>
      <c r="POO241" s="4"/>
      <c r="POP241" s="4"/>
      <c r="POQ241" s="4"/>
      <c r="POR241" s="4"/>
      <c r="POS241" s="4"/>
      <c r="POT241" s="4"/>
      <c r="POU241" s="4"/>
      <c r="POV241" s="4"/>
      <c r="POW241" s="4"/>
      <c r="POX241" s="4"/>
      <c r="POY241" s="4"/>
      <c r="POZ241" s="4"/>
      <c r="PPA241" s="4"/>
      <c r="PPB241" s="4"/>
      <c r="PPC241" s="4"/>
      <c r="PPD241" s="4"/>
      <c r="PPE241" s="4"/>
      <c r="PPF241" s="4"/>
      <c r="PPG241" s="4"/>
      <c r="PPH241" s="4"/>
      <c r="PPI241" s="4"/>
      <c r="PPJ241" s="4"/>
      <c r="PPK241" s="4"/>
      <c r="PPL241" s="4"/>
      <c r="PPM241" s="4"/>
      <c r="PPN241" s="4"/>
      <c r="PPO241" s="4"/>
      <c r="PPP241" s="4"/>
      <c r="PPQ241" s="4"/>
      <c r="PPR241" s="4"/>
      <c r="PPS241" s="4"/>
      <c r="PPT241" s="4"/>
      <c r="PPU241" s="4"/>
      <c r="PPV241" s="4"/>
      <c r="PPW241" s="4"/>
      <c r="PPX241" s="4"/>
      <c r="PPY241" s="4"/>
      <c r="PPZ241" s="4"/>
      <c r="PQA241" s="4"/>
      <c r="PQB241" s="4"/>
      <c r="PQC241" s="4"/>
      <c r="PQD241" s="4"/>
      <c r="PQE241" s="4"/>
      <c r="PQF241" s="4"/>
      <c r="PQG241" s="4"/>
      <c r="PQH241" s="4"/>
      <c r="PQI241" s="4"/>
      <c r="PQJ241" s="4"/>
      <c r="PQK241" s="4"/>
      <c r="PQL241" s="4"/>
      <c r="PQM241" s="4"/>
      <c r="PQN241" s="4"/>
      <c r="PQO241" s="4"/>
      <c r="PQP241" s="4"/>
      <c r="PQQ241" s="4"/>
      <c r="PQR241" s="4"/>
      <c r="PQS241" s="4"/>
      <c r="PQT241" s="4"/>
      <c r="PQU241" s="4"/>
      <c r="PQV241" s="4"/>
      <c r="PQW241" s="4"/>
      <c r="PQX241" s="4"/>
      <c r="PQY241" s="4"/>
      <c r="PQZ241" s="4"/>
      <c r="PRA241" s="4"/>
      <c r="PRB241" s="4"/>
      <c r="PRC241" s="4"/>
      <c r="PRD241" s="4"/>
      <c r="PRE241" s="4"/>
      <c r="PRF241" s="4"/>
      <c r="PRG241" s="4"/>
      <c r="PRH241" s="4"/>
      <c r="PRI241" s="4"/>
      <c r="PRJ241" s="4"/>
      <c r="PRK241" s="4"/>
      <c r="PRL241" s="4"/>
      <c r="PRM241" s="4"/>
      <c r="PRN241" s="4"/>
      <c r="PRO241" s="4"/>
      <c r="PRP241" s="4"/>
      <c r="PRQ241" s="4"/>
      <c r="PRR241" s="4"/>
      <c r="PRS241" s="4"/>
      <c r="PRT241" s="4"/>
      <c r="PRU241" s="4"/>
      <c r="PRV241" s="4"/>
      <c r="PRW241" s="4"/>
      <c r="PRX241" s="4"/>
      <c r="PRY241" s="4"/>
      <c r="PRZ241" s="4"/>
      <c r="PSA241" s="4"/>
      <c r="PSB241" s="4"/>
      <c r="PSC241" s="4"/>
      <c r="PSD241" s="4"/>
      <c r="PSE241" s="4"/>
      <c r="PSF241" s="4"/>
      <c r="PSG241" s="4"/>
      <c r="PSH241" s="4"/>
      <c r="PSI241" s="4"/>
      <c r="PSJ241" s="4"/>
      <c r="PSK241" s="4"/>
      <c r="PSL241" s="4"/>
      <c r="PSM241" s="4"/>
      <c r="PSN241" s="4"/>
      <c r="PSO241" s="4"/>
      <c r="PSP241" s="4"/>
      <c r="PSQ241" s="4"/>
      <c r="PSR241" s="4"/>
      <c r="PSS241" s="4"/>
      <c r="PST241" s="4"/>
      <c r="PSU241" s="4"/>
      <c r="PSV241" s="4"/>
      <c r="PSW241" s="4"/>
      <c r="PSX241" s="4"/>
      <c r="PSY241" s="4"/>
      <c r="PSZ241" s="4"/>
      <c r="PTA241" s="4"/>
      <c r="PTB241" s="4"/>
      <c r="PTC241" s="4"/>
      <c r="PTD241" s="4"/>
      <c r="PTE241" s="4"/>
      <c r="PTF241" s="4"/>
      <c r="PTG241" s="4"/>
      <c r="PTH241" s="4"/>
      <c r="PTI241" s="4"/>
      <c r="PTJ241" s="4"/>
      <c r="PTK241" s="4"/>
      <c r="PTL241" s="4"/>
      <c r="PTM241" s="4"/>
      <c r="PTN241" s="4"/>
      <c r="PTO241" s="4"/>
      <c r="PTP241" s="4"/>
      <c r="PTQ241" s="4"/>
      <c r="PTR241" s="4"/>
      <c r="PTS241" s="4"/>
      <c r="PTT241" s="4"/>
      <c r="PTU241" s="4"/>
      <c r="PTV241" s="4"/>
      <c r="PTW241" s="4"/>
      <c r="PTX241" s="4"/>
      <c r="PTY241" s="4"/>
      <c r="PTZ241" s="4"/>
      <c r="PUA241" s="4"/>
      <c r="PUB241" s="4"/>
      <c r="PUC241" s="4"/>
      <c r="PUD241" s="4"/>
      <c r="PUE241" s="4"/>
      <c r="PUF241" s="4"/>
      <c r="PUG241" s="4"/>
      <c r="PUH241" s="4"/>
      <c r="PUI241" s="4"/>
      <c r="PUJ241" s="4"/>
      <c r="PUK241" s="4"/>
      <c r="PUL241" s="4"/>
      <c r="PUM241" s="4"/>
      <c r="PUN241" s="4"/>
      <c r="PUO241" s="4"/>
      <c r="PUP241" s="4"/>
      <c r="PUQ241" s="4"/>
      <c r="PUR241" s="4"/>
      <c r="PUS241" s="4"/>
      <c r="PUT241" s="4"/>
      <c r="PUU241" s="4"/>
      <c r="PUV241" s="4"/>
      <c r="PUW241" s="4"/>
      <c r="PUX241" s="4"/>
      <c r="PUY241" s="4"/>
      <c r="PUZ241" s="4"/>
      <c r="PVA241" s="4"/>
      <c r="PVB241" s="4"/>
      <c r="PVC241" s="4"/>
      <c r="PVD241" s="4"/>
      <c r="PVE241" s="4"/>
      <c r="PVF241" s="4"/>
      <c r="PVG241" s="4"/>
      <c r="PVH241" s="4"/>
      <c r="PVI241" s="4"/>
      <c r="PVJ241" s="4"/>
      <c r="PVK241" s="4"/>
      <c r="PVL241" s="4"/>
      <c r="PVM241" s="4"/>
      <c r="PVN241" s="4"/>
      <c r="PVO241" s="4"/>
      <c r="PVP241" s="4"/>
      <c r="PVQ241" s="4"/>
      <c r="PVR241" s="4"/>
      <c r="PVS241" s="4"/>
      <c r="PVT241" s="4"/>
      <c r="PVU241" s="4"/>
      <c r="PVV241" s="4"/>
      <c r="PVW241" s="4"/>
      <c r="PVX241" s="4"/>
      <c r="PVY241" s="4"/>
      <c r="PVZ241" s="4"/>
      <c r="PWA241" s="4"/>
      <c r="PWB241" s="4"/>
      <c r="PWC241" s="4"/>
      <c r="PWD241" s="4"/>
      <c r="PWE241" s="4"/>
      <c r="PWF241" s="4"/>
      <c r="PWG241" s="4"/>
      <c r="PWH241" s="4"/>
      <c r="PWI241" s="4"/>
      <c r="PWJ241" s="4"/>
      <c r="PWK241" s="4"/>
      <c r="PWL241" s="4"/>
      <c r="PWM241" s="4"/>
      <c r="PWN241" s="4"/>
      <c r="PWO241" s="4"/>
      <c r="PWP241" s="4"/>
      <c r="PWQ241" s="4"/>
      <c r="PWR241" s="4"/>
      <c r="PWS241" s="4"/>
      <c r="PWT241" s="4"/>
      <c r="PWU241" s="4"/>
      <c r="PWV241" s="4"/>
      <c r="PWW241" s="4"/>
      <c r="PWX241" s="4"/>
      <c r="PWY241" s="4"/>
      <c r="PWZ241" s="4"/>
      <c r="PXA241" s="4"/>
      <c r="PXB241" s="4"/>
      <c r="PXC241" s="4"/>
      <c r="PXD241" s="4"/>
      <c r="PXE241" s="4"/>
      <c r="PXF241" s="4"/>
      <c r="PXG241" s="4"/>
      <c r="PXH241" s="4"/>
      <c r="PXI241" s="4"/>
      <c r="PXJ241" s="4"/>
      <c r="PXK241" s="4"/>
      <c r="PXL241" s="4"/>
      <c r="PXM241" s="4"/>
      <c r="PXN241" s="4"/>
      <c r="PXO241" s="4"/>
      <c r="PXP241" s="4"/>
      <c r="PXQ241" s="4"/>
      <c r="PXR241" s="4"/>
      <c r="PXS241" s="4"/>
      <c r="PXT241" s="4"/>
      <c r="PXU241" s="4"/>
      <c r="PXV241" s="4"/>
      <c r="PXW241" s="4"/>
      <c r="PXX241" s="4"/>
      <c r="PXY241" s="4"/>
      <c r="PXZ241" s="4"/>
      <c r="PYA241" s="4"/>
      <c r="PYB241" s="4"/>
      <c r="PYC241" s="4"/>
      <c r="PYD241" s="4"/>
      <c r="PYE241" s="4"/>
      <c r="PYF241" s="4"/>
      <c r="PYG241" s="4"/>
      <c r="PYH241" s="4"/>
      <c r="PYI241" s="4"/>
      <c r="PYJ241" s="4"/>
      <c r="PYK241" s="4"/>
      <c r="PYL241" s="4"/>
      <c r="PYM241" s="4"/>
      <c r="PYN241" s="4"/>
      <c r="PYO241" s="4"/>
      <c r="PYP241" s="4"/>
      <c r="PYQ241" s="4"/>
      <c r="PYR241" s="4"/>
      <c r="PYS241" s="4"/>
      <c r="PYT241" s="4"/>
      <c r="PYU241" s="4"/>
      <c r="PYV241" s="4"/>
      <c r="PYW241" s="4"/>
      <c r="PYX241" s="4"/>
      <c r="PYY241" s="4"/>
      <c r="PYZ241" s="4"/>
      <c r="PZA241" s="4"/>
      <c r="PZB241" s="4"/>
      <c r="PZC241" s="4"/>
      <c r="PZD241" s="4"/>
      <c r="PZE241" s="4"/>
      <c r="PZF241" s="4"/>
      <c r="PZG241" s="4"/>
      <c r="PZH241" s="4"/>
      <c r="PZI241" s="4"/>
      <c r="PZJ241" s="4"/>
      <c r="PZK241" s="4"/>
      <c r="PZL241" s="4"/>
      <c r="PZM241" s="4"/>
      <c r="PZN241" s="4"/>
      <c r="PZO241" s="4"/>
      <c r="PZP241" s="4"/>
      <c r="PZQ241" s="4"/>
      <c r="PZR241" s="4"/>
      <c r="PZS241" s="4"/>
      <c r="PZT241" s="4"/>
      <c r="PZU241" s="4"/>
      <c r="PZV241" s="4"/>
      <c r="PZW241" s="4"/>
      <c r="PZX241" s="4"/>
      <c r="PZY241" s="4"/>
      <c r="PZZ241" s="4"/>
      <c r="QAA241" s="4"/>
      <c r="QAB241" s="4"/>
      <c r="QAC241" s="4"/>
      <c r="QAD241" s="4"/>
      <c r="QAE241" s="4"/>
      <c r="QAF241" s="4"/>
      <c r="QAG241" s="4"/>
      <c r="QAH241" s="4"/>
      <c r="QAI241" s="4"/>
      <c r="QAJ241" s="4"/>
      <c r="QAK241" s="4"/>
      <c r="QAL241" s="4"/>
      <c r="QAM241" s="4"/>
      <c r="QAN241" s="4"/>
      <c r="QAO241" s="4"/>
      <c r="QAP241" s="4"/>
      <c r="QAQ241" s="4"/>
      <c r="QAR241" s="4"/>
      <c r="QAS241" s="4"/>
      <c r="QAT241" s="4"/>
      <c r="QAU241" s="4"/>
      <c r="QAV241" s="4"/>
      <c r="QAW241" s="4"/>
      <c r="QAX241" s="4"/>
      <c r="QAY241" s="4"/>
      <c r="QAZ241" s="4"/>
      <c r="QBA241" s="4"/>
      <c r="QBB241" s="4"/>
      <c r="QBC241" s="4"/>
      <c r="QBD241" s="4"/>
      <c r="QBE241" s="4"/>
      <c r="QBF241" s="4"/>
      <c r="QBG241" s="4"/>
      <c r="QBH241" s="4"/>
      <c r="QBI241" s="4"/>
      <c r="QBJ241" s="4"/>
      <c r="QBK241" s="4"/>
      <c r="QBL241" s="4"/>
      <c r="QBM241" s="4"/>
      <c r="QBN241" s="4"/>
      <c r="QBO241" s="4"/>
      <c r="QBP241" s="4"/>
      <c r="QBQ241" s="4"/>
      <c r="QBR241" s="4"/>
      <c r="QBS241" s="4"/>
      <c r="QBT241" s="4"/>
      <c r="QBU241" s="4"/>
      <c r="QBV241" s="4"/>
      <c r="QBW241" s="4"/>
      <c r="QBX241" s="4"/>
      <c r="QBY241" s="4"/>
      <c r="QBZ241" s="4"/>
      <c r="QCA241" s="4"/>
      <c r="QCB241" s="4"/>
      <c r="QCC241" s="4"/>
      <c r="QCD241" s="4"/>
      <c r="QCE241" s="4"/>
      <c r="QCF241" s="4"/>
      <c r="QCG241" s="4"/>
      <c r="QCH241" s="4"/>
      <c r="QCI241" s="4"/>
      <c r="QCJ241" s="4"/>
      <c r="QCK241" s="4"/>
      <c r="QCL241" s="4"/>
      <c r="QCM241" s="4"/>
      <c r="QCN241" s="4"/>
      <c r="QCO241" s="4"/>
      <c r="QCP241" s="4"/>
      <c r="QCQ241" s="4"/>
      <c r="QCR241" s="4"/>
      <c r="QCS241" s="4"/>
      <c r="QCT241" s="4"/>
      <c r="QCU241" s="4"/>
      <c r="QCV241" s="4"/>
      <c r="QCW241" s="4"/>
      <c r="QCX241" s="4"/>
      <c r="QCY241" s="4"/>
      <c r="QCZ241" s="4"/>
      <c r="QDA241" s="4"/>
      <c r="QDB241" s="4"/>
      <c r="QDC241" s="4"/>
      <c r="QDD241" s="4"/>
      <c r="QDE241" s="4"/>
      <c r="QDF241" s="4"/>
      <c r="QDG241" s="4"/>
      <c r="QDH241" s="4"/>
      <c r="QDI241" s="4"/>
      <c r="QDJ241" s="4"/>
      <c r="QDK241" s="4"/>
      <c r="QDL241" s="4"/>
      <c r="QDM241" s="4"/>
      <c r="QDN241" s="4"/>
      <c r="QDO241" s="4"/>
      <c r="QDP241" s="4"/>
      <c r="QDQ241" s="4"/>
      <c r="QDR241" s="4"/>
      <c r="QDS241" s="4"/>
      <c r="QDT241" s="4"/>
      <c r="QDU241" s="4"/>
      <c r="QDV241" s="4"/>
      <c r="QDW241" s="4"/>
      <c r="QDX241" s="4"/>
      <c r="QDY241" s="4"/>
      <c r="QDZ241" s="4"/>
      <c r="QEA241" s="4"/>
      <c r="QEB241" s="4"/>
      <c r="QEC241" s="4"/>
      <c r="QED241" s="4"/>
      <c r="QEE241" s="4"/>
      <c r="QEF241" s="4"/>
      <c r="QEG241" s="4"/>
      <c r="QEH241" s="4"/>
      <c r="QEI241" s="4"/>
      <c r="QEJ241" s="4"/>
      <c r="QEK241" s="4"/>
      <c r="QEL241" s="4"/>
      <c r="QEM241" s="4"/>
      <c r="QEN241" s="4"/>
      <c r="QEO241" s="4"/>
      <c r="QEP241" s="4"/>
      <c r="QEQ241" s="4"/>
      <c r="QER241" s="4"/>
      <c r="QES241" s="4"/>
      <c r="QET241" s="4"/>
      <c r="QEU241" s="4"/>
      <c r="QEV241" s="4"/>
      <c r="QEW241" s="4"/>
      <c r="QEX241" s="4"/>
      <c r="QEY241" s="4"/>
      <c r="QEZ241" s="4"/>
      <c r="QFA241" s="4"/>
      <c r="QFB241" s="4"/>
      <c r="QFC241" s="4"/>
      <c r="QFD241" s="4"/>
      <c r="QFE241" s="4"/>
      <c r="QFF241" s="4"/>
      <c r="QFG241" s="4"/>
      <c r="QFH241" s="4"/>
      <c r="QFI241" s="4"/>
      <c r="QFJ241" s="4"/>
      <c r="QFK241" s="4"/>
      <c r="QFL241" s="4"/>
      <c r="QFM241" s="4"/>
      <c r="QFN241" s="4"/>
      <c r="QFO241" s="4"/>
      <c r="QFP241" s="4"/>
      <c r="QFQ241" s="4"/>
      <c r="QFR241" s="4"/>
      <c r="QFS241" s="4"/>
      <c r="QFT241" s="4"/>
      <c r="QFU241" s="4"/>
      <c r="QFV241" s="4"/>
      <c r="QFW241" s="4"/>
      <c r="QFX241" s="4"/>
      <c r="QFY241" s="4"/>
      <c r="QFZ241" s="4"/>
      <c r="QGA241" s="4"/>
      <c r="QGB241" s="4"/>
      <c r="QGC241" s="4"/>
      <c r="QGD241" s="4"/>
      <c r="QGE241" s="4"/>
      <c r="QGF241" s="4"/>
      <c r="QGG241" s="4"/>
      <c r="QGH241" s="4"/>
      <c r="QGI241" s="4"/>
      <c r="QGJ241" s="4"/>
      <c r="QGK241" s="4"/>
      <c r="QGL241" s="4"/>
      <c r="QGM241" s="4"/>
      <c r="QGN241" s="4"/>
      <c r="QGO241" s="4"/>
      <c r="QGP241" s="4"/>
      <c r="QGQ241" s="4"/>
      <c r="QGR241" s="4"/>
      <c r="QGS241" s="4"/>
      <c r="QGT241" s="4"/>
      <c r="QGU241" s="4"/>
      <c r="QGV241" s="4"/>
      <c r="QGW241" s="4"/>
      <c r="QGX241" s="4"/>
      <c r="QGY241" s="4"/>
      <c r="QGZ241" s="4"/>
      <c r="QHA241" s="4"/>
      <c r="QHB241" s="4"/>
      <c r="QHC241" s="4"/>
      <c r="QHD241" s="4"/>
      <c r="QHE241" s="4"/>
      <c r="QHF241" s="4"/>
      <c r="QHG241" s="4"/>
      <c r="QHH241" s="4"/>
      <c r="QHI241" s="4"/>
      <c r="QHJ241" s="4"/>
      <c r="QHK241" s="4"/>
      <c r="QHL241" s="4"/>
      <c r="QHM241" s="4"/>
      <c r="QHN241" s="4"/>
      <c r="QHO241" s="4"/>
      <c r="QHP241" s="4"/>
      <c r="QHQ241" s="4"/>
      <c r="QHR241" s="4"/>
      <c r="QHS241" s="4"/>
      <c r="QHT241" s="4"/>
      <c r="QHU241" s="4"/>
      <c r="QHV241" s="4"/>
      <c r="QHW241" s="4"/>
      <c r="QHX241" s="4"/>
      <c r="QHY241" s="4"/>
      <c r="QHZ241" s="4"/>
      <c r="QIA241" s="4"/>
      <c r="QIB241" s="4"/>
      <c r="QIC241" s="4"/>
      <c r="QID241" s="4"/>
      <c r="QIE241" s="4"/>
      <c r="QIF241" s="4"/>
      <c r="QIG241" s="4"/>
      <c r="QIH241" s="4"/>
      <c r="QII241" s="4"/>
      <c r="QIJ241" s="4"/>
      <c r="QIK241" s="4"/>
      <c r="QIL241" s="4"/>
      <c r="QIM241" s="4"/>
      <c r="QIN241" s="4"/>
      <c r="QIO241" s="4"/>
      <c r="QIP241" s="4"/>
      <c r="QIQ241" s="4"/>
      <c r="QIR241" s="4"/>
      <c r="QIS241" s="4"/>
      <c r="QIT241" s="4"/>
      <c r="QIU241" s="4"/>
      <c r="QIV241" s="4"/>
      <c r="QIW241" s="4"/>
      <c r="QIX241" s="4"/>
      <c r="QIY241" s="4"/>
      <c r="QIZ241" s="4"/>
      <c r="QJA241" s="4"/>
      <c r="QJB241" s="4"/>
      <c r="QJC241" s="4"/>
      <c r="QJD241" s="4"/>
      <c r="QJE241" s="4"/>
      <c r="QJF241" s="4"/>
      <c r="QJG241" s="4"/>
      <c r="QJH241" s="4"/>
      <c r="QJI241" s="4"/>
      <c r="QJJ241" s="4"/>
      <c r="QJK241" s="4"/>
      <c r="QJL241" s="4"/>
      <c r="QJM241" s="4"/>
      <c r="QJN241" s="4"/>
      <c r="QJO241" s="4"/>
      <c r="QJP241" s="4"/>
      <c r="QJQ241" s="4"/>
      <c r="QJR241" s="4"/>
      <c r="QJS241" s="4"/>
      <c r="QJT241" s="4"/>
      <c r="QJU241" s="4"/>
      <c r="QJV241" s="4"/>
      <c r="QJW241" s="4"/>
      <c r="QJX241" s="4"/>
      <c r="QJY241" s="4"/>
      <c r="QJZ241" s="4"/>
      <c r="QKA241" s="4"/>
      <c r="QKB241" s="4"/>
      <c r="QKC241" s="4"/>
      <c r="QKD241" s="4"/>
      <c r="QKE241" s="4"/>
      <c r="QKF241" s="4"/>
      <c r="QKG241" s="4"/>
      <c r="QKH241" s="4"/>
      <c r="QKI241" s="4"/>
      <c r="QKJ241" s="4"/>
      <c r="QKK241" s="4"/>
      <c r="QKL241" s="4"/>
      <c r="QKM241" s="4"/>
      <c r="QKN241" s="4"/>
      <c r="QKO241" s="4"/>
      <c r="QKP241" s="4"/>
      <c r="QKQ241" s="4"/>
      <c r="QKR241" s="4"/>
      <c r="QKS241" s="4"/>
      <c r="QKT241" s="4"/>
      <c r="QKU241" s="4"/>
      <c r="QKV241" s="4"/>
      <c r="QKW241" s="4"/>
      <c r="QKX241" s="4"/>
      <c r="QKY241" s="4"/>
      <c r="QKZ241" s="4"/>
      <c r="QLA241" s="4"/>
      <c r="QLB241" s="4"/>
      <c r="QLC241" s="4"/>
      <c r="QLD241" s="4"/>
      <c r="QLE241" s="4"/>
      <c r="QLF241" s="4"/>
      <c r="QLG241" s="4"/>
      <c r="QLH241" s="4"/>
      <c r="QLI241" s="4"/>
      <c r="QLJ241" s="4"/>
      <c r="QLK241" s="4"/>
      <c r="QLL241" s="4"/>
      <c r="QLM241" s="4"/>
      <c r="QLN241" s="4"/>
      <c r="QLO241" s="4"/>
      <c r="QLP241" s="4"/>
      <c r="QLQ241" s="4"/>
      <c r="QLR241" s="4"/>
      <c r="QLS241" s="4"/>
      <c r="QLT241" s="4"/>
      <c r="QLU241" s="4"/>
      <c r="QLV241" s="4"/>
      <c r="QLW241" s="4"/>
      <c r="QLX241" s="4"/>
      <c r="QLY241" s="4"/>
      <c r="QLZ241" s="4"/>
      <c r="QMA241" s="4"/>
      <c r="QMB241" s="4"/>
      <c r="QMC241" s="4"/>
      <c r="QMD241" s="4"/>
      <c r="QME241" s="4"/>
      <c r="QMF241" s="4"/>
      <c r="QMG241" s="4"/>
      <c r="QMH241" s="4"/>
      <c r="QMI241" s="4"/>
      <c r="QMJ241" s="4"/>
      <c r="QMK241" s="4"/>
      <c r="QML241" s="4"/>
      <c r="QMM241" s="4"/>
      <c r="QMN241" s="4"/>
      <c r="QMO241" s="4"/>
      <c r="QMP241" s="4"/>
      <c r="QMQ241" s="4"/>
      <c r="QMR241" s="4"/>
      <c r="QMS241" s="4"/>
      <c r="QMT241" s="4"/>
      <c r="QMU241" s="4"/>
      <c r="QMV241" s="4"/>
      <c r="QMW241" s="4"/>
      <c r="QMX241" s="4"/>
      <c r="QMY241" s="4"/>
      <c r="QMZ241" s="4"/>
      <c r="QNA241" s="4"/>
      <c r="QNB241" s="4"/>
      <c r="QNC241" s="4"/>
      <c r="QND241" s="4"/>
      <c r="QNE241" s="4"/>
      <c r="QNF241" s="4"/>
      <c r="QNG241" s="4"/>
      <c r="QNH241" s="4"/>
      <c r="QNI241" s="4"/>
      <c r="QNJ241" s="4"/>
      <c r="QNK241" s="4"/>
      <c r="QNL241" s="4"/>
      <c r="QNM241" s="4"/>
      <c r="QNN241" s="4"/>
      <c r="QNO241" s="4"/>
      <c r="QNP241" s="4"/>
      <c r="QNQ241" s="4"/>
      <c r="QNR241" s="4"/>
      <c r="QNS241" s="4"/>
      <c r="QNT241" s="4"/>
      <c r="QNU241" s="4"/>
      <c r="QNV241" s="4"/>
      <c r="QNW241" s="4"/>
      <c r="QNX241" s="4"/>
      <c r="QNY241" s="4"/>
      <c r="QNZ241" s="4"/>
      <c r="QOA241" s="4"/>
      <c r="QOB241" s="4"/>
      <c r="QOC241" s="4"/>
      <c r="QOD241" s="4"/>
      <c r="QOE241" s="4"/>
      <c r="QOF241" s="4"/>
      <c r="QOG241" s="4"/>
      <c r="QOH241" s="4"/>
      <c r="QOI241" s="4"/>
      <c r="QOJ241" s="4"/>
      <c r="QOK241" s="4"/>
      <c r="QOL241" s="4"/>
      <c r="QOM241" s="4"/>
      <c r="QON241" s="4"/>
      <c r="QOO241" s="4"/>
      <c r="QOP241" s="4"/>
      <c r="QOQ241" s="4"/>
      <c r="QOR241" s="4"/>
      <c r="QOS241" s="4"/>
      <c r="QOT241" s="4"/>
      <c r="QOU241" s="4"/>
      <c r="QOV241" s="4"/>
      <c r="QOW241" s="4"/>
      <c r="QOX241" s="4"/>
      <c r="QOY241" s="4"/>
      <c r="QOZ241" s="4"/>
      <c r="QPA241" s="4"/>
      <c r="QPB241" s="4"/>
      <c r="QPC241" s="4"/>
      <c r="QPD241" s="4"/>
      <c r="QPE241" s="4"/>
      <c r="QPF241" s="4"/>
      <c r="QPG241" s="4"/>
      <c r="QPH241" s="4"/>
      <c r="QPI241" s="4"/>
      <c r="QPJ241" s="4"/>
      <c r="QPK241" s="4"/>
      <c r="QPL241" s="4"/>
      <c r="QPM241" s="4"/>
      <c r="QPN241" s="4"/>
      <c r="QPO241" s="4"/>
      <c r="QPP241" s="4"/>
      <c r="QPQ241" s="4"/>
      <c r="QPR241" s="4"/>
      <c r="QPS241" s="4"/>
      <c r="QPT241" s="4"/>
      <c r="QPU241" s="4"/>
      <c r="QPV241" s="4"/>
      <c r="QPW241" s="4"/>
      <c r="QPX241" s="4"/>
      <c r="QPY241" s="4"/>
      <c r="QPZ241" s="4"/>
      <c r="QQA241" s="4"/>
      <c r="QQB241" s="4"/>
      <c r="QQC241" s="4"/>
      <c r="QQD241" s="4"/>
      <c r="QQE241" s="4"/>
      <c r="QQF241" s="4"/>
      <c r="QQG241" s="4"/>
      <c r="QQH241" s="4"/>
      <c r="QQI241" s="4"/>
      <c r="QQJ241" s="4"/>
      <c r="QQK241" s="4"/>
      <c r="QQL241" s="4"/>
      <c r="QQM241" s="4"/>
      <c r="QQN241" s="4"/>
      <c r="QQO241" s="4"/>
      <c r="QQP241" s="4"/>
      <c r="QQQ241" s="4"/>
      <c r="QQR241" s="4"/>
      <c r="QQS241" s="4"/>
      <c r="QQT241" s="4"/>
      <c r="QQU241" s="4"/>
      <c r="QQV241" s="4"/>
      <c r="QQW241" s="4"/>
      <c r="QQX241" s="4"/>
      <c r="QQY241" s="4"/>
      <c r="QQZ241" s="4"/>
      <c r="QRA241" s="4"/>
      <c r="QRB241" s="4"/>
      <c r="QRC241" s="4"/>
      <c r="QRD241" s="4"/>
      <c r="QRE241" s="4"/>
      <c r="QRF241" s="4"/>
      <c r="QRG241" s="4"/>
      <c r="QRH241" s="4"/>
      <c r="QRI241" s="4"/>
      <c r="QRJ241" s="4"/>
      <c r="QRK241" s="4"/>
      <c r="QRL241" s="4"/>
      <c r="QRM241" s="4"/>
      <c r="QRN241" s="4"/>
      <c r="QRO241" s="4"/>
      <c r="QRP241" s="4"/>
      <c r="QRQ241" s="4"/>
      <c r="QRR241" s="4"/>
      <c r="QRS241" s="4"/>
      <c r="QRT241" s="4"/>
      <c r="QRU241" s="4"/>
      <c r="QRV241" s="4"/>
      <c r="QRW241" s="4"/>
      <c r="QRX241" s="4"/>
      <c r="QRY241" s="4"/>
      <c r="QRZ241" s="4"/>
      <c r="QSA241" s="4"/>
      <c r="QSB241" s="4"/>
      <c r="QSC241" s="4"/>
      <c r="QSD241" s="4"/>
      <c r="QSE241" s="4"/>
      <c r="QSF241" s="4"/>
      <c r="QSG241" s="4"/>
      <c r="QSH241" s="4"/>
      <c r="QSI241" s="4"/>
      <c r="QSJ241" s="4"/>
      <c r="QSK241" s="4"/>
      <c r="QSL241" s="4"/>
      <c r="QSM241" s="4"/>
      <c r="QSN241" s="4"/>
      <c r="QSO241" s="4"/>
      <c r="QSP241" s="4"/>
      <c r="QSQ241" s="4"/>
      <c r="QSR241" s="4"/>
      <c r="QSS241" s="4"/>
      <c r="QST241" s="4"/>
      <c r="QSU241" s="4"/>
      <c r="QSV241" s="4"/>
      <c r="QSW241" s="4"/>
      <c r="QSX241" s="4"/>
      <c r="QSY241" s="4"/>
      <c r="QSZ241" s="4"/>
      <c r="QTA241" s="4"/>
      <c r="QTB241" s="4"/>
      <c r="QTC241" s="4"/>
      <c r="QTD241" s="4"/>
      <c r="QTE241" s="4"/>
      <c r="QTF241" s="4"/>
      <c r="QTG241" s="4"/>
      <c r="QTH241" s="4"/>
      <c r="QTI241" s="4"/>
      <c r="QTJ241" s="4"/>
      <c r="QTK241" s="4"/>
      <c r="QTL241" s="4"/>
      <c r="QTM241" s="4"/>
      <c r="QTN241" s="4"/>
      <c r="QTO241" s="4"/>
      <c r="QTP241" s="4"/>
      <c r="QTQ241" s="4"/>
      <c r="QTR241" s="4"/>
      <c r="QTS241" s="4"/>
      <c r="QTT241" s="4"/>
      <c r="QTU241" s="4"/>
      <c r="QTV241" s="4"/>
      <c r="QTW241" s="4"/>
      <c r="QTX241" s="4"/>
      <c r="QTY241" s="4"/>
      <c r="QTZ241" s="4"/>
      <c r="QUA241" s="4"/>
      <c r="QUB241" s="4"/>
      <c r="QUC241" s="4"/>
      <c r="QUD241" s="4"/>
      <c r="QUE241" s="4"/>
      <c r="QUF241" s="4"/>
      <c r="QUG241" s="4"/>
      <c r="QUH241" s="4"/>
      <c r="QUI241" s="4"/>
      <c r="QUJ241" s="4"/>
      <c r="QUK241" s="4"/>
      <c r="QUL241" s="4"/>
      <c r="QUM241" s="4"/>
      <c r="QUN241" s="4"/>
      <c r="QUO241" s="4"/>
      <c r="QUP241" s="4"/>
      <c r="QUQ241" s="4"/>
      <c r="QUR241" s="4"/>
      <c r="QUS241" s="4"/>
      <c r="QUT241" s="4"/>
      <c r="QUU241" s="4"/>
      <c r="QUV241" s="4"/>
      <c r="QUW241" s="4"/>
      <c r="QUX241" s="4"/>
      <c r="QUY241" s="4"/>
      <c r="QUZ241" s="4"/>
      <c r="QVA241" s="4"/>
      <c r="QVB241" s="4"/>
      <c r="QVC241" s="4"/>
      <c r="QVD241" s="4"/>
      <c r="QVE241" s="4"/>
      <c r="QVF241" s="4"/>
      <c r="QVG241" s="4"/>
      <c r="QVH241" s="4"/>
      <c r="QVI241" s="4"/>
      <c r="QVJ241" s="4"/>
      <c r="QVK241" s="4"/>
      <c r="QVL241" s="4"/>
      <c r="QVM241" s="4"/>
      <c r="QVN241" s="4"/>
      <c r="QVO241" s="4"/>
      <c r="QVP241" s="4"/>
      <c r="QVQ241" s="4"/>
      <c r="QVR241" s="4"/>
      <c r="QVS241" s="4"/>
      <c r="QVT241" s="4"/>
      <c r="QVU241" s="4"/>
      <c r="QVV241" s="4"/>
      <c r="QVW241" s="4"/>
      <c r="QVX241" s="4"/>
      <c r="QVY241" s="4"/>
      <c r="QVZ241" s="4"/>
      <c r="QWA241" s="4"/>
      <c r="QWB241" s="4"/>
      <c r="QWC241" s="4"/>
      <c r="QWD241" s="4"/>
      <c r="QWE241" s="4"/>
      <c r="QWF241" s="4"/>
      <c r="QWG241" s="4"/>
      <c r="QWH241" s="4"/>
      <c r="QWI241" s="4"/>
      <c r="QWJ241" s="4"/>
      <c r="QWK241" s="4"/>
      <c r="QWL241" s="4"/>
      <c r="QWM241" s="4"/>
      <c r="QWN241" s="4"/>
      <c r="QWO241" s="4"/>
      <c r="QWP241" s="4"/>
      <c r="QWQ241" s="4"/>
      <c r="QWR241" s="4"/>
      <c r="QWS241" s="4"/>
      <c r="QWT241" s="4"/>
      <c r="QWU241" s="4"/>
      <c r="QWV241" s="4"/>
      <c r="QWW241" s="4"/>
      <c r="QWX241" s="4"/>
      <c r="QWY241" s="4"/>
      <c r="QWZ241" s="4"/>
      <c r="QXA241" s="4"/>
      <c r="QXB241" s="4"/>
      <c r="QXC241" s="4"/>
      <c r="QXD241" s="4"/>
      <c r="QXE241" s="4"/>
      <c r="QXF241" s="4"/>
      <c r="QXG241" s="4"/>
      <c r="QXH241" s="4"/>
      <c r="QXI241" s="4"/>
      <c r="QXJ241" s="4"/>
      <c r="QXK241" s="4"/>
      <c r="QXL241" s="4"/>
      <c r="QXM241" s="4"/>
      <c r="QXN241" s="4"/>
      <c r="QXO241" s="4"/>
      <c r="QXP241" s="4"/>
      <c r="QXQ241" s="4"/>
      <c r="QXR241" s="4"/>
      <c r="QXS241" s="4"/>
      <c r="QXT241" s="4"/>
      <c r="QXU241" s="4"/>
      <c r="QXV241" s="4"/>
      <c r="QXW241" s="4"/>
      <c r="QXX241" s="4"/>
      <c r="QXY241" s="4"/>
      <c r="QXZ241" s="4"/>
      <c r="QYA241" s="4"/>
      <c r="QYB241" s="4"/>
      <c r="QYC241" s="4"/>
      <c r="QYD241" s="4"/>
      <c r="QYE241" s="4"/>
      <c r="QYF241" s="4"/>
      <c r="QYG241" s="4"/>
      <c r="QYH241" s="4"/>
      <c r="QYI241" s="4"/>
      <c r="QYJ241" s="4"/>
      <c r="QYK241" s="4"/>
      <c r="QYL241" s="4"/>
      <c r="QYM241" s="4"/>
      <c r="QYN241" s="4"/>
      <c r="QYO241" s="4"/>
      <c r="QYP241" s="4"/>
      <c r="QYQ241" s="4"/>
      <c r="QYR241" s="4"/>
      <c r="QYS241" s="4"/>
      <c r="QYT241" s="4"/>
      <c r="QYU241" s="4"/>
      <c r="QYV241" s="4"/>
      <c r="QYW241" s="4"/>
      <c r="QYX241" s="4"/>
      <c r="QYY241" s="4"/>
      <c r="QYZ241" s="4"/>
      <c r="QZA241" s="4"/>
      <c r="QZB241" s="4"/>
      <c r="QZC241" s="4"/>
      <c r="QZD241" s="4"/>
      <c r="QZE241" s="4"/>
      <c r="QZF241" s="4"/>
      <c r="QZG241" s="4"/>
      <c r="QZH241" s="4"/>
      <c r="QZI241" s="4"/>
      <c r="QZJ241" s="4"/>
      <c r="QZK241" s="4"/>
      <c r="QZL241" s="4"/>
      <c r="QZM241" s="4"/>
      <c r="QZN241" s="4"/>
      <c r="QZO241" s="4"/>
      <c r="QZP241" s="4"/>
      <c r="QZQ241" s="4"/>
      <c r="QZR241" s="4"/>
      <c r="QZS241" s="4"/>
      <c r="QZT241" s="4"/>
      <c r="QZU241" s="4"/>
      <c r="QZV241" s="4"/>
      <c r="QZW241" s="4"/>
      <c r="QZX241" s="4"/>
      <c r="QZY241" s="4"/>
      <c r="QZZ241" s="4"/>
      <c r="RAA241" s="4"/>
      <c r="RAB241" s="4"/>
      <c r="RAC241" s="4"/>
      <c r="RAD241" s="4"/>
      <c r="RAE241" s="4"/>
      <c r="RAF241" s="4"/>
      <c r="RAG241" s="4"/>
      <c r="RAH241" s="4"/>
      <c r="RAI241" s="4"/>
      <c r="RAJ241" s="4"/>
      <c r="RAK241" s="4"/>
      <c r="RAL241" s="4"/>
      <c r="RAM241" s="4"/>
      <c r="RAN241" s="4"/>
      <c r="RAO241" s="4"/>
      <c r="RAP241" s="4"/>
      <c r="RAQ241" s="4"/>
      <c r="RAR241" s="4"/>
      <c r="RAS241" s="4"/>
      <c r="RAT241" s="4"/>
      <c r="RAU241" s="4"/>
      <c r="RAV241" s="4"/>
      <c r="RAW241" s="4"/>
      <c r="RAX241" s="4"/>
      <c r="RAY241" s="4"/>
      <c r="RAZ241" s="4"/>
      <c r="RBA241" s="4"/>
      <c r="RBB241" s="4"/>
      <c r="RBC241" s="4"/>
      <c r="RBD241" s="4"/>
      <c r="RBE241" s="4"/>
      <c r="RBF241" s="4"/>
      <c r="RBG241" s="4"/>
      <c r="RBH241" s="4"/>
      <c r="RBI241" s="4"/>
      <c r="RBJ241" s="4"/>
      <c r="RBK241" s="4"/>
      <c r="RBL241" s="4"/>
      <c r="RBM241" s="4"/>
      <c r="RBN241" s="4"/>
      <c r="RBO241" s="4"/>
      <c r="RBP241" s="4"/>
      <c r="RBQ241" s="4"/>
      <c r="RBR241" s="4"/>
      <c r="RBS241" s="4"/>
      <c r="RBT241" s="4"/>
      <c r="RBU241" s="4"/>
      <c r="RBV241" s="4"/>
      <c r="RBW241" s="4"/>
      <c r="RBX241" s="4"/>
      <c r="RBY241" s="4"/>
      <c r="RBZ241" s="4"/>
      <c r="RCA241" s="4"/>
      <c r="RCB241" s="4"/>
      <c r="RCC241" s="4"/>
      <c r="RCD241" s="4"/>
      <c r="RCE241" s="4"/>
      <c r="RCF241" s="4"/>
      <c r="RCG241" s="4"/>
      <c r="RCH241" s="4"/>
      <c r="RCI241" s="4"/>
      <c r="RCJ241" s="4"/>
      <c r="RCK241" s="4"/>
      <c r="RCL241" s="4"/>
      <c r="RCM241" s="4"/>
      <c r="RCN241" s="4"/>
      <c r="RCO241" s="4"/>
      <c r="RCP241" s="4"/>
      <c r="RCQ241" s="4"/>
      <c r="RCR241" s="4"/>
      <c r="RCS241" s="4"/>
      <c r="RCT241" s="4"/>
      <c r="RCU241" s="4"/>
      <c r="RCV241" s="4"/>
      <c r="RCW241" s="4"/>
      <c r="RCX241" s="4"/>
      <c r="RCY241" s="4"/>
      <c r="RCZ241" s="4"/>
      <c r="RDA241" s="4"/>
      <c r="RDB241" s="4"/>
      <c r="RDC241" s="4"/>
      <c r="RDD241" s="4"/>
      <c r="RDE241" s="4"/>
      <c r="RDF241" s="4"/>
      <c r="RDG241" s="4"/>
      <c r="RDH241" s="4"/>
      <c r="RDI241" s="4"/>
      <c r="RDJ241" s="4"/>
      <c r="RDK241" s="4"/>
      <c r="RDL241" s="4"/>
      <c r="RDM241" s="4"/>
      <c r="RDN241" s="4"/>
      <c r="RDO241" s="4"/>
      <c r="RDP241" s="4"/>
      <c r="RDQ241" s="4"/>
      <c r="RDR241" s="4"/>
      <c r="RDS241" s="4"/>
      <c r="RDT241" s="4"/>
      <c r="RDU241" s="4"/>
      <c r="RDV241" s="4"/>
      <c r="RDW241" s="4"/>
      <c r="RDX241" s="4"/>
      <c r="RDY241" s="4"/>
      <c r="RDZ241" s="4"/>
      <c r="REA241" s="4"/>
      <c r="REB241" s="4"/>
      <c r="REC241" s="4"/>
      <c r="RED241" s="4"/>
      <c r="REE241" s="4"/>
      <c r="REF241" s="4"/>
      <c r="REG241" s="4"/>
      <c r="REH241" s="4"/>
      <c r="REI241" s="4"/>
      <c r="REJ241" s="4"/>
      <c r="REK241" s="4"/>
      <c r="REL241" s="4"/>
      <c r="REM241" s="4"/>
      <c r="REN241" s="4"/>
      <c r="REO241" s="4"/>
      <c r="REP241" s="4"/>
      <c r="REQ241" s="4"/>
      <c r="RER241" s="4"/>
      <c r="RES241" s="4"/>
      <c r="RET241" s="4"/>
      <c r="REU241" s="4"/>
      <c r="REV241" s="4"/>
      <c r="REW241" s="4"/>
      <c r="REX241" s="4"/>
      <c r="REY241" s="4"/>
      <c r="REZ241" s="4"/>
      <c r="RFA241" s="4"/>
      <c r="RFB241" s="4"/>
      <c r="RFC241" s="4"/>
      <c r="RFD241" s="4"/>
      <c r="RFE241" s="4"/>
      <c r="RFF241" s="4"/>
      <c r="RFG241" s="4"/>
      <c r="RFH241" s="4"/>
      <c r="RFI241" s="4"/>
      <c r="RFJ241" s="4"/>
      <c r="RFK241" s="4"/>
      <c r="RFL241" s="4"/>
      <c r="RFM241" s="4"/>
      <c r="RFN241" s="4"/>
      <c r="RFO241" s="4"/>
      <c r="RFP241" s="4"/>
      <c r="RFQ241" s="4"/>
      <c r="RFR241" s="4"/>
      <c r="RFS241" s="4"/>
      <c r="RFT241" s="4"/>
      <c r="RFU241" s="4"/>
      <c r="RFV241" s="4"/>
      <c r="RFW241" s="4"/>
      <c r="RFX241" s="4"/>
      <c r="RFY241" s="4"/>
      <c r="RFZ241" s="4"/>
      <c r="RGA241" s="4"/>
      <c r="RGB241" s="4"/>
      <c r="RGC241" s="4"/>
      <c r="RGD241" s="4"/>
      <c r="RGE241" s="4"/>
      <c r="RGF241" s="4"/>
      <c r="RGG241" s="4"/>
      <c r="RGH241" s="4"/>
      <c r="RGI241" s="4"/>
      <c r="RGJ241" s="4"/>
      <c r="RGK241" s="4"/>
      <c r="RGL241" s="4"/>
      <c r="RGM241" s="4"/>
      <c r="RGN241" s="4"/>
      <c r="RGO241" s="4"/>
      <c r="RGP241" s="4"/>
      <c r="RGQ241" s="4"/>
      <c r="RGR241" s="4"/>
      <c r="RGS241" s="4"/>
      <c r="RGT241" s="4"/>
      <c r="RGU241" s="4"/>
      <c r="RGV241" s="4"/>
      <c r="RGW241" s="4"/>
      <c r="RGX241" s="4"/>
      <c r="RGY241" s="4"/>
      <c r="RGZ241" s="4"/>
      <c r="RHA241" s="4"/>
      <c r="RHB241" s="4"/>
      <c r="RHC241" s="4"/>
      <c r="RHD241" s="4"/>
      <c r="RHE241" s="4"/>
      <c r="RHF241" s="4"/>
      <c r="RHG241" s="4"/>
      <c r="RHH241" s="4"/>
      <c r="RHI241" s="4"/>
      <c r="RHJ241" s="4"/>
      <c r="RHK241" s="4"/>
      <c r="RHL241" s="4"/>
      <c r="RHM241" s="4"/>
      <c r="RHN241" s="4"/>
      <c r="RHO241" s="4"/>
      <c r="RHP241" s="4"/>
      <c r="RHQ241" s="4"/>
      <c r="RHR241" s="4"/>
      <c r="RHS241" s="4"/>
      <c r="RHT241" s="4"/>
      <c r="RHU241" s="4"/>
      <c r="RHV241" s="4"/>
      <c r="RHW241" s="4"/>
      <c r="RHX241" s="4"/>
      <c r="RHY241" s="4"/>
      <c r="RHZ241" s="4"/>
      <c r="RIA241" s="4"/>
      <c r="RIB241" s="4"/>
      <c r="RIC241" s="4"/>
      <c r="RID241" s="4"/>
      <c r="RIE241" s="4"/>
      <c r="RIF241" s="4"/>
      <c r="RIG241" s="4"/>
      <c r="RIH241" s="4"/>
      <c r="RII241" s="4"/>
      <c r="RIJ241" s="4"/>
      <c r="RIK241" s="4"/>
      <c r="RIL241" s="4"/>
      <c r="RIM241" s="4"/>
      <c r="RIN241" s="4"/>
      <c r="RIO241" s="4"/>
      <c r="RIP241" s="4"/>
      <c r="RIQ241" s="4"/>
      <c r="RIR241" s="4"/>
      <c r="RIS241" s="4"/>
      <c r="RIT241" s="4"/>
      <c r="RIU241" s="4"/>
      <c r="RIV241" s="4"/>
      <c r="RIW241" s="4"/>
      <c r="RIX241" s="4"/>
      <c r="RIY241" s="4"/>
      <c r="RIZ241" s="4"/>
      <c r="RJA241" s="4"/>
      <c r="RJB241" s="4"/>
      <c r="RJC241" s="4"/>
      <c r="RJD241" s="4"/>
      <c r="RJE241" s="4"/>
      <c r="RJF241" s="4"/>
      <c r="RJG241" s="4"/>
      <c r="RJH241" s="4"/>
      <c r="RJI241" s="4"/>
      <c r="RJJ241" s="4"/>
      <c r="RJK241" s="4"/>
      <c r="RJL241" s="4"/>
      <c r="RJM241" s="4"/>
      <c r="RJN241" s="4"/>
      <c r="RJO241" s="4"/>
      <c r="RJP241" s="4"/>
      <c r="RJQ241" s="4"/>
      <c r="RJR241" s="4"/>
      <c r="RJS241" s="4"/>
      <c r="RJT241" s="4"/>
      <c r="RJU241" s="4"/>
      <c r="RJV241" s="4"/>
      <c r="RJW241" s="4"/>
      <c r="RJX241" s="4"/>
      <c r="RJY241" s="4"/>
      <c r="RJZ241" s="4"/>
      <c r="RKA241" s="4"/>
      <c r="RKB241" s="4"/>
      <c r="RKC241" s="4"/>
      <c r="RKD241" s="4"/>
      <c r="RKE241" s="4"/>
      <c r="RKF241" s="4"/>
      <c r="RKG241" s="4"/>
      <c r="RKH241" s="4"/>
      <c r="RKI241" s="4"/>
      <c r="RKJ241" s="4"/>
      <c r="RKK241" s="4"/>
      <c r="RKL241" s="4"/>
      <c r="RKM241" s="4"/>
      <c r="RKN241" s="4"/>
      <c r="RKO241" s="4"/>
      <c r="RKP241" s="4"/>
      <c r="RKQ241" s="4"/>
      <c r="RKR241" s="4"/>
      <c r="RKS241" s="4"/>
      <c r="RKT241" s="4"/>
      <c r="RKU241" s="4"/>
      <c r="RKV241" s="4"/>
      <c r="RKW241" s="4"/>
      <c r="RKX241" s="4"/>
      <c r="RKY241" s="4"/>
      <c r="RKZ241" s="4"/>
      <c r="RLA241" s="4"/>
      <c r="RLB241" s="4"/>
      <c r="RLC241" s="4"/>
      <c r="RLD241" s="4"/>
      <c r="RLE241" s="4"/>
      <c r="RLF241" s="4"/>
      <c r="RLG241" s="4"/>
      <c r="RLH241" s="4"/>
      <c r="RLI241" s="4"/>
      <c r="RLJ241" s="4"/>
      <c r="RLK241" s="4"/>
      <c r="RLL241" s="4"/>
      <c r="RLM241" s="4"/>
      <c r="RLN241" s="4"/>
      <c r="RLO241" s="4"/>
      <c r="RLP241" s="4"/>
      <c r="RLQ241" s="4"/>
      <c r="RLR241" s="4"/>
      <c r="RLS241" s="4"/>
      <c r="RLT241" s="4"/>
      <c r="RLU241" s="4"/>
      <c r="RLV241" s="4"/>
      <c r="RLW241" s="4"/>
      <c r="RLX241" s="4"/>
      <c r="RLY241" s="4"/>
      <c r="RLZ241" s="4"/>
      <c r="RMA241" s="4"/>
      <c r="RMB241" s="4"/>
      <c r="RMC241" s="4"/>
      <c r="RMD241" s="4"/>
      <c r="RME241" s="4"/>
      <c r="RMF241" s="4"/>
      <c r="RMG241" s="4"/>
      <c r="RMH241" s="4"/>
      <c r="RMI241" s="4"/>
      <c r="RMJ241" s="4"/>
      <c r="RMK241" s="4"/>
      <c r="RML241" s="4"/>
      <c r="RMM241" s="4"/>
      <c r="RMN241" s="4"/>
      <c r="RMO241" s="4"/>
      <c r="RMP241" s="4"/>
      <c r="RMQ241" s="4"/>
      <c r="RMR241" s="4"/>
      <c r="RMS241" s="4"/>
      <c r="RMT241" s="4"/>
      <c r="RMU241" s="4"/>
      <c r="RMV241" s="4"/>
      <c r="RMW241" s="4"/>
      <c r="RMX241" s="4"/>
      <c r="RMY241" s="4"/>
      <c r="RMZ241" s="4"/>
      <c r="RNA241" s="4"/>
      <c r="RNB241" s="4"/>
      <c r="RNC241" s="4"/>
      <c r="RND241" s="4"/>
      <c r="RNE241" s="4"/>
      <c r="RNF241" s="4"/>
      <c r="RNG241" s="4"/>
      <c r="RNH241" s="4"/>
      <c r="RNI241" s="4"/>
      <c r="RNJ241" s="4"/>
      <c r="RNK241" s="4"/>
      <c r="RNL241" s="4"/>
      <c r="RNM241" s="4"/>
      <c r="RNN241" s="4"/>
      <c r="RNO241" s="4"/>
      <c r="RNP241" s="4"/>
      <c r="RNQ241" s="4"/>
      <c r="RNR241" s="4"/>
      <c r="RNS241" s="4"/>
      <c r="RNT241" s="4"/>
      <c r="RNU241" s="4"/>
      <c r="RNV241" s="4"/>
      <c r="RNW241" s="4"/>
      <c r="RNX241" s="4"/>
      <c r="RNY241" s="4"/>
      <c r="RNZ241" s="4"/>
      <c r="ROA241" s="4"/>
      <c r="ROB241" s="4"/>
      <c r="ROC241" s="4"/>
      <c r="ROD241" s="4"/>
      <c r="ROE241" s="4"/>
      <c r="ROF241" s="4"/>
      <c r="ROG241" s="4"/>
      <c r="ROH241" s="4"/>
      <c r="ROI241" s="4"/>
      <c r="ROJ241" s="4"/>
      <c r="ROK241" s="4"/>
      <c r="ROL241" s="4"/>
      <c r="ROM241" s="4"/>
      <c r="RON241" s="4"/>
      <c r="ROO241" s="4"/>
      <c r="ROP241" s="4"/>
      <c r="ROQ241" s="4"/>
      <c r="ROR241" s="4"/>
      <c r="ROS241" s="4"/>
      <c r="ROT241" s="4"/>
      <c r="ROU241" s="4"/>
      <c r="ROV241" s="4"/>
      <c r="ROW241" s="4"/>
      <c r="ROX241" s="4"/>
      <c r="ROY241" s="4"/>
      <c r="ROZ241" s="4"/>
      <c r="RPA241" s="4"/>
      <c r="RPB241" s="4"/>
      <c r="RPC241" s="4"/>
      <c r="RPD241" s="4"/>
      <c r="RPE241" s="4"/>
      <c r="RPF241" s="4"/>
      <c r="RPG241" s="4"/>
      <c r="RPH241" s="4"/>
      <c r="RPI241" s="4"/>
      <c r="RPJ241" s="4"/>
      <c r="RPK241" s="4"/>
      <c r="RPL241" s="4"/>
      <c r="RPM241" s="4"/>
      <c r="RPN241" s="4"/>
      <c r="RPO241" s="4"/>
      <c r="RPP241" s="4"/>
      <c r="RPQ241" s="4"/>
      <c r="RPR241" s="4"/>
      <c r="RPS241" s="4"/>
      <c r="RPT241" s="4"/>
      <c r="RPU241" s="4"/>
      <c r="RPV241" s="4"/>
      <c r="RPW241" s="4"/>
      <c r="RPX241" s="4"/>
      <c r="RPY241" s="4"/>
      <c r="RPZ241" s="4"/>
      <c r="RQA241" s="4"/>
      <c r="RQB241" s="4"/>
      <c r="RQC241" s="4"/>
      <c r="RQD241" s="4"/>
      <c r="RQE241" s="4"/>
      <c r="RQF241" s="4"/>
      <c r="RQG241" s="4"/>
      <c r="RQH241" s="4"/>
      <c r="RQI241" s="4"/>
      <c r="RQJ241" s="4"/>
      <c r="RQK241" s="4"/>
      <c r="RQL241" s="4"/>
      <c r="RQM241" s="4"/>
      <c r="RQN241" s="4"/>
      <c r="RQO241" s="4"/>
      <c r="RQP241" s="4"/>
      <c r="RQQ241" s="4"/>
      <c r="RQR241" s="4"/>
      <c r="RQS241" s="4"/>
      <c r="RQT241" s="4"/>
      <c r="RQU241" s="4"/>
      <c r="RQV241" s="4"/>
      <c r="RQW241" s="4"/>
      <c r="RQX241" s="4"/>
      <c r="RQY241" s="4"/>
      <c r="RQZ241" s="4"/>
      <c r="RRA241" s="4"/>
      <c r="RRB241" s="4"/>
      <c r="RRC241" s="4"/>
      <c r="RRD241" s="4"/>
      <c r="RRE241" s="4"/>
      <c r="RRF241" s="4"/>
      <c r="RRG241" s="4"/>
      <c r="RRH241" s="4"/>
      <c r="RRI241" s="4"/>
      <c r="RRJ241" s="4"/>
      <c r="RRK241" s="4"/>
      <c r="RRL241" s="4"/>
      <c r="RRM241" s="4"/>
      <c r="RRN241" s="4"/>
      <c r="RRO241" s="4"/>
      <c r="RRP241" s="4"/>
      <c r="RRQ241" s="4"/>
      <c r="RRR241" s="4"/>
      <c r="RRS241" s="4"/>
      <c r="RRT241" s="4"/>
      <c r="RRU241" s="4"/>
      <c r="RRV241" s="4"/>
      <c r="RRW241" s="4"/>
      <c r="RRX241" s="4"/>
      <c r="RRY241" s="4"/>
      <c r="RRZ241" s="4"/>
      <c r="RSA241" s="4"/>
      <c r="RSB241" s="4"/>
      <c r="RSC241" s="4"/>
      <c r="RSD241" s="4"/>
      <c r="RSE241" s="4"/>
      <c r="RSF241" s="4"/>
      <c r="RSG241" s="4"/>
      <c r="RSH241" s="4"/>
      <c r="RSI241" s="4"/>
      <c r="RSJ241" s="4"/>
      <c r="RSK241" s="4"/>
      <c r="RSL241" s="4"/>
      <c r="RSM241" s="4"/>
      <c r="RSN241" s="4"/>
      <c r="RSO241" s="4"/>
      <c r="RSP241" s="4"/>
      <c r="RSQ241" s="4"/>
      <c r="RSR241" s="4"/>
      <c r="RSS241" s="4"/>
      <c r="RST241" s="4"/>
      <c r="RSU241" s="4"/>
      <c r="RSV241" s="4"/>
      <c r="RSW241" s="4"/>
      <c r="RSX241" s="4"/>
      <c r="RSY241" s="4"/>
      <c r="RSZ241" s="4"/>
      <c r="RTA241" s="4"/>
      <c r="RTB241" s="4"/>
      <c r="RTC241" s="4"/>
      <c r="RTD241" s="4"/>
      <c r="RTE241" s="4"/>
      <c r="RTF241" s="4"/>
      <c r="RTG241" s="4"/>
      <c r="RTH241" s="4"/>
      <c r="RTI241" s="4"/>
      <c r="RTJ241" s="4"/>
      <c r="RTK241" s="4"/>
      <c r="RTL241" s="4"/>
      <c r="RTM241" s="4"/>
      <c r="RTN241" s="4"/>
      <c r="RTO241" s="4"/>
      <c r="RTP241" s="4"/>
      <c r="RTQ241" s="4"/>
      <c r="RTR241" s="4"/>
      <c r="RTS241" s="4"/>
      <c r="RTT241" s="4"/>
      <c r="RTU241" s="4"/>
      <c r="RTV241" s="4"/>
      <c r="RTW241" s="4"/>
      <c r="RTX241" s="4"/>
      <c r="RTY241" s="4"/>
      <c r="RTZ241" s="4"/>
      <c r="RUA241" s="4"/>
      <c r="RUB241" s="4"/>
      <c r="RUC241" s="4"/>
      <c r="RUD241" s="4"/>
      <c r="RUE241" s="4"/>
      <c r="RUF241" s="4"/>
      <c r="RUG241" s="4"/>
      <c r="RUH241" s="4"/>
      <c r="RUI241" s="4"/>
      <c r="RUJ241" s="4"/>
      <c r="RUK241" s="4"/>
      <c r="RUL241" s="4"/>
      <c r="RUM241" s="4"/>
      <c r="RUN241" s="4"/>
      <c r="RUO241" s="4"/>
      <c r="RUP241" s="4"/>
      <c r="RUQ241" s="4"/>
      <c r="RUR241" s="4"/>
      <c r="RUS241" s="4"/>
      <c r="RUT241" s="4"/>
      <c r="RUU241" s="4"/>
      <c r="RUV241" s="4"/>
      <c r="RUW241" s="4"/>
      <c r="RUX241" s="4"/>
      <c r="RUY241" s="4"/>
      <c r="RUZ241" s="4"/>
      <c r="RVA241" s="4"/>
      <c r="RVB241" s="4"/>
      <c r="RVC241" s="4"/>
      <c r="RVD241" s="4"/>
      <c r="RVE241" s="4"/>
      <c r="RVF241" s="4"/>
      <c r="RVG241" s="4"/>
      <c r="RVH241" s="4"/>
      <c r="RVI241" s="4"/>
      <c r="RVJ241" s="4"/>
      <c r="RVK241" s="4"/>
      <c r="RVL241" s="4"/>
      <c r="RVM241" s="4"/>
      <c r="RVN241" s="4"/>
      <c r="RVO241" s="4"/>
      <c r="RVP241" s="4"/>
      <c r="RVQ241" s="4"/>
      <c r="RVR241" s="4"/>
      <c r="RVS241" s="4"/>
      <c r="RVT241" s="4"/>
      <c r="RVU241" s="4"/>
      <c r="RVV241" s="4"/>
      <c r="RVW241" s="4"/>
      <c r="RVX241" s="4"/>
      <c r="RVY241" s="4"/>
      <c r="RVZ241" s="4"/>
      <c r="RWA241" s="4"/>
      <c r="RWB241" s="4"/>
      <c r="RWC241" s="4"/>
      <c r="RWD241" s="4"/>
      <c r="RWE241" s="4"/>
      <c r="RWF241" s="4"/>
      <c r="RWG241" s="4"/>
      <c r="RWH241" s="4"/>
      <c r="RWI241" s="4"/>
      <c r="RWJ241" s="4"/>
      <c r="RWK241" s="4"/>
      <c r="RWL241" s="4"/>
      <c r="RWM241" s="4"/>
      <c r="RWN241" s="4"/>
      <c r="RWO241" s="4"/>
      <c r="RWP241" s="4"/>
      <c r="RWQ241" s="4"/>
      <c r="RWR241" s="4"/>
      <c r="RWS241" s="4"/>
      <c r="RWT241" s="4"/>
      <c r="RWU241" s="4"/>
      <c r="RWV241" s="4"/>
      <c r="RWW241" s="4"/>
      <c r="RWX241" s="4"/>
      <c r="RWY241" s="4"/>
      <c r="RWZ241" s="4"/>
      <c r="RXA241" s="4"/>
      <c r="RXB241" s="4"/>
      <c r="RXC241" s="4"/>
      <c r="RXD241" s="4"/>
      <c r="RXE241" s="4"/>
      <c r="RXF241" s="4"/>
      <c r="RXG241" s="4"/>
      <c r="RXH241" s="4"/>
      <c r="RXI241" s="4"/>
      <c r="RXJ241" s="4"/>
      <c r="RXK241" s="4"/>
      <c r="RXL241" s="4"/>
      <c r="RXM241" s="4"/>
      <c r="RXN241" s="4"/>
      <c r="RXO241" s="4"/>
      <c r="RXP241" s="4"/>
      <c r="RXQ241" s="4"/>
      <c r="RXR241" s="4"/>
      <c r="RXS241" s="4"/>
      <c r="RXT241" s="4"/>
      <c r="RXU241" s="4"/>
      <c r="RXV241" s="4"/>
      <c r="RXW241" s="4"/>
      <c r="RXX241" s="4"/>
      <c r="RXY241" s="4"/>
      <c r="RXZ241" s="4"/>
      <c r="RYA241" s="4"/>
      <c r="RYB241" s="4"/>
      <c r="RYC241" s="4"/>
      <c r="RYD241" s="4"/>
      <c r="RYE241" s="4"/>
      <c r="RYF241" s="4"/>
      <c r="RYG241" s="4"/>
      <c r="RYH241" s="4"/>
      <c r="RYI241" s="4"/>
      <c r="RYJ241" s="4"/>
      <c r="RYK241" s="4"/>
      <c r="RYL241" s="4"/>
      <c r="RYM241" s="4"/>
      <c r="RYN241" s="4"/>
      <c r="RYO241" s="4"/>
      <c r="RYP241" s="4"/>
      <c r="RYQ241" s="4"/>
      <c r="RYR241" s="4"/>
      <c r="RYS241" s="4"/>
      <c r="RYT241" s="4"/>
      <c r="RYU241" s="4"/>
      <c r="RYV241" s="4"/>
      <c r="RYW241" s="4"/>
      <c r="RYX241" s="4"/>
      <c r="RYY241" s="4"/>
      <c r="RYZ241" s="4"/>
      <c r="RZA241" s="4"/>
      <c r="RZB241" s="4"/>
      <c r="RZC241" s="4"/>
      <c r="RZD241" s="4"/>
      <c r="RZE241" s="4"/>
      <c r="RZF241" s="4"/>
      <c r="RZG241" s="4"/>
      <c r="RZH241" s="4"/>
      <c r="RZI241" s="4"/>
      <c r="RZJ241" s="4"/>
      <c r="RZK241" s="4"/>
      <c r="RZL241" s="4"/>
      <c r="RZM241" s="4"/>
      <c r="RZN241" s="4"/>
      <c r="RZO241" s="4"/>
      <c r="RZP241" s="4"/>
      <c r="RZQ241" s="4"/>
      <c r="RZR241" s="4"/>
      <c r="RZS241" s="4"/>
      <c r="RZT241" s="4"/>
      <c r="RZU241" s="4"/>
      <c r="RZV241" s="4"/>
      <c r="RZW241" s="4"/>
      <c r="RZX241" s="4"/>
      <c r="RZY241" s="4"/>
      <c r="RZZ241" s="4"/>
      <c r="SAA241" s="4"/>
      <c r="SAB241" s="4"/>
      <c r="SAC241" s="4"/>
      <c r="SAD241" s="4"/>
      <c r="SAE241" s="4"/>
      <c r="SAF241" s="4"/>
      <c r="SAG241" s="4"/>
      <c r="SAH241" s="4"/>
      <c r="SAI241" s="4"/>
      <c r="SAJ241" s="4"/>
      <c r="SAK241" s="4"/>
      <c r="SAL241" s="4"/>
      <c r="SAM241" s="4"/>
      <c r="SAN241" s="4"/>
      <c r="SAO241" s="4"/>
      <c r="SAP241" s="4"/>
      <c r="SAQ241" s="4"/>
      <c r="SAR241" s="4"/>
      <c r="SAS241" s="4"/>
      <c r="SAT241" s="4"/>
      <c r="SAU241" s="4"/>
      <c r="SAV241" s="4"/>
      <c r="SAW241" s="4"/>
      <c r="SAX241" s="4"/>
      <c r="SAY241" s="4"/>
      <c r="SAZ241" s="4"/>
      <c r="SBA241" s="4"/>
      <c r="SBB241" s="4"/>
      <c r="SBC241" s="4"/>
      <c r="SBD241" s="4"/>
      <c r="SBE241" s="4"/>
      <c r="SBF241" s="4"/>
      <c r="SBG241" s="4"/>
      <c r="SBH241" s="4"/>
      <c r="SBI241" s="4"/>
      <c r="SBJ241" s="4"/>
      <c r="SBK241" s="4"/>
      <c r="SBL241" s="4"/>
      <c r="SBM241" s="4"/>
      <c r="SBN241" s="4"/>
      <c r="SBO241" s="4"/>
      <c r="SBP241" s="4"/>
      <c r="SBQ241" s="4"/>
      <c r="SBR241" s="4"/>
      <c r="SBS241" s="4"/>
      <c r="SBT241" s="4"/>
      <c r="SBU241" s="4"/>
      <c r="SBV241" s="4"/>
      <c r="SBW241" s="4"/>
      <c r="SBX241" s="4"/>
      <c r="SBY241" s="4"/>
      <c r="SBZ241" s="4"/>
      <c r="SCA241" s="4"/>
      <c r="SCB241" s="4"/>
      <c r="SCC241" s="4"/>
      <c r="SCD241" s="4"/>
      <c r="SCE241" s="4"/>
      <c r="SCF241" s="4"/>
      <c r="SCG241" s="4"/>
      <c r="SCH241" s="4"/>
      <c r="SCI241" s="4"/>
      <c r="SCJ241" s="4"/>
      <c r="SCK241" s="4"/>
      <c r="SCL241" s="4"/>
      <c r="SCM241" s="4"/>
      <c r="SCN241" s="4"/>
      <c r="SCO241" s="4"/>
      <c r="SCP241" s="4"/>
      <c r="SCQ241" s="4"/>
      <c r="SCR241" s="4"/>
      <c r="SCS241" s="4"/>
      <c r="SCT241" s="4"/>
      <c r="SCU241" s="4"/>
      <c r="SCV241" s="4"/>
      <c r="SCW241" s="4"/>
      <c r="SCX241" s="4"/>
      <c r="SCY241" s="4"/>
      <c r="SCZ241" s="4"/>
      <c r="SDA241" s="4"/>
      <c r="SDB241" s="4"/>
      <c r="SDC241" s="4"/>
      <c r="SDD241" s="4"/>
      <c r="SDE241" s="4"/>
      <c r="SDF241" s="4"/>
      <c r="SDG241" s="4"/>
      <c r="SDH241" s="4"/>
      <c r="SDI241" s="4"/>
      <c r="SDJ241" s="4"/>
      <c r="SDK241" s="4"/>
      <c r="SDL241" s="4"/>
      <c r="SDM241" s="4"/>
      <c r="SDN241" s="4"/>
      <c r="SDO241" s="4"/>
      <c r="SDP241" s="4"/>
      <c r="SDQ241" s="4"/>
      <c r="SDR241" s="4"/>
      <c r="SDS241" s="4"/>
      <c r="SDT241" s="4"/>
      <c r="SDU241" s="4"/>
      <c r="SDV241" s="4"/>
      <c r="SDW241" s="4"/>
      <c r="SDX241" s="4"/>
      <c r="SDY241" s="4"/>
      <c r="SDZ241" s="4"/>
      <c r="SEA241" s="4"/>
      <c r="SEB241" s="4"/>
      <c r="SEC241" s="4"/>
      <c r="SED241" s="4"/>
      <c r="SEE241" s="4"/>
      <c r="SEF241" s="4"/>
      <c r="SEG241" s="4"/>
      <c r="SEH241" s="4"/>
      <c r="SEI241" s="4"/>
      <c r="SEJ241" s="4"/>
      <c r="SEK241" s="4"/>
      <c r="SEL241" s="4"/>
      <c r="SEM241" s="4"/>
      <c r="SEN241" s="4"/>
      <c r="SEO241" s="4"/>
      <c r="SEP241" s="4"/>
      <c r="SEQ241" s="4"/>
      <c r="SER241" s="4"/>
      <c r="SES241" s="4"/>
      <c r="SET241" s="4"/>
      <c r="SEU241" s="4"/>
      <c r="SEV241" s="4"/>
      <c r="SEW241" s="4"/>
      <c r="SEX241" s="4"/>
      <c r="SEY241" s="4"/>
      <c r="SEZ241" s="4"/>
      <c r="SFA241" s="4"/>
      <c r="SFB241" s="4"/>
      <c r="SFC241" s="4"/>
      <c r="SFD241" s="4"/>
      <c r="SFE241" s="4"/>
      <c r="SFF241" s="4"/>
      <c r="SFG241" s="4"/>
      <c r="SFH241" s="4"/>
      <c r="SFI241" s="4"/>
      <c r="SFJ241" s="4"/>
      <c r="SFK241" s="4"/>
      <c r="SFL241" s="4"/>
      <c r="SFM241" s="4"/>
      <c r="SFN241" s="4"/>
      <c r="SFO241" s="4"/>
      <c r="SFP241" s="4"/>
      <c r="SFQ241" s="4"/>
      <c r="SFR241" s="4"/>
      <c r="SFS241" s="4"/>
      <c r="SFT241" s="4"/>
      <c r="SFU241" s="4"/>
      <c r="SFV241" s="4"/>
      <c r="SFW241" s="4"/>
      <c r="SFX241" s="4"/>
      <c r="SFY241" s="4"/>
      <c r="SFZ241" s="4"/>
      <c r="SGA241" s="4"/>
      <c r="SGB241" s="4"/>
      <c r="SGC241" s="4"/>
      <c r="SGD241" s="4"/>
      <c r="SGE241" s="4"/>
      <c r="SGF241" s="4"/>
      <c r="SGG241" s="4"/>
      <c r="SGH241" s="4"/>
      <c r="SGI241" s="4"/>
      <c r="SGJ241" s="4"/>
      <c r="SGK241" s="4"/>
      <c r="SGL241" s="4"/>
      <c r="SGM241" s="4"/>
      <c r="SGN241" s="4"/>
      <c r="SGO241" s="4"/>
      <c r="SGP241" s="4"/>
      <c r="SGQ241" s="4"/>
      <c r="SGR241" s="4"/>
      <c r="SGS241" s="4"/>
      <c r="SGT241" s="4"/>
      <c r="SGU241" s="4"/>
      <c r="SGV241" s="4"/>
      <c r="SGW241" s="4"/>
      <c r="SGX241" s="4"/>
      <c r="SGY241" s="4"/>
      <c r="SGZ241" s="4"/>
      <c r="SHA241" s="4"/>
      <c r="SHB241" s="4"/>
      <c r="SHC241" s="4"/>
      <c r="SHD241" s="4"/>
      <c r="SHE241" s="4"/>
      <c r="SHF241" s="4"/>
      <c r="SHG241" s="4"/>
      <c r="SHH241" s="4"/>
      <c r="SHI241" s="4"/>
      <c r="SHJ241" s="4"/>
      <c r="SHK241" s="4"/>
      <c r="SHL241" s="4"/>
      <c r="SHM241" s="4"/>
      <c r="SHN241" s="4"/>
      <c r="SHO241" s="4"/>
      <c r="SHP241" s="4"/>
      <c r="SHQ241" s="4"/>
      <c r="SHR241" s="4"/>
      <c r="SHS241" s="4"/>
      <c r="SHT241" s="4"/>
      <c r="SHU241" s="4"/>
      <c r="SHV241" s="4"/>
      <c r="SHW241" s="4"/>
      <c r="SHX241" s="4"/>
      <c r="SHY241" s="4"/>
      <c r="SHZ241" s="4"/>
      <c r="SIA241" s="4"/>
      <c r="SIB241" s="4"/>
      <c r="SIC241" s="4"/>
      <c r="SID241" s="4"/>
      <c r="SIE241" s="4"/>
      <c r="SIF241" s="4"/>
      <c r="SIG241" s="4"/>
      <c r="SIH241" s="4"/>
      <c r="SII241" s="4"/>
      <c r="SIJ241" s="4"/>
      <c r="SIK241" s="4"/>
      <c r="SIL241" s="4"/>
      <c r="SIM241" s="4"/>
      <c r="SIN241" s="4"/>
      <c r="SIO241" s="4"/>
      <c r="SIP241" s="4"/>
      <c r="SIQ241" s="4"/>
      <c r="SIR241" s="4"/>
      <c r="SIS241" s="4"/>
      <c r="SIT241" s="4"/>
      <c r="SIU241" s="4"/>
      <c r="SIV241" s="4"/>
      <c r="SIW241" s="4"/>
      <c r="SIX241" s="4"/>
      <c r="SIY241" s="4"/>
      <c r="SIZ241" s="4"/>
      <c r="SJA241" s="4"/>
      <c r="SJB241" s="4"/>
      <c r="SJC241" s="4"/>
      <c r="SJD241" s="4"/>
      <c r="SJE241" s="4"/>
      <c r="SJF241" s="4"/>
      <c r="SJG241" s="4"/>
      <c r="SJH241" s="4"/>
      <c r="SJI241" s="4"/>
      <c r="SJJ241" s="4"/>
      <c r="SJK241" s="4"/>
      <c r="SJL241" s="4"/>
      <c r="SJM241" s="4"/>
      <c r="SJN241" s="4"/>
      <c r="SJO241" s="4"/>
      <c r="SJP241" s="4"/>
      <c r="SJQ241" s="4"/>
      <c r="SJR241" s="4"/>
      <c r="SJS241" s="4"/>
      <c r="SJT241" s="4"/>
      <c r="SJU241" s="4"/>
      <c r="SJV241" s="4"/>
      <c r="SJW241" s="4"/>
      <c r="SJX241" s="4"/>
      <c r="SJY241" s="4"/>
      <c r="SJZ241" s="4"/>
      <c r="SKA241" s="4"/>
      <c r="SKB241" s="4"/>
      <c r="SKC241" s="4"/>
      <c r="SKD241" s="4"/>
      <c r="SKE241" s="4"/>
      <c r="SKF241" s="4"/>
      <c r="SKG241" s="4"/>
      <c r="SKH241" s="4"/>
      <c r="SKI241" s="4"/>
      <c r="SKJ241" s="4"/>
      <c r="SKK241" s="4"/>
      <c r="SKL241" s="4"/>
      <c r="SKM241" s="4"/>
      <c r="SKN241" s="4"/>
      <c r="SKO241" s="4"/>
      <c r="SKP241" s="4"/>
      <c r="SKQ241" s="4"/>
      <c r="SKR241" s="4"/>
      <c r="SKS241" s="4"/>
      <c r="SKT241" s="4"/>
      <c r="SKU241" s="4"/>
      <c r="SKV241" s="4"/>
      <c r="SKW241" s="4"/>
      <c r="SKX241" s="4"/>
      <c r="SKY241" s="4"/>
      <c r="SKZ241" s="4"/>
      <c r="SLA241" s="4"/>
      <c r="SLB241" s="4"/>
      <c r="SLC241" s="4"/>
      <c r="SLD241" s="4"/>
      <c r="SLE241" s="4"/>
      <c r="SLF241" s="4"/>
      <c r="SLG241" s="4"/>
      <c r="SLH241" s="4"/>
      <c r="SLI241" s="4"/>
      <c r="SLJ241" s="4"/>
      <c r="SLK241" s="4"/>
      <c r="SLL241" s="4"/>
      <c r="SLM241" s="4"/>
      <c r="SLN241" s="4"/>
      <c r="SLO241" s="4"/>
      <c r="SLP241" s="4"/>
      <c r="SLQ241" s="4"/>
      <c r="SLR241" s="4"/>
      <c r="SLS241" s="4"/>
      <c r="SLT241" s="4"/>
      <c r="SLU241" s="4"/>
      <c r="SLV241" s="4"/>
      <c r="SLW241" s="4"/>
      <c r="SLX241" s="4"/>
      <c r="SLY241" s="4"/>
      <c r="SLZ241" s="4"/>
      <c r="SMA241" s="4"/>
      <c r="SMB241" s="4"/>
      <c r="SMC241" s="4"/>
      <c r="SMD241" s="4"/>
      <c r="SME241" s="4"/>
      <c r="SMF241" s="4"/>
      <c r="SMG241" s="4"/>
      <c r="SMH241" s="4"/>
      <c r="SMI241" s="4"/>
      <c r="SMJ241" s="4"/>
      <c r="SMK241" s="4"/>
      <c r="SML241" s="4"/>
      <c r="SMM241" s="4"/>
      <c r="SMN241" s="4"/>
      <c r="SMO241" s="4"/>
      <c r="SMP241" s="4"/>
      <c r="SMQ241" s="4"/>
      <c r="SMR241" s="4"/>
      <c r="SMS241" s="4"/>
      <c r="SMT241" s="4"/>
      <c r="SMU241" s="4"/>
      <c r="SMV241" s="4"/>
      <c r="SMW241" s="4"/>
      <c r="SMX241" s="4"/>
      <c r="SMY241" s="4"/>
      <c r="SMZ241" s="4"/>
      <c r="SNA241" s="4"/>
      <c r="SNB241" s="4"/>
      <c r="SNC241" s="4"/>
      <c r="SND241" s="4"/>
      <c r="SNE241" s="4"/>
      <c r="SNF241" s="4"/>
      <c r="SNG241" s="4"/>
      <c r="SNH241" s="4"/>
      <c r="SNI241" s="4"/>
      <c r="SNJ241" s="4"/>
      <c r="SNK241" s="4"/>
      <c r="SNL241" s="4"/>
      <c r="SNM241" s="4"/>
      <c r="SNN241" s="4"/>
      <c r="SNO241" s="4"/>
      <c r="SNP241" s="4"/>
      <c r="SNQ241" s="4"/>
      <c r="SNR241" s="4"/>
      <c r="SNS241" s="4"/>
      <c r="SNT241" s="4"/>
      <c r="SNU241" s="4"/>
      <c r="SNV241" s="4"/>
      <c r="SNW241" s="4"/>
      <c r="SNX241" s="4"/>
      <c r="SNY241" s="4"/>
      <c r="SNZ241" s="4"/>
      <c r="SOA241" s="4"/>
      <c r="SOB241" s="4"/>
      <c r="SOC241" s="4"/>
      <c r="SOD241" s="4"/>
      <c r="SOE241" s="4"/>
      <c r="SOF241" s="4"/>
      <c r="SOG241" s="4"/>
      <c r="SOH241" s="4"/>
      <c r="SOI241" s="4"/>
      <c r="SOJ241" s="4"/>
      <c r="SOK241" s="4"/>
      <c r="SOL241" s="4"/>
      <c r="SOM241" s="4"/>
      <c r="SON241" s="4"/>
      <c r="SOO241" s="4"/>
      <c r="SOP241" s="4"/>
      <c r="SOQ241" s="4"/>
      <c r="SOR241" s="4"/>
      <c r="SOS241" s="4"/>
      <c r="SOT241" s="4"/>
      <c r="SOU241" s="4"/>
      <c r="SOV241" s="4"/>
      <c r="SOW241" s="4"/>
      <c r="SOX241" s="4"/>
      <c r="SOY241" s="4"/>
      <c r="SOZ241" s="4"/>
      <c r="SPA241" s="4"/>
      <c r="SPB241" s="4"/>
      <c r="SPC241" s="4"/>
      <c r="SPD241" s="4"/>
      <c r="SPE241" s="4"/>
      <c r="SPF241" s="4"/>
      <c r="SPG241" s="4"/>
      <c r="SPH241" s="4"/>
      <c r="SPI241" s="4"/>
      <c r="SPJ241" s="4"/>
      <c r="SPK241" s="4"/>
      <c r="SPL241" s="4"/>
      <c r="SPM241" s="4"/>
      <c r="SPN241" s="4"/>
      <c r="SPO241" s="4"/>
      <c r="SPP241" s="4"/>
      <c r="SPQ241" s="4"/>
      <c r="SPR241" s="4"/>
      <c r="SPS241" s="4"/>
      <c r="SPT241" s="4"/>
      <c r="SPU241" s="4"/>
      <c r="SPV241" s="4"/>
      <c r="SPW241" s="4"/>
      <c r="SPX241" s="4"/>
      <c r="SPY241" s="4"/>
      <c r="SPZ241" s="4"/>
      <c r="SQA241" s="4"/>
      <c r="SQB241" s="4"/>
      <c r="SQC241" s="4"/>
      <c r="SQD241" s="4"/>
      <c r="SQE241" s="4"/>
      <c r="SQF241" s="4"/>
      <c r="SQG241" s="4"/>
      <c r="SQH241" s="4"/>
      <c r="SQI241" s="4"/>
      <c r="SQJ241" s="4"/>
      <c r="SQK241" s="4"/>
      <c r="SQL241" s="4"/>
      <c r="SQM241" s="4"/>
      <c r="SQN241" s="4"/>
      <c r="SQO241" s="4"/>
      <c r="SQP241" s="4"/>
      <c r="SQQ241" s="4"/>
      <c r="SQR241" s="4"/>
      <c r="SQS241" s="4"/>
      <c r="SQT241" s="4"/>
      <c r="SQU241" s="4"/>
      <c r="SQV241" s="4"/>
      <c r="SQW241" s="4"/>
      <c r="SQX241" s="4"/>
      <c r="SQY241" s="4"/>
      <c r="SQZ241" s="4"/>
      <c r="SRA241" s="4"/>
      <c r="SRB241" s="4"/>
      <c r="SRC241" s="4"/>
      <c r="SRD241" s="4"/>
      <c r="SRE241" s="4"/>
      <c r="SRF241" s="4"/>
      <c r="SRG241" s="4"/>
      <c r="SRH241" s="4"/>
      <c r="SRI241" s="4"/>
      <c r="SRJ241" s="4"/>
      <c r="SRK241" s="4"/>
      <c r="SRL241" s="4"/>
      <c r="SRM241" s="4"/>
      <c r="SRN241" s="4"/>
      <c r="SRO241" s="4"/>
      <c r="SRP241" s="4"/>
      <c r="SRQ241" s="4"/>
      <c r="SRR241" s="4"/>
      <c r="SRS241" s="4"/>
      <c r="SRT241" s="4"/>
      <c r="SRU241" s="4"/>
      <c r="SRV241" s="4"/>
      <c r="SRW241" s="4"/>
      <c r="SRX241" s="4"/>
      <c r="SRY241" s="4"/>
      <c r="SRZ241" s="4"/>
      <c r="SSA241" s="4"/>
      <c r="SSB241" s="4"/>
      <c r="SSC241" s="4"/>
      <c r="SSD241" s="4"/>
      <c r="SSE241" s="4"/>
      <c r="SSF241" s="4"/>
      <c r="SSG241" s="4"/>
      <c r="SSH241" s="4"/>
      <c r="SSI241" s="4"/>
      <c r="SSJ241" s="4"/>
      <c r="SSK241" s="4"/>
      <c r="SSL241" s="4"/>
      <c r="SSM241" s="4"/>
      <c r="SSN241" s="4"/>
      <c r="SSO241" s="4"/>
      <c r="SSP241" s="4"/>
      <c r="SSQ241" s="4"/>
      <c r="SSR241" s="4"/>
      <c r="SSS241" s="4"/>
      <c r="SST241" s="4"/>
      <c r="SSU241" s="4"/>
      <c r="SSV241" s="4"/>
      <c r="SSW241" s="4"/>
      <c r="SSX241" s="4"/>
      <c r="SSY241" s="4"/>
      <c r="SSZ241" s="4"/>
      <c r="STA241" s="4"/>
      <c r="STB241" s="4"/>
      <c r="STC241" s="4"/>
      <c r="STD241" s="4"/>
      <c r="STE241" s="4"/>
      <c r="STF241" s="4"/>
      <c r="STG241" s="4"/>
      <c r="STH241" s="4"/>
      <c r="STI241" s="4"/>
      <c r="STJ241" s="4"/>
      <c r="STK241" s="4"/>
      <c r="STL241" s="4"/>
      <c r="STM241" s="4"/>
      <c r="STN241" s="4"/>
      <c r="STO241" s="4"/>
      <c r="STP241" s="4"/>
      <c r="STQ241" s="4"/>
      <c r="STR241" s="4"/>
      <c r="STS241" s="4"/>
      <c r="STT241" s="4"/>
      <c r="STU241" s="4"/>
      <c r="STV241" s="4"/>
      <c r="STW241" s="4"/>
      <c r="STX241" s="4"/>
      <c r="STY241" s="4"/>
      <c r="STZ241" s="4"/>
      <c r="SUA241" s="4"/>
      <c r="SUB241" s="4"/>
      <c r="SUC241" s="4"/>
      <c r="SUD241" s="4"/>
      <c r="SUE241" s="4"/>
      <c r="SUF241" s="4"/>
      <c r="SUG241" s="4"/>
      <c r="SUH241" s="4"/>
      <c r="SUI241" s="4"/>
      <c r="SUJ241" s="4"/>
      <c r="SUK241" s="4"/>
      <c r="SUL241" s="4"/>
      <c r="SUM241" s="4"/>
      <c r="SUN241" s="4"/>
      <c r="SUO241" s="4"/>
      <c r="SUP241" s="4"/>
      <c r="SUQ241" s="4"/>
      <c r="SUR241" s="4"/>
      <c r="SUS241" s="4"/>
      <c r="SUT241" s="4"/>
      <c r="SUU241" s="4"/>
      <c r="SUV241" s="4"/>
      <c r="SUW241" s="4"/>
      <c r="SUX241" s="4"/>
      <c r="SUY241" s="4"/>
      <c r="SUZ241" s="4"/>
      <c r="SVA241" s="4"/>
      <c r="SVB241" s="4"/>
      <c r="SVC241" s="4"/>
      <c r="SVD241" s="4"/>
      <c r="SVE241" s="4"/>
      <c r="SVF241" s="4"/>
      <c r="SVG241" s="4"/>
      <c r="SVH241" s="4"/>
      <c r="SVI241" s="4"/>
      <c r="SVJ241" s="4"/>
      <c r="SVK241" s="4"/>
      <c r="SVL241" s="4"/>
      <c r="SVM241" s="4"/>
      <c r="SVN241" s="4"/>
      <c r="SVO241" s="4"/>
      <c r="SVP241" s="4"/>
      <c r="SVQ241" s="4"/>
      <c r="SVR241" s="4"/>
      <c r="SVS241" s="4"/>
      <c r="SVT241" s="4"/>
      <c r="SVU241" s="4"/>
      <c r="SVV241" s="4"/>
      <c r="SVW241" s="4"/>
      <c r="SVX241" s="4"/>
      <c r="SVY241" s="4"/>
      <c r="SVZ241" s="4"/>
      <c r="SWA241" s="4"/>
      <c r="SWB241" s="4"/>
      <c r="SWC241" s="4"/>
      <c r="SWD241" s="4"/>
      <c r="SWE241" s="4"/>
      <c r="SWF241" s="4"/>
      <c r="SWG241" s="4"/>
      <c r="SWH241" s="4"/>
      <c r="SWI241" s="4"/>
      <c r="SWJ241" s="4"/>
      <c r="SWK241" s="4"/>
      <c r="SWL241" s="4"/>
      <c r="SWM241" s="4"/>
      <c r="SWN241" s="4"/>
      <c r="SWO241" s="4"/>
      <c r="SWP241" s="4"/>
      <c r="SWQ241" s="4"/>
      <c r="SWR241" s="4"/>
      <c r="SWS241" s="4"/>
      <c r="SWT241" s="4"/>
      <c r="SWU241" s="4"/>
      <c r="SWV241" s="4"/>
      <c r="SWW241" s="4"/>
      <c r="SWX241" s="4"/>
      <c r="SWY241" s="4"/>
      <c r="SWZ241" s="4"/>
      <c r="SXA241" s="4"/>
      <c r="SXB241" s="4"/>
      <c r="SXC241" s="4"/>
      <c r="SXD241" s="4"/>
      <c r="SXE241" s="4"/>
      <c r="SXF241" s="4"/>
      <c r="SXG241" s="4"/>
      <c r="SXH241" s="4"/>
      <c r="SXI241" s="4"/>
      <c r="SXJ241" s="4"/>
      <c r="SXK241" s="4"/>
      <c r="SXL241" s="4"/>
      <c r="SXM241" s="4"/>
      <c r="SXN241" s="4"/>
      <c r="SXO241" s="4"/>
      <c r="SXP241" s="4"/>
      <c r="SXQ241" s="4"/>
      <c r="SXR241" s="4"/>
      <c r="SXS241" s="4"/>
      <c r="SXT241" s="4"/>
      <c r="SXU241" s="4"/>
      <c r="SXV241" s="4"/>
      <c r="SXW241" s="4"/>
      <c r="SXX241" s="4"/>
      <c r="SXY241" s="4"/>
      <c r="SXZ241" s="4"/>
      <c r="SYA241" s="4"/>
      <c r="SYB241" s="4"/>
      <c r="SYC241" s="4"/>
      <c r="SYD241" s="4"/>
      <c r="SYE241" s="4"/>
      <c r="SYF241" s="4"/>
      <c r="SYG241" s="4"/>
      <c r="SYH241" s="4"/>
      <c r="SYI241" s="4"/>
      <c r="SYJ241" s="4"/>
      <c r="SYK241" s="4"/>
      <c r="SYL241" s="4"/>
      <c r="SYM241" s="4"/>
      <c r="SYN241" s="4"/>
      <c r="SYO241" s="4"/>
      <c r="SYP241" s="4"/>
      <c r="SYQ241" s="4"/>
      <c r="SYR241" s="4"/>
      <c r="SYS241" s="4"/>
      <c r="SYT241" s="4"/>
      <c r="SYU241" s="4"/>
      <c r="SYV241" s="4"/>
      <c r="SYW241" s="4"/>
      <c r="SYX241" s="4"/>
      <c r="SYY241" s="4"/>
      <c r="SYZ241" s="4"/>
      <c r="SZA241" s="4"/>
      <c r="SZB241" s="4"/>
      <c r="SZC241" s="4"/>
      <c r="SZD241" s="4"/>
      <c r="SZE241" s="4"/>
      <c r="SZF241" s="4"/>
      <c r="SZG241" s="4"/>
      <c r="SZH241" s="4"/>
      <c r="SZI241" s="4"/>
      <c r="SZJ241" s="4"/>
      <c r="SZK241" s="4"/>
      <c r="SZL241" s="4"/>
      <c r="SZM241" s="4"/>
      <c r="SZN241" s="4"/>
      <c r="SZO241" s="4"/>
      <c r="SZP241" s="4"/>
      <c r="SZQ241" s="4"/>
      <c r="SZR241" s="4"/>
      <c r="SZS241" s="4"/>
      <c r="SZT241" s="4"/>
      <c r="SZU241" s="4"/>
      <c r="SZV241" s="4"/>
      <c r="SZW241" s="4"/>
      <c r="SZX241" s="4"/>
      <c r="SZY241" s="4"/>
      <c r="SZZ241" s="4"/>
      <c r="TAA241" s="4"/>
      <c r="TAB241" s="4"/>
      <c r="TAC241" s="4"/>
      <c r="TAD241" s="4"/>
      <c r="TAE241" s="4"/>
      <c r="TAF241" s="4"/>
      <c r="TAG241" s="4"/>
      <c r="TAH241" s="4"/>
      <c r="TAI241" s="4"/>
      <c r="TAJ241" s="4"/>
      <c r="TAK241" s="4"/>
      <c r="TAL241" s="4"/>
      <c r="TAM241" s="4"/>
      <c r="TAN241" s="4"/>
      <c r="TAO241" s="4"/>
      <c r="TAP241" s="4"/>
      <c r="TAQ241" s="4"/>
      <c r="TAR241" s="4"/>
      <c r="TAS241" s="4"/>
      <c r="TAT241" s="4"/>
      <c r="TAU241" s="4"/>
      <c r="TAV241" s="4"/>
      <c r="TAW241" s="4"/>
      <c r="TAX241" s="4"/>
      <c r="TAY241" s="4"/>
      <c r="TAZ241" s="4"/>
      <c r="TBA241" s="4"/>
      <c r="TBB241" s="4"/>
      <c r="TBC241" s="4"/>
      <c r="TBD241" s="4"/>
      <c r="TBE241" s="4"/>
      <c r="TBF241" s="4"/>
      <c r="TBG241" s="4"/>
      <c r="TBH241" s="4"/>
      <c r="TBI241" s="4"/>
      <c r="TBJ241" s="4"/>
      <c r="TBK241" s="4"/>
      <c r="TBL241" s="4"/>
      <c r="TBM241" s="4"/>
      <c r="TBN241" s="4"/>
      <c r="TBO241" s="4"/>
      <c r="TBP241" s="4"/>
      <c r="TBQ241" s="4"/>
      <c r="TBR241" s="4"/>
      <c r="TBS241" s="4"/>
      <c r="TBT241" s="4"/>
      <c r="TBU241" s="4"/>
      <c r="TBV241" s="4"/>
      <c r="TBW241" s="4"/>
      <c r="TBX241" s="4"/>
      <c r="TBY241" s="4"/>
      <c r="TBZ241" s="4"/>
      <c r="TCA241" s="4"/>
      <c r="TCB241" s="4"/>
      <c r="TCC241" s="4"/>
      <c r="TCD241" s="4"/>
      <c r="TCE241" s="4"/>
      <c r="TCF241" s="4"/>
      <c r="TCG241" s="4"/>
      <c r="TCH241" s="4"/>
      <c r="TCI241" s="4"/>
      <c r="TCJ241" s="4"/>
      <c r="TCK241" s="4"/>
      <c r="TCL241" s="4"/>
      <c r="TCM241" s="4"/>
      <c r="TCN241" s="4"/>
      <c r="TCO241" s="4"/>
      <c r="TCP241" s="4"/>
      <c r="TCQ241" s="4"/>
      <c r="TCR241" s="4"/>
      <c r="TCS241" s="4"/>
      <c r="TCT241" s="4"/>
      <c r="TCU241" s="4"/>
      <c r="TCV241" s="4"/>
      <c r="TCW241" s="4"/>
      <c r="TCX241" s="4"/>
      <c r="TCY241" s="4"/>
      <c r="TCZ241" s="4"/>
      <c r="TDA241" s="4"/>
      <c r="TDB241" s="4"/>
      <c r="TDC241" s="4"/>
      <c r="TDD241" s="4"/>
      <c r="TDE241" s="4"/>
      <c r="TDF241" s="4"/>
      <c r="TDG241" s="4"/>
      <c r="TDH241" s="4"/>
      <c r="TDI241" s="4"/>
      <c r="TDJ241" s="4"/>
      <c r="TDK241" s="4"/>
      <c r="TDL241" s="4"/>
      <c r="TDM241" s="4"/>
      <c r="TDN241" s="4"/>
      <c r="TDO241" s="4"/>
      <c r="TDP241" s="4"/>
      <c r="TDQ241" s="4"/>
      <c r="TDR241" s="4"/>
      <c r="TDS241" s="4"/>
      <c r="TDT241" s="4"/>
      <c r="TDU241" s="4"/>
      <c r="TDV241" s="4"/>
      <c r="TDW241" s="4"/>
      <c r="TDX241" s="4"/>
      <c r="TDY241" s="4"/>
      <c r="TDZ241" s="4"/>
      <c r="TEA241" s="4"/>
      <c r="TEB241" s="4"/>
      <c r="TEC241" s="4"/>
      <c r="TED241" s="4"/>
      <c r="TEE241" s="4"/>
      <c r="TEF241" s="4"/>
      <c r="TEG241" s="4"/>
      <c r="TEH241" s="4"/>
      <c r="TEI241" s="4"/>
      <c r="TEJ241" s="4"/>
      <c r="TEK241" s="4"/>
      <c r="TEL241" s="4"/>
      <c r="TEM241" s="4"/>
      <c r="TEN241" s="4"/>
      <c r="TEO241" s="4"/>
      <c r="TEP241" s="4"/>
      <c r="TEQ241" s="4"/>
      <c r="TER241" s="4"/>
      <c r="TES241" s="4"/>
      <c r="TET241" s="4"/>
      <c r="TEU241" s="4"/>
      <c r="TEV241" s="4"/>
      <c r="TEW241" s="4"/>
      <c r="TEX241" s="4"/>
      <c r="TEY241" s="4"/>
      <c r="TEZ241" s="4"/>
      <c r="TFA241" s="4"/>
      <c r="TFB241" s="4"/>
      <c r="TFC241" s="4"/>
      <c r="TFD241" s="4"/>
      <c r="TFE241" s="4"/>
      <c r="TFF241" s="4"/>
      <c r="TFG241" s="4"/>
      <c r="TFH241" s="4"/>
      <c r="TFI241" s="4"/>
      <c r="TFJ241" s="4"/>
      <c r="TFK241" s="4"/>
      <c r="TFL241" s="4"/>
      <c r="TFM241" s="4"/>
      <c r="TFN241" s="4"/>
      <c r="TFO241" s="4"/>
      <c r="TFP241" s="4"/>
      <c r="TFQ241" s="4"/>
      <c r="TFR241" s="4"/>
      <c r="TFS241" s="4"/>
      <c r="TFT241" s="4"/>
      <c r="TFU241" s="4"/>
      <c r="TFV241" s="4"/>
      <c r="TFW241" s="4"/>
      <c r="TFX241" s="4"/>
      <c r="TFY241" s="4"/>
      <c r="TFZ241" s="4"/>
      <c r="TGA241" s="4"/>
      <c r="TGB241" s="4"/>
      <c r="TGC241" s="4"/>
      <c r="TGD241" s="4"/>
      <c r="TGE241" s="4"/>
      <c r="TGF241" s="4"/>
      <c r="TGG241" s="4"/>
      <c r="TGH241" s="4"/>
      <c r="TGI241" s="4"/>
      <c r="TGJ241" s="4"/>
      <c r="TGK241" s="4"/>
      <c r="TGL241" s="4"/>
      <c r="TGM241" s="4"/>
      <c r="TGN241" s="4"/>
      <c r="TGO241" s="4"/>
      <c r="TGP241" s="4"/>
      <c r="TGQ241" s="4"/>
      <c r="TGR241" s="4"/>
      <c r="TGS241" s="4"/>
      <c r="TGT241" s="4"/>
      <c r="TGU241" s="4"/>
      <c r="TGV241" s="4"/>
      <c r="TGW241" s="4"/>
      <c r="TGX241" s="4"/>
      <c r="TGY241" s="4"/>
      <c r="TGZ241" s="4"/>
      <c r="THA241" s="4"/>
      <c r="THB241" s="4"/>
      <c r="THC241" s="4"/>
      <c r="THD241" s="4"/>
      <c r="THE241" s="4"/>
      <c r="THF241" s="4"/>
      <c r="THG241" s="4"/>
      <c r="THH241" s="4"/>
      <c r="THI241" s="4"/>
      <c r="THJ241" s="4"/>
      <c r="THK241" s="4"/>
      <c r="THL241" s="4"/>
      <c r="THM241" s="4"/>
      <c r="THN241" s="4"/>
      <c r="THO241" s="4"/>
      <c r="THP241" s="4"/>
      <c r="THQ241" s="4"/>
      <c r="THR241" s="4"/>
      <c r="THS241" s="4"/>
      <c r="THT241" s="4"/>
      <c r="THU241" s="4"/>
      <c r="THV241" s="4"/>
      <c r="THW241" s="4"/>
      <c r="THX241" s="4"/>
      <c r="THY241" s="4"/>
      <c r="THZ241" s="4"/>
      <c r="TIA241" s="4"/>
      <c r="TIB241" s="4"/>
      <c r="TIC241" s="4"/>
      <c r="TID241" s="4"/>
      <c r="TIE241" s="4"/>
      <c r="TIF241" s="4"/>
      <c r="TIG241" s="4"/>
      <c r="TIH241" s="4"/>
      <c r="TII241" s="4"/>
      <c r="TIJ241" s="4"/>
      <c r="TIK241" s="4"/>
      <c r="TIL241" s="4"/>
      <c r="TIM241" s="4"/>
      <c r="TIN241" s="4"/>
      <c r="TIO241" s="4"/>
      <c r="TIP241" s="4"/>
      <c r="TIQ241" s="4"/>
      <c r="TIR241" s="4"/>
      <c r="TIS241" s="4"/>
      <c r="TIT241" s="4"/>
      <c r="TIU241" s="4"/>
      <c r="TIV241" s="4"/>
      <c r="TIW241" s="4"/>
      <c r="TIX241" s="4"/>
      <c r="TIY241" s="4"/>
      <c r="TIZ241" s="4"/>
      <c r="TJA241" s="4"/>
      <c r="TJB241" s="4"/>
      <c r="TJC241" s="4"/>
      <c r="TJD241" s="4"/>
      <c r="TJE241" s="4"/>
      <c r="TJF241" s="4"/>
      <c r="TJG241" s="4"/>
      <c r="TJH241" s="4"/>
      <c r="TJI241" s="4"/>
      <c r="TJJ241" s="4"/>
      <c r="TJK241" s="4"/>
      <c r="TJL241" s="4"/>
      <c r="TJM241" s="4"/>
      <c r="TJN241" s="4"/>
      <c r="TJO241" s="4"/>
      <c r="TJP241" s="4"/>
      <c r="TJQ241" s="4"/>
      <c r="TJR241" s="4"/>
      <c r="TJS241" s="4"/>
      <c r="TJT241" s="4"/>
      <c r="TJU241" s="4"/>
      <c r="TJV241" s="4"/>
      <c r="TJW241" s="4"/>
      <c r="TJX241" s="4"/>
      <c r="TJY241" s="4"/>
      <c r="TJZ241" s="4"/>
      <c r="TKA241" s="4"/>
      <c r="TKB241" s="4"/>
      <c r="TKC241" s="4"/>
      <c r="TKD241" s="4"/>
      <c r="TKE241" s="4"/>
      <c r="TKF241" s="4"/>
      <c r="TKG241" s="4"/>
      <c r="TKH241" s="4"/>
      <c r="TKI241" s="4"/>
      <c r="TKJ241" s="4"/>
      <c r="TKK241" s="4"/>
      <c r="TKL241" s="4"/>
      <c r="TKM241" s="4"/>
      <c r="TKN241" s="4"/>
      <c r="TKO241" s="4"/>
      <c r="TKP241" s="4"/>
      <c r="TKQ241" s="4"/>
      <c r="TKR241" s="4"/>
      <c r="TKS241" s="4"/>
      <c r="TKT241" s="4"/>
      <c r="TKU241" s="4"/>
      <c r="TKV241" s="4"/>
      <c r="TKW241" s="4"/>
      <c r="TKX241" s="4"/>
      <c r="TKY241" s="4"/>
      <c r="TKZ241" s="4"/>
      <c r="TLA241" s="4"/>
      <c r="TLB241" s="4"/>
      <c r="TLC241" s="4"/>
      <c r="TLD241" s="4"/>
      <c r="TLE241" s="4"/>
      <c r="TLF241" s="4"/>
      <c r="TLG241" s="4"/>
      <c r="TLH241" s="4"/>
      <c r="TLI241" s="4"/>
      <c r="TLJ241" s="4"/>
      <c r="TLK241" s="4"/>
      <c r="TLL241" s="4"/>
      <c r="TLM241" s="4"/>
      <c r="TLN241" s="4"/>
      <c r="TLO241" s="4"/>
      <c r="TLP241" s="4"/>
      <c r="TLQ241" s="4"/>
      <c r="TLR241" s="4"/>
      <c r="TLS241" s="4"/>
      <c r="TLT241" s="4"/>
      <c r="TLU241" s="4"/>
      <c r="TLV241" s="4"/>
      <c r="TLW241" s="4"/>
      <c r="TLX241" s="4"/>
      <c r="TLY241" s="4"/>
      <c r="TLZ241" s="4"/>
      <c r="TMA241" s="4"/>
      <c r="TMB241" s="4"/>
      <c r="TMC241" s="4"/>
      <c r="TMD241" s="4"/>
      <c r="TME241" s="4"/>
      <c r="TMF241" s="4"/>
      <c r="TMG241" s="4"/>
      <c r="TMH241" s="4"/>
      <c r="TMI241" s="4"/>
      <c r="TMJ241" s="4"/>
      <c r="TMK241" s="4"/>
      <c r="TML241" s="4"/>
      <c r="TMM241" s="4"/>
      <c r="TMN241" s="4"/>
      <c r="TMO241" s="4"/>
      <c r="TMP241" s="4"/>
      <c r="TMQ241" s="4"/>
      <c r="TMR241" s="4"/>
      <c r="TMS241" s="4"/>
      <c r="TMT241" s="4"/>
      <c r="TMU241" s="4"/>
      <c r="TMV241" s="4"/>
      <c r="TMW241" s="4"/>
      <c r="TMX241" s="4"/>
      <c r="TMY241" s="4"/>
      <c r="TMZ241" s="4"/>
      <c r="TNA241" s="4"/>
      <c r="TNB241" s="4"/>
      <c r="TNC241" s="4"/>
      <c r="TND241" s="4"/>
      <c r="TNE241" s="4"/>
      <c r="TNF241" s="4"/>
      <c r="TNG241" s="4"/>
      <c r="TNH241" s="4"/>
      <c r="TNI241" s="4"/>
      <c r="TNJ241" s="4"/>
      <c r="TNK241" s="4"/>
      <c r="TNL241" s="4"/>
      <c r="TNM241" s="4"/>
      <c r="TNN241" s="4"/>
      <c r="TNO241" s="4"/>
      <c r="TNP241" s="4"/>
      <c r="TNQ241" s="4"/>
      <c r="TNR241" s="4"/>
      <c r="TNS241" s="4"/>
      <c r="TNT241" s="4"/>
      <c r="TNU241" s="4"/>
      <c r="TNV241" s="4"/>
      <c r="TNW241" s="4"/>
      <c r="TNX241" s="4"/>
      <c r="TNY241" s="4"/>
      <c r="TNZ241" s="4"/>
      <c r="TOA241" s="4"/>
      <c r="TOB241" s="4"/>
      <c r="TOC241" s="4"/>
      <c r="TOD241" s="4"/>
      <c r="TOE241" s="4"/>
      <c r="TOF241" s="4"/>
      <c r="TOG241" s="4"/>
      <c r="TOH241" s="4"/>
      <c r="TOI241" s="4"/>
      <c r="TOJ241" s="4"/>
      <c r="TOK241" s="4"/>
      <c r="TOL241" s="4"/>
      <c r="TOM241" s="4"/>
      <c r="TON241" s="4"/>
      <c r="TOO241" s="4"/>
      <c r="TOP241" s="4"/>
      <c r="TOQ241" s="4"/>
      <c r="TOR241" s="4"/>
      <c r="TOS241" s="4"/>
      <c r="TOT241" s="4"/>
      <c r="TOU241" s="4"/>
      <c r="TOV241" s="4"/>
      <c r="TOW241" s="4"/>
      <c r="TOX241" s="4"/>
      <c r="TOY241" s="4"/>
      <c r="TOZ241" s="4"/>
      <c r="TPA241" s="4"/>
      <c r="TPB241" s="4"/>
      <c r="TPC241" s="4"/>
      <c r="TPD241" s="4"/>
      <c r="TPE241" s="4"/>
      <c r="TPF241" s="4"/>
      <c r="TPG241" s="4"/>
      <c r="TPH241" s="4"/>
      <c r="TPI241" s="4"/>
      <c r="TPJ241" s="4"/>
      <c r="TPK241" s="4"/>
      <c r="TPL241" s="4"/>
      <c r="TPM241" s="4"/>
      <c r="TPN241" s="4"/>
      <c r="TPO241" s="4"/>
      <c r="TPP241" s="4"/>
      <c r="TPQ241" s="4"/>
      <c r="TPR241" s="4"/>
      <c r="TPS241" s="4"/>
      <c r="TPT241" s="4"/>
      <c r="TPU241" s="4"/>
      <c r="TPV241" s="4"/>
      <c r="TPW241" s="4"/>
      <c r="TPX241" s="4"/>
      <c r="TPY241" s="4"/>
      <c r="TPZ241" s="4"/>
      <c r="TQA241" s="4"/>
      <c r="TQB241" s="4"/>
      <c r="TQC241" s="4"/>
      <c r="TQD241" s="4"/>
      <c r="TQE241" s="4"/>
      <c r="TQF241" s="4"/>
      <c r="TQG241" s="4"/>
      <c r="TQH241" s="4"/>
      <c r="TQI241" s="4"/>
      <c r="TQJ241" s="4"/>
      <c r="TQK241" s="4"/>
      <c r="TQL241" s="4"/>
      <c r="TQM241" s="4"/>
      <c r="TQN241" s="4"/>
      <c r="TQO241" s="4"/>
      <c r="TQP241" s="4"/>
      <c r="TQQ241" s="4"/>
      <c r="TQR241" s="4"/>
      <c r="TQS241" s="4"/>
      <c r="TQT241" s="4"/>
      <c r="TQU241" s="4"/>
      <c r="TQV241" s="4"/>
      <c r="TQW241" s="4"/>
      <c r="TQX241" s="4"/>
      <c r="TQY241" s="4"/>
      <c r="TQZ241" s="4"/>
      <c r="TRA241" s="4"/>
      <c r="TRB241" s="4"/>
      <c r="TRC241" s="4"/>
      <c r="TRD241" s="4"/>
      <c r="TRE241" s="4"/>
      <c r="TRF241" s="4"/>
      <c r="TRG241" s="4"/>
      <c r="TRH241" s="4"/>
      <c r="TRI241" s="4"/>
      <c r="TRJ241" s="4"/>
      <c r="TRK241" s="4"/>
      <c r="TRL241" s="4"/>
      <c r="TRM241" s="4"/>
      <c r="TRN241" s="4"/>
      <c r="TRO241" s="4"/>
      <c r="TRP241" s="4"/>
      <c r="TRQ241" s="4"/>
      <c r="TRR241" s="4"/>
      <c r="TRS241" s="4"/>
      <c r="TRT241" s="4"/>
      <c r="TRU241" s="4"/>
      <c r="TRV241" s="4"/>
      <c r="TRW241" s="4"/>
      <c r="TRX241" s="4"/>
      <c r="TRY241" s="4"/>
      <c r="TRZ241" s="4"/>
      <c r="TSA241" s="4"/>
      <c r="TSB241" s="4"/>
      <c r="TSC241" s="4"/>
      <c r="TSD241" s="4"/>
      <c r="TSE241" s="4"/>
      <c r="TSF241" s="4"/>
      <c r="TSG241" s="4"/>
      <c r="TSH241" s="4"/>
      <c r="TSI241" s="4"/>
      <c r="TSJ241" s="4"/>
      <c r="TSK241" s="4"/>
      <c r="TSL241" s="4"/>
      <c r="TSM241" s="4"/>
      <c r="TSN241" s="4"/>
      <c r="TSO241" s="4"/>
      <c r="TSP241" s="4"/>
      <c r="TSQ241" s="4"/>
      <c r="TSR241" s="4"/>
      <c r="TSS241" s="4"/>
      <c r="TST241" s="4"/>
      <c r="TSU241" s="4"/>
      <c r="TSV241" s="4"/>
      <c r="TSW241" s="4"/>
      <c r="TSX241" s="4"/>
      <c r="TSY241" s="4"/>
      <c r="TSZ241" s="4"/>
      <c r="TTA241" s="4"/>
      <c r="TTB241" s="4"/>
      <c r="TTC241" s="4"/>
      <c r="TTD241" s="4"/>
      <c r="TTE241" s="4"/>
      <c r="TTF241" s="4"/>
      <c r="TTG241" s="4"/>
      <c r="TTH241" s="4"/>
      <c r="TTI241" s="4"/>
      <c r="TTJ241" s="4"/>
      <c r="TTK241" s="4"/>
      <c r="TTL241" s="4"/>
      <c r="TTM241" s="4"/>
      <c r="TTN241" s="4"/>
      <c r="TTO241" s="4"/>
      <c r="TTP241" s="4"/>
      <c r="TTQ241" s="4"/>
      <c r="TTR241" s="4"/>
      <c r="TTS241" s="4"/>
      <c r="TTT241" s="4"/>
      <c r="TTU241" s="4"/>
      <c r="TTV241" s="4"/>
      <c r="TTW241" s="4"/>
      <c r="TTX241" s="4"/>
      <c r="TTY241" s="4"/>
      <c r="TTZ241" s="4"/>
      <c r="TUA241" s="4"/>
      <c r="TUB241" s="4"/>
      <c r="TUC241" s="4"/>
      <c r="TUD241" s="4"/>
      <c r="TUE241" s="4"/>
      <c r="TUF241" s="4"/>
      <c r="TUG241" s="4"/>
      <c r="TUH241" s="4"/>
      <c r="TUI241" s="4"/>
      <c r="TUJ241" s="4"/>
      <c r="TUK241" s="4"/>
      <c r="TUL241" s="4"/>
      <c r="TUM241" s="4"/>
      <c r="TUN241" s="4"/>
      <c r="TUO241" s="4"/>
      <c r="TUP241" s="4"/>
      <c r="TUQ241" s="4"/>
      <c r="TUR241" s="4"/>
      <c r="TUS241" s="4"/>
      <c r="TUT241" s="4"/>
      <c r="TUU241" s="4"/>
      <c r="TUV241" s="4"/>
      <c r="TUW241" s="4"/>
      <c r="TUX241" s="4"/>
      <c r="TUY241" s="4"/>
      <c r="TUZ241" s="4"/>
      <c r="TVA241" s="4"/>
      <c r="TVB241" s="4"/>
      <c r="TVC241" s="4"/>
      <c r="TVD241" s="4"/>
      <c r="TVE241" s="4"/>
      <c r="TVF241" s="4"/>
      <c r="TVG241" s="4"/>
      <c r="TVH241" s="4"/>
      <c r="TVI241" s="4"/>
      <c r="TVJ241" s="4"/>
      <c r="TVK241" s="4"/>
      <c r="TVL241" s="4"/>
      <c r="TVM241" s="4"/>
      <c r="TVN241" s="4"/>
      <c r="TVO241" s="4"/>
      <c r="TVP241" s="4"/>
      <c r="TVQ241" s="4"/>
      <c r="TVR241" s="4"/>
      <c r="TVS241" s="4"/>
      <c r="TVT241" s="4"/>
      <c r="TVU241" s="4"/>
      <c r="TVV241" s="4"/>
      <c r="TVW241" s="4"/>
      <c r="TVX241" s="4"/>
      <c r="TVY241" s="4"/>
      <c r="TVZ241" s="4"/>
      <c r="TWA241" s="4"/>
      <c r="TWB241" s="4"/>
      <c r="TWC241" s="4"/>
      <c r="TWD241" s="4"/>
      <c r="TWE241" s="4"/>
      <c r="TWF241" s="4"/>
      <c r="TWG241" s="4"/>
      <c r="TWH241" s="4"/>
      <c r="TWI241" s="4"/>
      <c r="TWJ241" s="4"/>
      <c r="TWK241" s="4"/>
      <c r="TWL241" s="4"/>
      <c r="TWM241" s="4"/>
      <c r="TWN241" s="4"/>
      <c r="TWO241" s="4"/>
      <c r="TWP241" s="4"/>
      <c r="TWQ241" s="4"/>
      <c r="TWR241" s="4"/>
      <c r="TWS241" s="4"/>
      <c r="TWT241" s="4"/>
      <c r="TWU241" s="4"/>
      <c r="TWV241" s="4"/>
      <c r="TWW241" s="4"/>
      <c r="TWX241" s="4"/>
      <c r="TWY241" s="4"/>
      <c r="TWZ241" s="4"/>
      <c r="TXA241" s="4"/>
      <c r="TXB241" s="4"/>
      <c r="TXC241" s="4"/>
      <c r="TXD241" s="4"/>
      <c r="TXE241" s="4"/>
      <c r="TXF241" s="4"/>
      <c r="TXG241" s="4"/>
      <c r="TXH241" s="4"/>
      <c r="TXI241" s="4"/>
      <c r="TXJ241" s="4"/>
      <c r="TXK241" s="4"/>
      <c r="TXL241" s="4"/>
      <c r="TXM241" s="4"/>
      <c r="TXN241" s="4"/>
      <c r="TXO241" s="4"/>
      <c r="TXP241" s="4"/>
      <c r="TXQ241" s="4"/>
      <c r="TXR241" s="4"/>
      <c r="TXS241" s="4"/>
      <c r="TXT241" s="4"/>
      <c r="TXU241" s="4"/>
      <c r="TXV241" s="4"/>
      <c r="TXW241" s="4"/>
      <c r="TXX241" s="4"/>
      <c r="TXY241" s="4"/>
      <c r="TXZ241" s="4"/>
      <c r="TYA241" s="4"/>
      <c r="TYB241" s="4"/>
      <c r="TYC241" s="4"/>
      <c r="TYD241" s="4"/>
      <c r="TYE241" s="4"/>
      <c r="TYF241" s="4"/>
      <c r="TYG241" s="4"/>
      <c r="TYH241" s="4"/>
      <c r="TYI241" s="4"/>
      <c r="TYJ241" s="4"/>
      <c r="TYK241" s="4"/>
      <c r="TYL241" s="4"/>
      <c r="TYM241" s="4"/>
      <c r="TYN241" s="4"/>
      <c r="TYO241" s="4"/>
      <c r="TYP241" s="4"/>
      <c r="TYQ241" s="4"/>
      <c r="TYR241" s="4"/>
      <c r="TYS241" s="4"/>
      <c r="TYT241" s="4"/>
      <c r="TYU241" s="4"/>
      <c r="TYV241" s="4"/>
      <c r="TYW241" s="4"/>
      <c r="TYX241" s="4"/>
      <c r="TYY241" s="4"/>
      <c r="TYZ241" s="4"/>
      <c r="TZA241" s="4"/>
      <c r="TZB241" s="4"/>
      <c r="TZC241" s="4"/>
      <c r="TZD241" s="4"/>
      <c r="TZE241" s="4"/>
      <c r="TZF241" s="4"/>
      <c r="TZG241" s="4"/>
      <c r="TZH241" s="4"/>
      <c r="TZI241" s="4"/>
      <c r="TZJ241" s="4"/>
      <c r="TZK241" s="4"/>
      <c r="TZL241" s="4"/>
      <c r="TZM241" s="4"/>
      <c r="TZN241" s="4"/>
      <c r="TZO241" s="4"/>
      <c r="TZP241" s="4"/>
      <c r="TZQ241" s="4"/>
      <c r="TZR241" s="4"/>
      <c r="TZS241" s="4"/>
      <c r="TZT241" s="4"/>
      <c r="TZU241" s="4"/>
      <c r="TZV241" s="4"/>
      <c r="TZW241" s="4"/>
      <c r="TZX241" s="4"/>
      <c r="TZY241" s="4"/>
      <c r="TZZ241" s="4"/>
      <c r="UAA241" s="4"/>
      <c r="UAB241" s="4"/>
      <c r="UAC241" s="4"/>
      <c r="UAD241" s="4"/>
      <c r="UAE241" s="4"/>
      <c r="UAF241" s="4"/>
      <c r="UAG241" s="4"/>
      <c r="UAH241" s="4"/>
      <c r="UAI241" s="4"/>
      <c r="UAJ241" s="4"/>
      <c r="UAK241" s="4"/>
      <c r="UAL241" s="4"/>
      <c r="UAM241" s="4"/>
      <c r="UAN241" s="4"/>
      <c r="UAO241" s="4"/>
      <c r="UAP241" s="4"/>
      <c r="UAQ241" s="4"/>
      <c r="UAR241" s="4"/>
      <c r="UAS241" s="4"/>
      <c r="UAT241" s="4"/>
      <c r="UAU241" s="4"/>
      <c r="UAV241" s="4"/>
      <c r="UAW241" s="4"/>
      <c r="UAX241" s="4"/>
      <c r="UAY241" s="4"/>
      <c r="UAZ241" s="4"/>
      <c r="UBA241" s="4"/>
      <c r="UBB241" s="4"/>
      <c r="UBC241" s="4"/>
      <c r="UBD241" s="4"/>
      <c r="UBE241" s="4"/>
      <c r="UBF241" s="4"/>
      <c r="UBG241" s="4"/>
      <c r="UBH241" s="4"/>
      <c r="UBI241" s="4"/>
      <c r="UBJ241" s="4"/>
      <c r="UBK241" s="4"/>
      <c r="UBL241" s="4"/>
      <c r="UBM241" s="4"/>
      <c r="UBN241" s="4"/>
      <c r="UBO241" s="4"/>
      <c r="UBP241" s="4"/>
      <c r="UBQ241" s="4"/>
      <c r="UBR241" s="4"/>
      <c r="UBS241" s="4"/>
      <c r="UBT241" s="4"/>
      <c r="UBU241" s="4"/>
      <c r="UBV241" s="4"/>
      <c r="UBW241" s="4"/>
      <c r="UBX241" s="4"/>
      <c r="UBY241" s="4"/>
      <c r="UBZ241" s="4"/>
      <c r="UCA241" s="4"/>
      <c r="UCB241" s="4"/>
      <c r="UCC241" s="4"/>
      <c r="UCD241" s="4"/>
      <c r="UCE241" s="4"/>
      <c r="UCF241" s="4"/>
      <c r="UCG241" s="4"/>
      <c r="UCH241" s="4"/>
      <c r="UCI241" s="4"/>
      <c r="UCJ241" s="4"/>
      <c r="UCK241" s="4"/>
      <c r="UCL241" s="4"/>
      <c r="UCM241" s="4"/>
      <c r="UCN241" s="4"/>
      <c r="UCO241" s="4"/>
      <c r="UCP241" s="4"/>
      <c r="UCQ241" s="4"/>
      <c r="UCR241" s="4"/>
      <c r="UCS241" s="4"/>
      <c r="UCT241" s="4"/>
      <c r="UCU241" s="4"/>
      <c r="UCV241" s="4"/>
      <c r="UCW241" s="4"/>
      <c r="UCX241" s="4"/>
      <c r="UCY241" s="4"/>
      <c r="UCZ241" s="4"/>
      <c r="UDA241" s="4"/>
      <c r="UDB241" s="4"/>
      <c r="UDC241" s="4"/>
      <c r="UDD241" s="4"/>
      <c r="UDE241" s="4"/>
      <c r="UDF241" s="4"/>
      <c r="UDG241" s="4"/>
      <c r="UDH241" s="4"/>
      <c r="UDI241" s="4"/>
      <c r="UDJ241" s="4"/>
      <c r="UDK241" s="4"/>
      <c r="UDL241" s="4"/>
      <c r="UDM241" s="4"/>
      <c r="UDN241" s="4"/>
      <c r="UDO241" s="4"/>
      <c r="UDP241" s="4"/>
      <c r="UDQ241" s="4"/>
      <c r="UDR241" s="4"/>
      <c r="UDS241" s="4"/>
      <c r="UDT241" s="4"/>
      <c r="UDU241" s="4"/>
      <c r="UDV241" s="4"/>
      <c r="UDW241" s="4"/>
      <c r="UDX241" s="4"/>
      <c r="UDY241" s="4"/>
      <c r="UDZ241" s="4"/>
      <c r="UEA241" s="4"/>
      <c r="UEB241" s="4"/>
      <c r="UEC241" s="4"/>
      <c r="UED241" s="4"/>
      <c r="UEE241" s="4"/>
      <c r="UEF241" s="4"/>
      <c r="UEG241" s="4"/>
      <c r="UEH241" s="4"/>
      <c r="UEI241" s="4"/>
      <c r="UEJ241" s="4"/>
      <c r="UEK241" s="4"/>
      <c r="UEL241" s="4"/>
      <c r="UEM241" s="4"/>
      <c r="UEN241" s="4"/>
      <c r="UEO241" s="4"/>
      <c r="UEP241" s="4"/>
      <c r="UEQ241" s="4"/>
      <c r="UER241" s="4"/>
      <c r="UES241" s="4"/>
      <c r="UET241" s="4"/>
      <c r="UEU241" s="4"/>
      <c r="UEV241" s="4"/>
      <c r="UEW241" s="4"/>
      <c r="UEX241" s="4"/>
      <c r="UEY241" s="4"/>
      <c r="UEZ241" s="4"/>
      <c r="UFA241" s="4"/>
      <c r="UFB241" s="4"/>
      <c r="UFC241" s="4"/>
      <c r="UFD241" s="4"/>
      <c r="UFE241" s="4"/>
      <c r="UFF241" s="4"/>
      <c r="UFG241" s="4"/>
      <c r="UFH241" s="4"/>
      <c r="UFI241" s="4"/>
      <c r="UFJ241" s="4"/>
      <c r="UFK241" s="4"/>
      <c r="UFL241" s="4"/>
      <c r="UFM241" s="4"/>
      <c r="UFN241" s="4"/>
      <c r="UFO241" s="4"/>
      <c r="UFP241" s="4"/>
      <c r="UFQ241" s="4"/>
      <c r="UFR241" s="4"/>
      <c r="UFS241" s="4"/>
      <c r="UFT241" s="4"/>
      <c r="UFU241" s="4"/>
      <c r="UFV241" s="4"/>
      <c r="UFW241" s="4"/>
      <c r="UFX241" s="4"/>
      <c r="UFY241" s="4"/>
      <c r="UFZ241" s="4"/>
      <c r="UGA241" s="4"/>
      <c r="UGB241" s="4"/>
      <c r="UGC241" s="4"/>
      <c r="UGD241" s="4"/>
      <c r="UGE241" s="4"/>
      <c r="UGF241" s="4"/>
      <c r="UGG241" s="4"/>
      <c r="UGH241" s="4"/>
      <c r="UGI241" s="4"/>
      <c r="UGJ241" s="4"/>
      <c r="UGK241" s="4"/>
      <c r="UGL241" s="4"/>
      <c r="UGM241" s="4"/>
      <c r="UGN241" s="4"/>
      <c r="UGO241" s="4"/>
      <c r="UGP241" s="4"/>
      <c r="UGQ241" s="4"/>
      <c r="UGR241" s="4"/>
      <c r="UGS241" s="4"/>
      <c r="UGT241" s="4"/>
      <c r="UGU241" s="4"/>
      <c r="UGV241" s="4"/>
      <c r="UGW241" s="4"/>
      <c r="UGX241" s="4"/>
      <c r="UGY241" s="4"/>
      <c r="UGZ241" s="4"/>
      <c r="UHA241" s="4"/>
      <c r="UHB241" s="4"/>
      <c r="UHC241" s="4"/>
      <c r="UHD241" s="4"/>
      <c r="UHE241" s="4"/>
      <c r="UHF241" s="4"/>
      <c r="UHG241" s="4"/>
      <c r="UHH241" s="4"/>
      <c r="UHI241" s="4"/>
      <c r="UHJ241" s="4"/>
      <c r="UHK241" s="4"/>
      <c r="UHL241" s="4"/>
      <c r="UHM241" s="4"/>
      <c r="UHN241" s="4"/>
      <c r="UHO241" s="4"/>
      <c r="UHP241" s="4"/>
      <c r="UHQ241" s="4"/>
      <c r="UHR241" s="4"/>
      <c r="UHS241" s="4"/>
      <c r="UHT241" s="4"/>
      <c r="UHU241" s="4"/>
      <c r="UHV241" s="4"/>
      <c r="UHW241" s="4"/>
      <c r="UHX241" s="4"/>
      <c r="UHY241" s="4"/>
      <c r="UHZ241" s="4"/>
      <c r="UIA241" s="4"/>
      <c r="UIB241" s="4"/>
      <c r="UIC241" s="4"/>
      <c r="UID241" s="4"/>
      <c r="UIE241" s="4"/>
      <c r="UIF241" s="4"/>
      <c r="UIG241" s="4"/>
      <c r="UIH241" s="4"/>
      <c r="UII241" s="4"/>
      <c r="UIJ241" s="4"/>
      <c r="UIK241" s="4"/>
      <c r="UIL241" s="4"/>
      <c r="UIM241" s="4"/>
      <c r="UIN241" s="4"/>
      <c r="UIO241" s="4"/>
      <c r="UIP241" s="4"/>
      <c r="UIQ241" s="4"/>
      <c r="UIR241" s="4"/>
      <c r="UIS241" s="4"/>
      <c r="UIT241" s="4"/>
      <c r="UIU241" s="4"/>
      <c r="UIV241" s="4"/>
      <c r="UIW241" s="4"/>
      <c r="UIX241" s="4"/>
      <c r="UIY241" s="4"/>
      <c r="UIZ241" s="4"/>
      <c r="UJA241" s="4"/>
      <c r="UJB241" s="4"/>
      <c r="UJC241" s="4"/>
      <c r="UJD241" s="4"/>
      <c r="UJE241" s="4"/>
      <c r="UJF241" s="4"/>
      <c r="UJG241" s="4"/>
      <c r="UJH241" s="4"/>
      <c r="UJI241" s="4"/>
      <c r="UJJ241" s="4"/>
      <c r="UJK241" s="4"/>
      <c r="UJL241" s="4"/>
      <c r="UJM241" s="4"/>
      <c r="UJN241" s="4"/>
      <c r="UJO241" s="4"/>
      <c r="UJP241" s="4"/>
      <c r="UJQ241" s="4"/>
      <c r="UJR241" s="4"/>
      <c r="UJS241" s="4"/>
      <c r="UJT241" s="4"/>
      <c r="UJU241" s="4"/>
      <c r="UJV241" s="4"/>
      <c r="UJW241" s="4"/>
      <c r="UJX241" s="4"/>
      <c r="UJY241" s="4"/>
      <c r="UJZ241" s="4"/>
      <c r="UKA241" s="4"/>
      <c r="UKB241" s="4"/>
      <c r="UKC241" s="4"/>
      <c r="UKD241" s="4"/>
      <c r="UKE241" s="4"/>
      <c r="UKF241" s="4"/>
      <c r="UKG241" s="4"/>
      <c r="UKH241" s="4"/>
      <c r="UKI241" s="4"/>
      <c r="UKJ241" s="4"/>
      <c r="UKK241" s="4"/>
      <c r="UKL241" s="4"/>
      <c r="UKM241" s="4"/>
      <c r="UKN241" s="4"/>
      <c r="UKO241" s="4"/>
      <c r="UKP241" s="4"/>
      <c r="UKQ241" s="4"/>
      <c r="UKR241" s="4"/>
      <c r="UKS241" s="4"/>
      <c r="UKT241" s="4"/>
      <c r="UKU241" s="4"/>
      <c r="UKV241" s="4"/>
      <c r="UKW241" s="4"/>
      <c r="UKX241" s="4"/>
      <c r="UKY241" s="4"/>
      <c r="UKZ241" s="4"/>
      <c r="ULA241" s="4"/>
      <c r="ULB241" s="4"/>
      <c r="ULC241" s="4"/>
      <c r="ULD241" s="4"/>
      <c r="ULE241" s="4"/>
      <c r="ULF241" s="4"/>
      <c r="ULG241" s="4"/>
      <c r="ULH241" s="4"/>
      <c r="ULI241" s="4"/>
      <c r="ULJ241" s="4"/>
      <c r="ULK241" s="4"/>
      <c r="ULL241" s="4"/>
      <c r="ULM241" s="4"/>
      <c r="ULN241" s="4"/>
      <c r="ULO241" s="4"/>
      <c r="ULP241" s="4"/>
      <c r="ULQ241" s="4"/>
      <c r="ULR241" s="4"/>
      <c r="ULS241" s="4"/>
      <c r="ULT241" s="4"/>
      <c r="ULU241" s="4"/>
      <c r="ULV241" s="4"/>
      <c r="ULW241" s="4"/>
      <c r="ULX241" s="4"/>
      <c r="ULY241" s="4"/>
      <c r="ULZ241" s="4"/>
      <c r="UMA241" s="4"/>
      <c r="UMB241" s="4"/>
      <c r="UMC241" s="4"/>
      <c r="UMD241" s="4"/>
      <c r="UME241" s="4"/>
      <c r="UMF241" s="4"/>
      <c r="UMG241" s="4"/>
      <c r="UMH241" s="4"/>
      <c r="UMI241" s="4"/>
      <c r="UMJ241" s="4"/>
      <c r="UMK241" s="4"/>
      <c r="UML241" s="4"/>
      <c r="UMM241" s="4"/>
      <c r="UMN241" s="4"/>
      <c r="UMO241" s="4"/>
      <c r="UMP241" s="4"/>
      <c r="UMQ241" s="4"/>
      <c r="UMR241" s="4"/>
      <c r="UMS241" s="4"/>
      <c r="UMT241" s="4"/>
      <c r="UMU241" s="4"/>
      <c r="UMV241" s="4"/>
      <c r="UMW241" s="4"/>
      <c r="UMX241" s="4"/>
      <c r="UMY241" s="4"/>
      <c r="UMZ241" s="4"/>
      <c r="UNA241" s="4"/>
      <c r="UNB241" s="4"/>
      <c r="UNC241" s="4"/>
      <c r="UND241" s="4"/>
      <c r="UNE241" s="4"/>
      <c r="UNF241" s="4"/>
      <c r="UNG241" s="4"/>
      <c r="UNH241" s="4"/>
      <c r="UNI241" s="4"/>
      <c r="UNJ241" s="4"/>
      <c r="UNK241" s="4"/>
      <c r="UNL241" s="4"/>
      <c r="UNM241" s="4"/>
      <c r="UNN241" s="4"/>
      <c r="UNO241" s="4"/>
      <c r="UNP241" s="4"/>
      <c r="UNQ241" s="4"/>
      <c r="UNR241" s="4"/>
      <c r="UNS241" s="4"/>
      <c r="UNT241" s="4"/>
      <c r="UNU241" s="4"/>
      <c r="UNV241" s="4"/>
      <c r="UNW241" s="4"/>
      <c r="UNX241" s="4"/>
      <c r="UNY241" s="4"/>
      <c r="UNZ241" s="4"/>
      <c r="UOA241" s="4"/>
      <c r="UOB241" s="4"/>
      <c r="UOC241" s="4"/>
      <c r="UOD241" s="4"/>
      <c r="UOE241" s="4"/>
      <c r="UOF241" s="4"/>
      <c r="UOG241" s="4"/>
      <c r="UOH241" s="4"/>
      <c r="UOI241" s="4"/>
      <c r="UOJ241" s="4"/>
      <c r="UOK241" s="4"/>
      <c r="UOL241" s="4"/>
      <c r="UOM241" s="4"/>
      <c r="UON241" s="4"/>
      <c r="UOO241" s="4"/>
      <c r="UOP241" s="4"/>
      <c r="UOQ241" s="4"/>
      <c r="UOR241" s="4"/>
      <c r="UOS241" s="4"/>
      <c r="UOT241" s="4"/>
      <c r="UOU241" s="4"/>
      <c r="UOV241" s="4"/>
      <c r="UOW241" s="4"/>
      <c r="UOX241" s="4"/>
      <c r="UOY241" s="4"/>
      <c r="UOZ241" s="4"/>
      <c r="UPA241" s="4"/>
      <c r="UPB241" s="4"/>
      <c r="UPC241" s="4"/>
      <c r="UPD241" s="4"/>
      <c r="UPE241" s="4"/>
      <c r="UPF241" s="4"/>
      <c r="UPG241" s="4"/>
      <c r="UPH241" s="4"/>
      <c r="UPI241" s="4"/>
      <c r="UPJ241" s="4"/>
      <c r="UPK241" s="4"/>
      <c r="UPL241" s="4"/>
      <c r="UPM241" s="4"/>
      <c r="UPN241" s="4"/>
      <c r="UPO241" s="4"/>
      <c r="UPP241" s="4"/>
      <c r="UPQ241" s="4"/>
      <c r="UPR241" s="4"/>
      <c r="UPS241" s="4"/>
      <c r="UPT241" s="4"/>
      <c r="UPU241" s="4"/>
      <c r="UPV241" s="4"/>
      <c r="UPW241" s="4"/>
      <c r="UPX241" s="4"/>
      <c r="UPY241" s="4"/>
      <c r="UPZ241" s="4"/>
      <c r="UQA241" s="4"/>
      <c r="UQB241" s="4"/>
      <c r="UQC241" s="4"/>
      <c r="UQD241" s="4"/>
      <c r="UQE241" s="4"/>
      <c r="UQF241" s="4"/>
      <c r="UQG241" s="4"/>
      <c r="UQH241" s="4"/>
      <c r="UQI241" s="4"/>
      <c r="UQJ241" s="4"/>
      <c r="UQK241" s="4"/>
      <c r="UQL241" s="4"/>
      <c r="UQM241" s="4"/>
      <c r="UQN241" s="4"/>
      <c r="UQO241" s="4"/>
      <c r="UQP241" s="4"/>
      <c r="UQQ241" s="4"/>
      <c r="UQR241" s="4"/>
      <c r="UQS241" s="4"/>
      <c r="UQT241" s="4"/>
      <c r="UQU241" s="4"/>
      <c r="UQV241" s="4"/>
      <c r="UQW241" s="4"/>
      <c r="UQX241" s="4"/>
      <c r="UQY241" s="4"/>
      <c r="UQZ241" s="4"/>
      <c r="URA241" s="4"/>
      <c r="URB241" s="4"/>
      <c r="URC241" s="4"/>
      <c r="URD241" s="4"/>
      <c r="URE241" s="4"/>
      <c r="URF241" s="4"/>
      <c r="URG241" s="4"/>
      <c r="URH241" s="4"/>
      <c r="URI241" s="4"/>
      <c r="URJ241" s="4"/>
      <c r="URK241" s="4"/>
      <c r="URL241" s="4"/>
      <c r="URM241" s="4"/>
      <c r="URN241" s="4"/>
      <c r="URO241" s="4"/>
      <c r="URP241" s="4"/>
      <c r="URQ241" s="4"/>
      <c r="URR241" s="4"/>
      <c r="URS241" s="4"/>
      <c r="URT241" s="4"/>
      <c r="URU241" s="4"/>
      <c r="URV241" s="4"/>
      <c r="URW241" s="4"/>
      <c r="URX241" s="4"/>
      <c r="URY241" s="4"/>
      <c r="URZ241" s="4"/>
      <c r="USA241" s="4"/>
      <c r="USB241" s="4"/>
      <c r="USC241" s="4"/>
      <c r="USD241" s="4"/>
      <c r="USE241" s="4"/>
      <c r="USF241" s="4"/>
      <c r="USG241" s="4"/>
      <c r="USH241" s="4"/>
      <c r="USI241" s="4"/>
      <c r="USJ241" s="4"/>
      <c r="USK241" s="4"/>
      <c r="USL241" s="4"/>
      <c r="USM241" s="4"/>
      <c r="USN241" s="4"/>
      <c r="USO241" s="4"/>
      <c r="USP241" s="4"/>
      <c r="USQ241" s="4"/>
      <c r="USR241" s="4"/>
      <c r="USS241" s="4"/>
      <c r="UST241" s="4"/>
      <c r="USU241" s="4"/>
      <c r="USV241" s="4"/>
      <c r="USW241" s="4"/>
      <c r="USX241" s="4"/>
      <c r="USY241" s="4"/>
      <c r="USZ241" s="4"/>
      <c r="UTA241" s="4"/>
      <c r="UTB241" s="4"/>
      <c r="UTC241" s="4"/>
      <c r="UTD241" s="4"/>
      <c r="UTE241" s="4"/>
      <c r="UTF241" s="4"/>
      <c r="UTG241" s="4"/>
      <c r="UTH241" s="4"/>
      <c r="UTI241" s="4"/>
      <c r="UTJ241" s="4"/>
      <c r="UTK241" s="4"/>
      <c r="UTL241" s="4"/>
      <c r="UTM241" s="4"/>
      <c r="UTN241" s="4"/>
      <c r="UTO241" s="4"/>
      <c r="UTP241" s="4"/>
      <c r="UTQ241" s="4"/>
      <c r="UTR241" s="4"/>
      <c r="UTS241" s="4"/>
      <c r="UTT241" s="4"/>
      <c r="UTU241" s="4"/>
      <c r="UTV241" s="4"/>
      <c r="UTW241" s="4"/>
      <c r="UTX241" s="4"/>
      <c r="UTY241" s="4"/>
      <c r="UTZ241" s="4"/>
      <c r="UUA241" s="4"/>
      <c r="UUB241" s="4"/>
      <c r="UUC241" s="4"/>
      <c r="UUD241" s="4"/>
      <c r="UUE241" s="4"/>
      <c r="UUF241" s="4"/>
      <c r="UUG241" s="4"/>
      <c r="UUH241" s="4"/>
      <c r="UUI241" s="4"/>
      <c r="UUJ241" s="4"/>
      <c r="UUK241" s="4"/>
      <c r="UUL241" s="4"/>
      <c r="UUM241" s="4"/>
      <c r="UUN241" s="4"/>
      <c r="UUO241" s="4"/>
      <c r="UUP241" s="4"/>
      <c r="UUQ241" s="4"/>
      <c r="UUR241" s="4"/>
      <c r="UUS241" s="4"/>
      <c r="UUT241" s="4"/>
      <c r="UUU241" s="4"/>
      <c r="UUV241" s="4"/>
      <c r="UUW241" s="4"/>
      <c r="UUX241" s="4"/>
      <c r="UUY241" s="4"/>
      <c r="UUZ241" s="4"/>
      <c r="UVA241" s="4"/>
      <c r="UVB241" s="4"/>
      <c r="UVC241" s="4"/>
      <c r="UVD241" s="4"/>
      <c r="UVE241" s="4"/>
      <c r="UVF241" s="4"/>
      <c r="UVG241" s="4"/>
      <c r="UVH241" s="4"/>
      <c r="UVI241" s="4"/>
      <c r="UVJ241" s="4"/>
      <c r="UVK241" s="4"/>
      <c r="UVL241" s="4"/>
      <c r="UVM241" s="4"/>
      <c r="UVN241" s="4"/>
      <c r="UVO241" s="4"/>
      <c r="UVP241" s="4"/>
      <c r="UVQ241" s="4"/>
      <c r="UVR241" s="4"/>
      <c r="UVS241" s="4"/>
      <c r="UVT241" s="4"/>
      <c r="UVU241" s="4"/>
      <c r="UVV241" s="4"/>
      <c r="UVW241" s="4"/>
      <c r="UVX241" s="4"/>
      <c r="UVY241" s="4"/>
      <c r="UVZ241" s="4"/>
      <c r="UWA241" s="4"/>
      <c r="UWB241" s="4"/>
      <c r="UWC241" s="4"/>
      <c r="UWD241" s="4"/>
      <c r="UWE241" s="4"/>
      <c r="UWF241" s="4"/>
      <c r="UWG241" s="4"/>
      <c r="UWH241" s="4"/>
      <c r="UWI241" s="4"/>
      <c r="UWJ241" s="4"/>
      <c r="UWK241" s="4"/>
      <c r="UWL241" s="4"/>
      <c r="UWM241" s="4"/>
      <c r="UWN241" s="4"/>
      <c r="UWO241" s="4"/>
      <c r="UWP241" s="4"/>
      <c r="UWQ241" s="4"/>
      <c r="UWR241" s="4"/>
      <c r="UWS241" s="4"/>
      <c r="UWT241" s="4"/>
      <c r="UWU241" s="4"/>
      <c r="UWV241" s="4"/>
      <c r="UWW241" s="4"/>
      <c r="UWX241" s="4"/>
      <c r="UWY241" s="4"/>
      <c r="UWZ241" s="4"/>
      <c r="UXA241" s="4"/>
      <c r="UXB241" s="4"/>
      <c r="UXC241" s="4"/>
      <c r="UXD241" s="4"/>
      <c r="UXE241" s="4"/>
      <c r="UXF241" s="4"/>
      <c r="UXG241" s="4"/>
      <c r="UXH241" s="4"/>
      <c r="UXI241" s="4"/>
      <c r="UXJ241" s="4"/>
      <c r="UXK241" s="4"/>
      <c r="UXL241" s="4"/>
      <c r="UXM241" s="4"/>
      <c r="UXN241" s="4"/>
      <c r="UXO241" s="4"/>
      <c r="UXP241" s="4"/>
      <c r="UXQ241" s="4"/>
      <c r="UXR241" s="4"/>
      <c r="UXS241" s="4"/>
      <c r="UXT241" s="4"/>
      <c r="UXU241" s="4"/>
      <c r="UXV241" s="4"/>
      <c r="UXW241" s="4"/>
      <c r="UXX241" s="4"/>
      <c r="UXY241" s="4"/>
      <c r="UXZ241" s="4"/>
      <c r="UYA241" s="4"/>
      <c r="UYB241" s="4"/>
      <c r="UYC241" s="4"/>
      <c r="UYD241" s="4"/>
      <c r="UYE241" s="4"/>
      <c r="UYF241" s="4"/>
      <c r="UYG241" s="4"/>
      <c r="UYH241" s="4"/>
      <c r="UYI241" s="4"/>
      <c r="UYJ241" s="4"/>
      <c r="UYK241" s="4"/>
      <c r="UYL241" s="4"/>
      <c r="UYM241" s="4"/>
      <c r="UYN241" s="4"/>
      <c r="UYO241" s="4"/>
      <c r="UYP241" s="4"/>
      <c r="UYQ241" s="4"/>
      <c r="UYR241" s="4"/>
      <c r="UYS241" s="4"/>
      <c r="UYT241" s="4"/>
      <c r="UYU241" s="4"/>
      <c r="UYV241" s="4"/>
      <c r="UYW241" s="4"/>
      <c r="UYX241" s="4"/>
      <c r="UYY241" s="4"/>
      <c r="UYZ241" s="4"/>
      <c r="UZA241" s="4"/>
      <c r="UZB241" s="4"/>
      <c r="UZC241" s="4"/>
      <c r="UZD241" s="4"/>
      <c r="UZE241" s="4"/>
      <c r="UZF241" s="4"/>
      <c r="UZG241" s="4"/>
      <c r="UZH241" s="4"/>
      <c r="UZI241" s="4"/>
      <c r="UZJ241" s="4"/>
      <c r="UZK241" s="4"/>
      <c r="UZL241" s="4"/>
      <c r="UZM241" s="4"/>
      <c r="UZN241" s="4"/>
      <c r="UZO241" s="4"/>
      <c r="UZP241" s="4"/>
      <c r="UZQ241" s="4"/>
      <c r="UZR241" s="4"/>
      <c r="UZS241" s="4"/>
      <c r="UZT241" s="4"/>
      <c r="UZU241" s="4"/>
      <c r="UZV241" s="4"/>
      <c r="UZW241" s="4"/>
      <c r="UZX241" s="4"/>
      <c r="UZY241" s="4"/>
      <c r="UZZ241" s="4"/>
      <c r="VAA241" s="4"/>
      <c r="VAB241" s="4"/>
      <c r="VAC241" s="4"/>
      <c r="VAD241" s="4"/>
      <c r="VAE241" s="4"/>
      <c r="VAF241" s="4"/>
      <c r="VAG241" s="4"/>
      <c r="VAH241" s="4"/>
      <c r="VAI241" s="4"/>
      <c r="VAJ241" s="4"/>
      <c r="VAK241" s="4"/>
      <c r="VAL241" s="4"/>
      <c r="VAM241" s="4"/>
      <c r="VAN241" s="4"/>
      <c r="VAO241" s="4"/>
      <c r="VAP241" s="4"/>
      <c r="VAQ241" s="4"/>
      <c r="VAR241" s="4"/>
      <c r="VAS241" s="4"/>
      <c r="VAT241" s="4"/>
      <c r="VAU241" s="4"/>
      <c r="VAV241" s="4"/>
      <c r="VAW241" s="4"/>
      <c r="VAX241" s="4"/>
      <c r="VAY241" s="4"/>
      <c r="VAZ241" s="4"/>
      <c r="VBA241" s="4"/>
      <c r="VBB241" s="4"/>
      <c r="VBC241" s="4"/>
      <c r="VBD241" s="4"/>
      <c r="VBE241" s="4"/>
      <c r="VBF241" s="4"/>
      <c r="VBG241" s="4"/>
      <c r="VBH241" s="4"/>
      <c r="VBI241" s="4"/>
      <c r="VBJ241" s="4"/>
      <c r="VBK241" s="4"/>
      <c r="VBL241" s="4"/>
      <c r="VBM241" s="4"/>
      <c r="VBN241" s="4"/>
      <c r="VBO241" s="4"/>
      <c r="VBP241" s="4"/>
      <c r="VBQ241" s="4"/>
      <c r="VBR241" s="4"/>
      <c r="VBS241" s="4"/>
      <c r="VBT241" s="4"/>
      <c r="VBU241" s="4"/>
      <c r="VBV241" s="4"/>
      <c r="VBW241" s="4"/>
      <c r="VBX241" s="4"/>
      <c r="VBY241" s="4"/>
      <c r="VBZ241" s="4"/>
      <c r="VCA241" s="4"/>
      <c r="VCB241" s="4"/>
      <c r="VCC241" s="4"/>
      <c r="VCD241" s="4"/>
      <c r="VCE241" s="4"/>
      <c r="VCF241" s="4"/>
      <c r="VCG241" s="4"/>
      <c r="VCH241" s="4"/>
      <c r="VCI241" s="4"/>
      <c r="VCJ241" s="4"/>
      <c r="VCK241" s="4"/>
      <c r="VCL241" s="4"/>
      <c r="VCM241" s="4"/>
      <c r="VCN241" s="4"/>
      <c r="VCO241" s="4"/>
      <c r="VCP241" s="4"/>
      <c r="VCQ241" s="4"/>
      <c r="VCR241" s="4"/>
      <c r="VCS241" s="4"/>
      <c r="VCT241" s="4"/>
      <c r="VCU241" s="4"/>
      <c r="VCV241" s="4"/>
      <c r="VCW241" s="4"/>
      <c r="VCX241" s="4"/>
      <c r="VCY241" s="4"/>
      <c r="VCZ241" s="4"/>
      <c r="VDA241" s="4"/>
      <c r="VDB241" s="4"/>
      <c r="VDC241" s="4"/>
      <c r="VDD241" s="4"/>
      <c r="VDE241" s="4"/>
      <c r="VDF241" s="4"/>
      <c r="VDG241" s="4"/>
      <c r="VDH241" s="4"/>
      <c r="VDI241" s="4"/>
      <c r="VDJ241" s="4"/>
      <c r="VDK241" s="4"/>
      <c r="VDL241" s="4"/>
      <c r="VDM241" s="4"/>
      <c r="VDN241" s="4"/>
      <c r="VDO241" s="4"/>
      <c r="VDP241" s="4"/>
      <c r="VDQ241" s="4"/>
      <c r="VDR241" s="4"/>
      <c r="VDS241" s="4"/>
      <c r="VDT241" s="4"/>
      <c r="VDU241" s="4"/>
      <c r="VDV241" s="4"/>
      <c r="VDW241" s="4"/>
      <c r="VDX241" s="4"/>
      <c r="VDY241" s="4"/>
      <c r="VDZ241" s="4"/>
      <c r="VEA241" s="4"/>
      <c r="VEB241" s="4"/>
      <c r="VEC241" s="4"/>
      <c r="VED241" s="4"/>
      <c r="VEE241" s="4"/>
      <c r="VEF241" s="4"/>
      <c r="VEG241" s="4"/>
      <c r="VEH241" s="4"/>
      <c r="VEI241" s="4"/>
      <c r="VEJ241" s="4"/>
      <c r="VEK241" s="4"/>
      <c r="VEL241" s="4"/>
      <c r="VEM241" s="4"/>
      <c r="VEN241" s="4"/>
      <c r="VEO241" s="4"/>
      <c r="VEP241" s="4"/>
      <c r="VEQ241" s="4"/>
      <c r="VER241" s="4"/>
      <c r="VES241" s="4"/>
      <c r="VET241" s="4"/>
      <c r="VEU241" s="4"/>
      <c r="VEV241" s="4"/>
      <c r="VEW241" s="4"/>
      <c r="VEX241" s="4"/>
      <c r="VEY241" s="4"/>
      <c r="VEZ241" s="4"/>
      <c r="VFA241" s="4"/>
      <c r="VFB241" s="4"/>
      <c r="VFC241" s="4"/>
      <c r="VFD241" s="4"/>
      <c r="VFE241" s="4"/>
      <c r="VFF241" s="4"/>
      <c r="VFG241" s="4"/>
      <c r="VFH241" s="4"/>
      <c r="VFI241" s="4"/>
      <c r="VFJ241" s="4"/>
      <c r="VFK241" s="4"/>
      <c r="VFL241" s="4"/>
      <c r="VFM241" s="4"/>
      <c r="VFN241" s="4"/>
      <c r="VFO241" s="4"/>
      <c r="VFP241" s="4"/>
      <c r="VFQ241" s="4"/>
      <c r="VFR241" s="4"/>
      <c r="VFS241" s="4"/>
      <c r="VFT241" s="4"/>
      <c r="VFU241" s="4"/>
      <c r="VFV241" s="4"/>
      <c r="VFW241" s="4"/>
      <c r="VFX241" s="4"/>
      <c r="VFY241" s="4"/>
      <c r="VFZ241" s="4"/>
      <c r="VGA241" s="4"/>
      <c r="VGB241" s="4"/>
      <c r="VGC241" s="4"/>
      <c r="VGD241" s="4"/>
      <c r="VGE241" s="4"/>
      <c r="VGF241" s="4"/>
      <c r="VGG241" s="4"/>
      <c r="VGH241" s="4"/>
      <c r="VGI241" s="4"/>
      <c r="VGJ241" s="4"/>
      <c r="VGK241" s="4"/>
      <c r="VGL241" s="4"/>
      <c r="VGM241" s="4"/>
      <c r="VGN241" s="4"/>
      <c r="VGO241" s="4"/>
      <c r="VGP241" s="4"/>
      <c r="VGQ241" s="4"/>
      <c r="VGR241" s="4"/>
      <c r="VGS241" s="4"/>
      <c r="VGT241" s="4"/>
      <c r="VGU241" s="4"/>
      <c r="VGV241" s="4"/>
      <c r="VGW241" s="4"/>
      <c r="VGX241" s="4"/>
      <c r="VGY241" s="4"/>
      <c r="VGZ241" s="4"/>
      <c r="VHA241" s="4"/>
      <c r="VHB241" s="4"/>
      <c r="VHC241" s="4"/>
      <c r="VHD241" s="4"/>
      <c r="VHE241" s="4"/>
      <c r="VHF241" s="4"/>
      <c r="VHG241" s="4"/>
      <c r="VHH241" s="4"/>
      <c r="VHI241" s="4"/>
      <c r="VHJ241" s="4"/>
      <c r="VHK241" s="4"/>
      <c r="VHL241" s="4"/>
      <c r="VHM241" s="4"/>
      <c r="VHN241" s="4"/>
      <c r="VHO241" s="4"/>
      <c r="VHP241" s="4"/>
      <c r="VHQ241" s="4"/>
      <c r="VHR241" s="4"/>
      <c r="VHS241" s="4"/>
      <c r="VHT241" s="4"/>
      <c r="VHU241" s="4"/>
      <c r="VHV241" s="4"/>
      <c r="VHW241" s="4"/>
      <c r="VHX241" s="4"/>
      <c r="VHY241" s="4"/>
      <c r="VHZ241" s="4"/>
      <c r="VIA241" s="4"/>
      <c r="VIB241" s="4"/>
      <c r="VIC241" s="4"/>
      <c r="VID241" s="4"/>
      <c r="VIE241" s="4"/>
      <c r="VIF241" s="4"/>
      <c r="VIG241" s="4"/>
      <c r="VIH241" s="4"/>
      <c r="VII241" s="4"/>
      <c r="VIJ241" s="4"/>
      <c r="VIK241" s="4"/>
      <c r="VIL241" s="4"/>
      <c r="VIM241" s="4"/>
      <c r="VIN241" s="4"/>
      <c r="VIO241" s="4"/>
      <c r="VIP241" s="4"/>
      <c r="VIQ241" s="4"/>
      <c r="VIR241" s="4"/>
      <c r="VIS241" s="4"/>
      <c r="VIT241" s="4"/>
      <c r="VIU241" s="4"/>
      <c r="VIV241" s="4"/>
      <c r="VIW241" s="4"/>
      <c r="VIX241" s="4"/>
      <c r="VIY241" s="4"/>
      <c r="VIZ241" s="4"/>
      <c r="VJA241" s="4"/>
      <c r="VJB241" s="4"/>
      <c r="VJC241" s="4"/>
      <c r="VJD241" s="4"/>
      <c r="VJE241" s="4"/>
      <c r="VJF241" s="4"/>
      <c r="VJG241" s="4"/>
      <c r="VJH241" s="4"/>
      <c r="VJI241" s="4"/>
      <c r="VJJ241" s="4"/>
      <c r="VJK241" s="4"/>
      <c r="VJL241" s="4"/>
      <c r="VJM241" s="4"/>
      <c r="VJN241" s="4"/>
      <c r="VJO241" s="4"/>
      <c r="VJP241" s="4"/>
      <c r="VJQ241" s="4"/>
      <c r="VJR241" s="4"/>
      <c r="VJS241" s="4"/>
      <c r="VJT241" s="4"/>
      <c r="VJU241" s="4"/>
      <c r="VJV241" s="4"/>
      <c r="VJW241" s="4"/>
      <c r="VJX241" s="4"/>
      <c r="VJY241" s="4"/>
      <c r="VJZ241" s="4"/>
      <c r="VKA241" s="4"/>
      <c r="VKB241" s="4"/>
      <c r="VKC241" s="4"/>
      <c r="VKD241" s="4"/>
      <c r="VKE241" s="4"/>
      <c r="VKF241" s="4"/>
      <c r="VKG241" s="4"/>
      <c r="VKH241" s="4"/>
      <c r="VKI241" s="4"/>
      <c r="VKJ241" s="4"/>
      <c r="VKK241" s="4"/>
      <c r="VKL241" s="4"/>
      <c r="VKM241" s="4"/>
      <c r="VKN241" s="4"/>
      <c r="VKO241" s="4"/>
      <c r="VKP241" s="4"/>
      <c r="VKQ241" s="4"/>
      <c r="VKR241" s="4"/>
      <c r="VKS241" s="4"/>
      <c r="VKT241" s="4"/>
      <c r="VKU241" s="4"/>
      <c r="VKV241" s="4"/>
      <c r="VKW241" s="4"/>
      <c r="VKX241" s="4"/>
      <c r="VKY241" s="4"/>
      <c r="VKZ241" s="4"/>
      <c r="VLA241" s="4"/>
      <c r="VLB241" s="4"/>
      <c r="VLC241" s="4"/>
      <c r="VLD241" s="4"/>
      <c r="VLE241" s="4"/>
      <c r="VLF241" s="4"/>
      <c r="VLG241" s="4"/>
      <c r="VLH241" s="4"/>
      <c r="VLI241" s="4"/>
      <c r="VLJ241" s="4"/>
      <c r="VLK241" s="4"/>
      <c r="VLL241" s="4"/>
      <c r="VLM241" s="4"/>
      <c r="VLN241" s="4"/>
      <c r="VLO241" s="4"/>
      <c r="VLP241" s="4"/>
      <c r="VLQ241" s="4"/>
      <c r="VLR241" s="4"/>
      <c r="VLS241" s="4"/>
      <c r="VLT241" s="4"/>
      <c r="VLU241" s="4"/>
      <c r="VLV241" s="4"/>
      <c r="VLW241" s="4"/>
      <c r="VLX241" s="4"/>
      <c r="VLY241" s="4"/>
      <c r="VLZ241" s="4"/>
      <c r="VMA241" s="4"/>
      <c r="VMB241" s="4"/>
      <c r="VMC241" s="4"/>
      <c r="VMD241" s="4"/>
      <c r="VME241" s="4"/>
      <c r="VMF241" s="4"/>
      <c r="VMG241" s="4"/>
      <c r="VMH241" s="4"/>
      <c r="VMI241" s="4"/>
      <c r="VMJ241" s="4"/>
      <c r="VMK241" s="4"/>
      <c r="VML241" s="4"/>
      <c r="VMM241" s="4"/>
      <c r="VMN241" s="4"/>
      <c r="VMO241" s="4"/>
      <c r="VMP241" s="4"/>
      <c r="VMQ241" s="4"/>
      <c r="VMR241" s="4"/>
      <c r="VMS241" s="4"/>
      <c r="VMT241" s="4"/>
      <c r="VMU241" s="4"/>
      <c r="VMV241" s="4"/>
      <c r="VMW241" s="4"/>
      <c r="VMX241" s="4"/>
      <c r="VMY241" s="4"/>
      <c r="VMZ241" s="4"/>
      <c r="VNA241" s="4"/>
      <c r="VNB241" s="4"/>
      <c r="VNC241" s="4"/>
      <c r="VND241" s="4"/>
      <c r="VNE241" s="4"/>
      <c r="VNF241" s="4"/>
      <c r="VNG241" s="4"/>
      <c r="VNH241" s="4"/>
      <c r="VNI241" s="4"/>
      <c r="VNJ241" s="4"/>
      <c r="VNK241" s="4"/>
      <c r="VNL241" s="4"/>
      <c r="VNM241" s="4"/>
      <c r="VNN241" s="4"/>
      <c r="VNO241" s="4"/>
      <c r="VNP241" s="4"/>
      <c r="VNQ241" s="4"/>
      <c r="VNR241" s="4"/>
      <c r="VNS241" s="4"/>
      <c r="VNT241" s="4"/>
      <c r="VNU241" s="4"/>
      <c r="VNV241" s="4"/>
      <c r="VNW241" s="4"/>
      <c r="VNX241" s="4"/>
      <c r="VNY241" s="4"/>
      <c r="VNZ241" s="4"/>
      <c r="VOA241" s="4"/>
      <c r="VOB241" s="4"/>
      <c r="VOC241" s="4"/>
      <c r="VOD241" s="4"/>
      <c r="VOE241" s="4"/>
      <c r="VOF241" s="4"/>
      <c r="VOG241" s="4"/>
      <c r="VOH241" s="4"/>
      <c r="VOI241" s="4"/>
      <c r="VOJ241" s="4"/>
      <c r="VOK241" s="4"/>
      <c r="VOL241" s="4"/>
      <c r="VOM241" s="4"/>
      <c r="VON241" s="4"/>
      <c r="VOO241" s="4"/>
      <c r="VOP241" s="4"/>
      <c r="VOQ241" s="4"/>
      <c r="VOR241" s="4"/>
      <c r="VOS241" s="4"/>
      <c r="VOT241" s="4"/>
      <c r="VOU241" s="4"/>
      <c r="VOV241" s="4"/>
      <c r="VOW241" s="4"/>
      <c r="VOX241" s="4"/>
      <c r="VOY241" s="4"/>
      <c r="VOZ241" s="4"/>
      <c r="VPA241" s="4"/>
      <c r="VPB241" s="4"/>
      <c r="VPC241" s="4"/>
      <c r="VPD241" s="4"/>
      <c r="VPE241" s="4"/>
      <c r="VPF241" s="4"/>
      <c r="VPG241" s="4"/>
      <c r="VPH241" s="4"/>
      <c r="VPI241" s="4"/>
      <c r="VPJ241" s="4"/>
      <c r="VPK241" s="4"/>
      <c r="VPL241" s="4"/>
      <c r="VPM241" s="4"/>
      <c r="VPN241" s="4"/>
      <c r="VPO241" s="4"/>
      <c r="VPP241" s="4"/>
      <c r="VPQ241" s="4"/>
      <c r="VPR241" s="4"/>
      <c r="VPS241" s="4"/>
      <c r="VPT241" s="4"/>
      <c r="VPU241" s="4"/>
      <c r="VPV241" s="4"/>
      <c r="VPW241" s="4"/>
      <c r="VPX241" s="4"/>
      <c r="VPY241" s="4"/>
      <c r="VPZ241" s="4"/>
      <c r="VQA241" s="4"/>
      <c r="VQB241" s="4"/>
      <c r="VQC241" s="4"/>
      <c r="VQD241" s="4"/>
      <c r="VQE241" s="4"/>
      <c r="VQF241" s="4"/>
      <c r="VQG241" s="4"/>
      <c r="VQH241" s="4"/>
      <c r="VQI241" s="4"/>
      <c r="VQJ241" s="4"/>
      <c r="VQK241" s="4"/>
      <c r="VQL241" s="4"/>
      <c r="VQM241" s="4"/>
      <c r="VQN241" s="4"/>
      <c r="VQO241" s="4"/>
      <c r="VQP241" s="4"/>
      <c r="VQQ241" s="4"/>
      <c r="VQR241" s="4"/>
      <c r="VQS241" s="4"/>
      <c r="VQT241" s="4"/>
      <c r="VQU241" s="4"/>
      <c r="VQV241" s="4"/>
      <c r="VQW241" s="4"/>
      <c r="VQX241" s="4"/>
      <c r="VQY241" s="4"/>
      <c r="VQZ241" s="4"/>
      <c r="VRA241" s="4"/>
      <c r="VRB241" s="4"/>
      <c r="VRC241" s="4"/>
      <c r="VRD241" s="4"/>
      <c r="VRE241" s="4"/>
      <c r="VRF241" s="4"/>
      <c r="VRG241" s="4"/>
      <c r="VRH241" s="4"/>
      <c r="VRI241" s="4"/>
      <c r="VRJ241" s="4"/>
      <c r="VRK241" s="4"/>
      <c r="VRL241" s="4"/>
      <c r="VRM241" s="4"/>
      <c r="VRN241" s="4"/>
      <c r="VRO241" s="4"/>
      <c r="VRP241" s="4"/>
      <c r="VRQ241" s="4"/>
      <c r="VRR241" s="4"/>
      <c r="VRS241" s="4"/>
      <c r="VRT241" s="4"/>
      <c r="VRU241" s="4"/>
      <c r="VRV241" s="4"/>
      <c r="VRW241" s="4"/>
      <c r="VRX241" s="4"/>
      <c r="VRY241" s="4"/>
      <c r="VRZ241" s="4"/>
      <c r="VSA241" s="4"/>
      <c r="VSB241" s="4"/>
      <c r="VSC241" s="4"/>
      <c r="VSD241" s="4"/>
      <c r="VSE241" s="4"/>
      <c r="VSF241" s="4"/>
      <c r="VSG241" s="4"/>
      <c r="VSH241" s="4"/>
      <c r="VSI241" s="4"/>
      <c r="VSJ241" s="4"/>
      <c r="VSK241" s="4"/>
      <c r="VSL241" s="4"/>
      <c r="VSM241" s="4"/>
      <c r="VSN241" s="4"/>
      <c r="VSO241" s="4"/>
      <c r="VSP241" s="4"/>
      <c r="VSQ241" s="4"/>
      <c r="VSR241" s="4"/>
      <c r="VSS241" s="4"/>
      <c r="VST241" s="4"/>
      <c r="VSU241" s="4"/>
      <c r="VSV241" s="4"/>
      <c r="VSW241" s="4"/>
      <c r="VSX241" s="4"/>
      <c r="VSY241" s="4"/>
      <c r="VSZ241" s="4"/>
      <c r="VTA241" s="4"/>
      <c r="VTB241" s="4"/>
      <c r="VTC241" s="4"/>
      <c r="VTD241" s="4"/>
      <c r="VTE241" s="4"/>
      <c r="VTF241" s="4"/>
      <c r="VTG241" s="4"/>
      <c r="VTH241" s="4"/>
      <c r="VTI241" s="4"/>
      <c r="VTJ241" s="4"/>
      <c r="VTK241" s="4"/>
      <c r="VTL241" s="4"/>
      <c r="VTM241" s="4"/>
      <c r="VTN241" s="4"/>
      <c r="VTO241" s="4"/>
      <c r="VTP241" s="4"/>
      <c r="VTQ241" s="4"/>
      <c r="VTR241" s="4"/>
      <c r="VTS241" s="4"/>
      <c r="VTT241" s="4"/>
      <c r="VTU241" s="4"/>
      <c r="VTV241" s="4"/>
      <c r="VTW241" s="4"/>
      <c r="VTX241" s="4"/>
      <c r="VTY241" s="4"/>
      <c r="VTZ241" s="4"/>
      <c r="VUA241" s="4"/>
      <c r="VUB241" s="4"/>
      <c r="VUC241" s="4"/>
      <c r="VUD241" s="4"/>
      <c r="VUE241" s="4"/>
      <c r="VUF241" s="4"/>
      <c r="VUG241" s="4"/>
      <c r="VUH241" s="4"/>
      <c r="VUI241" s="4"/>
      <c r="VUJ241" s="4"/>
      <c r="VUK241" s="4"/>
      <c r="VUL241" s="4"/>
      <c r="VUM241" s="4"/>
      <c r="VUN241" s="4"/>
      <c r="VUO241" s="4"/>
      <c r="VUP241" s="4"/>
      <c r="VUQ241" s="4"/>
      <c r="VUR241" s="4"/>
      <c r="VUS241" s="4"/>
      <c r="VUT241" s="4"/>
      <c r="VUU241" s="4"/>
      <c r="VUV241" s="4"/>
      <c r="VUW241" s="4"/>
      <c r="VUX241" s="4"/>
      <c r="VUY241" s="4"/>
      <c r="VUZ241" s="4"/>
      <c r="VVA241" s="4"/>
      <c r="VVB241" s="4"/>
      <c r="VVC241" s="4"/>
      <c r="VVD241" s="4"/>
      <c r="VVE241" s="4"/>
      <c r="VVF241" s="4"/>
      <c r="VVG241" s="4"/>
      <c r="VVH241" s="4"/>
      <c r="VVI241" s="4"/>
      <c r="VVJ241" s="4"/>
      <c r="VVK241" s="4"/>
      <c r="VVL241" s="4"/>
      <c r="VVM241" s="4"/>
      <c r="VVN241" s="4"/>
      <c r="VVO241" s="4"/>
      <c r="VVP241" s="4"/>
      <c r="VVQ241" s="4"/>
      <c r="VVR241" s="4"/>
      <c r="VVS241" s="4"/>
      <c r="VVT241" s="4"/>
      <c r="VVU241" s="4"/>
      <c r="VVV241" s="4"/>
      <c r="VVW241" s="4"/>
      <c r="VVX241" s="4"/>
      <c r="VVY241" s="4"/>
      <c r="VVZ241" s="4"/>
      <c r="VWA241" s="4"/>
      <c r="VWB241" s="4"/>
      <c r="VWC241" s="4"/>
      <c r="VWD241" s="4"/>
      <c r="VWE241" s="4"/>
      <c r="VWF241" s="4"/>
      <c r="VWG241" s="4"/>
      <c r="VWH241" s="4"/>
      <c r="VWI241" s="4"/>
      <c r="VWJ241" s="4"/>
      <c r="VWK241" s="4"/>
      <c r="VWL241" s="4"/>
      <c r="VWM241" s="4"/>
      <c r="VWN241" s="4"/>
      <c r="VWO241" s="4"/>
      <c r="VWP241" s="4"/>
      <c r="VWQ241" s="4"/>
      <c r="VWR241" s="4"/>
      <c r="VWS241" s="4"/>
      <c r="VWT241" s="4"/>
      <c r="VWU241" s="4"/>
      <c r="VWV241" s="4"/>
      <c r="VWW241" s="4"/>
      <c r="VWX241" s="4"/>
      <c r="VWY241" s="4"/>
      <c r="VWZ241" s="4"/>
      <c r="VXA241" s="4"/>
      <c r="VXB241" s="4"/>
      <c r="VXC241" s="4"/>
      <c r="VXD241" s="4"/>
      <c r="VXE241" s="4"/>
      <c r="VXF241" s="4"/>
      <c r="VXG241" s="4"/>
      <c r="VXH241" s="4"/>
      <c r="VXI241" s="4"/>
      <c r="VXJ241" s="4"/>
      <c r="VXK241" s="4"/>
      <c r="VXL241" s="4"/>
      <c r="VXM241" s="4"/>
      <c r="VXN241" s="4"/>
      <c r="VXO241" s="4"/>
      <c r="VXP241" s="4"/>
      <c r="VXQ241" s="4"/>
      <c r="VXR241" s="4"/>
      <c r="VXS241" s="4"/>
      <c r="VXT241" s="4"/>
      <c r="VXU241" s="4"/>
      <c r="VXV241" s="4"/>
      <c r="VXW241" s="4"/>
      <c r="VXX241" s="4"/>
      <c r="VXY241" s="4"/>
      <c r="VXZ241" s="4"/>
      <c r="VYA241" s="4"/>
      <c r="VYB241" s="4"/>
      <c r="VYC241" s="4"/>
      <c r="VYD241" s="4"/>
      <c r="VYE241" s="4"/>
      <c r="VYF241" s="4"/>
      <c r="VYG241" s="4"/>
      <c r="VYH241" s="4"/>
      <c r="VYI241" s="4"/>
      <c r="VYJ241" s="4"/>
      <c r="VYK241" s="4"/>
      <c r="VYL241" s="4"/>
      <c r="VYM241" s="4"/>
      <c r="VYN241" s="4"/>
      <c r="VYO241" s="4"/>
      <c r="VYP241" s="4"/>
      <c r="VYQ241" s="4"/>
      <c r="VYR241" s="4"/>
      <c r="VYS241" s="4"/>
      <c r="VYT241" s="4"/>
      <c r="VYU241" s="4"/>
      <c r="VYV241" s="4"/>
      <c r="VYW241" s="4"/>
      <c r="VYX241" s="4"/>
      <c r="VYY241" s="4"/>
      <c r="VYZ241" s="4"/>
      <c r="VZA241" s="4"/>
      <c r="VZB241" s="4"/>
      <c r="VZC241" s="4"/>
      <c r="VZD241" s="4"/>
      <c r="VZE241" s="4"/>
      <c r="VZF241" s="4"/>
      <c r="VZG241" s="4"/>
      <c r="VZH241" s="4"/>
      <c r="VZI241" s="4"/>
      <c r="VZJ241" s="4"/>
      <c r="VZK241" s="4"/>
      <c r="VZL241" s="4"/>
      <c r="VZM241" s="4"/>
      <c r="VZN241" s="4"/>
      <c r="VZO241" s="4"/>
      <c r="VZP241" s="4"/>
      <c r="VZQ241" s="4"/>
      <c r="VZR241" s="4"/>
      <c r="VZS241" s="4"/>
      <c r="VZT241" s="4"/>
      <c r="VZU241" s="4"/>
      <c r="VZV241" s="4"/>
      <c r="VZW241" s="4"/>
      <c r="VZX241" s="4"/>
      <c r="VZY241" s="4"/>
      <c r="VZZ241" s="4"/>
      <c r="WAA241" s="4"/>
      <c r="WAB241" s="4"/>
      <c r="WAC241" s="4"/>
      <c r="WAD241" s="4"/>
      <c r="WAE241" s="4"/>
      <c r="WAF241" s="4"/>
      <c r="WAG241" s="4"/>
      <c r="WAH241" s="4"/>
      <c r="WAI241" s="4"/>
      <c r="WAJ241" s="4"/>
      <c r="WAK241" s="4"/>
      <c r="WAL241" s="4"/>
      <c r="WAM241" s="4"/>
      <c r="WAN241" s="4"/>
      <c r="WAO241" s="4"/>
      <c r="WAP241" s="4"/>
      <c r="WAQ241" s="4"/>
      <c r="WAR241" s="4"/>
      <c r="WAS241" s="4"/>
      <c r="WAT241" s="4"/>
      <c r="WAU241" s="4"/>
      <c r="WAV241" s="4"/>
      <c r="WAW241" s="4"/>
      <c r="WAX241" s="4"/>
      <c r="WAY241" s="4"/>
      <c r="WAZ241" s="4"/>
      <c r="WBA241" s="4"/>
      <c r="WBB241" s="4"/>
      <c r="WBC241" s="4"/>
      <c r="WBD241" s="4"/>
      <c r="WBE241" s="4"/>
      <c r="WBF241" s="4"/>
      <c r="WBG241" s="4"/>
      <c r="WBH241" s="4"/>
      <c r="WBI241" s="4"/>
      <c r="WBJ241" s="4"/>
      <c r="WBK241" s="4"/>
      <c r="WBL241" s="4"/>
      <c r="WBM241" s="4"/>
      <c r="WBN241" s="4"/>
      <c r="WBO241" s="4"/>
      <c r="WBP241" s="4"/>
      <c r="WBQ241" s="4"/>
      <c r="WBR241" s="4"/>
      <c r="WBS241" s="4"/>
      <c r="WBT241" s="4"/>
      <c r="WBU241" s="4"/>
      <c r="WBV241" s="4"/>
      <c r="WBW241" s="4"/>
      <c r="WBX241" s="4"/>
      <c r="WBY241" s="4"/>
      <c r="WBZ241" s="4"/>
      <c r="WCA241" s="4"/>
      <c r="WCB241" s="4"/>
      <c r="WCC241" s="4"/>
      <c r="WCD241" s="4"/>
      <c r="WCE241" s="4"/>
      <c r="WCF241" s="4"/>
      <c r="WCG241" s="4"/>
      <c r="WCH241" s="4"/>
      <c r="WCI241" s="4"/>
      <c r="WCJ241" s="4"/>
      <c r="WCK241" s="4"/>
      <c r="WCL241" s="4"/>
      <c r="WCM241" s="4"/>
      <c r="WCN241" s="4"/>
      <c r="WCO241" s="4"/>
      <c r="WCP241" s="4"/>
      <c r="WCQ241" s="4"/>
      <c r="WCR241" s="4"/>
      <c r="WCS241" s="4"/>
      <c r="WCT241" s="4"/>
      <c r="WCU241" s="4"/>
      <c r="WCV241" s="4"/>
      <c r="WCW241" s="4"/>
      <c r="WCX241" s="4"/>
      <c r="WCY241" s="4"/>
      <c r="WCZ241" s="4"/>
      <c r="WDA241" s="4"/>
      <c r="WDB241" s="4"/>
      <c r="WDC241" s="4"/>
      <c r="WDD241" s="4"/>
      <c r="WDE241" s="4"/>
      <c r="WDF241" s="4"/>
      <c r="WDG241" s="4"/>
      <c r="WDH241" s="4"/>
      <c r="WDI241" s="4"/>
      <c r="WDJ241" s="4"/>
      <c r="WDK241" s="4"/>
      <c r="WDL241" s="4"/>
      <c r="WDM241" s="4"/>
      <c r="WDN241" s="4"/>
      <c r="WDO241" s="4"/>
      <c r="WDP241" s="4"/>
      <c r="WDQ241" s="4"/>
      <c r="WDR241" s="4"/>
      <c r="WDS241" s="4"/>
      <c r="WDT241" s="4"/>
      <c r="WDU241" s="4"/>
      <c r="WDV241" s="4"/>
      <c r="WDW241" s="4"/>
      <c r="WDX241" s="4"/>
      <c r="WDY241" s="4"/>
      <c r="WDZ241" s="4"/>
      <c r="WEA241" s="4"/>
      <c r="WEB241" s="4"/>
      <c r="WEC241" s="4"/>
      <c r="WED241" s="4"/>
      <c r="WEE241" s="4"/>
      <c r="WEF241" s="4"/>
      <c r="WEG241" s="4"/>
      <c r="WEH241" s="4"/>
      <c r="WEI241" s="4"/>
      <c r="WEJ241" s="4"/>
      <c r="WEK241" s="4"/>
      <c r="WEL241" s="4"/>
      <c r="WEM241" s="4"/>
      <c r="WEN241" s="4"/>
      <c r="WEO241" s="4"/>
      <c r="WEP241" s="4"/>
      <c r="WEQ241" s="4"/>
      <c r="WER241" s="4"/>
      <c r="WES241" s="4"/>
      <c r="WET241" s="4"/>
      <c r="WEU241" s="4"/>
      <c r="WEV241" s="4"/>
      <c r="WEW241" s="4"/>
      <c r="WEX241" s="4"/>
      <c r="WEY241" s="4"/>
      <c r="WEZ241" s="4"/>
      <c r="WFA241" s="4"/>
      <c r="WFB241" s="4"/>
      <c r="WFC241" s="4"/>
      <c r="WFD241" s="4"/>
      <c r="WFE241" s="4"/>
      <c r="WFF241" s="4"/>
      <c r="WFG241" s="4"/>
      <c r="WFH241" s="4"/>
      <c r="WFI241" s="4"/>
      <c r="WFJ241" s="4"/>
      <c r="WFK241" s="4"/>
      <c r="WFL241" s="4"/>
      <c r="WFM241" s="4"/>
      <c r="WFN241" s="4"/>
      <c r="WFO241" s="4"/>
      <c r="WFP241" s="4"/>
      <c r="WFQ241" s="4"/>
      <c r="WFR241" s="4"/>
      <c r="WFS241" s="4"/>
      <c r="WFT241" s="4"/>
      <c r="WFU241" s="4"/>
      <c r="WFV241" s="4"/>
      <c r="WFW241" s="4"/>
      <c r="WFX241" s="4"/>
      <c r="WFY241" s="4"/>
      <c r="WFZ241" s="4"/>
      <c r="WGA241" s="4"/>
      <c r="WGB241" s="4"/>
      <c r="WGC241" s="4"/>
      <c r="WGD241" s="4"/>
      <c r="WGE241" s="4"/>
      <c r="WGF241" s="4"/>
      <c r="WGG241" s="4"/>
      <c r="WGH241" s="4"/>
      <c r="WGI241" s="4"/>
      <c r="WGJ241" s="4"/>
      <c r="WGK241" s="4"/>
      <c r="WGL241" s="4"/>
      <c r="WGM241" s="4"/>
      <c r="WGN241" s="4"/>
      <c r="WGO241" s="4"/>
      <c r="WGP241" s="4"/>
      <c r="WGQ241" s="4"/>
      <c r="WGR241" s="4"/>
      <c r="WGS241" s="4"/>
      <c r="WGT241" s="4"/>
      <c r="WGU241" s="4"/>
      <c r="WGV241" s="4"/>
      <c r="WGW241" s="4"/>
      <c r="WGX241" s="4"/>
      <c r="WGY241" s="4"/>
      <c r="WGZ241" s="4"/>
      <c r="WHA241" s="4"/>
      <c r="WHB241" s="4"/>
      <c r="WHC241" s="4"/>
      <c r="WHD241" s="4"/>
      <c r="WHE241" s="4"/>
      <c r="WHF241" s="4"/>
      <c r="WHG241" s="4"/>
      <c r="WHH241" s="4"/>
      <c r="WHI241" s="4"/>
      <c r="WHJ241" s="4"/>
      <c r="WHK241" s="4"/>
      <c r="WHL241" s="4"/>
      <c r="WHM241" s="4"/>
      <c r="WHN241" s="4"/>
      <c r="WHO241" s="4"/>
      <c r="WHP241" s="4"/>
      <c r="WHQ241" s="4"/>
      <c r="WHR241" s="4"/>
      <c r="WHS241" s="4"/>
      <c r="WHT241" s="4"/>
      <c r="WHU241" s="4"/>
      <c r="WHV241" s="4"/>
      <c r="WHW241" s="4"/>
      <c r="WHX241" s="4"/>
      <c r="WHY241" s="4"/>
      <c r="WHZ241" s="4"/>
      <c r="WIA241" s="4"/>
      <c r="WIB241" s="4"/>
      <c r="WIC241" s="4"/>
      <c r="WID241" s="4"/>
      <c r="WIE241" s="4"/>
      <c r="WIF241" s="4"/>
      <c r="WIG241" s="4"/>
      <c r="WIH241" s="4"/>
      <c r="WII241" s="4"/>
      <c r="WIJ241" s="4"/>
      <c r="WIK241" s="4"/>
      <c r="WIL241" s="4"/>
      <c r="WIM241" s="4"/>
      <c r="WIN241" s="4"/>
      <c r="WIO241" s="4"/>
      <c r="WIP241" s="4"/>
      <c r="WIQ241" s="4"/>
      <c r="WIR241" s="4"/>
      <c r="WIS241" s="4"/>
      <c r="WIT241" s="4"/>
      <c r="WIU241" s="4"/>
      <c r="WIV241" s="4"/>
      <c r="WIW241" s="4"/>
      <c r="WIX241" s="4"/>
      <c r="WIY241" s="4"/>
      <c r="WIZ241" s="4"/>
      <c r="WJA241" s="4"/>
      <c r="WJB241" s="4"/>
      <c r="WJC241" s="4"/>
      <c r="WJD241" s="4"/>
      <c r="WJE241" s="4"/>
      <c r="WJF241" s="4"/>
      <c r="WJG241" s="4"/>
      <c r="WJH241" s="4"/>
      <c r="WJI241" s="4"/>
      <c r="WJJ241" s="4"/>
      <c r="WJK241" s="4"/>
      <c r="WJL241" s="4"/>
      <c r="WJM241" s="4"/>
      <c r="WJN241" s="4"/>
      <c r="WJO241" s="4"/>
      <c r="WJP241" s="4"/>
      <c r="WJQ241" s="4"/>
      <c r="WJR241" s="4"/>
      <c r="WJS241" s="4"/>
      <c r="WJT241" s="4"/>
      <c r="WJU241" s="4"/>
      <c r="WJV241" s="4"/>
      <c r="WJW241" s="4"/>
      <c r="WJX241" s="4"/>
      <c r="WJY241" s="4"/>
      <c r="WJZ241" s="4"/>
      <c r="WKA241" s="4"/>
      <c r="WKB241" s="4"/>
      <c r="WKC241" s="4"/>
      <c r="WKD241" s="4"/>
      <c r="WKE241" s="4"/>
      <c r="WKF241" s="4"/>
      <c r="WKG241" s="4"/>
      <c r="WKH241" s="4"/>
      <c r="WKI241" s="4"/>
      <c r="WKJ241" s="4"/>
      <c r="WKK241" s="4"/>
      <c r="WKL241" s="4"/>
      <c r="WKM241" s="4"/>
      <c r="WKN241" s="4"/>
      <c r="WKO241" s="4"/>
      <c r="WKP241" s="4"/>
      <c r="WKQ241" s="4"/>
      <c r="WKR241" s="4"/>
      <c r="WKS241" s="4"/>
      <c r="WKT241" s="4"/>
      <c r="WKU241" s="4"/>
      <c r="WKV241" s="4"/>
      <c r="WKW241" s="4"/>
      <c r="WKX241" s="4"/>
      <c r="WKY241" s="4"/>
      <c r="WKZ241" s="4"/>
      <c r="WLA241" s="4"/>
      <c r="WLB241" s="4"/>
      <c r="WLC241" s="4"/>
      <c r="WLD241" s="4"/>
      <c r="WLE241" s="4"/>
      <c r="WLF241" s="4"/>
      <c r="WLG241" s="4"/>
      <c r="WLH241" s="4"/>
      <c r="WLI241" s="4"/>
      <c r="WLJ241" s="4"/>
      <c r="WLK241" s="4"/>
      <c r="WLL241" s="4"/>
      <c r="WLM241" s="4"/>
      <c r="WLN241" s="4"/>
      <c r="WLO241" s="4"/>
      <c r="WLP241" s="4"/>
      <c r="WLQ241" s="4"/>
      <c r="WLR241" s="4"/>
      <c r="WLS241" s="4"/>
      <c r="WLT241" s="4"/>
      <c r="WLU241" s="4"/>
      <c r="WLV241" s="4"/>
      <c r="WLW241" s="4"/>
      <c r="WLX241" s="4"/>
      <c r="WLY241" s="4"/>
      <c r="WLZ241" s="4"/>
      <c r="WMA241" s="4"/>
      <c r="WMB241" s="4"/>
      <c r="WMC241" s="4"/>
      <c r="WMD241" s="4"/>
      <c r="WME241" s="4"/>
      <c r="WMF241" s="4"/>
      <c r="WMG241" s="4"/>
      <c r="WMH241" s="4"/>
      <c r="WMI241" s="4"/>
      <c r="WMJ241" s="4"/>
      <c r="WMK241" s="4"/>
      <c r="WML241" s="4"/>
      <c r="WMM241" s="4"/>
      <c r="WMN241" s="4"/>
      <c r="WMO241" s="4"/>
      <c r="WMP241" s="4"/>
      <c r="WMQ241" s="4"/>
      <c r="WMR241" s="4"/>
      <c r="WMS241" s="4"/>
      <c r="WMT241" s="4"/>
      <c r="WMU241" s="4"/>
      <c r="WMV241" s="4"/>
      <c r="WMW241" s="4"/>
      <c r="WMX241" s="4"/>
      <c r="WMY241" s="4"/>
      <c r="WMZ241" s="4"/>
      <c r="WNA241" s="4"/>
      <c r="WNB241" s="4"/>
      <c r="WNC241" s="4"/>
      <c r="WND241" s="4"/>
      <c r="WNE241" s="4"/>
      <c r="WNF241" s="4"/>
      <c r="WNG241" s="4"/>
      <c r="WNH241" s="4"/>
      <c r="WNI241" s="4"/>
      <c r="WNJ241" s="4"/>
      <c r="WNK241" s="4"/>
      <c r="WNL241" s="4"/>
      <c r="WNM241" s="4"/>
      <c r="WNN241" s="4"/>
      <c r="WNO241" s="4"/>
      <c r="WNP241" s="4"/>
      <c r="WNQ241" s="4"/>
      <c r="WNR241" s="4"/>
      <c r="WNS241" s="4"/>
      <c r="WNT241" s="4"/>
      <c r="WNU241" s="4"/>
      <c r="WNV241" s="4"/>
      <c r="WNW241" s="4"/>
      <c r="WNX241" s="4"/>
      <c r="WNY241" s="4"/>
      <c r="WNZ241" s="4"/>
      <c r="WOA241" s="4"/>
      <c r="WOB241" s="4"/>
      <c r="WOC241" s="4"/>
      <c r="WOD241" s="4"/>
      <c r="WOE241" s="4"/>
      <c r="WOF241" s="4"/>
      <c r="WOG241" s="4"/>
      <c r="WOH241" s="4"/>
      <c r="WOI241" s="4"/>
      <c r="WOJ241" s="4"/>
      <c r="WOK241" s="4"/>
      <c r="WOL241" s="4"/>
      <c r="WOM241" s="4"/>
      <c r="WON241" s="4"/>
      <c r="WOO241" s="4"/>
      <c r="WOP241" s="4"/>
      <c r="WOQ241" s="4"/>
      <c r="WOR241" s="4"/>
      <c r="WOS241" s="4"/>
      <c r="WOT241" s="4"/>
      <c r="WOU241" s="4"/>
      <c r="WOV241" s="4"/>
      <c r="WOW241" s="4"/>
      <c r="WOX241" s="4"/>
      <c r="WOY241" s="4"/>
      <c r="WOZ241" s="4"/>
      <c r="WPA241" s="4"/>
      <c r="WPB241" s="4"/>
      <c r="WPC241" s="4"/>
      <c r="WPD241" s="4"/>
      <c r="WPE241" s="4"/>
      <c r="WPF241" s="4"/>
      <c r="WPG241" s="4"/>
      <c r="WPH241" s="4"/>
      <c r="WPI241" s="4"/>
      <c r="WPJ241" s="4"/>
      <c r="WPK241" s="4"/>
      <c r="WPL241" s="4"/>
      <c r="WPM241" s="4"/>
      <c r="WPN241" s="4"/>
      <c r="WPO241" s="4"/>
      <c r="WPP241" s="4"/>
      <c r="WPQ241" s="4"/>
      <c r="WPR241" s="4"/>
      <c r="WPS241" s="4"/>
      <c r="WPT241" s="4"/>
      <c r="WPU241" s="4"/>
      <c r="WPV241" s="4"/>
      <c r="WPW241" s="4"/>
      <c r="WPX241" s="4"/>
      <c r="WPY241" s="4"/>
      <c r="WPZ241" s="4"/>
      <c r="WQA241" s="4"/>
      <c r="WQB241" s="4"/>
      <c r="WQC241" s="4"/>
      <c r="WQD241" s="4"/>
      <c r="WQE241" s="4"/>
      <c r="WQF241" s="4"/>
      <c r="WQG241" s="4"/>
      <c r="WQH241" s="4"/>
      <c r="WQI241" s="4"/>
      <c r="WQJ241" s="4"/>
      <c r="WQK241" s="4"/>
      <c r="WQL241" s="4"/>
      <c r="WQM241" s="4"/>
      <c r="WQN241" s="4"/>
      <c r="WQO241" s="4"/>
      <c r="WQP241" s="4"/>
      <c r="WQQ241" s="4"/>
      <c r="WQR241" s="4"/>
      <c r="WQS241" s="4"/>
      <c r="WQT241" s="4"/>
      <c r="WQU241" s="4"/>
      <c r="WQV241" s="4"/>
      <c r="WQW241" s="4"/>
      <c r="WQX241" s="4"/>
      <c r="WQY241" s="4"/>
      <c r="WQZ241" s="4"/>
      <c r="WRA241" s="4"/>
      <c r="WRB241" s="4"/>
      <c r="WRC241" s="4"/>
      <c r="WRD241" s="4"/>
      <c r="WRE241" s="4"/>
      <c r="WRF241" s="4"/>
      <c r="WRG241" s="4"/>
      <c r="WRH241" s="4"/>
      <c r="WRI241" s="4"/>
      <c r="WRJ241" s="4"/>
      <c r="WRK241" s="4"/>
      <c r="WRL241" s="4"/>
      <c r="WRM241" s="4"/>
      <c r="WRN241" s="4"/>
      <c r="WRO241" s="4"/>
      <c r="WRP241" s="4"/>
      <c r="WRQ241" s="4"/>
      <c r="WRR241" s="4"/>
      <c r="WRS241" s="4"/>
      <c r="WRT241" s="4"/>
      <c r="WRU241" s="4"/>
      <c r="WRV241" s="4"/>
      <c r="WRW241" s="4"/>
      <c r="WRX241" s="4"/>
      <c r="WRY241" s="4"/>
      <c r="WRZ241" s="4"/>
      <c r="WSA241" s="4"/>
      <c r="WSB241" s="4"/>
      <c r="WSC241" s="4"/>
      <c r="WSD241" s="4"/>
      <c r="WSE241" s="4"/>
      <c r="WSF241" s="4"/>
      <c r="WSG241" s="4"/>
      <c r="WSH241" s="4"/>
      <c r="WSI241" s="4"/>
      <c r="WSJ241" s="4"/>
      <c r="WSK241" s="4"/>
      <c r="WSL241" s="4"/>
      <c r="WSM241" s="4"/>
      <c r="WSN241" s="4"/>
      <c r="WSO241" s="4"/>
      <c r="WSP241" s="4"/>
      <c r="WSQ241" s="4"/>
      <c r="WSR241" s="4"/>
      <c r="WSS241" s="4"/>
      <c r="WST241" s="4"/>
      <c r="WSU241" s="4"/>
      <c r="WSV241" s="4"/>
      <c r="WSW241" s="4"/>
      <c r="WSX241" s="4"/>
      <c r="WSY241" s="4"/>
      <c r="WSZ241" s="4"/>
      <c r="WTA241" s="4"/>
      <c r="WTB241" s="4"/>
      <c r="WTC241" s="4"/>
      <c r="WTD241" s="4"/>
      <c r="WTE241" s="4"/>
      <c r="WTF241" s="4"/>
      <c r="WTG241" s="4"/>
      <c r="WTH241" s="4"/>
      <c r="WTI241" s="4"/>
      <c r="WTJ241" s="4"/>
      <c r="WTK241" s="4"/>
      <c r="WTL241" s="4"/>
      <c r="WTM241" s="4"/>
      <c r="WTN241" s="4"/>
      <c r="WTO241" s="4"/>
      <c r="WTP241" s="4"/>
      <c r="WTQ241" s="4"/>
      <c r="WTR241" s="4"/>
      <c r="WTS241" s="4"/>
      <c r="WTT241" s="4"/>
      <c r="WTU241" s="4"/>
      <c r="WTV241" s="4"/>
      <c r="WTW241" s="4"/>
      <c r="WTX241" s="4"/>
      <c r="WTY241" s="4"/>
      <c r="WTZ241" s="4"/>
      <c r="WUA241" s="4"/>
      <c r="WUB241" s="4"/>
      <c r="WUC241" s="4"/>
      <c r="WUD241" s="4"/>
      <c r="WUE241" s="4"/>
      <c r="WUF241" s="4"/>
      <c r="WUG241" s="4"/>
      <c r="WUH241" s="4"/>
      <c r="WUI241" s="4"/>
      <c r="WUJ241" s="4"/>
      <c r="WUK241" s="4"/>
      <c r="WUL241" s="4"/>
      <c r="WUM241" s="4"/>
      <c r="WUN241" s="4"/>
      <c r="WUO241" s="4"/>
      <c r="WUP241" s="4"/>
      <c r="WUQ241" s="4"/>
      <c r="WUR241" s="4"/>
      <c r="WUS241" s="4"/>
      <c r="WUT241" s="4"/>
      <c r="WUU241" s="4"/>
      <c r="WUV241" s="4"/>
      <c r="WUW241" s="4"/>
      <c r="WUX241" s="4"/>
      <c r="WUY241" s="4"/>
      <c r="WUZ241" s="4"/>
      <c r="WVA241" s="4"/>
      <c r="WVB241" s="4"/>
      <c r="WVC241" s="4"/>
      <c r="WVD241" s="4"/>
      <c r="WVE241" s="4"/>
      <c r="WVF241" s="4"/>
      <c r="WVG241" s="4"/>
      <c r="WVH241" s="4"/>
      <c r="WVI241" s="4"/>
      <c r="WVJ241" s="4"/>
      <c r="WVK241" s="4"/>
      <c r="WVL241" s="4"/>
      <c r="WVM241" s="4"/>
      <c r="WVN241" s="4"/>
      <c r="WVO241" s="4"/>
      <c r="WVP241" s="4"/>
      <c r="WVQ241" s="4"/>
      <c r="WVR241" s="4"/>
      <c r="WVS241" s="4"/>
      <c r="WVT241" s="4"/>
      <c r="WVU241" s="4"/>
      <c r="WVV241" s="4"/>
      <c r="WVW241" s="4"/>
      <c r="WVX241" s="4"/>
      <c r="WVY241" s="4"/>
      <c r="WVZ241" s="4"/>
      <c r="WWA241" s="4"/>
      <c r="WWB241" s="4"/>
      <c r="WWC241" s="4"/>
      <c r="WWD241" s="4"/>
      <c r="WWE241" s="4"/>
      <c r="WWF241" s="4"/>
      <c r="WWG241" s="4"/>
      <c r="WWH241" s="4"/>
      <c r="WWI241" s="4"/>
      <c r="WWJ241" s="4"/>
      <c r="WWK241" s="4"/>
      <c r="WWL241" s="4"/>
      <c r="WWM241" s="4"/>
      <c r="WWN241" s="4"/>
      <c r="WWO241" s="4"/>
      <c r="WWP241" s="4"/>
      <c r="WWQ241" s="4"/>
      <c r="WWR241" s="4"/>
      <c r="WWS241" s="4"/>
      <c r="WWT241" s="4"/>
      <c r="WWU241" s="4"/>
      <c r="WWV241" s="4"/>
      <c r="WWW241" s="4"/>
      <c r="WWX241" s="4"/>
      <c r="WWY241" s="4"/>
      <c r="WWZ241" s="4"/>
      <c r="WXA241" s="4"/>
      <c r="WXB241" s="4"/>
      <c r="WXC241" s="4"/>
      <c r="WXD241" s="4"/>
      <c r="WXE241" s="4"/>
      <c r="WXF241" s="4"/>
      <c r="WXG241" s="4"/>
      <c r="WXH241" s="4"/>
      <c r="WXI241" s="4"/>
      <c r="WXJ241" s="4"/>
      <c r="WXK241" s="4"/>
      <c r="WXL241" s="4"/>
      <c r="WXM241" s="4"/>
      <c r="WXN241" s="4"/>
      <c r="WXO241" s="4"/>
      <c r="WXP241" s="4"/>
      <c r="WXQ241" s="4"/>
      <c r="WXR241" s="4"/>
      <c r="WXS241" s="4"/>
      <c r="WXT241" s="4"/>
      <c r="WXU241" s="4"/>
      <c r="WXV241" s="4"/>
      <c r="WXW241" s="4"/>
      <c r="WXX241" s="4"/>
      <c r="WXY241" s="4"/>
      <c r="WXZ241" s="4"/>
      <c r="WYA241" s="4"/>
      <c r="WYB241" s="4"/>
      <c r="WYC241" s="4"/>
      <c r="WYD241" s="4"/>
      <c r="WYE241" s="4"/>
      <c r="WYF241" s="4"/>
      <c r="WYG241" s="4"/>
      <c r="WYH241" s="4"/>
      <c r="WYI241" s="4"/>
      <c r="WYJ241" s="4"/>
      <c r="WYK241" s="4"/>
      <c r="WYL241" s="4"/>
      <c r="WYM241" s="4"/>
      <c r="WYN241" s="4"/>
      <c r="WYO241" s="4"/>
      <c r="WYP241" s="4"/>
      <c r="WYQ241" s="4"/>
      <c r="WYR241" s="4"/>
      <c r="WYS241" s="4"/>
      <c r="WYT241" s="4"/>
      <c r="WYU241" s="4"/>
      <c r="WYV241" s="4"/>
      <c r="WYW241" s="4"/>
      <c r="WYX241" s="4"/>
      <c r="WYY241" s="4"/>
      <c r="WYZ241" s="4"/>
      <c r="WZA241" s="4"/>
      <c r="WZB241" s="4"/>
      <c r="WZC241" s="4"/>
      <c r="WZD241" s="4"/>
      <c r="WZE241" s="4"/>
      <c r="WZF241" s="4"/>
      <c r="WZG241" s="4"/>
      <c r="WZH241" s="4"/>
      <c r="WZI241" s="4"/>
      <c r="WZJ241" s="4"/>
      <c r="WZK241" s="4"/>
      <c r="WZL241" s="4"/>
      <c r="WZM241" s="4"/>
      <c r="WZN241" s="4"/>
      <c r="WZO241" s="4"/>
      <c r="WZP241" s="4"/>
      <c r="WZQ241" s="4"/>
      <c r="WZR241" s="4"/>
      <c r="WZS241" s="4"/>
      <c r="WZT241" s="4"/>
      <c r="WZU241" s="4"/>
      <c r="WZV241" s="4"/>
      <c r="WZW241" s="4"/>
      <c r="WZX241" s="4"/>
      <c r="WZY241" s="4"/>
      <c r="WZZ241" s="4"/>
      <c r="XAA241" s="4"/>
      <c r="XAB241" s="4"/>
      <c r="XAC241" s="4"/>
      <c r="XAD241" s="4"/>
      <c r="XAE241" s="4"/>
      <c r="XAF241" s="4"/>
      <c r="XAG241" s="4"/>
      <c r="XAH241" s="4"/>
      <c r="XAI241" s="4"/>
      <c r="XAJ241" s="4"/>
      <c r="XAK241" s="4"/>
      <c r="XAL241" s="4"/>
      <c r="XAM241" s="4"/>
      <c r="XAN241" s="4"/>
      <c r="XAO241" s="4"/>
      <c r="XAP241" s="4"/>
      <c r="XAQ241" s="4"/>
      <c r="XAR241" s="4"/>
      <c r="XAS241" s="4"/>
      <c r="XAT241" s="4"/>
      <c r="XAU241" s="4"/>
      <c r="XAV241" s="4"/>
      <c r="XAW241" s="4"/>
      <c r="XAX241" s="4"/>
      <c r="XAY241" s="4"/>
      <c r="XAZ241" s="4"/>
      <c r="XBA241" s="4"/>
      <c r="XBB241" s="4"/>
      <c r="XBC241" s="4"/>
      <c r="XBD241" s="4"/>
      <c r="XBE241" s="4"/>
      <c r="XBF241" s="4"/>
      <c r="XBG241" s="4"/>
      <c r="XBH241" s="4"/>
      <c r="XBI241" s="4"/>
      <c r="XBJ241" s="4"/>
      <c r="XBK241" s="4"/>
      <c r="XBL241" s="4"/>
      <c r="XBM241" s="4"/>
      <c r="XBN241" s="4"/>
      <c r="XBO241" s="4"/>
      <c r="XBP241" s="4"/>
      <c r="XBQ241" s="4"/>
      <c r="XBR241" s="4"/>
      <c r="XBS241" s="4"/>
      <c r="XBT241" s="4"/>
      <c r="XBU241" s="4"/>
      <c r="XBV241" s="4"/>
      <c r="XBW241" s="4"/>
      <c r="XBX241" s="4"/>
      <c r="XBY241" s="4"/>
      <c r="XBZ241" s="4"/>
      <c r="XCA241" s="4"/>
      <c r="XCB241" s="4"/>
      <c r="XCC241" s="4"/>
      <c r="XCD241" s="4"/>
      <c r="XCE241" s="4"/>
      <c r="XCF241" s="4"/>
      <c r="XCG241" s="4"/>
      <c r="XCH241" s="4"/>
      <c r="XCI241" s="4"/>
      <c r="XCJ241" s="4"/>
      <c r="XCK241" s="4"/>
      <c r="XCL241" s="4"/>
      <c r="XCM241" s="4"/>
      <c r="XCN241" s="4"/>
      <c r="XCO241" s="4"/>
      <c r="XCP241" s="4"/>
      <c r="XCQ241" s="4"/>
      <c r="XCR241" s="4"/>
      <c r="XCS241" s="4"/>
      <c r="XCT241" s="4"/>
      <c r="XCU241" s="4"/>
      <c r="XCV241" s="4"/>
      <c r="XCW241" s="4"/>
      <c r="XCX241" s="4"/>
      <c r="XCY241" s="4"/>
      <c r="XCZ241" s="4"/>
      <c r="XDA241" s="4"/>
      <c r="XDB241" s="4"/>
      <c r="XDC241" s="4"/>
      <c r="XDD241" s="4"/>
      <c r="XDE241" s="4"/>
      <c r="XDF241" s="4"/>
      <c r="XDG241" s="4"/>
      <c r="XDH241" s="4"/>
      <c r="XDI241" s="4"/>
      <c r="XDJ241" s="4"/>
      <c r="XDK241" s="4"/>
      <c r="XDL241" s="4"/>
      <c r="XDM241" s="4"/>
      <c r="XDN241" s="4"/>
      <c r="XDO241" s="4"/>
      <c r="XDP241" s="4"/>
      <c r="XDQ241" s="4"/>
      <c r="XDR241" s="4"/>
      <c r="XDS241" s="4"/>
      <c r="XDT241" s="4"/>
      <c r="XDU241" s="4"/>
      <c r="XDV241" s="4"/>
      <c r="XDW241" s="4"/>
      <c r="XDX241" s="4"/>
      <c r="XDY241" s="4"/>
      <c r="XDZ241" s="4"/>
      <c r="XEA241" s="4"/>
      <c r="XEB241" s="4"/>
      <c r="XEC241" s="4"/>
      <c r="XED241" s="4"/>
      <c r="XEE241" s="4"/>
      <c r="XEF241" s="4"/>
      <c r="XEG241" s="4"/>
      <c r="XEH241" s="4"/>
      <c r="XEI241" s="4"/>
      <c r="XEJ241" s="4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5117C-07E0-42EE-943B-849E34BD59FB}">
  <sheetPr>
    <tabColor theme="9" tint="-0.499984740745262"/>
  </sheetPr>
  <dimension ref="A1:Q96"/>
  <sheetViews>
    <sheetView showGridLines="0" topLeftCell="A79" zoomScale="130" zoomScaleNormal="130" workbookViewId="0">
      <selection activeCell="F101" sqref="F101"/>
    </sheetView>
  </sheetViews>
  <sheetFormatPr defaultRowHeight="16.5" x14ac:dyDescent="0.25"/>
  <cols>
    <col min="1" max="1" width="8.25" bestFit="1" customWidth="1"/>
    <col min="2" max="15" width="10.5" bestFit="1" customWidth="1"/>
    <col min="16" max="16" width="8.5" bestFit="1" customWidth="1"/>
    <col min="17" max="17" width="10.25" bestFit="1" customWidth="1"/>
  </cols>
  <sheetData>
    <row r="1" spans="1:17" s="16" customFormat="1" ht="14.25" x14ac:dyDescent="0.25">
      <c r="A1" s="15" t="s">
        <v>473</v>
      </c>
      <c r="B1" s="15" t="s">
        <v>474</v>
      </c>
      <c r="C1" s="15" t="s">
        <v>475</v>
      </c>
      <c r="D1" s="15" t="s">
        <v>476</v>
      </c>
      <c r="E1" s="15" t="s">
        <v>477</v>
      </c>
      <c r="F1" s="15" t="s">
        <v>478</v>
      </c>
      <c r="G1" s="15" t="s">
        <v>479</v>
      </c>
      <c r="H1" s="15" t="s">
        <v>480</v>
      </c>
      <c r="I1" s="15" t="s">
        <v>481</v>
      </c>
      <c r="J1" s="15" t="s">
        <v>482</v>
      </c>
      <c r="K1" s="15" t="s">
        <v>483</v>
      </c>
      <c r="L1" s="15" t="s">
        <v>484</v>
      </c>
      <c r="M1" s="15" t="s">
        <v>485</v>
      </c>
      <c r="N1" s="15" t="s">
        <v>486</v>
      </c>
      <c r="O1" s="15" t="s">
        <v>487</v>
      </c>
      <c r="P1" s="15" t="s">
        <v>488</v>
      </c>
      <c r="Q1" s="15" t="s">
        <v>7</v>
      </c>
    </row>
    <row r="2" spans="1:17" s="16" customFormat="1" ht="14.25" x14ac:dyDescent="0.25">
      <c r="A2" s="17">
        <v>43739</v>
      </c>
      <c r="B2" s="18">
        <v>106</v>
      </c>
      <c r="C2" s="18">
        <v>106</v>
      </c>
      <c r="D2" s="18">
        <v>117</v>
      </c>
      <c r="E2" s="18">
        <v>128</v>
      </c>
      <c r="F2" s="18">
        <v>107</v>
      </c>
      <c r="G2" s="18">
        <v>106</v>
      </c>
      <c r="H2" s="18">
        <v>109</v>
      </c>
      <c r="I2" s="18">
        <v>132</v>
      </c>
      <c r="J2" s="18">
        <v>99</v>
      </c>
      <c r="K2" s="18">
        <v>110</v>
      </c>
      <c r="L2" s="18">
        <v>106</v>
      </c>
      <c r="M2" s="18">
        <v>119</v>
      </c>
      <c r="N2" s="18">
        <v>115</v>
      </c>
      <c r="O2" s="18">
        <v>62</v>
      </c>
      <c r="P2" s="18">
        <v>0</v>
      </c>
      <c r="Q2" s="18">
        <v>1522</v>
      </c>
    </row>
    <row r="3" spans="1:17" s="16" customFormat="1" ht="14.25" x14ac:dyDescent="0.25">
      <c r="A3" s="17">
        <v>43740</v>
      </c>
      <c r="B3" s="18">
        <v>81</v>
      </c>
      <c r="C3" s="18">
        <v>70</v>
      </c>
      <c r="D3" s="18">
        <v>100</v>
      </c>
      <c r="E3" s="18">
        <v>103</v>
      </c>
      <c r="F3" s="18">
        <v>75</v>
      </c>
      <c r="G3" s="18">
        <v>77</v>
      </c>
      <c r="H3" s="18">
        <v>83</v>
      </c>
      <c r="I3" s="18">
        <v>103</v>
      </c>
      <c r="J3" s="18">
        <v>83</v>
      </c>
      <c r="K3" s="18">
        <v>74</v>
      </c>
      <c r="L3" s="18">
        <v>78</v>
      </c>
      <c r="M3" s="18">
        <v>93</v>
      </c>
      <c r="N3" s="18">
        <v>86</v>
      </c>
      <c r="O3" s="18">
        <v>48</v>
      </c>
      <c r="P3" s="18">
        <v>0</v>
      </c>
      <c r="Q3" s="18">
        <v>1154</v>
      </c>
    </row>
    <row r="4" spans="1:17" s="16" customFormat="1" ht="14.25" x14ac:dyDescent="0.25">
      <c r="A4" s="17">
        <v>43741</v>
      </c>
      <c r="B4" s="18">
        <v>114</v>
      </c>
      <c r="C4" s="18">
        <v>99</v>
      </c>
      <c r="D4" s="18">
        <v>136</v>
      </c>
      <c r="E4" s="18">
        <v>142</v>
      </c>
      <c r="F4" s="18">
        <v>109</v>
      </c>
      <c r="G4" s="18">
        <v>109</v>
      </c>
      <c r="H4" s="18">
        <v>116</v>
      </c>
      <c r="I4" s="18">
        <v>144</v>
      </c>
      <c r="J4" s="18">
        <v>114</v>
      </c>
      <c r="K4" s="18">
        <v>116</v>
      </c>
      <c r="L4" s="18">
        <v>109</v>
      </c>
      <c r="M4" s="18">
        <v>126</v>
      </c>
      <c r="N4" s="18">
        <v>123</v>
      </c>
      <c r="O4" s="18">
        <v>66</v>
      </c>
      <c r="P4" s="18">
        <v>0</v>
      </c>
      <c r="Q4" s="18">
        <v>1623</v>
      </c>
    </row>
    <row r="5" spans="1:17" s="16" customFormat="1" ht="14.25" x14ac:dyDescent="0.25">
      <c r="A5" s="17">
        <v>43742</v>
      </c>
      <c r="B5" s="18">
        <v>116</v>
      </c>
      <c r="C5" s="18">
        <v>97</v>
      </c>
      <c r="D5" s="18">
        <v>142</v>
      </c>
      <c r="E5" s="18">
        <v>143</v>
      </c>
      <c r="F5" s="18">
        <v>106</v>
      </c>
      <c r="G5" s="18">
        <v>105</v>
      </c>
      <c r="H5" s="18">
        <v>117</v>
      </c>
      <c r="I5" s="18">
        <v>142</v>
      </c>
      <c r="J5" s="18">
        <v>120</v>
      </c>
      <c r="K5" s="18">
        <v>126</v>
      </c>
      <c r="L5" s="18">
        <v>106</v>
      </c>
      <c r="M5" s="18">
        <v>120</v>
      </c>
      <c r="N5" s="18">
        <v>119</v>
      </c>
      <c r="O5" s="18">
        <v>65</v>
      </c>
      <c r="P5" s="18">
        <v>0</v>
      </c>
      <c r="Q5" s="18">
        <v>1624</v>
      </c>
    </row>
    <row r="6" spans="1:17" s="16" customFormat="1" ht="14.25" x14ac:dyDescent="0.25">
      <c r="A6" s="17">
        <v>43743</v>
      </c>
      <c r="B6" s="18">
        <v>114</v>
      </c>
      <c r="C6" s="18">
        <v>102</v>
      </c>
      <c r="D6" s="18">
        <v>137</v>
      </c>
      <c r="E6" s="18">
        <v>139</v>
      </c>
      <c r="F6" s="18">
        <v>106</v>
      </c>
      <c r="G6" s="18">
        <v>103</v>
      </c>
      <c r="H6" s="18">
        <v>115</v>
      </c>
      <c r="I6" s="18">
        <v>133</v>
      </c>
      <c r="J6" s="18">
        <v>115</v>
      </c>
      <c r="K6" s="18">
        <v>129</v>
      </c>
      <c r="L6" s="18">
        <v>107</v>
      </c>
      <c r="M6" s="18">
        <v>120</v>
      </c>
      <c r="N6" s="18">
        <v>118</v>
      </c>
      <c r="O6" s="18">
        <v>64</v>
      </c>
      <c r="P6" s="18">
        <v>0</v>
      </c>
      <c r="Q6" s="18">
        <v>1602</v>
      </c>
    </row>
    <row r="7" spans="1:17" s="16" customFormat="1" ht="14.25" x14ac:dyDescent="0.25">
      <c r="A7" s="17">
        <v>43744</v>
      </c>
      <c r="B7" s="18">
        <v>94</v>
      </c>
      <c r="C7" s="18">
        <v>81</v>
      </c>
      <c r="D7" s="18">
        <v>104</v>
      </c>
      <c r="E7" s="18">
        <v>106</v>
      </c>
      <c r="F7" s="18">
        <v>89</v>
      </c>
      <c r="G7" s="18">
        <v>92</v>
      </c>
      <c r="H7" s="18">
        <v>92</v>
      </c>
      <c r="I7" s="18">
        <v>105</v>
      </c>
      <c r="J7" s="18">
        <v>84</v>
      </c>
      <c r="K7" s="18">
        <v>92</v>
      </c>
      <c r="L7" s="18">
        <v>86</v>
      </c>
      <c r="M7" s="18">
        <v>93</v>
      </c>
      <c r="N7" s="18">
        <v>98</v>
      </c>
      <c r="O7" s="18">
        <v>52</v>
      </c>
      <c r="P7" s="18">
        <v>0</v>
      </c>
      <c r="Q7" s="18">
        <v>1268</v>
      </c>
    </row>
    <row r="8" spans="1:17" s="16" customFormat="1" ht="14.25" x14ac:dyDescent="0.25">
      <c r="A8" s="17">
        <v>43745</v>
      </c>
      <c r="B8" s="18">
        <v>114</v>
      </c>
      <c r="C8" s="18">
        <v>97</v>
      </c>
      <c r="D8" s="18">
        <v>140</v>
      </c>
      <c r="E8" s="18">
        <v>143</v>
      </c>
      <c r="F8" s="18">
        <v>110</v>
      </c>
      <c r="G8" s="18">
        <v>116</v>
      </c>
      <c r="H8" s="18">
        <v>111</v>
      </c>
      <c r="I8" s="18">
        <v>140</v>
      </c>
      <c r="J8" s="18">
        <v>117</v>
      </c>
      <c r="K8" s="18">
        <v>122</v>
      </c>
      <c r="L8" s="18">
        <v>104</v>
      </c>
      <c r="M8" s="18">
        <v>121</v>
      </c>
      <c r="N8" s="18">
        <v>118</v>
      </c>
      <c r="O8" s="18">
        <v>63</v>
      </c>
      <c r="P8" s="18">
        <v>0</v>
      </c>
      <c r="Q8" s="18">
        <v>1616</v>
      </c>
    </row>
    <row r="9" spans="1:17" s="16" customFormat="1" ht="14.25" x14ac:dyDescent="0.25">
      <c r="A9" s="17">
        <v>43746</v>
      </c>
      <c r="B9" s="18">
        <v>103</v>
      </c>
      <c r="C9" s="18">
        <v>95</v>
      </c>
      <c r="D9" s="18">
        <v>124</v>
      </c>
      <c r="E9" s="18">
        <v>127</v>
      </c>
      <c r="F9" s="18">
        <v>102</v>
      </c>
      <c r="G9" s="18">
        <v>104</v>
      </c>
      <c r="H9" s="18">
        <v>105</v>
      </c>
      <c r="I9" s="18">
        <v>126</v>
      </c>
      <c r="J9" s="18">
        <v>99</v>
      </c>
      <c r="K9" s="18">
        <v>113</v>
      </c>
      <c r="L9" s="18">
        <v>97</v>
      </c>
      <c r="M9" s="18">
        <v>110</v>
      </c>
      <c r="N9" s="18">
        <v>106</v>
      </c>
      <c r="O9" s="18">
        <v>57</v>
      </c>
      <c r="P9" s="18">
        <v>0</v>
      </c>
      <c r="Q9" s="18">
        <v>1468</v>
      </c>
    </row>
    <row r="10" spans="1:17" s="16" customFormat="1" ht="14.25" x14ac:dyDescent="0.25">
      <c r="A10" s="17">
        <v>43747</v>
      </c>
      <c r="B10" s="18">
        <v>113</v>
      </c>
      <c r="C10" s="18">
        <v>99</v>
      </c>
      <c r="D10" s="18">
        <v>138</v>
      </c>
      <c r="E10" s="18">
        <v>135</v>
      </c>
      <c r="F10" s="18">
        <v>108</v>
      </c>
      <c r="G10" s="18">
        <v>106</v>
      </c>
      <c r="H10" s="18">
        <v>116</v>
      </c>
      <c r="I10" s="18">
        <v>134</v>
      </c>
      <c r="J10" s="18">
        <v>117</v>
      </c>
      <c r="K10" s="18">
        <v>123</v>
      </c>
      <c r="L10" s="18">
        <v>107</v>
      </c>
      <c r="M10" s="18">
        <v>121</v>
      </c>
      <c r="N10" s="18">
        <v>114</v>
      </c>
      <c r="O10" s="18">
        <v>62</v>
      </c>
      <c r="P10" s="18">
        <v>0</v>
      </c>
      <c r="Q10" s="18">
        <v>1593</v>
      </c>
    </row>
    <row r="11" spans="1:17" s="16" customFormat="1" ht="14.25" x14ac:dyDescent="0.25">
      <c r="A11" s="17">
        <v>43748</v>
      </c>
      <c r="B11" s="18">
        <v>119</v>
      </c>
      <c r="C11" s="18">
        <v>108</v>
      </c>
      <c r="D11" s="18">
        <v>156</v>
      </c>
      <c r="E11" s="18">
        <v>152</v>
      </c>
      <c r="F11" s="18">
        <v>121</v>
      </c>
      <c r="G11" s="18">
        <v>118</v>
      </c>
      <c r="H11" s="18">
        <v>124</v>
      </c>
      <c r="I11" s="18">
        <v>154</v>
      </c>
      <c r="J11" s="18">
        <v>130</v>
      </c>
      <c r="K11" s="18">
        <v>147</v>
      </c>
      <c r="L11" s="18">
        <v>115</v>
      </c>
      <c r="M11" s="18">
        <v>134</v>
      </c>
      <c r="N11" s="18">
        <v>124</v>
      </c>
      <c r="O11" s="18">
        <v>67</v>
      </c>
      <c r="P11" s="18">
        <v>0</v>
      </c>
      <c r="Q11" s="18">
        <v>1769</v>
      </c>
    </row>
    <row r="12" spans="1:17" s="16" customFormat="1" ht="14.25" x14ac:dyDescent="0.25">
      <c r="A12" s="17">
        <v>43749</v>
      </c>
      <c r="B12" s="18">
        <v>123</v>
      </c>
      <c r="C12" s="18">
        <v>113</v>
      </c>
      <c r="D12" s="18">
        <v>163</v>
      </c>
      <c r="E12" s="18">
        <v>156</v>
      </c>
      <c r="F12" s="18">
        <v>117</v>
      </c>
      <c r="G12" s="18">
        <v>115</v>
      </c>
      <c r="H12" s="18">
        <v>126</v>
      </c>
      <c r="I12" s="18">
        <v>159</v>
      </c>
      <c r="J12" s="18">
        <v>136</v>
      </c>
      <c r="K12" s="18">
        <v>151</v>
      </c>
      <c r="L12" s="18">
        <v>115</v>
      </c>
      <c r="M12" s="18">
        <v>138</v>
      </c>
      <c r="N12" s="18">
        <v>128</v>
      </c>
      <c r="O12" s="18">
        <v>68</v>
      </c>
      <c r="P12" s="18">
        <v>0</v>
      </c>
      <c r="Q12" s="18">
        <v>1808</v>
      </c>
    </row>
    <row r="13" spans="1:17" s="16" customFormat="1" ht="14.25" x14ac:dyDescent="0.25">
      <c r="A13" s="17">
        <v>43750</v>
      </c>
      <c r="B13" s="18">
        <v>115</v>
      </c>
      <c r="C13" s="18">
        <v>101</v>
      </c>
      <c r="D13" s="18">
        <v>149</v>
      </c>
      <c r="E13" s="18">
        <v>147</v>
      </c>
      <c r="F13" s="18">
        <v>109</v>
      </c>
      <c r="G13" s="18">
        <v>113</v>
      </c>
      <c r="H13" s="18">
        <v>117</v>
      </c>
      <c r="I13" s="18">
        <v>145</v>
      </c>
      <c r="J13" s="18">
        <v>123</v>
      </c>
      <c r="K13" s="18">
        <v>135</v>
      </c>
      <c r="L13" s="18">
        <v>106</v>
      </c>
      <c r="M13" s="18">
        <v>127</v>
      </c>
      <c r="N13" s="18">
        <v>121</v>
      </c>
      <c r="O13" s="18">
        <v>64</v>
      </c>
      <c r="P13" s="18">
        <v>0</v>
      </c>
      <c r="Q13" s="18">
        <v>1672</v>
      </c>
    </row>
    <row r="14" spans="1:17" s="16" customFormat="1" ht="14.25" x14ac:dyDescent="0.25">
      <c r="A14" s="17">
        <v>43751</v>
      </c>
      <c r="B14" s="18">
        <v>116</v>
      </c>
      <c r="C14" s="18">
        <v>102</v>
      </c>
      <c r="D14" s="18">
        <v>154</v>
      </c>
      <c r="E14" s="18">
        <v>153</v>
      </c>
      <c r="F14" s="18">
        <v>119</v>
      </c>
      <c r="G14" s="18">
        <v>120</v>
      </c>
      <c r="H14" s="18">
        <v>121</v>
      </c>
      <c r="I14" s="18">
        <v>155</v>
      </c>
      <c r="J14" s="18">
        <v>118</v>
      </c>
      <c r="K14" s="18">
        <v>140</v>
      </c>
      <c r="L14" s="18">
        <v>110</v>
      </c>
      <c r="M14" s="18">
        <v>130</v>
      </c>
      <c r="N14" s="18">
        <v>122</v>
      </c>
      <c r="O14" s="18">
        <v>64</v>
      </c>
      <c r="P14" s="18">
        <v>586</v>
      </c>
      <c r="Q14" s="18">
        <v>2310</v>
      </c>
    </row>
    <row r="15" spans="1:17" s="16" customFormat="1" ht="14.25" x14ac:dyDescent="0.25">
      <c r="A15" s="17">
        <v>43752</v>
      </c>
      <c r="B15" s="18">
        <v>108</v>
      </c>
      <c r="C15" s="18">
        <v>93</v>
      </c>
      <c r="D15" s="18">
        <v>140</v>
      </c>
      <c r="E15" s="18">
        <v>142</v>
      </c>
      <c r="F15" s="18">
        <v>113</v>
      </c>
      <c r="G15" s="18">
        <v>111</v>
      </c>
      <c r="H15" s="18">
        <v>112</v>
      </c>
      <c r="I15" s="18">
        <v>141</v>
      </c>
      <c r="J15" s="18">
        <v>113</v>
      </c>
      <c r="K15" s="18">
        <v>134</v>
      </c>
      <c r="L15" s="18">
        <v>105</v>
      </c>
      <c r="M15" s="18">
        <v>119</v>
      </c>
      <c r="N15" s="18">
        <v>113</v>
      </c>
      <c r="O15" s="18">
        <v>60</v>
      </c>
      <c r="P15" s="18">
        <v>0</v>
      </c>
      <c r="Q15" s="18">
        <v>1604</v>
      </c>
    </row>
    <row r="16" spans="1:17" s="16" customFormat="1" ht="14.25" x14ac:dyDescent="0.25">
      <c r="A16" s="17">
        <v>43753</v>
      </c>
      <c r="B16" s="18">
        <v>111</v>
      </c>
      <c r="C16" s="18">
        <v>87</v>
      </c>
      <c r="D16" s="18">
        <v>148</v>
      </c>
      <c r="E16" s="18">
        <v>148</v>
      </c>
      <c r="F16" s="18">
        <v>117</v>
      </c>
      <c r="G16" s="18">
        <v>116</v>
      </c>
      <c r="H16" s="18">
        <v>115</v>
      </c>
      <c r="I16" s="18">
        <v>149</v>
      </c>
      <c r="J16" s="18">
        <v>113</v>
      </c>
      <c r="K16" s="18">
        <v>132</v>
      </c>
      <c r="L16" s="18">
        <v>107</v>
      </c>
      <c r="M16" s="18">
        <v>125</v>
      </c>
      <c r="N16" s="18">
        <v>115</v>
      </c>
      <c r="O16" s="18">
        <v>61</v>
      </c>
      <c r="P16" s="18">
        <v>705</v>
      </c>
      <c r="Q16" s="18">
        <v>2349</v>
      </c>
    </row>
    <row r="17" spans="1:17" s="16" customFormat="1" ht="14.25" x14ac:dyDescent="0.25">
      <c r="A17" s="17">
        <v>43754</v>
      </c>
      <c r="B17" s="18">
        <v>116</v>
      </c>
      <c r="C17" s="18">
        <v>104</v>
      </c>
      <c r="D17" s="18">
        <v>156</v>
      </c>
      <c r="E17" s="18">
        <v>155</v>
      </c>
      <c r="F17" s="18">
        <v>124</v>
      </c>
      <c r="G17" s="18">
        <v>121</v>
      </c>
      <c r="H17" s="18">
        <v>122</v>
      </c>
      <c r="I17" s="18">
        <v>156</v>
      </c>
      <c r="J17" s="18">
        <v>138</v>
      </c>
      <c r="K17" s="18">
        <v>149</v>
      </c>
      <c r="L17" s="18">
        <v>113</v>
      </c>
      <c r="M17" s="18">
        <v>131</v>
      </c>
      <c r="N17" s="18">
        <v>123</v>
      </c>
      <c r="O17" s="18">
        <v>64</v>
      </c>
      <c r="P17" s="18">
        <v>0</v>
      </c>
      <c r="Q17" s="18">
        <v>1772</v>
      </c>
    </row>
    <row r="18" spans="1:17" s="16" customFormat="1" ht="14.25" x14ac:dyDescent="0.25">
      <c r="A18" s="17">
        <v>43755</v>
      </c>
      <c r="B18" s="18">
        <v>113</v>
      </c>
      <c r="C18" s="18">
        <v>102</v>
      </c>
      <c r="D18" s="18">
        <v>154</v>
      </c>
      <c r="E18" s="18">
        <v>153</v>
      </c>
      <c r="F18" s="18">
        <v>119</v>
      </c>
      <c r="G18" s="18">
        <v>118</v>
      </c>
      <c r="H18" s="18">
        <v>118</v>
      </c>
      <c r="I18" s="18">
        <v>156</v>
      </c>
      <c r="J18" s="18">
        <v>131</v>
      </c>
      <c r="K18" s="18">
        <v>149</v>
      </c>
      <c r="L18" s="18">
        <v>108</v>
      </c>
      <c r="M18" s="18">
        <v>128</v>
      </c>
      <c r="N18" s="18">
        <v>117</v>
      </c>
      <c r="O18" s="18">
        <v>61</v>
      </c>
      <c r="P18" s="18">
        <v>0</v>
      </c>
      <c r="Q18" s="18">
        <v>1727</v>
      </c>
    </row>
    <row r="19" spans="1:17" s="16" customFormat="1" ht="14.25" x14ac:dyDescent="0.25">
      <c r="A19" s="17">
        <v>43756</v>
      </c>
      <c r="B19" s="18">
        <v>114</v>
      </c>
      <c r="C19" s="18">
        <v>98</v>
      </c>
      <c r="D19" s="18">
        <v>161</v>
      </c>
      <c r="E19" s="18">
        <v>159</v>
      </c>
      <c r="F19" s="18">
        <v>122</v>
      </c>
      <c r="G19" s="18">
        <v>119</v>
      </c>
      <c r="H19" s="18">
        <v>119</v>
      </c>
      <c r="I19" s="18">
        <v>163</v>
      </c>
      <c r="J19" s="18">
        <v>128</v>
      </c>
      <c r="K19" s="18">
        <v>152</v>
      </c>
      <c r="L19" s="18">
        <v>109</v>
      </c>
      <c r="M19" s="18">
        <v>132</v>
      </c>
      <c r="N19" s="18">
        <v>121</v>
      </c>
      <c r="O19" s="18">
        <v>63</v>
      </c>
      <c r="P19" s="18">
        <v>0</v>
      </c>
      <c r="Q19" s="18">
        <v>1760</v>
      </c>
    </row>
    <row r="20" spans="1:17" s="16" customFormat="1" ht="14.25" x14ac:dyDescent="0.25">
      <c r="A20" s="17">
        <v>43757</v>
      </c>
      <c r="B20" s="18">
        <v>106</v>
      </c>
      <c r="C20" s="18">
        <v>98</v>
      </c>
      <c r="D20" s="18">
        <v>141</v>
      </c>
      <c r="E20" s="18">
        <v>143</v>
      </c>
      <c r="F20" s="18">
        <v>111</v>
      </c>
      <c r="G20" s="18">
        <v>110</v>
      </c>
      <c r="H20" s="18">
        <v>111</v>
      </c>
      <c r="I20" s="18">
        <v>143</v>
      </c>
      <c r="J20" s="18">
        <v>124</v>
      </c>
      <c r="K20" s="18">
        <v>142</v>
      </c>
      <c r="L20" s="18">
        <v>101</v>
      </c>
      <c r="M20" s="18">
        <v>119</v>
      </c>
      <c r="N20" s="18">
        <v>108</v>
      </c>
      <c r="O20" s="18">
        <v>57</v>
      </c>
      <c r="P20" s="18">
        <v>0</v>
      </c>
      <c r="Q20" s="18">
        <v>1614</v>
      </c>
    </row>
    <row r="21" spans="1:17" s="16" customFormat="1" ht="14.25" x14ac:dyDescent="0.25">
      <c r="A21" s="17">
        <v>43758</v>
      </c>
      <c r="B21" s="18">
        <v>110</v>
      </c>
      <c r="C21" s="18">
        <v>102</v>
      </c>
      <c r="D21" s="18">
        <v>156</v>
      </c>
      <c r="E21" s="18">
        <v>158</v>
      </c>
      <c r="F21" s="18">
        <v>118</v>
      </c>
      <c r="G21" s="18">
        <v>116</v>
      </c>
      <c r="H21" s="18">
        <v>116</v>
      </c>
      <c r="I21" s="18">
        <v>158</v>
      </c>
      <c r="J21" s="18">
        <v>134</v>
      </c>
      <c r="K21" s="18">
        <v>150</v>
      </c>
      <c r="L21" s="18">
        <v>105</v>
      </c>
      <c r="M21" s="18">
        <v>128</v>
      </c>
      <c r="N21" s="18">
        <v>117</v>
      </c>
      <c r="O21" s="18">
        <v>60</v>
      </c>
      <c r="P21" s="18">
        <v>368</v>
      </c>
      <c r="Q21" s="18">
        <v>2096</v>
      </c>
    </row>
    <row r="22" spans="1:17" s="16" customFormat="1" ht="14.25" x14ac:dyDescent="0.25">
      <c r="A22" s="17">
        <v>43759</v>
      </c>
      <c r="B22" s="18">
        <v>100</v>
      </c>
      <c r="C22" s="18">
        <v>81</v>
      </c>
      <c r="D22" s="18">
        <v>129</v>
      </c>
      <c r="E22" s="18">
        <v>132</v>
      </c>
      <c r="F22" s="18">
        <v>103</v>
      </c>
      <c r="G22" s="18">
        <v>103</v>
      </c>
      <c r="H22" s="18">
        <v>102</v>
      </c>
      <c r="I22" s="18">
        <v>132</v>
      </c>
      <c r="J22" s="18">
        <v>110</v>
      </c>
      <c r="K22" s="18">
        <v>121</v>
      </c>
      <c r="L22" s="18">
        <v>95</v>
      </c>
      <c r="M22" s="18">
        <v>111</v>
      </c>
      <c r="N22" s="18">
        <v>101</v>
      </c>
      <c r="O22" s="18">
        <v>54</v>
      </c>
      <c r="P22" s="18">
        <v>479</v>
      </c>
      <c r="Q22" s="18">
        <v>1953</v>
      </c>
    </row>
    <row r="23" spans="1:17" s="16" customFormat="1" ht="14.25" x14ac:dyDescent="0.25">
      <c r="A23" s="17">
        <v>43760</v>
      </c>
      <c r="B23" s="18">
        <v>106</v>
      </c>
      <c r="C23" s="18">
        <v>85</v>
      </c>
      <c r="D23" s="18">
        <v>151</v>
      </c>
      <c r="E23" s="18">
        <v>150</v>
      </c>
      <c r="F23" s="18">
        <v>112</v>
      </c>
      <c r="G23" s="18">
        <v>109</v>
      </c>
      <c r="H23" s="18">
        <v>111</v>
      </c>
      <c r="I23" s="18">
        <v>149</v>
      </c>
      <c r="J23" s="18">
        <v>125</v>
      </c>
      <c r="K23" s="18">
        <v>132</v>
      </c>
      <c r="L23" s="18">
        <v>99</v>
      </c>
      <c r="M23" s="18">
        <v>123</v>
      </c>
      <c r="N23" s="18">
        <v>112</v>
      </c>
      <c r="O23" s="18">
        <v>58</v>
      </c>
      <c r="P23" s="18">
        <v>0</v>
      </c>
      <c r="Q23" s="18">
        <v>1622</v>
      </c>
    </row>
    <row r="24" spans="1:17" s="16" customFormat="1" ht="14.25" x14ac:dyDescent="0.25">
      <c r="A24" s="17">
        <v>43761</v>
      </c>
      <c r="B24" s="18">
        <v>102</v>
      </c>
      <c r="C24" s="18">
        <v>83</v>
      </c>
      <c r="D24" s="18">
        <v>148</v>
      </c>
      <c r="E24" s="18">
        <v>149</v>
      </c>
      <c r="F24" s="18">
        <v>110</v>
      </c>
      <c r="G24" s="18">
        <v>108</v>
      </c>
      <c r="H24" s="18">
        <v>108</v>
      </c>
      <c r="I24" s="18">
        <v>151</v>
      </c>
      <c r="J24" s="18">
        <v>118</v>
      </c>
      <c r="K24" s="18">
        <v>134</v>
      </c>
      <c r="L24" s="18">
        <v>97</v>
      </c>
      <c r="M24" s="18">
        <v>122</v>
      </c>
      <c r="N24" s="18">
        <v>110</v>
      </c>
      <c r="O24" s="18">
        <v>56</v>
      </c>
      <c r="P24" s="18">
        <v>0</v>
      </c>
      <c r="Q24" s="18">
        <v>1596</v>
      </c>
    </row>
    <row r="25" spans="1:17" s="16" customFormat="1" ht="14.25" x14ac:dyDescent="0.25">
      <c r="A25" s="17">
        <v>43762</v>
      </c>
      <c r="B25" s="18">
        <v>93</v>
      </c>
      <c r="C25" s="18">
        <v>81</v>
      </c>
      <c r="D25" s="18">
        <v>132</v>
      </c>
      <c r="E25" s="18">
        <v>135</v>
      </c>
      <c r="F25" s="18">
        <v>99</v>
      </c>
      <c r="G25" s="18">
        <v>97</v>
      </c>
      <c r="H25" s="18">
        <v>97</v>
      </c>
      <c r="I25" s="18">
        <v>135</v>
      </c>
      <c r="J25" s="18">
        <v>108</v>
      </c>
      <c r="K25" s="18">
        <v>124</v>
      </c>
      <c r="L25" s="18">
        <v>88</v>
      </c>
      <c r="M25" s="18">
        <v>109</v>
      </c>
      <c r="N25" s="18">
        <v>95</v>
      </c>
      <c r="O25" s="18">
        <v>50</v>
      </c>
      <c r="P25" s="18">
        <v>0</v>
      </c>
      <c r="Q25" s="18">
        <v>1443</v>
      </c>
    </row>
    <row r="26" spans="1:17" s="16" customFormat="1" ht="14.25" x14ac:dyDescent="0.25">
      <c r="A26" s="17">
        <v>43763</v>
      </c>
      <c r="B26" s="18">
        <v>100</v>
      </c>
      <c r="C26" s="18">
        <v>82</v>
      </c>
      <c r="D26" s="18">
        <v>142</v>
      </c>
      <c r="E26" s="18">
        <v>144</v>
      </c>
      <c r="F26" s="18">
        <v>106</v>
      </c>
      <c r="G26" s="18">
        <v>105</v>
      </c>
      <c r="H26" s="18">
        <v>104</v>
      </c>
      <c r="I26" s="18">
        <v>145</v>
      </c>
      <c r="J26" s="18">
        <v>103</v>
      </c>
      <c r="K26" s="18">
        <v>127</v>
      </c>
      <c r="L26" s="18">
        <v>94</v>
      </c>
      <c r="M26" s="18">
        <v>116</v>
      </c>
      <c r="N26" s="18">
        <v>105</v>
      </c>
      <c r="O26" s="18">
        <v>55</v>
      </c>
      <c r="P26" s="18">
        <v>0</v>
      </c>
      <c r="Q26" s="18">
        <v>1528</v>
      </c>
    </row>
    <row r="27" spans="1:17" s="16" customFormat="1" ht="14.25" x14ac:dyDescent="0.25">
      <c r="A27" s="17">
        <v>43764</v>
      </c>
      <c r="B27" s="18">
        <v>94</v>
      </c>
      <c r="C27" s="18">
        <v>83</v>
      </c>
      <c r="D27" s="18">
        <v>138</v>
      </c>
      <c r="E27" s="18">
        <v>140</v>
      </c>
      <c r="F27" s="18">
        <v>101</v>
      </c>
      <c r="G27" s="18">
        <v>101</v>
      </c>
      <c r="H27" s="18">
        <v>101</v>
      </c>
      <c r="I27" s="18">
        <v>142</v>
      </c>
      <c r="J27" s="18">
        <v>115</v>
      </c>
      <c r="K27" s="18">
        <v>139</v>
      </c>
      <c r="L27" s="18">
        <v>89</v>
      </c>
      <c r="M27" s="18">
        <v>113</v>
      </c>
      <c r="N27" s="18">
        <v>101</v>
      </c>
      <c r="O27" s="18">
        <v>52</v>
      </c>
      <c r="P27" s="18">
        <v>0</v>
      </c>
      <c r="Q27" s="18">
        <v>1509</v>
      </c>
    </row>
    <row r="28" spans="1:17" s="16" customFormat="1" ht="14.25" x14ac:dyDescent="0.25">
      <c r="A28" s="17">
        <v>43765</v>
      </c>
      <c r="B28" s="18">
        <v>98</v>
      </c>
      <c r="C28" s="18">
        <v>84</v>
      </c>
      <c r="D28" s="18">
        <v>146</v>
      </c>
      <c r="E28" s="18">
        <v>149</v>
      </c>
      <c r="F28" s="18">
        <v>105</v>
      </c>
      <c r="G28" s="18">
        <v>104</v>
      </c>
      <c r="H28" s="18">
        <v>102</v>
      </c>
      <c r="I28" s="18">
        <v>149</v>
      </c>
      <c r="J28" s="18">
        <v>118</v>
      </c>
      <c r="K28" s="18">
        <v>147</v>
      </c>
      <c r="L28" s="18">
        <v>91</v>
      </c>
      <c r="M28" s="18">
        <v>118</v>
      </c>
      <c r="N28" s="18">
        <v>103</v>
      </c>
      <c r="O28" s="18">
        <v>53</v>
      </c>
      <c r="P28" s="18">
        <v>0</v>
      </c>
      <c r="Q28" s="18">
        <v>1567</v>
      </c>
    </row>
    <row r="29" spans="1:17" s="16" customFormat="1" ht="14.25" x14ac:dyDescent="0.25">
      <c r="A29" s="17">
        <v>43766</v>
      </c>
      <c r="B29" s="18">
        <v>93</v>
      </c>
      <c r="C29" s="18">
        <v>70</v>
      </c>
      <c r="D29" s="18">
        <v>136</v>
      </c>
      <c r="E29" s="18">
        <v>139</v>
      </c>
      <c r="F29" s="18">
        <v>93</v>
      </c>
      <c r="G29" s="18">
        <v>93</v>
      </c>
      <c r="H29" s="18">
        <v>93</v>
      </c>
      <c r="I29" s="18">
        <v>140</v>
      </c>
      <c r="J29" s="18">
        <v>99</v>
      </c>
      <c r="K29" s="18">
        <v>112</v>
      </c>
      <c r="L29" s="18">
        <v>80</v>
      </c>
      <c r="M29" s="18">
        <v>106</v>
      </c>
      <c r="N29" s="18">
        <v>96</v>
      </c>
      <c r="O29" s="18">
        <v>51</v>
      </c>
      <c r="P29" s="18">
        <v>0</v>
      </c>
      <c r="Q29" s="18">
        <v>1401</v>
      </c>
    </row>
    <row r="30" spans="1:17" s="16" customFormat="1" ht="14.25" x14ac:dyDescent="0.25">
      <c r="A30" s="17">
        <v>43767</v>
      </c>
      <c r="B30" s="18">
        <v>83</v>
      </c>
      <c r="C30" s="18">
        <v>81</v>
      </c>
      <c r="D30" s="18">
        <v>112</v>
      </c>
      <c r="E30" s="18">
        <v>114</v>
      </c>
      <c r="F30" s="18">
        <v>87</v>
      </c>
      <c r="G30" s="18">
        <v>86</v>
      </c>
      <c r="H30" s="18">
        <v>86</v>
      </c>
      <c r="I30" s="18">
        <v>117</v>
      </c>
      <c r="J30" s="18">
        <v>104</v>
      </c>
      <c r="K30" s="18">
        <v>114</v>
      </c>
      <c r="L30" s="18">
        <v>77</v>
      </c>
      <c r="M30" s="18">
        <v>94</v>
      </c>
      <c r="N30" s="18">
        <v>86</v>
      </c>
      <c r="O30" s="18">
        <v>45</v>
      </c>
      <c r="P30" s="18">
        <v>0</v>
      </c>
      <c r="Q30" s="18">
        <v>1286</v>
      </c>
    </row>
    <row r="31" spans="1:17" s="16" customFormat="1" ht="14.25" x14ac:dyDescent="0.25">
      <c r="A31" s="17">
        <v>43768</v>
      </c>
      <c r="B31" s="18">
        <v>97</v>
      </c>
      <c r="C31" s="18">
        <v>94</v>
      </c>
      <c r="D31" s="18">
        <v>144</v>
      </c>
      <c r="E31" s="18">
        <v>147</v>
      </c>
      <c r="F31" s="18">
        <v>103</v>
      </c>
      <c r="G31" s="18">
        <v>103</v>
      </c>
      <c r="H31" s="18">
        <v>102</v>
      </c>
      <c r="I31" s="18">
        <v>148</v>
      </c>
      <c r="J31" s="18">
        <v>132</v>
      </c>
      <c r="K31" s="18">
        <v>147</v>
      </c>
      <c r="L31" s="18">
        <v>90</v>
      </c>
      <c r="M31" s="18">
        <v>117</v>
      </c>
      <c r="N31" s="18">
        <v>102</v>
      </c>
      <c r="O31" s="18">
        <v>52</v>
      </c>
      <c r="P31" s="18">
        <v>0</v>
      </c>
      <c r="Q31" s="18">
        <v>1578</v>
      </c>
    </row>
    <row r="32" spans="1:17" s="16" customFormat="1" ht="14.25" x14ac:dyDescent="0.25">
      <c r="A32" s="17">
        <v>43769</v>
      </c>
      <c r="B32" s="18">
        <v>51</v>
      </c>
      <c r="C32" s="18">
        <v>58</v>
      </c>
      <c r="D32" s="18">
        <v>79</v>
      </c>
      <c r="E32" s="18">
        <v>81</v>
      </c>
      <c r="F32" s="18">
        <v>61</v>
      </c>
      <c r="G32" s="18">
        <v>61</v>
      </c>
      <c r="H32" s="18">
        <v>61</v>
      </c>
      <c r="I32" s="18">
        <v>81</v>
      </c>
      <c r="J32" s="18">
        <v>72</v>
      </c>
      <c r="K32" s="18">
        <v>79</v>
      </c>
      <c r="L32" s="18">
        <v>52</v>
      </c>
      <c r="M32" s="18">
        <v>65</v>
      </c>
      <c r="N32" s="18">
        <v>63</v>
      </c>
      <c r="O32" s="18">
        <v>32</v>
      </c>
      <c r="P32" s="18">
        <v>0</v>
      </c>
      <c r="Q32" s="18">
        <v>896</v>
      </c>
    </row>
    <row r="33" spans="1:8" x14ac:dyDescent="0.25">
      <c r="A33" s="15" t="s">
        <v>473</v>
      </c>
      <c r="B33" s="15" t="s">
        <v>489</v>
      </c>
      <c r="C33" s="15" t="s">
        <v>490</v>
      </c>
      <c r="D33" s="15" t="s">
        <v>491</v>
      </c>
      <c r="E33" s="15" t="s">
        <v>492</v>
      </c>
      <c r="F33" s="15" t="s">
        <v>493</v>
      </c>
      <c r="G33" s="15" t="s">
        <v>488</v>
      </c>
      <c r="H33" s="15" t="s">
        <v>7</v>
      </c>
    </row>
    <row r="34" spans="1:8" x14ac:dyDescent="0.25">
      <c r="A34" s="17">
        <v>43739</v>
      </c>
      <c r="B34" s="18">
        <v>106</v>
      </c>
      <c r="C34" s="18">
        <v>120</v>
      </c>
      <c r="D34" s="18">
        <v>109</v>
      </c>
      <c r="E34" s="18">
        <v>123</v>
      </c>
      <c r="F34" s="18">
        <v>134</v>
      </c>
      <c r="G34" s="18">
        <v>0</v>
      </c>
      <c r="H34" s="18">
        <v>592</v>
      </c>
    </row>
    <row r="35" spans="1:8" x14ac:dyDescent="0.25">
      <c r="A35" s="17">
        <v>43740</v>
      </c>
      <c r="B35" s="18">
        <v>136</v>
      </c>
      <c r="C35" s="18">
        <v>135</v>
      </c>
      <c r="D35" s="18">
        <v>156</v>
      </c>
      <c r="E35" s="18">
        <v>141</v>
      </c>
      <c r="F35" s="18">
        <v>160</v>
      </c>
      <c r="G35" s="18">
        <v>0</v>
      </c>
      <c r="H35" s="18">
        <v>728</v>
      </c>
    </row>
    <row r="36" spans="1:8" x14ac:dyDescent="0.25">
      <c r="A36" s="17">
        <v>43741</v>
      </c>
      <c r="B36" s="18">
        <v>93</v>
      </c>
      <c r="C36" s="18">
        <v>107</v>
      </c>
      <c r="D36" s="18">
        <v>67</v>
      </c>
      <c r="E36" s="18">
        <v>112</v>
      </c>
      <c r="F36" s="18">
        <v>127</v>
      </c>
      <c r="G36" s="18">
        <v>0</v>
      </c>
      <c r="H36" s="18">
        <v>506</v>
      </c>
    </row>
    <row r="37" spans="1:8" x14ac:dyDescent="0.25">
      <c r="A37" s="17">
        <v>43742</v>
      </c>
      <c r="B37" s="18">
        <v>129</v>
      </c>
      <c r="C37" s="18">
        <v>117</v>
      </c>
      <c r="D37" s="18">
        <v>118</v>
      </c>
      <c r="E37" s="18">
        <v>134</v>
      </c>
      <c r="F37" s="18">
        <v>151</v>
      </c>
      <c r="G37" s="18">
        <v>0</v>
      </c>
      <c r="H37" s="18">
        <v>649</v>
      </c>
    </row>
    <row r="38" spans="1:8" x14ac:dyDescent="0.25">
      <c r="A38" s="17">
        <v>43743</v>
      </c>
      <c r="B38" s="18">
        <v>96</v>
      </c>
      <c r="C38" s="18">
        <v>98</v>
      </c>
      <c r="D38" s="18">
        <v>90</v>
      </c>
      <c r="E38" s="18">
        <v>102</v>
      </c>
      <c r="F38" s="18">
        <v>110</v>
      </c>
      <c r="G38" s="18">
        <v>0</v>
      </c>
      <c r="H38" s="18">
        <v>496</v>
      </c>
    </row>
    <row r="39" spans="1:8" x14ac:dyDescent="0.25">
      <c r="A39" s="17">
        <v>43744</v>
      </c>
      <c r="B39" s="18">
        <v>79</v>
      </c>
      <c r="C39" s="18">
        <v>65</v>
      </c>
      <c r="D39" s="18">
        <v>51</v>
      </c>
      <c r="E39" s="18">
        <v>77</v>
      </c>
      <c r="F39" s="18">
        <v>87</v>
      </c>
      <c r="G39" s="18">
        <v>0</v>
      </c>
      <c r="H39" s="18">
        <v>359</v>
      </c>
    </row>
    <row r="40" spans="1:8" x14ac:dyDescent="0.25">
      <c r="A40" s="17">
        <v>43745</v>
      </c>
      <c r="B40" s="18">
        <v>106</v>
      </c>
      <c r="C40" s="18">
        <v>112</v>
      </c>
      <c r="D40" s="18">
        <v>128</v>
      </c>
      <c r="E40" s="18">
        <v>121</v>
      </c>
      <c r="F40" s="18">
        <v>142</v>
      </c>
      <c r="G40" s="18">
        <v>0</v>
      </c>
      <c r="H40" s="18">
        <v>609</v>
      </c>
    </row>
    <row r="41" spans="1:8" x14ac:dyDescent="0.25">
      <c r="A41" s="17">
        <v>43746</v>
      </c>
      <c r="B41" s="18">
        <v>109</v>
      </c>
      <c r="C41" s="18">
        <v>99</v>
      </c>
      <c r="D41" s="18">
        <v>110</v>
      </c>
      <c r="E41" s="18">
        <v>113</v>
      </c>
      <c r="F41" s="18">
        <v>127</v>
      </c>
      <c r="G41" s="18">
        <v>0</v>
      </c>
      <c r="H41" s="18">
        <v>558</v>
      </c>
    </row>
    <row r="42" spans="1:8" x14ac:dyDescent="0.25">
      <c r="A42" s="17">
        <v>43747</v>
      </c>
      <c r="B42" s="18">
        <v>97</v>
      </c>
      <c r="C42" s="18">
        <v>97</v>
      </c>
      <c r="D42" s="18">
        <v>107</v>
      </c>
      <c r="E42" s="18">
        <v>100</v>
      </c>
      <c r="F42" s="18">
        <v>112</v>
      </c>
      <c r="G42" s="18">
        <v>0</v>
      </c>
      <c r="H42" s="18">
        <v>513</v>
      </c>
    </row>
    <row r="43" spans="1:8" x14ac:dyDescent="0.25">
      <c r="A43" s="17">
        <v>43748</v>
      </c>
      <c r="B43" s="18">
        <v>119</v>
      </c>
      <c r="C43" s="18">
        <v>118</v>
      </c>
      <c r="D43" s="18">
        <v>119</v>
      </c>
      <c r="E43" s="18">
        <v>117</v>
      </c>
      <c r="F43" s="18">
        <v>136</v>
      </c>
      <c r="G43" s="18">
        <v>0</v>
      </c>
      <c r="H43" s="18">
        <v>609</v>
      </c>
    </row>
    <row r="44" spans="1:8" x14ac:dyDescent="0.25">
      <c r="A44" s="17">
        <v>43749</v>
      </c>
      <c r="B44" s="18">
        <v>126</v>
      </c>
      <c r="C44" s="18">
        <v>113</v>
      </c>
      <c r="D44" s="18">
        <v>146</v>
      </c>
      <c r="E44" s="18">
        <v>125</v>
      </c>
      <c r="F44" s="18">
        <v>147</v>
      </c>
      <c r="G44" s="18">
        <v>0</v>
      </c>
      <c r="H44" s="18">
        <v>657</v>
      </c>
    </row>
    <row r="45" spans="1:8" x14ac:dyDescent="0.25">
      <c r="A45" s="17">
        <v>43750</v>
      </c>
      <c r="B45" s="18">
        <v>114</v>
      </c>
      <c r="C45" s="18">
        <v>103</v>
      </c>
      <c r="D45" s="18">
        <v>128</v>
      </c>
      <c r="E45" s="18">
        <v>116</v>
      </c>
      <c r="F45" s="18">
        <v>131</v>
      </c>
      <c r="G45" s="18">
        <v>0</v>
      </c>
      <c r="H45" s="18">
        <v>592</v>
      </c>
    </row>
    <row r="46" spans="1:8" x14ac:dyDescent="0.25">
      <c r="A46" s="17">
        <v>43751</v>
      </c>
      <c r="B46" s="18">
        <v>116</v>
      </c>
      <c r="C46" s="18">
        <v>105</v>
      </c>
      <c r="D46" s="18">
        <v>131</v>
      </c>
      <c r="E46" s="18">
        <v>116</v>
      </c>
      <c r="F46" s="18">
        <v>133</v>
      </c>
      <c r="G46" s="18">
        <v>0</v>
      </c>
      <c r="H46" s="18">
        <v>601</v>
      </c>
    </row>
    <row r="47" spans="1:8" x14ac:dyDescent="0.25">
      <c r="A47" s="17">
        <v>43752</v>
      </c>
      <c r="B47" s="18">
        <v>114</v>
      </c>
      <c r="C47" s="18">
        <v>113</v>
      </c>
      <c r="D47" s="18">
        <v>129</v>
      </c>
      <c r="E47" s="18">
        <v>116</v>
      </c>
      <c r="F47" s="18">
        <v>132</v>
      </c>
      <c r="G47" s="18">
        <v>0</v>
      </c>
      <c r="H47" s="18">
        <v>604</v>
      </c>
    </row>
    <row r="48" spans="1:8" x14ac:dyDescent="0.25">
      <c r="A48" s="17">
        <v>43753</v>
      </c>
      <c r="B48" s="18">
        <v>125</v>
      </c>
      <c r="C48" s="18">
        <v>124</v>
      </c>
      <c r="D48" s="18">
        <v>147</v>
      </c>
      <c r="E48" s="18">
        <v>122</v>
      </c>
      <c r="F48" s="18">
        <v>146</v>
      </c>
      <c r="G48" s="18">
        <v>0</v>
      </c>
      <c r="H48" s="18">
        <v>664</v>
      </c>
    </row>
    <row r="49" spans="1:8" x14ac:dyDescent="0.25">
      <c r="A49" s="17">
        <v>43754</v>
      </c>
      <c r="B49" s="18">
        <v>125</v>
      </c>
      <c r="C49" s="18">
        <v>124</v>
      </c>
      <c r="D49" s="18">
        <v>147</v>
      </c>
      <c r="E49" s="18">
        <v>121</v>
      </c>
      <c r="F49" s="18">
        <v>147</v>
      </c>
      <c r="G49" s="18">
        <v>0</v>
      </c>
      <c r="H49" s="18">
        <v>664</v>
      </c>
    </row>
    <row r="50" spans="1:8" x14ac:dyDescent="0.25">
      <c r="A50" s="17">
        <v>43755</v>
      </c>
      <c r="B50" s="18">
        <v>126</v>
      </c>
      <c r="C50" s="18">
        <v>124</v>
      </c>
      <c r="D50" s="18">
        <v>149</v>
      </c>
      <c r="E50" s="18">
        <v>121</v>
      </c>
      <c r="F50" s="18">
        <v>147</v>
      </c>
      <c r="G50" s="18">
        <v>0</v>
      </c>
      <c r="H50" s="18">
        <v>667</v>
      </c>
    </row>
    <row r="51" spans="1:8" x14ac:dyDescent="0.25">
      <c r="A51" s="17">
        <v>43756</v>
      </c>
      <c r="B51" s="18">
        <v>129</v>
      </c>
      <c r="C51" s="18">
        <v>128</v>
      </c>
      <c r="D51" s="18">
        <v>155</v>
      </c>
      <c r="E51" s="18">
        <v>123</v>
      </c>
      <c r="F51" s="18">
        <v>152</v>
      </c>
      <c r="G51" s="18">
        <v>0</v>
      </c>
      <c r="H51" s="18">
        <v>687</v>
      </c>
    </row>
    <row r="52" spans="1:8" x14ac:dyDescent="0.25">
      <c r="A52" s="17">
        <v>43757</v>
      </c>
      <c r="B52" s="18">
        <v>116</v>
      </c>
      <c r="C52" s="18">
        <v>116</v>
      </c>
      <c r="D52" s="18">
        <v>138</v>
      </c>
      <c r="E52" s="18">
        <v>113</v>
      </c>
      <c r="F52" s="18">
        <v>135</v>
      </c>
      <c r="G52" s="18">
        <v>0</v>
      </c>
      <c r="H52" s="18">
        <v>618</v>
      </c>
    </row>
    <row r="53" spans="1:8" x14ac:dyDescent="0.25">
      <c r="A53" s="17">
        <v>43758</v>
      </c>
      <c r="B53" s="18">
        <v>126</v>
      </c>
      <c r="C53" s="18">
        <v>124</v>
      </c>
      <c r="D53" s="18">
        <v>152</v>
      </c>
      <c r="E53" s="18">
        <v>120</v>
      </c>
      <c r="F53" s="18">
        <v>148</v>
      </c>
      <c r="G53" s="18">
        <v>0</v>
      </c>
      <c r="H53" s="18">
        <v>670</v>
      </c>
    </row>
    <row r="54" spans="1:8" x14ac:dyDescent="0.25">
      <c r="A54" s="17">
        <v>43759</v>
      </c>
      <c r="B54" s="18">
        <v>97</v>
      </c>
      <c r="C54" s="18">
        <v>98</v>
      </c>
      <c r="D54" s="18">
        <v>111</v>
      </c>
      <c r="E54" s="18">
        <v>99</v>
      </c>
      <c r="F54" s="18">
        <v>114</v>
      </c>
      <c r="G54" s="18">
        <v>0</v>
      </c>
      <c r="H54" s="18">
        <v>519</v>
      </c>
    </row>
    <row r="55" spans="1:8" x14ac:dyDescent="0.25">
      <c r="A55" s="17">
        <v>43760</v>
      </c>
      <c r="B55" s="18">
        <v>108</v>
      </c>
      <c r="C55" s="18">
        <v>103</v>
      </c>
      <c r="D55" s="18">
        <v>137</v>
      </c>
      <c r="E55" s="18">
        <v>109</v>
      </c>
      <c r="F55" s="18">
        <v>135</v>
      </c>
      <c r="G55" s="18">
        <v>0</v>
      </c>
      <c r="H55" s="18">
        <v>592</v>
      </c>
    </row>
    <row r="56" spans="1:8" x14ac:dyDescent="0.25">
      <c r="A56" s="17">
        <v>43761</v>
      </c>
      <c r="B56" s="18">
        <v>119</v>
      </c>
      <c r="C56" s="18">
        <v>118</v>
      </c>
      <c r="D56" s="18">
        <v>145</v>
      </c>
      <c r="E56" s="18">
        <v>111</v>
      </c>
      <c r="F56" s="18">
        <v>142</v>
      </c>
      <c r="G56" s="18">
        <v>0</v>
      </c>
      <c r="H56" s="18">
        <v>635</v>
      </c>
    </row>
    <row r="57" spans="1:8" x14ac:dyDescent="0.25">
      <c r="A57" s="17">
        <v>43762</v>
      </c>
      <c r="B57" s="18">
        <v>114</v>
      </c>
      <c r="C57" s="18">
        <v>114</v>
      </c>
      <c r="D57" s="18">
        <v>138</v>
      </c>
      <c r="E57" s="18">
        <v>110</v>
      </c>
      <c r="F57" s="18">
        <v>134</v>
      </c>
      <c r="G57" s="18">
        <v>0</v>
      </c>
      <c r="H57" s="18">
        <v>610</v>
      </c>
    </row>
    <row r="58" spans="1:8" x14ac:dyDescent="0.25">
      <c r="A58" s="17">
        <v>43763</v>
      </c>
      <c r="B58" s="18">
        <v>104</v>
      </c>
      <c r="C58" s="18">
        <v>94</v>
      </c>
      <c r="D58" s="18">
        <v>125</v>
      </c>
      <c r="E58" s="18">
        <v>99</v>
      </c>
      <c r="F58" s="18">
        <v>123</v>
      </c>
      <c r="G58" s="18">
        <v>0</v>
      </c>
      <c r="H58" s="18">
        <v>545</v>
      </c>
    </row>
    <row r="59" spans="1:8" x14ac:dyDescent="0.25">
      <c r="A59" s="17">
        <v>43764</v>
      </c>
      <c r="B59" s="18">
        <v>111</v>
      </c>
      <c r="C59" s="18">
        <v>110</v>
      </c>
      <c r="D59" s="18">
        <v>136</v>
      </c>
      <c r="E59" s="18">
        <v>102</v>
      </c>
      <c r="F59" s="18">
        <v>129</v>
      </c>
      <c r="G59" s="18">
        <v>0</v>
      </c>
      <c r="H59" s="18">
        <v>588</v>
      </c>
    </row>
    <row r="60" spans="1:8" x14ac:dyDescent="0.25">
      <c r="A60" s="17">
        <v>43765</v>
      </c>
      <c r="B60" s="18">
        <v>114</v>
      </c>
      <c r="C60" s="18">
        <v>112</v>
      </c>
      <c r="D60" s="18">
        <v>141</v>
      </c>
      <c r="E60" s="18">
        <v>106</v>
      </c>
      <c r="F60" s="18">
        <v>135</v>
      </c>
      <c r="G60" s="18">
        <v>0</v>
      </c>
      <c r="H60" s="18">
        <v>608</v>
      </c>
    </row>
    <row r="61" spans="1:8" x14ac:dyDescent="0.25">
      <c r="A61" s="17">
        <v>43766</v>
      </c>
      <c r="B61" s="18">
        <v>114</v>
      </c>
      <c r="C61" s="18">
        <v>102</v>
      </c>
      <c r="D61" s="18">
        <v>142</v>
      </c>
      <c r="E61" s="18">
        <v>106</v>
      </c>
      <c r="F61" s="18">
        <v>132</v>
      </c>
      <c r="G61" s="18">
        <v>0</v>
      </c>
      <c r="H61" s="18">
        <v>596</v>
      </c>
    </row>
    <row r="62" spans="1:8" x14ac:dyDescent="0.25">
      <c r="A62" s="17">
        <v>43767</v>
      </c>
      <c r="B62" s="18">
        <v>88</v>
      </c>
      <c r="C62" s="18">
        <v>79</v>
      </c>
      <c r="D62" s="18">
        <v>99</v>
      </c>
      <c r="E62" s="18">
        <v>87</v>
      </c>
      <c r="F62" s="18">
        <v>99</v>
      </c>
      <c r="G62" s="18">
        <v>0</v>
      </c>
      <c r="H62" s="18">
        <v>452</v>
      </c>
    </row>
    <row r="63" spans="1:8" x14ac:dyDescent="0.25">
      <c r="A63" s="17">
        <v>43768</v>
      </c>
      <c r="B63" s="18">
        <v>112</v>
      </c>
      <c r="C63" s="18">
        <v>112</v>
      </c>
      <c r="D63" s="18">
        <v>138</v>
      </c>
      <c r="E63" s="18">
        <v>104</v>
      </c>
      <c r="F63" s="18">
        <v>133</v>
      </c>
      <c r="G63" s="18">
        <v>0</v>
      </c>
      <c r="H63" s="18">
        <v>599</v>
      </c>
    </row>
    <row r="64" spans="1:8" x14ac:dyDescent="0.25">
      <c r="A64" s="17">
        <v>43769</v>
      </c>
      <c r="B64" s="18">
        <v>74</v>
      </c>
      <c r="C64" s="18">
        <v>70</v>
      </c>
      <c r="D64" s="18">
        <v>86</v>
      </c>
      <c r="E64" s="18">
        <v>73</v>
      </c>
      <c r="F64" s="18">
        <v>85</v>
      </c>
      <c r="G64" s="18">
        <v>0</v>
      </c>
      <c r="H64" s="18">
        <v>388</v>
      </c>
    </row>
    <row r="65" spans="1:9" x14ac:dyDescent="0.25">
      <c r="A65" s="15" t="s">
        <v>473</v>
      </c>
      <c r="B65" s="15" t="s">
        <v>494</v>
      </c>
      <c r="C65" s="15" t="s">
        <v>495</v>
      </c>
      <c r="D65" s="15" t="s">
        <v>496</v>
      </c>
      <c r="E65" s="15" t="s">
        <v>497</v>
      </c>
      <c r="F65" s="15" t="s">
        <v>498</v>
      </c>
      <c r="G65" s="15" t="s">
        <v>499</v>
      </c>
      <c r="H65" s="15" t="s">
        <v>488</v>
      </c>
      <c r="I65" s="15" t="s">
        <v>7</v>
      </c>
    </row>
    <row r="66" spans="1:9" x14ac:dyDescent="0.25">
      <c r="A66" s="17">
        <v>43739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</row>
    <row r="67" spans="1:9" x14ac:dyDescent="0.25">
      <c r="A67" s="17">
        <v>43740</v>
      </c>
      <c r="B67" s="18">
        <v>0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</row>
    <row r="68" spans="1:9" x14ac:dyDescent="0.25">
      <c r="A68" s="17">
        <v>43741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</row>
    <row r="69" spans="1:9" x14ac:dyDescent="0.25">
      <c r="A69" s="17">
        <v>43742</v>
      </c>
      <c r="B69" s="18">
        <v>97</v>
      </c>
      <c r="C69" s="18">
        <v>98</v>
      </c>
      <c r="D69" s="18">
        <v>97</v>
      </c>
      <c r="E69" s="18">
        <v>96</v>
      </c>
      <c r="F69" s="18">
        <v>97</v>
      </c>
      <c r="G69" s="18">
        <v>93</v>
      </c>
      <c r="H69" s="18">
        <v>0</v>
      </c>
      <c r="I69" s="18">
        <v>578</v>
      </c>
    </row>
    <row r="70" spans="1:9" x14ac:dyDescent="0.25">
      <c r="A70" s="17">
        <v>43743</v>
      </c>
      <c r="B70" s="18">
        <v>98</v>
      </c>
      <c r="C70" s="18">
        <v>106</v>
      </c>
      <c r="D70" s="18">
        <v>104</v>
      </c>
      <c r="E70" s="18">
        <v>104</v>
      </c>
      <c r="F70" s="18">
        <v>99</v>
      </c>
      <c r="G70" s="18">
        <v>98</v>
      </c>
      <c r="H70" s="18">
        <v>0</v>
      </c>
      <c r="I70" s="18">
        <v>609</v>
      </c>
    </row>
    <row r="71" spans="1:9" x14ac:dyDescent="0.25">
      <c r="A71" s="17">
        <v>43744</v>
      </c>
      <c r="B71" s="18">
        <v>74</v>
      </c>
      <c r="C71" s="18">
        <v>80</v>
      </c>
      <c r="D71" s="18">
        <v>79</v>
      </c>
      <c r="E71" s="18">
        <v>79</v>
      </c>
      <c r="F71" s="18">
        <v>77</v>
      </c>
      <c r="G71" s="18">
        <v>75</v>
      </c>
      <c r="H71" s="18">
        <v>0</v>
      </c>
      <c r="I71" s="18">
        <v>464</v>
      </c>
    </row>
    <row r="72" spans="1:9" x14ac:dyDescent="0.25">
      <c r="A72" s="17">
        <v>43745</v>
      </c>
      <c r="B72" s="18">
        <v>125</v>
      </c>
      <c r="C72" s="18">
        <v>132</v>
      </c>
      <c r="D72" s="18">
        <v>130</v>
      </c>
      <c r="E72" s="18">
        <v>130</v>
      </c>
      <c r="F72" s="18">
        <v>128</v>
      </c>
      <c r="G72" s="18">
        <v>122</v>
      </c>
      <c r="H72" s="18">
        <v>0</v>
      </c>
      <c r="I72" s="18">
        <v>767</v>
      </c>
    </row>
    <row r="73" spans="1:9" x14ac:dyDescent="0.25">
      <c r="A73" s="17">
        <v>43746</v>
      </c>
      <c r="B73" s="18">
        <v>117</v>
      </c>
      <c r="C73" s="18">
        <v>123</v>
      </c>
      <c r="D73" s="18">
        <v>122</v>
      </c>
      <c r="E73" s="18">
        <v>121</v>
      </c>
      <c r="F73" s="18">
        <v>118</v>
      </c>
      <c r="G73" s="18">
        <v>116</v>
      </c>
      <c r="H73" s="18">
        <v>0</v>
      </c>
      <c r="I73" s="18">
        <v>717</v>
      </c>
    </row>
    <row r="74" spans="1:9" x14ac:dyDescent="0.25">
      <c r="A74" s="17">
        <v>43747</v>
      </c>
      <c r="B74" s="18">
        <v>101</v>
      </c>
      <c r="C74" s="18">
        <v>104</v>
      </c>
      <c r="D74" s="18">
        <v>103</v>
      </c>
      <c r="E74" s="18">
        <v>103</v>
      </c>
      <c r="F74" s="18">
        <v>102</v>
      </c>
      <c r="G74" s="18">
        <v>99</v>
      </c>
      <c r="H74" s="18">
        <v>0</v>
      </c>
      <c r="I74" s="18">
        <v>612</v>
      </c>
    </row>
    <row r="75" spans="1:9" x14ac:dyDescent="0.25">
      <c r="A75" s="17">
        <v>43748</v>
      </c>
      <c r="B75" s="18">
        <v>121</v>
      </c>
      <c r="C75" s="18">
        <v>126</v>
      </c>
      <c r="D75" s="18">
        <v>125</v>
      </c>
      <c r="E75" s="18">
        <v>124</v>
      </c>
      <c r="F75" s="18">
        <v>123</v>
      </c>
      <c r="G75" s="18">
        <v>119</v>
      </c>
      <c r="H75" s="18">
        <v>0</v>
      </c>
      <c r="I75" s="18">
        <v>738</v>
      </c>
    </row>
    <row r="76" spans="1:9" x14ac:dyDescent="0.25">
      <c r="A76" s="17">
        <v>43749</v>
      </c>
      <c r="B76" s="18">
        <v>124</v>
      </c>
      <c r="C76" s="18">
        <v>129</v>
      </c>
      <c r="D76" s="18">
        <v>128</v>
      </c>
      <c r="E76" s="18">
        <v>128</v>
      </c>
      <c r="F76" s="18">
        <v>124</v>
      </c>
      <c r="G76" s="18">
        <v>123</v>
      </c>
      <c r="H76" s="18">
        <v>0</v>
      </c>
      <c r="I76" s="18">
        <v>756</v>
      </c>
    </row>
    <row r="77" spans="1:9" x14ac:dyDescent="0.25">
      <c r="A77" s="17">
        <v>43750</v>
      </c>
      <c r="B77" s="18">
        <v>113</v>
      </c>
      <c r="C77" s="18">
        <v>118</v>
      </c>
      <c r="D77" s="18">
        <v>117</v>
      </c>
      <c r="E77" s="18">
        <v>117</v>
      </c>
      <c r="F77" s="18">
        <v>114</v>
      </c>
      <c r="G77" s="18">
        <v>110</v>
      </c>
      <c r="H77" s="18">
        <v>0</v>
      </c>
      <c r="I77" s="18">
        <v>689</v>
      </c>
    </row>
    <row r="78" spans="1:9" x14ac:dyDescent="0.25">
      <c r="A78" s="17">
        <v>43751</v>
      </c>
      <c r="B78" s="18">
        <v>118</v>
      </c>
      <c r="C78" s="18">
        <v>123</v>
      </c>
      <c r="D78" s="18">
        <v>121</v>
      </c>
      <c r="E78" s="18">
        <v>121</v>
      </c>
      <c r="F78" s="18">
        <v>120</v>
      </c>
      <c r="G78" s="18">
        <v>115</v>
      </c>
      <c r="H78" s="18">
        <v>0</v>
      </c>
      <c r="I78" s="18">
        <v>718</v>
      </c>
    </row>
    <row r="79" spans="1:9" x14ac:dyDescent="0.25">
      <c r="A79" s="17">
        <v>43752</v>
      </c>
      <c r="B79" s="18">
        <v>114</v>
      </c>
      <c r="C79" s="18">
        <v>119</v>
      </c>
      <c r="D79" s="18">
        <v>117</v>
      </c>
      <c r="E79" s="18">
        <v>117</v>
      </c>
      <c r="F79" s="18">
        <v>116</v>
      </c>
      <c r="G79" s="18">
        <v>110</v>
      </c>
      <c r="H79" s="18">
        <v>0</v>
      </c>
      <c r="I79" s="18">
        <v>693</v>
      </c>
    </row>
    <row r="80" spans="1:9" x14ac:dyDescent="0.25">
      <c r="A80" s="17">
        <v>43753</v>
      </c>
      <c r="B80" s="18">
        <v>127</v>
      </c>
      <c r="C80" s="18">
        <v>132</v>
      </c>
      <c r="D80" s="18">
        <v>130</v>
      </c>
      <c r="E80" s="18">
        <v>130</v>
      </c>
      <c r="F80" s="18">
        <v>130</v>
      </c>
      <c r="G80" s="18">
        <v>123</v>
      </c>
      <c r="H80" s="18">
        <v>0</v>
      </c>
      <c r="I80" s="18">
        <v>772</v>
      </c>
    </row>
    <row r="81" spans="1:9" x14ac:dyDescent="0.25">
      <c r="A81" s="17">
        <v>43754</v>
      </c>
      <c r="B81" s="18">
        <v>127</v>
      </c>
      <c r="C81" s="18">
        <v>133</v>
      </c>
      <c r="D81" s="18">
        <v>131</v>
      </c>
      <c r="E81" s="18">
        <v>130</v>
      </c>
      <c r="F81" s="18">
        <v>129</v>
      </c>
      <c r="G81" s="18">
        <v>122</v>
      </c>
      <c r="H81" s="18">
        <v>0</v>
      </c>
      <c r="I81" s="18">
        <v>772</v>
      </c>
    </row>
    <row r="82" spans="1:9" x14ac:dyDescent="0.25">
      <c r="A82" s="17">
        <v>43755</v>
      </c>
      <c r="B82" s="18">
        <v>126</v>
      </c>
      <c r="C82" s="18">
        <v>131</v>
      </c>
      <c r="D82" s="18">
        <v>130</v>
      </c>
      <c r="E82" s="18">
        <v>130</v>
      </c>
      <c r="F82" s="18">
        <v>128</v>
      </c>
      <c r="G82" s="18">
        <v>122</v>
      </c>
      <c r="H82" s="18">
        <v>0</v>
      </c>
      <c r="I82" s="18">
        <v>767</v>
      </c>
    </row>
    <row r="83" spans="1:9" x14ac:dyDescent="0.25">
      <c r="A83" s="17">
        <v>43756</v>
      </c>
      <c r="B83" s="18">
        <v>130</v>
      </c>
      <c r="C83" s="18">
        <v>136</v>
      </c>
      <c r="D83" s="18">
        <v>134</v>
      </c>
      <c r="E83" s="18">
        <v>134</v>
      </c>
      <c r="F83" s="18">
        <v>132</v>
      </c>
      <c r="G83" s="18">
        <v>126</v>
      </c>
      <c r="H83" s="18">
        <v>0</v>
      </c>
      <c r="I83" s="18">
        <v>792</v>
      </c>
    </row>
    <row r="84" spans="1:9" x14ac:dyDescent="0.25">
      <c r="A84" s="17">
        <v>43757</v>
      </c>
      <c r="B84" s="18">
        <v>118</v>
      </c>
      <c r="C84" s="18">
        <v>122</v>
      </c>
      <c r="D84" s="18">
        <v>120</v>
      </c>
      <c r="E84" s="18">
        <v>119</v>
      </c>
      <c r="F84" s="18">
        <v>120</v>
      </c>
      <c r="G84" s="18">
        <v>114</v>
      </c>
      <c r="H84" s="18">
        <v>0</v>
      </c>
      <c r="I84" s="18">
        <v>713</v>
      </c>
    </row>
    <row r="85" spans="1:9" x14ac:dyDescent="0.25">
      <c r="A85" s="17">
        <v>43758</v>
      </c>
      <c r="B85" s="18">
        <v>127</v>
      </c>
      <c r="C85" s="18">
        <v>133</v>
      </c>
      <c r="D85" s="18">
        <v>131</v>
      </c>
      <c r="E85" s="18">
        <v>131</v>
      </c>
      <c r="F85" s="18">
        <v>129</v>
      </c>
      <c r="G85" s="18">
        <v>123</v>
      </c>
      <c r="H85" s="18">
        <v>0</v>
      </c>
      <c r="I85" s="18">
        <v>774</v>
      </c>
    </row>
    <row r="86" spans="1:9" x14ac:dyDescent="0.25">
      <c r="A86" s="17">
        <v>43759</v>
      </c>
      <c r="B86" s="18">
        <v>107</v>
      </c>
      <c r="C86" s="18">
        <v>110</v>
      </c>
      <c r="D86" s="18">
        <v>108</v>
      </c>
      <c r="E86" s="18">
        <v>108</v>
      </c>
      <c r="F86" s="18">
        <v>107</v>
      </c>
      <c r="G86" s="18">
        <v>102</v>
      </c>
      <c r="H86" s="18">
        <v>0</v>
      </c>
      <c r="I86" s="18">
        <v>642</v>
      </c>
    </row>
    <row r="87" spans="1:9" x14ac:dyDescent="0.25">
      <c r="A87" s="17">
        <v>43760</v>
      </c>
      <c r="B87" s="18">
        <v>117</v>
      </c>
      <c r="C87" s="18">
        <v>123</v>
      </c>
      <c r="D87" s="18">
        <v>122</v>
      </c>
      <c r="E87" s="18">
        <v>121</v>
      </c>
      <c r="F87" s="18">
        <v>119</v>
      </c>
      <c r="G87" s="18">
        <v>112</v>
      </c>
      <c r="H87" s="18">
        <v>0</v>
      </c>
      <c r="I87" s="18">
        <v>714</v>
      </c>
    </row>
    <row r="88" spans="1:9" x14ac:dyDescent="0.25">
      <c r="A88" s="17">
        <v>43761</v>
      </c>
      <c r="B88" s="18">
        <v>121</v>
      </c>
      <c r="C88" s="18">
        <v>128</v>
      </c>
      <c r="D88" s="18">
        <v>126</v>
      </c>
      <c r="E88" s="18">
        <v>126</v>
      </c>
      <c r="F88" s="18">
        <v>124</v>
      </c>
      <c r="G88" s="18">
        <v>118</v>
      </c>
      <c r="H88" s="18">
        <v>0</v>
      </c>
      <c r="I88" s="18">
        <v>743</v>
      </c>
    </row>
    <row r="89" spans="1:9" x14ac:dyDescent="0.25">
      <c r="A89" s="17">
        <v>43762</v>
      </c>
      <c r="B89" s="18">
        <v>117</v>
      </c>
      <c r="C89" s="18">
        <v>122</v>
      </c>
      <c r="D89" s="18">
        <v>120</v>
      </c>
      <c r="E89" s="18">
        <v>120</v>
      </c>
      <c r="F89" s="18">
        <v>118</v>
      </c>
      <c r="G89" s="18">
        <v>113</v>
      </c>
      <c r="H89" s="18">
        <v>0</v>
      </c>
      <c r="I89" s="18">
        <v>710</v>
      </c>
    </row>
    <row r="90" spans="1:9" x14ac:dyDescent="0.25">
      <c r="A90" s="17">
        <v>43763</v>
      </c>
      <c r="B90" s="18">
        <v>110</v>
      </c>
      <c r="C90" s="18">
        <v>115</v>
      </c>
      <c r="D90" s="18">
        <v>114</v>
      </c>
      <c r="E90" s="18">
        <v>113</v>
      </c>
      <c r="F90" s="18">
        <v>112</v>
      </c>
      <c r="G90" s="18">
        <v>106</v>
      </c>
      <c r="H90" s="18">
        <v>0</v>
      </c>
      <c r="I90" s="18">
        <v>670</v>
      </c>
    </row>
    <row r="91" spans="1:9" x14ac:dyDescent="0.25">
      <c r="A91" s="17">
        <v>43764</v>
      </c>
      <c r="B91" s="18">
        <v>114</v>
      </c>
      <c r="C91" s="18">
        <v>120</v>
      </c>
      <c r="D91" s="18">
        <v>117</v>
      </c>
      <c r="E91" s="18">
        <v>118</v>
      </c>
      <c r="F91" s="18">
        <v>116</v>
      </c>
      <c r="G91" s="18">
        <v>110</v>
      </c>
      <c r="H91" s="18">
        <v>0</v>
      </c>
      <c r="I91" s="18">
        <v>695</v>
      </c>
    </row>
    <row r="92" spans="1:9" x14ac:dyDescent="0.25">
      <c r="A92" s="17">
        <v>43765</v>
      </c>
      <c r="B92" s="18">
        <v>115</v>
      </c>
      <c r="C92" s="18">
        <v>121</v>
      </c>
      <c r="D92" s="18">
        <v>120</v>
      </c>
      <c r="E92" s="18">
        <v>119</v>
      </c>
      <c r="F92" s="18">
        <v>118</v>
      </c>
      <c r="G92" s="18">
        <v>112</v>
      </c>
      <c r="H92" s="18">
        <v>0</v>
      </c>
      <c r="I92" s="18">
        <v>705</v>
      </c>
    </row>
    <row r="93" spans="1:9" x14ac:dyDescent="0.25">
      <c r="A93" s="17">
        <v>43766</v>
      </c>
      <c r="B93" s="18">
        <v>120</v>
      </c>
      <c r="C93" s="18">
        <v>125</v>
      </c>
      <c r="D93" s="18">
        <v>124</v>
      </c>
      <c r="E93" s="18">
        <v>123</v>
      </c>
      <c r="F93" s="18">
        <v>121</v>
      </c>
      <c r="G93" s="18">
        <v>116</v>
      </c>
      <c r="H93" s="18">
        <v>0</v>
      </c>
      <c r="I93" s="18">
        <v>729</v>
      </c>
    </row>
    <row r="94" spans="1:9" x14ac:dyDescent="0.25">
      <c r="A94" s="17">
        <v>43767</v>
      </c>
      <c r="B94" s="18">
        <v>88</v>
      </c>
      <c r="C94" s="18">
        <v>93</v>
      </c>
      <c r="D94" s="18">
        <v>92</v>
      </c>
      <c r="E94" s="18">
        <v>92</v>
      </c>
      <c r="F94" s="18">
        <v>90</v>
      </c>
      <c r="G94" s="18">
        <v>84</v>
      </c>
      <c r="H94" s="18">
        <v>0</v>
      </c>
      <c r="I94" s="18">
        <v>539</v>
      </c>
    </row>
    <row r="95" spans="1:9" x14ac:dyDescent="0.25">
      <c r="A95" s="17">
        <v>43768</v>
      </c>
      <c r="B95" s="18">
        <v>114</v>
      </c>
      <c r="C95" s="18">
        <v>121</v>
      </c>
      <c r="D95" s="18">
        <v>119</v>
      </c>
      <c r="E95" s="18">
        <v>119</v>
      </c>
      <c r="F95" s="18">
        <v>117</v>
      </c>
      <c r="G95" s="18">
        <v>108</v>
      </c>
      <c r="H95" s="18">
        <v>0</v>
      </c>
      <c r="I95" s="18">
        <v>698</v>
      </c>
    </row>
    <row r="96" spans="1:9" x14ac:dyDescent="0.25">
      <c r="A96" s="17">
        <v>43769</v>
      </c>
      <c r="B96" s="18">
        <v>74</v>
      </c>
      <c r="C96" s="18">
        <v>78</v>
      </c>
      <c r="D96" s="18">
        <v>77</v>
      </c>
      <c r="E96" s="18">
        <v>77</v>
      </c>
      <c r="F96" s="18">
        <v>76</v>
      </c>
      <c r="G96" s="18">
        <v>69</v>
      </c>
      <c r="H96" s="18">
        <v>0</v>
      </c>
      <c r="I96" s="18">
        <v>451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B7D9-1BFD-4662-A5C2-F927941DC309}">
  <sheetPr>
    <tabColor theme="7" tint="-0.499984740745262"/>
  </sheetPr>
  <dimension ref="A1:Q31"/>
  <sheetViews>
    <sheetView workbookViewId="0">
      <selection activeCell="H30" sqref="H30"/>
    </sheetView>
  </sheetViews>
  <sheetFormatPr defaultRowHeight="16.5" x14ac:dyDescent="0.25"/>
  <cols>
    <col min="1" max="1" width="15.625" customWidth="1"/>
    <col min="2" max="2" width="12.625" customWidth="1" collapsed="1"/>
    <col min="3" max="3" width="12.25" customWidth="1" collapsed="1"/>
    <col min="4" max="4" width="16.625" customWidth="1" collapsed="1"/>
    <col min="5" max="5" width="12.25" bestFit="1" customWidth="1" collapsed="1"/>
    <col min="6" max="6" width="13.375" bestFit="1" customWidth="1" collapsed="1"/>
    <col min="7" max="7" width="13.75" customWidth="1" collapsed="1"/>
    <col min="8" max="8" width="10.875" customWidth="1" collapsed="1"/>
    <col min="9" max="9" width="13.75" customWidth="1" collapsed="1"/>
    <col min="10" max="10" width="10.75" customWidth="1" collapsed="1"/>
    <col min="11" max="11" width="15.5" customWidth="1" collapsed="1"/>
    <col min="12" max="12" width="15.375" customWidth="1" collapsed="1"/>
    <col min="13" max="13" width="12.125" customWidth="1" collapsed="1"/>
    <col min="14" max="14" width="10.25" customWidth="1" collapsed="1"/>
    <col min="15" max="15" width="15.125" customWidth="1" collapsed="1"/>
    <col min="16" max="16" width="13.875" customWidth="1" collapsed="1"/>
    <col min="17" max="17" width="15.875" customWidth="1" collapsed="1"/>
  </cols>
  <sheetData>
    <row r="1" spans="1:17" ht="31.5" x14ac:dyDescent="0.25">
      <c r="A1" s="9" t="s">
        <v>386</v>
      </c>
      <c r="B1" s="9" t="s">
        <v>387</v>
      </c>
      <c r="C1" s="9" t="s">
        <v>388</v>
      </c>
      <c r="D1" s="9" t="s">
        <v>389</v>
      </c>
      <c r="E1" s="9" t="s">
        <v>390</v>
      </c>
      <c r="F1" s="9" t="s">
        <v>391</v>
      </c>
      <c r="G1" s="9" t="s">
        <v>392</v>
      </c>
      <c r="H1" s="9" t="s">
        <v>393</v>
      </c>
      <c r="I1" s="9" t="s">
        <v>394</v>
      </c>
      <c r="J1" s="9" t="s">
        <v>395</v>
      </c>
      <c r="K1" s="9" t="s">
        <v>396</v>
      </c>
      <c r="L1" s="9" t="s">
        <v>397</v>
      </c>
      <c r="M1" s="9" t="s">
        <v>398</v>
      </c>
      <c r="N1" s="9" t="s">
        <v>399</v>
      </c>
      <c r="O1" s="9" t="s">
        <v>400</v>
      </c>
      <c r="P1" s="9" t="s">
        <v>401</v>
      </c>
      <c r="Q1" s="9" t="s">
        <v>402</v>
      </c>
    </row>
    <row r="2" spans="1:17" ht="17.25" x14ac:dyDescent="0.25">
      <c r="A2" s="13" t="s">
        <v>403</v>
      </c>
      <c r="B2" s="10">
        <v>88.5</v>
      </c>
      <c r="C2" s="10"/>
      <c r="D2" s="10"/>
      <c r="E2" s="10"/>
      <c r="F2" s="10"/>
      <c r="G2" s="10"/>
      <c r="H2" s="12">
        <v>407.31</v>
      </c>
      <c r="I2" s="11">
        <v>72041.58</v>
      </c>
      <c r="J2" s="10"/>
      <c r="K2" s="12">
        <v>4.5999999999999996</v>
      </c>
      <c r="L2" s="10"/>
      <c r="M2" s="11">
        <v>76.715999999999994</v>
      </c>
      <c r="N2" s="10"/>
      <c r="O2" s="10" t="s">
        <v>404</v>
      </c>
      <c r="P2" s="10" t="s">
        <v>405</v>
      </c>
      <c r="Q2" s="10"/>
    </row>
    <row r="3" spans="1:17" ht="17.25" x14ac:dyDescent="0.25">
      <c r="A3" s="13" t="s">
        <v>406</v>
      </c>
      <c r="B3" s="10">
        <v>88.5</v>
      </c>
      <c r="C3" s="10"/>
      <c r="D3" s="10"/>
      <c r="E3" s="10"/>
      <c r="F3" s="10"/>
      <c r="G3" s="10"/>
      <c r="H3" s="12">
        <v>367.07</v>
      </c>
      <c r="I3" s="11">
        <v>72408.67</v>
      </c>
      <c r="J3" s="10"/>
      <c r="K3" s="12">
        <v>4.1500000000000004</v>
      </c>
      <c r="L3" s="10"/>
      <c r="M3" s="11">
        <v>67.275000000000006</v>
      </c>
      <c r="N3" s="10"/>
      <c r="O3" s="10" t="s">
        <v>407</v>
      </c>
      <c r="P3" s="10" t="s">
        <v>408</v>
      </c>
      <c r="Q3" s="10"/>
    </row>
    <row r="4" spans="1:17" ht="17.25" x14ac:dyDescent="0.25">
      <c r="A4" s="13" t="s">
        <v>409</v>
      </c>
      <c r="B4" s="10">
        <v>88.5</v>
      </c>
      <c r="C4" s="10"/>
      <c r="D4" s="10"/>
      <c r="E4" s="10"/>
      <c r="F4" s="10"/>
      <c r="G4" s="10"/>
      <c r="H4" s="12">
        <v>300.39</v>
      </c>
      <c r="I4" s="11">
        <v>72763.19</v>
      </c>
      <c r="J4" s="10"/>
      <c r="K4" s="12">
        <v>3.39</v>
      </c>
      <c r="L4" s="10"/>
      <c r="M4" s="11">
        <v>11.613</v>
      </c>
      <c r="N4" s="10"/>
      <c r="O4" s="10" t="s">
        <v>410</v>
      </c>
      <c r="P4" s="10" t="s">
        <v>411</v>
      </c>
      <c r="Q4" s="10"/>
    </row>
    <row r="5" spans="1:17" ht="17.25" x14ac:dyDescent="0.25">
      <c r="A5" s="13" t="s">
        <v>412</v>
      </c>
      <c r="B5" s="10">
        <v>88.5</v>
      </c>
      <c r="C5" s="10"/>
      <c r="D5" s="10"/>
      <c r="E5" s="10"/>
      <c r="F5" s="10"/>
      <c r="G5" s="10"/>
      <c r="H5" s="12">
        <v>297.08999999999997</v>
      </c>
      <c r="I5" s="11">
        <v>73060.28</v>
      </c>
      <c r="J5" s="10"/>
      <c r="K5" s="12">
        <v>3.36</v>
      </c>
      <c r="L5" s="10"/>
      <c r="M5" s="11">
        <v>67.504000000000005</v>
      </c>
      <c r="N5" s="10"/>
      <c r="O5" s="10" t="s">
        <v>410</v>
      </c>
      <c r="P5" s="10" t="s">
        <v>411</v>
      </c>
      <c r="Q5" s="10"/>
    </row>
    <row r="6" spans="1:17" ht="17.25" x14ac:dyDescent="0.25">
      <c r="A6" s="13" t="s">
        <v>413</v>
      </c>
      <c r="B6" s="10">
        <v>88.5</v>
      </c>
      <c r="C6" s="10"/>
      <c r="D6" s="10"/>
      <c r="E6" s="10"/>
      <c r="F6" s="10"/>
      <c r="G6" s="10"/>
      <c r="H6" s="12">
        <v>257.97000000000003</v>
      </c>
      <c r="I6" s="11">
        <v>73318.25</v>
      </c>
      <c r="J6" s="10"/>
      <c r="K6" s="12">
        <v>2.92</v>
      </c>
      <c r="L6" s="10"/>
      <c r="M6" s="11">
        <v>72.052999999999997</v>
      </c>
      <c r="N6" s="10"/>
      <c r="O6" s="10" t="s">
        <v>414</v>
      </c>
      <c r="P6" s="10" t="s">
        <v>415</v>
      </c>
      <c r="Q6" s="10"/>
    </row>
    <row r="7" spans="1:17" ht="17.25" x14ac:dyDescent="0.25">
      <c r="A7" s="13" t="s">
        <v>416</v>
      </c>
      <c r="B7" s="10">
        <v>88.5</v>
      </c>
      <c r="C7" s="10"/>
      <c r="D7" s="10"/>
      <c r="E7" s="10"/>
      <c r="F7" s="10"/>
      <c r="G7" s="10"/>
      <c r="H7" s="12">
        <v>201.99</v>
      </c>
      <c r="I7" s="11">
        <v>73520.240000000005</v>
      </c>
      <c r="J7" s="10"/>
      <c r="K7" s="12">
        <v>2.2799999999999998</v>
      </c>
      <c r="L7" s="10"/>
      <c r="M7" s="11">
        <v>49.847999999999999</v>
      </c>
      <c r="N7" s="10"/>
      <c r="O7" s="10" t="s">
        <v>417</v>
      </c>
      <c r="P7" s="10" t="s">
        <v>418</v>
      </c>
      <c r="Q7" s="10"/>
    </row>
    <row r="8" spans="1:17" ht="17.25" x14ac:dyDescent="0.25">
      <c r="A8" s="13" t="s">
        <v>419</v>
      </c>
      <c r="B8" s="10">
        <v>88.5</v>
      </c>
      <c r="C8" s="10"/>
      <c r="D8" s="10"/>
      <c r="E8" s="10"/>
      <c r="F8" s="10"/>
      <c r="G8" s="10"/>
      <c r="H8" s="12">
        <v>403.45</v>
      </c>
      <c r="I8" s="11">
        <v>73923.69</v>
      </c>
      <c r="J8" s="10"/>
      <c r="K8" s="12">
        <v>4.5599999999999996</v>
      </c>
      <c r="L8" s="10"/>
      <c r="M8" s="11">
        <v>74.492999999999995</v>
      </c>
      <c r="N8" s="10"/>
      <c r="O8" s="10" t="s">
        <v>420</v>
      </c>
      <c r="P8" s="10" t="s">
        <v>405</v>
      </c>
      <c r="Q8" s="10"/>
    </row>
    <row r="9" spans="1:17" ht="17.25" x14ac:dyDescent="0.25">
      <c r="A9" s="13" t="s">
        <v>421</v>
      </c>
      <c r="B9" s="10">
        <v>88.5</v>
      </c>
      <c r="C9" s="10"/>
      <c r="D9" s="10"/>
      <c r="E9" s="10"/>
      <c r="F9" s="10"/>
      <c r="G9" s="10"/>
      <c r="H9" s="12">
        <v>332.45</v>
      </c>
      <c r="I9" s="11">
        <v>74256.14</v>
      </c>
      <c r="J9" s="10"/>
      <c r="K9" s="12">
        <v>3.76</v>
      </c>
      <c r="L9" s="10"/>
      <c r="M9" s="11">
        <v>67.191000000000003</v>
      </c>
      <c r="N9" s="10"/>
      <c r="O9" s="10" t="s">
        <v>422</v>
      </c>
      <c r="P9" s="10" t="s">
        <v>423</v>
      </c>
      <c r="Q9" s="10"/>
    </row>
    <row r="10" spans="1:17" ht="17.25" x14ac:dyDescent="0.25">
      <c r="A10" s="13" t="s">
        <v>424</v>
      </c>
      <c r="B10" s="10">
        <v>88.5</v>
      </c>
      <c r="C10" s="10"/>
      <c r="D10" s="10"/>
      <c r="E10" s="10"/>
      <c r="F10" s="10"/>
      <c r="G10" s="10"/>
      <c r="H10" s="12">
        <v>274.01</v>
      </c>
      <c r="I10" s="11">
        <v>74530.149999999994</v>
      </c>
      <c r="J10" s="10"/>
      <c r="K10" s="12">
        <v>3.1</v>
      </c>
      <c r="L10" s="10"/>
      <c r="M10" s="11">
        <v>68.171999999999997</v>
      </c>
      <c r="N10" s="10"/>
      <c r="O10" s="10" t="s">
        <v>425</v>
      </c>
      <c r="P10" s="10" t="s">
        <v>426</v>
      </c>
      <c r="Q10" s="10"/>
    </row>
    <row r="11" spans="1:17" ht="17.25" x14ac:dyDescent="0.25">
      <c r="A11" s="13" t="s">
        <v>427</v>
      </c>
      <c r="B11" s="10">
        <v>88.5</v>
      </c>
      <c r="C11" s="10"/>
      <c r="D11" s="10"/>
      <c r="E11" s="10"/>
      <c r="F11" s="10"/>
      <c r="G11" s="10"/>
      <c r="H11" s="12">
        <v>300.83</v>
      </c>
      <c r="I11" s="11">
        <v>74830.98</v>
      </c>
      <c r="J11" s="10"/>
      <c r="K11" s="12">
        <v>3.4</v>
      </c>
      <c r="L11" s="10"/>
      <c r="M11" s="11">
        <v>65.090999999999994</v>
      </c>
      <c r="N11" s="10"/>
      <c r="O11" s="10" t="s">
        <v>410</v>
      </c>
      <c r="P11" s="10" t="s">
        <v>411</v>
      </c>
      <c r="Q11" s="10"/>
    </row>
    <row r="12" spans="1:17" ht="17.25" x14ac:dyDescent="0.25">
      <c r="A12" s="13" t="s">
        <v>428</v>
      </c>
      <c r="B12" s="10">
        <v>88.5</v>
      </c>
      <c r="C12" s="10"/>
      <c r="D12" s="10"/>
      <c r="E12" s="10"/>
      <c r="F12" s="10"/>
      <c r="G12" s="10"/>
      <c r="H12" s="12">
        <v>292.54000000000002</v>
      </c>
      <c r="I12" s="11">
        <v>75123.520000000004</v>
      </c>
      <c r="J12" s="10"/>
      <c r="K12" s="12">
        <v>3.31</v>
      </c>
      <c r="L12" s="10"/>
      <c r="M12" s="11">
        <v>65.822000000000003</v>
      </c>
      <c r="N12" s="10"/>
      <c r="O12" s="10" t="s">
        <v>429</v>
      </c>
      <c r="P12" s="10" t="s">
        <v>411</v>
      </c>
      <c r="Q12" s="10"/>
    </row>
    <row r="13" spans="1:17" ht="17.25" x14ac:dyDescent="0.25">
      <c r="A13" s="13" t="s">
        <v>430</v>
      </c>
      <c r="B13" s="10">
        <v>88.5</v>
      </c>
      <c r="C13" s="10"/>
      <c r="D13" s="10"/>
      <c r="E13" s="10"/>
      <c r="F13" s="10"/>
      <c r="G13" s="10"/>
      <c r="H13" s="12">
        <v>240.56</v>
      </c>
      <c r="I13" s="11">
        <v>75364.08</v>
      </c>
      <c r="J13" s="10"/>
      <c r="K13" s="12">
        <v>2.72</v>
      </c>
      <c r="L13" s="10"/>
      <c r="M13" s="11">
        <v>60.628</v>
      </c>
      <c r="N13" s="10"/>
      <c r="O13" s="10" t="s">
        <v>431</v>
      </c>
      <c r="P13" s="10" t="s">
        <v>415</v>
      </c>
      <c r="Q13" s="10"/>
    </row>
    <row r="14" spans="1:17" ht="17.25" x14ac:dyDescent="0.25">
      <c r="A14" s="13" t="s">
        <v>432</v>
      </c>
      <c r="B14" s="10">
        <v>88.5</v>
      </c>
      <c r="C14" s="10"/>
      <c r="D14" s="10"/>
      <c r="E14" s="10"/>
      <c r="F14" s="10"/>
      <c r="G14" s="10"/>
      <c r="H14" s="12">
        <v>340</v>
      </c>
      <c r="I14" s="11">
        <v>75704.08</v>
      </c>
      <c r="J14" s="10"/>
      <c r="K14" s="12">
        <v>3.84</v>
      </c>
      <c r="L14" s="10"/>
      <c r="M14" s="11">
        <v>67.316999999999993</v>
      </c>
      <c r="N14" s="10"/>
      <c r="O14" s="10" t="s">
        <v>433</v>
      </c>
      <c r="P14" s="10" t="s">
        <v>434</v>
      </c>
      <c r="Q14" s="10"/>
    </row>
    <row r="15" spans="1:17" ht="17.25" x14ac:dyDescent="0.25">
      <c r="A15" s="13" t="s">
        <v>435</v>
      </c>
      <c r="B15" s="10">
        <v>88.5</v>
      </c>
      <c r="C15" s="10"/>
      <c r="D15" s="10"/>
      <c r="E15" s="10"/>
      <c r="F15" s="10"/>
      <c r="G15" s="10"/>
      <c r="H15" s="12">
        <v>225.9</v>
      </c>
      <c r="I15" s="11">
        <v>75929.98</v>
      </c>
      <c r="J15" s="10"/>
      <c r="K15" s="12">
        <v>2.5499999999999998</v>
      </c>
      <c r="L15" s="10"/>
      <c r="M15" s="11">
        <v>66.486000000000004</v>
      </c>
      <c r="N15" s="10"/>
      <c r="O15" s="10" t="s">
        <v>436</v>
      </c>
      <c r="P15" s="10" t="s">
        <v>437</v>
      </c>
      <c r="Q15" s="10"/>
    </row>
    <row r="16" spans="1:17" ht="17.25" x14ac:dyDescent="0.25">
      <c r="A16" s="13" t="s">
        <v>438</v>
      </c>
      <c r="B16" s="10">
        <v>88.5</v>
      </c>
      <c r="C16" s="10"/>
      <c r="D16" s="10"/>
      <c r="E16" s="10"/>
      <c r="F16" s="10"/>
      <c r="G16" s="10"/>
      <c r="H16" s="12">
        <v>295.26</v>
      </c>
      <c r="I16" s="11">
        <v>76225.240000000005</v>
      </c>
      <c r="J16" s="10"/>
      <c r="K16" s="12">
        <v>3.34</v>
      </c>
      <c r="L16" s="10"/>
      <c r="M16" s="11">
        <v>71.864999999999995</v>
      </c>
      <c r="N16" s="10"/>
      <c r="O16" s="10" t="s">
        <v>429</v>
      </c>
      <c r="P16" s="10" t="s">
        <v>411</v>
      </c>
      <c r="Q16" s="10"/>
    </row>
    <row r="17" spans="1:17" ht="17.25" x14ac:dyDescent="0.25">
      <c r="A17" s="13" t="s">
        <v>439</v>
      </c>
      <c r="B17" s="10">
        <v>88.5</v>
      </c>
      <c r="C17" s="10"/>
      <c r="D17" s="10"/>
      <c r="E17" s="10"/>
      <c r="F17" s="10"/>
      <c r="G17" s="10"/>
      <c r="H17" s="12">
        <v>198.22</v>
      </c>
      <c r="I17" s="11">
        <v>76423.460000000006</v>
      </c>
      <c r="J17" s="10"/>
      <c r="K17" s="12">
        <v>2.2400000000000002</v>
      </c>
      <c r="L17" s="10"/>
      <c r="M17" s="11">
        <v>62.76</v>
      </c>
      <c r="N17" s="10"/>
      <c r="O17" s="10" t="s">
        <v>417</v>
      </c>
      <c r="P17" s="10" t="s">
        <v>418</v>
      </c>
      <c r="Q17" s="10"/>
    </row>
    <row r="18" spans="1:17" ht="17.25" x14ac:dyDescent="0.25">
      <c r="A18" s="13" t="s">
        <v>440</v>
      </c>
      <c r="B18" s="10">
        <v>88.5</v>
      </c>
      <c r="C18" s="10"/>
      <c r="D18" s="10"/>
      <c r="E18" s="10"/>
      <c r="F18" s="10"/>
      <c r="G18" s="10"/>
      <c r="H18" s="12">
        <v>304.29000000000002</v>
      </c>
      <c r="I18" s="11">
        <v>76727.75</v>
      </c>
      <c r="J18" s="10"/>
      <c r="K18" s="12">
        <v>3.44</v>
      </c>
      <c r="L18" s="10"/>
      <c r="M18" s="11">
        <v>70.927999999999997</v>
      </c>
      <c r="N18" s="10"/>
      <c r="O18" s="10" t="s">
        <v>410</v>
      </c>
      <c r="P18" s="10" t="s">
        <v>411</v>
      </c>
      <c r="Q18" s="10"/>
    </row>
    <row r="19" spans="1:17" ht="17.25" x14ac:dyDescent="0.25">
      <c r="A19" s="13" t="s">
        <v>441</v>
      </c>
      <c r="B19" s="10">
        <v>88.5</v>
      </c>
      <c r="C19" s="10"/>
      <c r="D19" s="10"/>
      <c r="E19" s="10"/>
      <c r="F19" s="10"/>
      <c r="G19" s="10"/>
      <c r="H19" s="12">
        <v>253.84</v>
      </c>
      <c r="I19" s="11">
        <v>76981.59</v>
      </c>
      <c r="J19" s="10"/>
      <c r="K19" s="12">
        <v>2.87</v>
      </c>
      <c r="L19" s="10"/>
      <c r="M19" s="11">
        <v>62.51</v>
      </c>
      <c r="N19" s="10"/>
      <c r="O19" s="10" t="s">
        <v>442</v>
      </c>
      <c r="P19" s="10" t="s">
        <v>415</v>
      </c>
      <c r="Q19" s="10"/>
    </row>
    <row r="20" spans="1:17" ht="17.25" x14ac:dyDescent="0.25">
      <c r="A20" s="13" t="s">
        <v>443</v>
      </c>
      <c r="B20" s="10">
        <v>88.5</v>
      </c>
      <c r="C20" s="10"/>
      <c r="D20" s="10"/>
      <c r="E20" s="10"/>
      <c r="F20" s="10"/>
      <c r="G20" s="10"/>
      <c r="H20" s="12">
        <v>315.45</v>
      </c>
      <c r="I20" s="11">
        <v>77297.039999999994</v>
      </c>
      <c r="J20" s="10"/>
      <c r="K20" s="12">
        <v>3.56</v>
      </c>
      <c r="L20" s="10"/>
      <c r="M20" s="11">
        <v>62.981000000000002</v>
      </c>
      <c r="N20" s="10"/>
      <c r="O20" s="10" t="s">
        <v>444</v>
      </c>
      <c r="P20" s="10" t="s">
        <v>423</v>
      </c>
      <c r="Q20" s="10"/>
    </row>
    <row r="21" spans="1:17" ht="17.25" x14ac:dyDescent="0.25">
      <c r="A21" s="13" t="s">
        <v>445</v>
      </c>
      <c r="B21" s="10">
        <v>88.5</v>
      </c>
      <c r="C21" s="10"/>
      <c r="D21" s="10"/>
      <c r="E21" s="10"/>
      <c r="F21" s="10"/>
      <c r="G21" s="10"/>
      <c r="H21" s="12">
        <v>390.26</v>
      </c>
      <c r="I21" s="11">
        <v>77687.3</v>
      </c>
      <c r="J21" s="10"/>
      <c r="K21" s="12">
        <v>4.41</v>
      </c>
      <c r="L21" s="10"/>
      <c r="M21" s="11">
        <v>63.756</v>
      </c>
      <c r="N21" s="10"/>
      <c r="O21" s="10" t="s">
        <v>446</v>
      </c>
      <c r="P21" s="10" t="s">
        <v>405</v>
      </c>
      <c r="Q21" s="10"/>
    </row>
    <row r="22" spans="1:17" ht="17.25" x14ac:dyDescent="0.25">
      <c r="A22" s="13" t="s">
        <v>447</v>
      </c>
      <c r="B22" s="10">
        <v>88.5</v>
      </c>
      <c r="C22" s="10"/>
      <c r="D22" s="10"/>
      <c r="E22" s="10"/>
      <c r="F22" s="10"/>
      <c r="G22" s="10"/>
      <c r="H22" s="12">
        <v>329.31</v>
      </c>
      <c r="I22" s="11">
        <v>78016.61</v>
      </c>
      <c r="J22" s="10"/>
      <c r="K22" s="12">
        <v>3.72</v>
      </c>
      <c r="L22" s="10"/>
      <c r="M22" s="11">
        <v>68.465999999999994</v>
      </c>
      <c r="N22" s="10"/>
      <c r="O22" s="10" t="s">
        <v>422</v>
      </c>
      <c r="P22" s="10" t="s">
        <v>423</v>
      </c>
      <c r="Q22" s="10"/>
    </row>
    <row r="23" spans="1:17" ht="17.25" x14ac:dyDescent="0.25">
      <c r="A23" s="13" t="s">
        <v>448</v>
      </c>
      <c r="B23" s="10">
        <v>88.5</v>
      </c>
      <c r="C23" s="10"/>
      <c r="D23" s="10"/>
      <c r="E23" s="10"/>
      <c r="F23" s="10"/>
      <c r="G23" s="10"/>
      <c r="H23" s="12">
        <v>344.5</v>
      </c>
      <c r="I23" s="11">
        <v>78361.11</v>
      </c>
      <c r="J23" s="10"/>
      <c r="K23" s="12">
        <v>3.89</v>
      </c>
      <c r="L23" s="10"/>
      <c r="M23" s="11">
        <v>61.947000000000003</v>
      </c>
      <c r="N23" s="10"/>
      <c r="O23" s="10" t="s">
        <v>433</v>
      </c>
      <c r="P23" s="10" t="s">
        <v>434</v>
      </c>
      <c r="Q23" s="10"/>
    </row>
    <row r="24" spans="1:17" ht="17.25" x14ac:dyDescent="0.25">
      <c r="A24" s="13" t="s">
        <v>449</v>
      </c>
      <c r="B24" s="10">
        <v>88.5</v>
      </c>
      <c r="C24" s="10"/>
      <c r="D24" s="10"/>
      <c r="E24" s="10"/>
      <c r="F24" s="10"/>
      <c r="G24" s="10"/>
      <c r="H24" s="12">
        <v>318.41000000000003</v>
      </c>
      <c r="I24" s="11">
        <v>78679.520000000004</v>
      </c>
      <c r="J24" s="10"/>
      <c r="K24" s="12">
        <v>3.6</v>
      </c>
      <c r="L24" s="10"/>
      <c r="M24" s="11">
        <v>65.793000000000006</v>
      </c>
      <c r="N24" s="10"/>
      <c r="O24" s="10" t="s">
        <v>444</v>
      </c>
      <c r="P24" s="10" t="s">
        <v>423</v>
      </c>
      <c r="Q24" s="10"/>
    </row>
    <row r="25" spans="1:17" ht="17.25" x14ac:dyDescent="0.25">
      <c r="A25" s="13" t="s">
        <v>450</v>
      </c>
      <c r="B25" s="10">
        <v>88.5</v>
      </c>
      <c r="C25" s="10"/>
      <c r="D25" s="10"/>
      <c r="E25" s="10"/>
      <c r="F25" s="10"/>
      <c r="G25" s="10"/>
      <c r="H25" s="12">
        <v>257.24</v>
      </c>
      <c r="I25" s="11">
        <v>78936.759999999995</v>
      </c>
      <c r="J25" s="10"/>
      <c r="K25" s="12">
        <v>2.91</v>
      </c>
      <c r="L25" s="10"/>
      <c r="M25" s="11">
        <v>62.545999999999999</v>
      </c>
      <c r="N25" s="10"/>
      <c r="O25" s="10" t="s">
        <v>414</v>
      </c>
      <c r="P25" s="10" t="s">
        <v>415</v>
      </c>
      <c r="Q25" s="10"/>
    </row>
    <row r="26" spans="1:17" ht="17.25" x14ac:dyDescent="0.25">
      <c r="A26" s="13" t="s">
        <v>451</v>
      </c>
      <c r="B26" s="10">
        <v>88.5</v>
      </c>
      <c r="C26" s="10"/>
      <c r="D26" s="10"/>
      <c r="E26" s="10"/>
      <c r="F26" s="10"/>
      <c r="G26" s="10"/>
      <c r="H26" s="12">
        <v>280.23</v>
      </c>
      <c r="I26" s="11">
        <v>79216.990000000005</v>
      </c>
      <c r="J26" s="10"/>
      <c r="K26" s="12">
        <v>3.17</v>
      </c>
      <c r="L26" s="10"/>
      <c r="M26" s="11">
        <v>52.433</v>
      </c>
      <c r="N26" s="10"/>
      <c r="O26" s="10" t="s">
        <v>452</v>
      </c>
      <c r="P26" s="10" t="s">
        <v>426</v>
      </c>
      <c r="Q26" s="10"/>
    </row>
    <row r="27" spans="1:17" ht="17.25" x14ac:dyDescent="0.25">
      <c r="A27" s="13" t="s">
        <v>453</v>
      </c>
      <c r="B27" s="10">
        <v>88.5</v>
      </c>
      <c r="C27" s="10"/>
      <c r="D27" s="10"/>
      <c r="E27" s="10"/>
      <c r="F27" s="10"/>
      <c r="G27" s="10"/>
      <c r="H27" s="12">
        <v>235.2</v>
      </c>
      <c r="I27" s="11">
        <v>79452.19</v>
      </c>
      <c r="J27" s="10"/>
      <c r="K27" s="12">
        <v>2.66</v>
      </c>
      <c r="L27" s="10"/>
      <c r="M27" s="11">
        <v>55.18</v>
      </c>
      <c r="N27" s="10"/>
      <c r="O27" s="10" t="s">
        <v>436</v>
      </c>
      <c r="P27" s="10" t="s">
        <v>437</v>
      </c>
      <c r="Q27" s="10"/>
    </row>
    <row r="28" spans="1:17" ht="17.25" x14ac:dyDescent="0.25">
      <c r="A28" s="13" t="s">
        <v>454</v>
      </c>
      <c r="B28" s="10">
        <v>88.5</v>
      </c>
      <c r="C28" s="10"/>
      <c r="D28" s="10"/>
      <c r="E28" s="10"/>
      <c r="F28" s="10"/>
      <c r="G28" s="10"/>
      <c r="H28" s="12">
        <v>299.70999999999998</v>
      </c>
      <c r="I28" s="11">
        <v>79751.899999999994</v>
      </c>
      <c r="J28" s="10"/>
      <c r="K28" s="12">
        <v>3.39</v>
      </c>
      <c r="L28" s="10"/>
      <c r="M28" s="11">
        <v>59.948999999999998</v>
      </c>
      <c r="N28" s="10"/>
      <c r="O28" s="10" t="s">
        <v>410</v>
      </c>
      <c r="P28" s="10" t="s">
        <v>411</v>
      </c>
      <c r="Q28" s="10"/>
    </row>
    <row r="29" spans="1:17" ht="17.25" x14ac:dyDescent="0.25">
      <c r="A29" s="13" t="s">
        <v>455</v>
      </c>
      <c r="B29" s="10">
        <v>88.5</v>
      </c>
      <c r="C29" s="10"/>
      <c r="D29" s="10"/>
      <c r="E29" s="10"/>
      <c r="F29" s="10"/>
      <c r="G29" s="10"/>
      <c r="H29" s="12">
        <v>369.29</v>
      </c>
      <c r="I29" s="11">
        <v>80121.19</v>
      </c>
      <c r="J29" s="10"/>
      <c r="K29" s="12">
        <v>4.17</v>
      </c>
      <c r="L29" s="10"/>
      <c r="M29" s="11">
        <v>56.896000000000001</v>
      </c>
      <c r="N29" s="10"/>
      <c r="O29" s="10" t="s">
        <v>407</v>
      </c>
      <c r="P29" s="10" t="s">
        <v>408</v>
      </c>
      <c r="Q29" s="10"/>
    </row>
    <row r="30" spans="1:17" ht="17.25" x14ac:dyDescent="0.25">
      <c r="A30" s="13" t="s">
        <v>456</v>
      </c>
      <c r="B30" s="10">
        <v>88.5</v>
      </c>
      <c r="C30" s="10"/>
      <c r="D30" s="10"/>
      <c r="E30" s="10"/>
      <c r="F30" s="10"/>
      <c r="G30" s="10"/>
      <c r="H30" s="12">
        <v>293.02</v>
      </c>
      <c r="I30" s="11">
        <v>80414.210000000006</v>
      </c>
      <c r="J30" s="10"/>
      <c r="K30" s="12">
        <v>3.31</v>
      </c>
      <c r="L30" s="10"/>
      <c r="M30" s="11">
        <v>64.58</v>
      </c>
      <c r="N30" s="10"/>
      <c r="O30" s="10" t="s">
        <v>429</v>
      </c>
      <c r="P30" s="10" t="s">
        <v>411</v>
      </c>
      <c r="Q30" s="10"/>
    </row>
    <row r="31" spans="1:17" ht="17.25" x14ac:dyDescent="0.25">
      <c r="A31" s="13" t="s">
        <v>457</v>
      </c>
      <c r="B31" s="10">
        <v>88.5</v>
      </c>
      <c r="C31" s="10"/>
      <c r="D31" s="10"/>
      <c r="E31" s="10"/>
      <c r="F31" s="10"/>
      <c r="G31" s="10"/>
      <c r="H31" s="12">
        <v>186.22</v>
      </c>
      <c r="I31" s="11">
        <v>80600.429999999993</v>
      </c>
      <c r="J31" s="10"/>
      <c r="K31" s="12">
        <v>2.1</v>
      </c>
      <c r="L31" s="10"/>
      <c r="M31" s="11">
        <v>58.844999999999999</v>
      </c>
      <c r="N31" s="10"/>
      <c r="O31" s="10" t="s">
        <v>458</v>
      </c>
      <c r="P31" s="10" t="s">
        <v>459</v>
      </c>
      <c r="Q31" s="10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7942F-3340-42A7-96A1-67FC0E7BD83F}">
  <sheetPr>
    <tabColor theme="7" tint="-0.499984740745262"/>
  </sheetPr>
  <dimension ref="A1:K36"/>
  <sheetViews>
    <sheetView tabSelected="1" workbookViewId="0">
      <selection activeCell="C16" sqref="C16"/>
    </sheetView>
  </sheetViews>
  <sheetFormatPr defaultColWidth="7.875" defaultRowHeight="15.75" x14ac:dyDescent="0.25"/>
  <cols>
    <col min="1" max="1" width="14.125" style="20" bestFit="1" customWidth="1"/>
    <col min="2" max="2" width="27.25" style="20" customWidth="1" collapsed="1"/>
    <col min="3" max="3" width="15.5" style="20" bestFit="1" customWidth="1"/>
    <col min="4" max="4" width="13.25" style="20" bestFit="1" customWidth="1"/>
    <col min="5" max="5" width="17.75" style="20" bestFit="1" customWidth="1" collapsed="1"/>
    <col min="6" max="6" width="19.875" style="20" bestFit="1" customWidth="1" collapsed="1"/>
    <col min="7" max="7" width="19.125" style="20" bestFit="1" customWidth="1"/>
    <col min="8" max="8" width="18.875" style="20" bestFit="1" customWidth="1" collapsed="1"/>
    <col min="9" max="9" width="12.375" style="20" bestFit="1" customWidth="1" collapsed="1"/>
    <col min="10" max="10" width="15.375" style="20" bestFit="1" customWidth="1" collapsed="1"/>
    <col min="11" max="11" width="10.5" style="20" bestFit="1" customWidth="1"/>
    <col min="12" max="16384" width="7.875" style="20"/>
  </cols>
  <sheetData>
    <row r="1" spans="1:11" s="19" customFormat="1" ht="29.25" customHeight="1" x14ac:dyDescent="0.25">
      <c r="A1" s="21" t="s">
        <v>500</v>
      </c>
      <c r="B1" s="21" t="s">
        <v>501</v>
      </c>
      <c r="C1" s="21" t="s">
        <v>387</v>
      </c>
      <c r="D1" s="21" t="s">
        <v>393</v>
      </c>
      <c r="E1" s="21" t="s">
        <v>394</v>
      </c>
      <c r="F1" s="21" t="s">
        <v>502</v>
      </c>
      <c r="G1" s="21" t="s">
        <v>396</v>
      </c>
      <c r="H1" s="21" t="s">
        <v>503</v>
      </c>
      <c r="I1" s="21" t="s">
        <v>504</v>
      </c>
      <c r="J1" s="21" t="s">
        <v>505</v>
      </c>
      <c r="K1" s="22" t="s">
        <v>386</v>
      </c>
    </row>
    <row r="2" spans="1:11" ht="29.25" customHeight="1" x14ac:dyDescent="0.25">
      <c r="A2" s="23" t="s">
        <v>506</v>
      </c>
      <c r="B2" s="23" t="s">
        <v>507</v>
      </c>
      <c r="C2" s="25">
        <v>5.4</v>
      </c>
      <c r="D2" s="26">
        <v>12.01</v>
      </c>
      <c r="E2" s="25">
        <v>5188.3900000000003</v>
      </c>
      <c r="F2" s="25">
        <v>94.3</v>
      </c>
      <c r="G2" s="25">
        <v>2.2200000000000002</v>
      </c>
      <c r="H2" s="25">
        <v>3.8340000000000001</v>
      </c>
      <c r="I2" s="25">
        <v>11</v>
      </c>
      <c r="J2" s="25">
        <v>100</v>
      </c>
      <c r="K2" s="24">
        <v>43768</v>
      </c>
    </row>
    <row r="3" spans="1:11" ht="29.25" customHeight="1" x14ac:dyDescent="0.25">
      <c r="A3" s="23" t="s">
        <v>506</v>
      </c>
      <c r="B3" s="23" t="s">
        <v>508</v>
      </c>
      <c r="C3" s="25">
        <v>5.0999999999999996</v>
      </c>
      <c r="D3" s="26">
        <v>11.18</v>
      </c>
      <c r="E3" s="25">
        <v>4944.3999999999996</v>
      </c>
      <c r="F3" s="25">
        <v>94.17</v>
      </c>
      <c r="G3" s="25">
        <v>2.19</v>
      </c>
      <c r="H3" s="25">
        <v>3.5329999999999999</v>
      </c>
      <c r="I3" s="25">
        <v>10.92</v>
      </c>
      <c r="J3" s="25">
        <v>100</v>
      </c>
      <c r="K3" s="24">
        <v>43768</v>
      </c>
    </row>
    <row r="4" spans="1:11" ht="29.25" customHeight="1" x14ac:dyDescent="0.25">
      <c r="A4" s="23" t="s">
        <v>506</v>
      </c>
      <c r="B4" s="23" t="s">
        <v>509</v>
      </c>
      <c r="C4" s="25">
        <v>4.5</v>
      </c>
      <c r="D4" s="26">
        <v>9.8000000000000007</v>
      </c>
      <c r="E4" s="25">
        <v>4272.54</v>
      </c>
      <c r="F4" s="25">
        <v>93.96</v>
      </c>
      <c r="G4" s="25">
        <v>2.1800000000000002</v>
      </c>
      <c r="H4" s="25">
        <v>3.09</v>
      </c>
      <c r="I4" s="25">
        <v>11</v>
      </c>
      <c r="J4" s="25">
        <v>100</v>
      </c>
      <c r="K4" s="24">
        <v>43768</v>
      </c>
    </row>
    <row r="5" spans="1:11" ht="29.25" customHeight="1" x14ac:dyDescent="0.25">
      <c r="A5" s="23" t="s">
        <v>506</v>
      </c>
      <c r="B5" s="23" t="s">
        <v>510</v>
      </c>
      <c r="C5" s="25">
        <v>5.4</v>
      </c>
      <c r="D5" s="26">
        <v>11.73</v>
      </c>
      <c r="E5" s="25">
        <v>5183.05</v>
      </c>
      <c r="F5" s="25">
        <v>94.39</v>
      </c>
      <c r="G5" s="25">
        <v>2.17</v>
      </c>
      <c r="H5" s="25">
        <v>3.6989999999999998</v>
      </c>
      <c r="I5" s="25">
        <v>11</v>
      </c>
      <c r="J5" s="25">
        <v>100</v>
      </c>
      <c r="K5" s="24">
        <v>43768</v>
      </c>
    </row>
    <row r="6" spans="1:11" ht="29.25" customHeight="1" x14ac:dyDescent="0.25">
      <c r="A6" s="23" t="s">
        <v>506</v>
      </c>
      <c r="B6" s="23" t="s">
        <v>511</v>
      </c>
      <c r="C6" s="25">
        <v>5.4</v>
      </c>
      <c r="D6" s="26">
        <v>11.71</v>
      </c>
      <c r="E6" s="25">
        <v>5121.0200000000004</v>
      </c>
      <c r="F6" s="25">
        <v>94.47</v>
      </c>
      <c r="G6" s="25">
        <v>2.17</v>
      </c>
      <c r="H6" s="25">
        <v>3.726</v>
      </c>
      <c r="I6" s="25">
        <v>11</v>
      </c>
      <c r="J6" s="25">
        <v>100</v>
      </c>
      <c r="K6" s="24">
        <v>43768</v>
      </c>
    </row>
    <row r="7" spans="1:11" ht="29.25" customHeight="1" x14ac:dyDescent="0.25">
      <c r="A7" s="23" t="s">
        <v>506</v>
      </c>
      <c r="B7" s="23" t="s">
        <v>512</v>
      </c>
      <c r="C7" s="25">
        <v>5.4</v>
      </c>
      <c r="D7" s="26">
        <v>11.7</v>
      </c>
      <c r="E7" s="25">
        <v>5141.76</v>
      </c>
      <c r="F7" s="25">
        <v>94.44</v>
      </c>
      <c r="G7" s="25">
        <v>2.17</v>
      </c>
      <c r="H7" s="25">
        <v>3.694</v>
      </c>
      <c r="I7" s="25">
        <v>11</v>
      </c>
      <c r="J7" s="25">
        <v>100</v>
      </c>
      <c r="K7" s="24">
        <v>43768</v>
      </c>
    </row>
    <row r="8" spans="1:11" ht="29.25" customHeight="1" x14ac:dyDescent="0.25">
      <c r="A8" s="23" t="s">
        <v>506</v>
      </c>
      <c r="B8" s="23" t="s">
        <v>513</v>
      </c>
      <c r="C8" s="25">
        <v>4.5</v>
      </c>
      <c r="D8" s="26">
        <v>9.74</v>
      </c>
      <c r="E8" s="25">
        <v>4282.1000000000004</v>
      </c>
      <c r="F8" s="25">
        <v>93.94</v>
      </c>
      <c r="G8" s="25">
        <v>2.16</v>
      </c>
      <c r="H8" s="25">
        <v>3.1110000000000002</v>
      </c>
      <c r="I8" s="25">
        <v>10.92</v>
      </c>
      <c r="J8" s="25">
        <v>100</v>
      </c>
      <c r="K8" s="24">
        <v>43768</v>
      </c>
    </row>
    <row r="9" spans="1:11" ht="29.25" customHeight="1" x14ac:dyDescent="0.25">
      <c r="A9" s="23" t="s">
        <v>506</v>
      </c>
      <c r="B9" s="23" t="s">
        <v>514</v>
      </c>
      <c r="C9" s="25">
        <v>5.4</v>
      </c>
      <c r="D9" s="26">
        <v>11.68</v>
      </c>
      <c r="E9" s="25">
        <v>5195.42</v>
      </c>
      <c r="F9" s="25">
        <v>94.44</v>
      </c>
      <c r="G9" s="25">
        <v>2.16</v>
      </c>
      <c r="H9" s="25">
        <v>3.706</v>
      </c>
      <c r="I9" s="25">
        <v>11</v>
      </c>
      <c r="J9" s="25">
        <v>100</v>
      </c>
      <c r="K9" s="24">
        <v>43768</v>
      </c>
    </row>
    <row r="10" spans="1:11" ht="29.25" customHeight="1" x14ac:dyDescent="0.25">
      <c r="A10" s="23" t="s">
        <v>506</v>
      </c>
      <c r="B10" s="23" t="s">
        <v>515</v>
      </c>
      <c r="C10" s="25">
        <v>5.4</v>
      </c>
      <c r="D10" s="26">
        <v>11.66</v>
      </c>
      <c r="E10" s="25">
        <v>5190.87</v>
      </c>
      <c r="F10" s="25">
        <v>94.35</v>
      </c>
      <c r="G10" s="25">
        <v>2.16</v>
      </c>
      <c r="H10" s="25">
        <v>3.7130000000000001</v>
      </c>
      <c r="I10" s="25">
        <v>11</v>
      </c>
      <c r="J10" s="25">
        <v>100</v>
      </c>
      <c r="K10" s="24">
        <v>43768</v>
      </c>
    </row>
    <row r="11" spans="1:11" ht="29.25" customHeight="1" x14ac:dyDescent="0.25">
      <c r="A11" s="23" t="s">
        <v>506</v>
      </c>
      <c r="B11" s="23" t="s">
        <v>516</v>
      </c>
      <c r="C11" s="25">
        <v>5.4</v>
      </c>
      <c r="D11" s="26">
        <v>11.65</v>
      </c>
      <c r="E11" s="25">
        <v>5133.24</v>
      </c>
      <c r="F11" s="25">
        <v>94.33</v>
      </c>
      <c r="G11" s="25">
        <v>2.16</v>
      </c>
      <c r="H11" s="25">
        <v>3.698</v>
      </c>
      <c r="I11" s="25">
        <v>11</v>
      </c>
      <c r="J11" s="25">
        <v>100</v>
      </c>
      <c r="K11" s="24">
        <v>43768</v>
      </c>
    </row>
    <row r="12" spans="1:11" ht="29.25" customHeight="1" x14ac:dyDescent="0.25">
      <c r="A12" s="23" t="s">
        <v>506</v>
      </c>
      <c r="B12" s="23" t="s">
        <v>517</v>
      </c>
      <c r="C12" s="25">
        <v>5.4</v>
      </c>
      <c r="D12" s="26">
        <v>11.57</v>
      </c>
      <c r="E12" s="25">
        <v>5126.07</v>
      </c>
      <c r="F12" s="25">
        <v>94.26</v>
      </c>
      <c r="G12" s="25">
        <v>2.14</v>
      </c>
      <c r="H12" s="25">
        <v>3.6850000000000001</v>
      </c>
      <c r="I12" s="25">
        <v>11</v>
      </c>
      <c r="J12" s="25">
        <v>100</v>
      </c>
      <c r="K12" s="24">
        <v>43768</v>
      </c>
    </row>
    <row r="13" spans="1:11" ht="29.25" customHeight="1" x14ac:dyDescent="0.25">
      <c r="A13" s="23" t="s">
        <v>506</v>
      </c>
      <c r="B13" s="23" t="s">
        <v>518</v>
      </c>
      <c r="C13" s="25">
        <v>5.4</v>
      </c>
      <c r="D13" s="26">
        <v>11.57</v>
      </c>
      <c r="E13" s="25">
        <v>5140.5</v>
      </c>
      <c r="F13" s="25">
        <v>94.29</v>
      </c>
      <c r="G13" s="25">
        <v>2.14</v>
      </c>
      <c r="H13" s="25">
        <v>3.681</v>
      </c>
      <c r="I13" s="25">
        <v>11</v>
      </c>
      <c r="J13" s="25">
        <v>100</v>
      </c>
      <c r="K13" s="24">
        <v>43768</v>
      </c>
    </row>
    <row r="14" spans="1:11" ht="29.25" customHeight="1" x14ac:dyDescent="0.25">
      <c r="A14" s="23" t="s">
        <v>506</v>
      </c>
      <c r="B14" s="23" t="s">
        <v>519</v>
      </c>
      <c r="C14" s="25">
        <v>4.8</v>
      </c>
      <c r="D14" s="26">
        <v>10.28</v>
      </c>
      <c r="E14" s="25">
        <v>4612.8100000000004</v>
      </c>
      <c r="F14" s="25">
        <v>93.5</v>
      </c>
      <c r="G14" s="25">
        <v>2.14</v>
      </c>
      <c r="H14" s="25">
        <v>3.2650000000000001</v>
      </c>
      <c r="I14" s="25">
        <v>11</v>
      </c>
      <c r="J14" s="25">
        <v>100</v>
      </c>
      <c r="K14" s="24">
        <v>43768</v>
      </c>
    </row>
    <row r="15" spans="1:11" ht="29.25" customHeight="1" x14ac:dyDescent="0.25">
      <c r="A15" s="23" t="s">
        <v>506</v>
      </c>
      <c r="B15" s="23" t="s">
        <v>520</v>
      </c>
      <c r="C15" s="25">
        <v>5.4</v>
      </c>
      <c r="D15" s="26">
        <v>11.43</v>
      </c>
      <c r="E15" s="25">
        <v>5171.0200000000004</v>
      </c>
      <c r="F15" s="25">
        <v>94.22</v>
      </c>
      <c r="G15" s="25">
        <v>2.12</v>
      </c>
      <c r="H15" s="25">
        <v>3.6520000000000001</v>
      </c>
      <c r="I15" s="25">
        <v>10.92</v>
      </c>
      <c r="J15" s="25">
        <v>100</v>
      </c>
      <c r="K15" s="24">
        <v>43768</v>
      </c>
    </row>
    <row r="16" spans="1:11" ht="29.25" customHeight="1" x14ac:dyDescent="0.25">
      <c r="A16" s="23" t="s">
        <v>506</v>
      </c>
      <c r="B16" s="23" t="s">
        <v>521</v>
      </c>
      <c r="C16" s="25">
        <v>5.4</v>
      </c>
      <c r="D16" s="26">
        <v>10.82</v>
      </c>
      <c r="E16" s="25">
        <v>1865.02</v>
      </c>
      <c r="F16" s="25">
        <v>94.3</v>
      </c>
      <c r="G16" s="25">
        <v>2</v>
      </c>
      <c r="H16" s="25">
        <v>3.552</v>
      </c>
      <c r="I16" s="25">
        <v>11</v>
      </c>
      <c r="J16" s="25">
        <v>100</v>
      </c>
      <c r="K16" s="24">
        <v>43768</v>
      </c>
    </row>
    <row r="17" spans="1:11" ht="29.25" customHeight="1" x14ac:dyDescent="0.25">
      <c r="A17" s="23" t="s">
        <v>506</v>
      </c>
      <c r="B17" s="23" t="s">
        <v>522</v>
      </c>
      <c r="C17" s="25">
        <v>5.0999999999999996</v>
      </c>
      <c r="D17" s="26">
        <v>9.41</v>
      </c>
      <c r="E17" s="25">
        <v>4802.7299999999996</v>
      </c>
      <c r="F17" s="25">
        <v>93.94</v>
      </c>
      <c r="G17" s="25">
        <v>1.84</v>
      </c>
      <c r="H17" s="25">
        <v>3.2040000000000002</v>
      </c>
      <c r="I17" s="25">
        <v>10.83</v>
      </c>
      <c r="J17" s="25">
        <v>100</v>
      </c>
      <c r="K17" s="24">
        <v>43768</v>
      </c>
    </row>
    <row r="18" spans="1:11" ht="29.25" customHeight="1" x14ac:dyDescent="0.25">
      <c r="A18" s="23" t="s">
        <v>506</v>
      </c>
      <c r="B18" s="23" t="s">
        <v>523</v>
      </c>
      <c r="C18" s="25">
        <v>5.0999999999999996</v>
      </c>
      <c r="D18" s="26">
        <v>8.2799999999999994</v>
      </c>
      <c r="E18" s="25">
        <v>4229.49</v>
      </c>
      <c r="F18" s="25">
        <v>93.88</v>
      </c>
      <c r="G18" s="25">
        <v>1.62</v>
      </c>
      <c r="H18" s="25">
        <v>2.335</v>
      </c>
      <c r="I18" s="25">
        <v>10.92</v>
      </c>
      <c r="J18" s="25">
        <v>100</v>
      </c>
      <c r="K18" s="24">
        <v>43768</v>
      </c>
    </row>
    <row r="19" spans="1:11" s="19" customFormat="1" ht="26.25" customHeight="1" x14ac:dyDescent="0.25">
      <c r="A19" s="21" t="s">
        <v>500</v>
      </c>
      <c r="B19" s="21" t="s">
        <v>501</v>
      </c>
      <c r="C19" s="21" t="s">
        <v>387</v>
      </c>
      <c r="D19" s="21" t="s">
        <v>393</v>
      </c>
      <c r="E19" s="21" t="s">
        <v>394</v>
      </c>
      <c r="F19" s="21" t="s">
        <v>502</v>
      </c>
      <c r="G19" s="21" t="s">
        <v>396</v>
      </c>
      <c r="H19" s="21" t="s">
        <v>503</v>
      </c>
      <c r="I19" s="21" t="s">
        <v>504</v>
      </c>
      <c r="J19" s="21" t="s">
        <v>505</v>
      </c>
      <c r="K19" s="22" t="s">
        <v>386</v>
      </c>
    </row>
    <row r="20" spans="1:11" ht="29.25" customHeight="1" x14ac:dyDescent="0.25">
      <c r="A20" s="23" t="s">
        <v>506</v>
      </c>
      <c r="B20" s="23" t="s">
        <v>507</v>
      </c>
      <c r="C20" s="25">
        <v>5.4</v>
      </c>
      <c r="D20" s="26">
        <v>12.33</v>
      </c>
      <c r="E20" s="25">
        <v>5200.72</v>
      </c>
      <c r="F20" s="25">
        <v>96.85</v>
      </c>
      <c r="G20" s="25">
        <v>2.2799999999999998</v>
      </c>
      <c r="H20" s="25">
        <v>3.7160000000000002</v>
      </c>
      <c r="I20" s="25">
        <v>6.83</v>
      </c>
      <c r="J20" s="25">
        <v>60.51</v>
      </c>
      <c r="K20" s="24">
        <v>43769</v>
      </c>
    </row>
    <row r="21" spans="1:11" ht="29.25" customHeight="1" x14ac:dyDescent="0.25">
      <c r="A21" s="23" t="s">
        <v>506</v>
      </c>
      <c r="B21" s="23" t="s">
        <v>508</v>
      </c>
      <c r="C21" s="25">
        <v>5.0999999999999996</v>
      </c>
      <c r="D21" s="26">
        <v>11.58</v>
      </c>
      <c r="E21" s="25">
        <v>4955.9799999999996</v>
      </c>
      <c r="F21" s="25">
        <v>96.42</v>
      </c>
      <c r="G21" s="25">
        <v>2.27</v>
      </c>
      <c r="H21" s="25">
        <v>3.4470000000000001</v>
      </c>
      <c r="I21" s="25">
        <v>6.83</v>
      </c>
      <c r="J21" s="25">
        <v>60.51</v>
      </c>
      <c r="K21" s="24">
        <v>43769</v>
      </c>
    </row>
    <row r="22" spans="1:11" ht="29.25" customHeight="1" x14ac:dyDescent="0.25">
      <c r="A22" s="23" t="s">
        <v>506</v>
      </c>
      <c r="B22" s="23" t="s">
        <v>509</v>
      </c>
      <c r="C22" s="25">
        <v>4.5</v>
      </c>
      <c r="D22" s="26">
        <v>10.119999999999999</v>
      </c>
      <c r="E22" s="25">
        <v>4282.66</v>
      </c>
      <c r="F22" s="25">
        <v>96.3</v>
      </c>
      <c r="G22" s="25">
        <v>2.25</v>
      </c>
      <c r="H22" s="25">
        <v>2.9689999999999999</v>
      </c>
      <c r="I22" s="25">
        <v>6.83</v>
      </c>
      <c r="J22" s="25">
        <v>60.51</v>
      </c>
      <c r="K22" s="24">
        <v>43769</v>
      </c>
    </row>
    <row r="23" spans="1:11" ht="29.25" customHeight="1" x14ac:dyDescent="0.25">
      <c r="A23" s="23" t="s">
        <v>506</v>
      </c>
      <c r="B23" s="23" t="s">
        <v>513</v>
      </c>
      <c r="C23" s="25">
        <v>4.5</v>
      </c>
      <c r="D23" s="26">
        <v>10.1</v>
      </c>
      <c r="E23" s="25">
        <v>4292.21</v>
      </c>
      <c r="F23" s="25">
        <v>96.31</v>
      </c>
      <c r="G23" s="25">
        <v>2.2400000000000002</v>
      </c>
      <c r="H23" s="25">
        <v>3.0790000000000002</v>
      </c>
      <c r="I23" s="25">
        <v>6.83</v>
      </c>
      <c r="J23" s="25">
        <v>60.51</v>
      </c>
      <c r="K23" s="24">
        <v>43769</v>
      </c>
    </row>
    <row r="24" spans="1:11" ht="29.25" customHeight="1" x14ac:dyDescent="0.25">
      <c r="A24" s="23" t="s">
        <v>506</v>
      </c>
      <c r="B24" s="23" t="s">
        <v>512</v>
      </c>
      <c r="C24" s="25">
        <v>5.4</v>
      </c>
      <c r="D24" s="26">
        <v>12.08</v>
      </c>
      <c r="E24" s="25">
        <v>5153.84</v>
      </c>
      <c r="F24" s="25">
        <v>96.67</v>
      </c>
      <c r="G24" s="25">
        <v>2.2400000000000002</v>
      </c>
      <c r="H24" s="25">
        <v>3.544</v>
      </c>
      <c r="I24" s="25">
        <v>6.83</v>
      </c>
      <c r="J24" s="25">
        <v>60.51</v>
      </c>
      <c r="K24" s="24">
        <v>43769</v>
      </c>
    </row>
    <row r="25" spans="1:11" ht="29.25" customHeight="1" x14ac:dyDescent="0.25">
      <c r="A25" s="23" t="s">
        <v>506</v>
      </c>
      <c r="B25" s="23" t="s">
        <v>514</v>
      </c>
      <c r="C25" s="25">
        <v>5.4</v>
      </c>
      <c r="D25" s="26">
        <v>12.06</v>
      </c>
      <c r="E25" s="25">
        <v>5207.4799999999996</v>
      </c>
      <c r="F25" s="25">
        <v>96.79</v>
      </c>
      <c r="G25" s="25">
        <v>2.23</v>
      </c>
      <c r="H25" s="25">
        <v>3.64</v>
      </c>
      <c r="I25" s="25">
        <v>6.83</v>
      </c>
      <c r="J25" s="25">
        <v>60.51</v>
      </c>
      <c r="K25" s="24">
        <v>43769</v>
      </c>
    </row>
    <row r="26" spans="1:11" ht="29.25" customHeight="1" x14ac:dyDescent="0.25">
      <c r="A26" s="23" t="s">
        <v>506</v>
      </c>
      <c r="B26" s="23" t="s">
        <v>515</v>
      </c>
      <c r="C26" s="25">
        <v>5.4</v>
      </c>
      <c r="D26" s="26">
        <v>12.05</v>
      </c>
      <c r="E26" s="25">
        <v>5202.92</v>
      </c>
      <c r="F26" s="25">
        <v>96.79</v>
      </c>
      <c r="G26" s="25">
        <v>2.23</v>
      </c>
      <c r="H26" s="25">
        <v>3.6160000000000001</v>
      </c>
      <c r="I26" s="25">
        <v>6.83</v>
      </c>
      <c r="J26" s="25">
        <v>60.51</v>
      </c>
      <c r="K26" s="24">
        <v>43769</v>
      </c>
    </row>
    <row r="27" spans="1:11" ht="29.25" customHeight="1" x14ac:dyDescent="0.25">
      <c r="A27" s="23" t="s">
        <v>506</v>
      </c>
      <c r="B27" s="23" t="s">
        <v>510</v>
      </c>
      <c r="C27" s="25">
        <v>5.4</v>
      </c>
      <c r="D27" s="26">
        <v>12.04</v>
      </c>
      <c r="E27" s="25">
        <v>5195.09</v>
      </c>
      <c r="F27" s="25">
        <v>96.78</v>
      </c>
      <c r="G27" s="25">
        <v>2.23</v>
      </c>
      <c r="H27" s="25">
        <v>3.5310000000000001</v>
      </c>
      <c r="I27" s="25">
        <v>6.83</v>
      </c>
      <c r="J27" s="25">
        <v>60.51</v>
      </c>
      <c r="K27" s="24">
        <v>43769</v>
      </c>
    </row>
    <row r="28" spans="1:11" ht="29.25" customHeight="1" x14ac:dyDescent="0.25">
      <c r="A28" s="23" t="s">
        <v>506</v>
      </c>
      <c r="B28" s="23" t="s">
        <v>519</v>
      </c>
      <c r="C28" s="25">
        <v>4.8</v>
      </c>
      <c r="D28" s="26">
        <v>10.65</v>
      </c>
      <c r="E28" s="25">
        <v>4623.46</v>
      </c>
      <c r="F28" s="25">
        <v>96.5</v>
      </c>
      <c r="G28" s="25">
        <v>2.2200000000000002</v>
      </c>
      <c r="H28" s="25">
        <v>3.2130000000000001</v>
      </c>
      <c r="I28" s="25">
        <v>6.83</v>
      </c>
      <c r="J28" s="25">
        <v>60.51</v>
      </c>
      <c r="K28" s="24">
        <v>43769</v>
      </c>
    </row>
    <row r="29" spans="1:11" ht="29.25" customHeight="1" x14ac:dyDescent="0.25">
      <c r="A29" s="23" t="s">
        <v>506</v>
      </c>
      <c r="B29" s="23" t="s">
        <v>516</v>
      </c>
      <c r="C29" s="25">
        <v>5.4</v>
      </c>
      <c r="D29" s="26">
        <v>11.95</v>
      </c>
      <c r="E29" s="25">
        <v>5145.1899999999996</v>
      </c>
      <c r="F29" s="25">
        <v>96.77</v>
      </c>
      <c r="G29" s="25">
        <v>2.21</v>
      </c>
      <c r="H29" s="25">
        <v>3.5030000000000001</v>
      </c>
      <c r="I29" s="25">
        <v>6.83</v>
      </c>
      <c r="J29" s="25">
        <v>60.51</v>
      </c>
      <c r="K29" s="24">
        <v>43769</v>
      </c>
    </row>
    <row r="30" spans="1:11" ht="29.25" customHeight="1" x14ac:dyDescent="0.25">
      <c r="A30" s="23" t="s">
        <v>506</v>
      </c>
      <c r="B30" s="23" t="s">
        <v>511</v>
      </c>
      <c r="C30" s="25">
        <v>5.4</v>
      </c>
      <c r="D30" s="26">
        <v>11.94</v>
      </c>
      <c r="E30" s="25">
        <v>5132.96</v>
      </c>
      <c r="F30" s="25">
        <v>96.33</v>
      </c>
      <c r="G30" s="25">
        <v>2.21</v>
      </c>
      <c r="H30" s="25">
        <v>3.5209999999999999</v>
      </c>
      <c r="I30" s="25">
        <v>6.83</v>
      </c>
      <c r="J30" s="25">
        <v>60.51</v>
      </c>
      <c r="K30" s="24">
        <v>43769</v>
      </c>
    </row>
    <row r="31" spans="1:11" ht="29.25" customHeight="1" x14ac:dyDescent="0.25">
      <c r="A31" s="23" t="s">
        <v>506</v>
      </c>
      <c r="B31" s="23" t="s">
        <v>520</v>
      </c>
      <c r="C31" s="25">
        <v>5.4</v>
      </c>
      <c r="D31" s="26">
        <v>11.84</v>
      </c>
      <c r="E31" s="25">
        <v>5182.8599999999997</v>
      </c>
      <c r="F31" s="25">
        <v>96.77</v>
      </c>
      <c r="G31" s="25">
        <v>2.19</v>
      </c>
      <c r="H31" s="25">
        <v>3.609</v>
      </c>
      <c r="I31" s="25">
        <v>6.83</v>
      </c>
      <c r="J31" s="25">
        <v>60.51</v>
      </c>
      <c r="K31" s="24">
        <v>43769</v>
      </c>
    </row>
    <row r="32" spans="1:11" ht="29.25" customHeight="1" x14ac:dyDescent="0.25">
      <c r="A32" s="23" t="s">
        <v>506</v>
      </c>
      <c r="B32" s="23" t="s">
        <v>517</v>
      </c>
      <c r="C32" s="25">
        <v>5.4</v>
      </c>
      <c r="D32" s="26">
        <v>11.83</v>
      </c>
      <c r="E32" s="25">
        <v>5137.8999999999996</v>
      </c>
      <c r="F32" s="25">
        <v>96.54</v>
      </c>
      <c r="G32" s="25">
        <v>2.19</v>
      </c>
      <c r="H32" s="25">
        <v>3.5179999999999998</v>
      </c>
      <c r="I32" s="25">
        <v>6.83</v>
      </c>
      <c r="J32" s="25">
        <v>60.51</v>
      </c>
      <c r="K32" s="24">
        <v>43769</v>
      </c>
    </row>
    <row r="33" spans="1:11" ht="29.25" customHeight="1" x14ac:dyDescent="0.25">
      <c r="A33" s="23" t="s">
        <v>506</v>
      </c>
      <c r="B33" s="23" t="s">
        <v>518</v>
      </c>
      <c r="C33" s="25">
        <v>5.4</v>
      </c>
      <c r="D33" s="26">
        <v>11.8</v>
      </c>
      <c r="E33" s="25">
        <v>5152.3</v>
      </c>
      <c r="F33" s="25">
        <v>97.09</v>
      </c>
      <c r="G33" s="25">
        <v>2.19</v>
      </c>
      <c r="H33" s="25">
        <v>3.5329999999999999</v>
      </c>
      <c r="I33" s="25">
        <v>6.92</v>
      </c>
      <c r="J33" s="25">
        <v>60.51</v>
      </c>
      <c r="K33" s="24">
        <v>43769</v>
      </c>
    </row>
    <row r="34" spans="1:11" ht="29.25" customHeight="1" x14ac:dyDescent="0.25">
      <c r="A34" s="23" t="s">
        <v>506</v>
      </c>
      <c r="B34" s="23" t="s">
        <v>521</v>
      </c>
      <c r="C34" s="25">
        <v>5.4</v>
      </c>
      <c r="D34" s="26">
        <v>11.16</v>
      </c>
      <c r="E34" s="25">
        <v>1876.18</v>
      </c>
      <c r="F34" s="25">
        <v>96.73</v>
      </c>
      <c r="G34" s="25">
        <v>2.0699999999999998</v>
      </c>
      <c r="H34" s="25">
        <v>3.5139999999999998</v>
      </c>
      <c r="I34" s="25">
        <v>6.83</v>
      </c>
      <c r="J34" s="25">
        <v>60.51</v>
      </c>
      <c r="K34" s="24">
        <v>43769</v>
      </c>
    </row>
    <row r="35" spans="1:11" ht="29.25" customHeight="1" x14ac:dyDescent="0.25">
      <c r="A35" s="23" t="s">
        <v>506</v>
      </c>
      <c r="B35" s="23" t="s">
        <v>522</v>
      </c>
      <c r="C35" s="25">
        <v>5.0999999999999996</v>
      </c>
      <c r="D35" s="26">
        <v>9.8699999999999992</v>
      </c>
      <c r="E35" s="25">
        <v>4812.6000000000004</v>
      </c>
      <c r="F35" s="25">
        <v>96.34</v>
      </c>
      <c r="G35" s="25">
        <v>1.94</v>
      </c>
      <c r="H35" s="25">
        <v>3.3239999999999998</v>
      </c>
      <c r="I35" s="25">
        <v>6.83</v>
      </c>
      <c r="J35" s="25">
        <v>60.51</v>
      </c>
      <c r="K35" s="24">
        <v>43769</v>
      </c>
    </row>
    <row r="36" spans="1:11" ht="29.25" customHeight="1" x14ac:dyDescent="0.25">
      <c r="A36" s="23" t="s">
        <v>506</v>
      </c>
      <c r="B36" s="23" t="s">
        <v>523</v>
      </c>
      <c r="C36" s="25">
        <v>5.0999999999999996</v>
      </c>
      <c r="D36" s="26">
        <v>8.2899999999999991</v>
      </c>
      <c r="E36" s="25">
        <v>4237.78</v>
      </c>
      <c r="F36" s="25">
        <v>96.32</v>
      </c>
      <c r="G36" s="25">
        <v>1.62</v>
      </c>
      <c r="H36" s="25">
        <v>2.0329999999999999</v>
      </c>
      <c r="I36" s="25">
        <v>6.83</v>
      </c>
      <c r="J36" s="25">
        <v>60.51</v>
      </c>
      <c r="K36" s="24">
        <v>43769</v>
      </c>
    </row>
  </sheetData>
  <phoneticPr fontId="2" type="noConversion"/>
  <pageMargins left="0.75" right="0.75" top="1" bottom="1" header="0.51180555555555596" footer="0.51180555555555596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BAA54-60C7-4D90-9D6E-D73BD514AA69}">
  <sheetPr>
    <tabColor rgb="FF7030A0"/>
  </sheetPr>
  <dimension ref="A1:U295"/>
  <sheetViews>
    <sheetView workbookViewId="0">
      <pane ySplit="1" topLeftCell="A2" activePane="bottomLeft" state="frozen"/>
      <selection activeCell="O32" sqref="O32"/>
      <selection pane="bottomLeft" activeCell="N28" sqref="N28"/>
    </sheetView>
  </sheetViews>
  <sheetFormatPr defaultRowHeight="16.5" x14ac:dyDescent="0.25"/>
  <cols>
    <col min="1" max="1" width="9.75" style="50" bestFit="1" customWidth="1"/>
    <col min="2" max="3" width="13.25" style="51" bestFit="1" customWidth="1"/>
    <col min="4" max="4" width="10" style="51" customWidth="1"/>
    <col min="5" max="5" width="15.125" style="50" bestFit="1" customWidth="1"/>
    <col min="6" max="7" width="9" style="50"/>
    <col min="8" max="8" width="16.375" style="50" bestFit="1" customWidth="1"/>
    <col min="9" max="12" width="9" style="50"/>
    <col min="13" max="13" width="11.875" bestFit="1" customWidth="1"/>
  </cols>
  <sheetData>
    <row r="1" spans="1:21" ht="33.75" thickBot="1" x14ac:dyDescent="0.3">
      <c r="A1" s="27" t="s">
        <v>524</v>
      </c>
      <c r="B1" s="28" t="s">
        <v>525</v>
      </c>
      <c r="C1" s="29" t="s">
        <v>526</v>
      </c>
      <c r="D1" s="29" t="s">
        <v>527</v>
      </c>
      <c r="E1" s="30" t="s">
        <v>528</v>
      </c>
      <c r="F1" s="30" t="s">
        <v>529</v>
      </c>
      <c r="G1" s="30" t="s">
        <v>530</v>
      </c>
      <c r="H1" s="30" t="s">
        <v>531</v>
      </c>
      <c r="I1" s="30" t="s">
        <v>532</v>
      </c>
      <c r="J1" s="30" t="s">
        <v>533</v>
      </c>
      <c r="K1" s="30" t="s">
        <v>534</v>
      </c>
      <c r="L1" s="31" t="s">
        <v>535</v>
      </c>
      <c r="M1" s="32" t="s">
        <v>536</v>
      </c>
      <c r="N1" s="33" t="s">
        <v>537</v>
      </c>
      <c r="O1" s="34" t="s">
        <v>538</v>
      </c>
      <c r="P1" s="35"/>
      <c r="Q1" s="35"/>
      <c r="R1" s="35"/>
    </row>
    <row r="2" spans="1:21" x14ac:dyDescent="0.25">
      <c r="A2" s="36">
        <v>1</v>
      </c>
      <c r="B2" s="37">
        <v>42803</v>
      </c>
      <c r="C2" s="37">
        <v>42999</v>
      </c>
      <c r="D2" s="38">
        <f>C2-B2+1</f>
        <v>197</v>
      </c>
      <c r="E2" s="38">
        <v>371200</v>
      </c>
      <c r="F2" s="38">
        <v>4.4097999999999997</v>
      </c>
      <c r="G2" s="38">
        <v>371096</v>
      </c>
      <c r="H2" s="39">
        <f>F2*G2</f>
        <v>1636459.1407999999</v>
      </c>
      <c r="I2" s="38">
        <f>H2/D2</f>
        <v>8306.8991918781721</v>
      </c>
      <c r="J2" s="38">
        <f>E2/D2</f>
        <v>1884.263959390863</v>
      </c>
      <c r="K2" s="38">
        <f>G2/D2</f>
        <v>1883.736040609137</v>
      </c>
      <c r="L2" s="38">
        <f>K2*F2</f>
        <v>8306.8991918781721</v>
      </c>
      <c r="M2" s="35"/>
      <c r="N2" s="35"/>
      <c r="O2" s="35"/>
      <c r="P2" s="35"/>
      <c r="Q2" s="35"/>
      <c r="R2" s="35"/>
      <c r="S2" s="35"/>
      <c r="T2" s="35"/>
    </row>
    <row r="3" spans="1:21" x14ac:dyDescent="0.25">
      <c r="A3" s="40">
        <v>2</v>
      </c>
      <c r="B3" s="41">
        <f t="shared" ref="B3:B14" si="0">C2+1</f>
        <v>43000</v>
      </c>
      <c r="C3" s="41">
        <v>43026</v>
      </c>
      <c r="D3" s="42">
        <f t="shared" ref="D3:D66" si="1">C3-B3+1</f>
        <v>27</v>
      </c>
      <c r="E3" s="42">
        <v>46400</v>
      </c>
      <c r="F3" s="42">
        <f>F2</f>
        <v>4.4097999999999997</v>
      </c>
      <c r="G3" s="42">
        <v>46387</v>
      </c>
      <c r="H3" s="43">
        <f t="shared" ref="H3:H66" si="2">F3*G3</f>
        <v>204557.39259999999</v>
      </c>
      <c r="I3" s="42">
        <f t="shared" ref="I3:I66" si="3">H3/D3</f>
        <v>7576.199725925926</v>
      </c>
      <c r="J3" s="44">
        <f>E3/D3</f>
        <v>1718.5185185185185</v>
      </c>
      <c r="K3" s="44">
        <f>G3/D3</f>
        <v>1718.037037037037</v>
      </c>
      <c r="L3" s="44">
        <f>K3*F3</f>
        <v>7576.1997259259251</v>
      </c>
      <c r="M3" s="35"/>
      <c r="N3" s="35"/>
      <c r="O3" s="35"/>
      <c r="P3" s="35"/>
      <c r="Q3" s="35"/>
      <c r="R3" s="35"/>
      <c r="S3" s="35"/>
      <c r="T3" s="35"/>
      <c r="U3" s="35"/>
    </row>
    <row r="4" spans="1:21" x14ac:dyDescent="0.25">
      <c r="A4" s="45">
        <v>3</v>
      </c>
      <c r="B4" s="46">
        <f t="shared" si="0"/>
        <v>43027</v>
      </c>
      <c r="C4" s="46">
        <v>43044</v>
      </c>
      <c r="D4" s="47">
        <f t="shared" si="1"/>
        <v>18</v>
      </c>
      <c r="E4" s="47">
        <v>31840</v>
      </c>
      <c r="F4" s="47">
        <f>F2</f>
        <v>4.4097999999999997</v>
      </c>
      <c r="G4" s="47">
        <v>31831</v>
      </c>
      <c r="H4" s="48">
        <f t="shared" si="2"/>
        <v>140368.3438</v>
      </c>
      <c r="I4" s="47">
        <f t="shared" si="3"/>
        <v>7798.2413222222222</v>
      </c>
      <c r="J4" s="38">
        <f t="shared" ref="J4:J67" si="4">E4/D4</f>
        <v>1768.8888888888889</v>
      </c>
      <c r="K4" s="38">
        <f t="shared" ref="K4:K67" si="5">G4/D4</f>
        <v>1768.3888888888889</v>
      </c>
      <c r="L4" s="38">
        <f t="shared" ref="L4:L67" si="6">K4*F4</f>
        <v>7798.2413222222222</v>
      </c>
      <c r="M4" s="35"/>
      <c r="N4" s="35"/>
      <c r="O4" s="35"/>
      <c r="P4" s="35"/>
      <c r="Q4" s="35"/>
      <c r="R4" s="35"/>
      <c r="S4" s="35"/>
      <c r="T4" s="35"/>
      <c r="U4" s="35"/>
    </row>
    <row r="5" spans="1:21" x14ac:dyDescent="0.25">
      <c r="A5" s="40">
        <v>4</v>
      </c>
      <c r="B5" s="41">
        <f t="shared" si="0"/>
        <v>43045</v>
      </c>
      <c r="C5" s="41">
        <v>43054</v>
      </c>
      <c r="D5" s="42">
        <f t="shared" si="1"/>
        <v>10</v>
      </c>
      <c r="E5" s="42">
        <v>13760</v>
      </c>
      <c r="F5" s="42">
        <f t="shared" ref="F5" si="7">F4</f>
        <v>4.4097999999999997</v>
      </c>
      <c r="G5" s="42">
        <v>13756</v>
      </c>
      <c r="H5" s="43">
        <f t="shared" si="2"/>
        <v>60661.208799999993</v>
      </c>
      <c r="I5" s="42">
        <f t="shared" si="3"/>
        <v>6066.1208799999995</v>
      </c>
      <c r="J5" s="44">
        <f t="shared" si="4"/>
        <v>1376</v>
      </c>
      <c r="K5" s="44">
        <f t="shared" si="5"/>
        <v>1375.6</v>
      </c>
      <c r="L5" s="44">
        <f t="shared" si="6"/>
        <v>6066.1208799999995</v>
      </c>
      <c r="M5" s="49"/>
      <c r="N5" s="35"/>
      <c r="O5" s="35"/>
      <c r="P5" s="35"/>
      <c r="Q5" s="35"/>
      <c r="R5" s="35"/>
      <c r="S5" s="35"/>
      <c r="T5" s="35"/>
      <c r="U5" s="35"/>
    </row>
    <row r="6" spans="1:21" x14ac:dyDescent="0.25">
      <c r="A6" s="45">
        <v>5</v>
      </c>
      <c r="B6" s="46">
        <f t="shared" si="0"/>
        <v>43055</v>
      </c>
      <c r="C6" s="46">
        <v>43086</v>
      </c>
      <c r="D6" s="47">
        <f t="shared" si="1"/>
        <v>32</v>
      </c>
      <c r="E6" s="47">
        <v>37920</v>
      </c>
      <c r="F6" s="47">
        <f t="shared" ref="F6" si="8">F4</f>
        <v>4.4097999999999997</v>
      </c>
      <c r="G6" s="47">
        <v>37909</v>
      </c>
      <c r="H6" s="48">
        <f t="shared" si="2"/>
        <v>167171.10819999999</v>
      </c>
      <c r="I6" s="47">
        <f t="shared" si="3"/>
        <v>5224.0971312499996</v>
      </c>
      <c r="J6" s="38">
        <f t="shared" si="4"/>
        <v>1185</v>
      </c>
      <c r="K6" s="38">
        <f t="shared" si="5"/>
        <v>1184.65625</v>
      </c>
      <c r="L6" s="38">
        <f t="shared" si="6"/>
        <v>5224.0971312499996</v>
      </c>
      <c r="M6" s="35"/>
      <c r="N6" s="35"/>
      <c r="O6" s="35"/>
      <c r="P6" s="35"/>
      <c r="Q6" s="35"/>
      <c r="R6" s="35"/>
      <c r="S6" s="35"/>
      <c r="T6" s="35"/>
      <c r="U6" s="35"/>
    </row>
    <row r="7" spans="1:21" x14ac:dyDescent="0.25">
      <c r="A7" s="40">
        <v>6</v>
      </c>
      <c r="B7" s="41">
        <f t="shared" si="0"/>
        <v>43087</v>
      </c>
      <c r="C7" s="41">
        <v>43116</v>
      </c>
      <c r="D7" s="42">
        <f t="shared" si="1"/>
        <v>30</v>
      </c>
      <c r="E7" s="42">
        <v>39680</v>
      </c>
      <c r="F7" s="42">
        <f t="shared" ref="F7" si="9">F6</f>
        <v>4.4097999999999997</v>
      </c>
      <c r="G7" s="42">
        <v>39669</v>
      </c>
      <c r="H7" s="43">
        <f t="shared" si="2"/>
        <v>174932.35619999998</v>
      </c>
      <c r="I7" s="42">
        <f t="shared" si="3"/>
        <v>5831.0785399999995</v>
      </c>
      <c r="J7" s="44">
        <f t="shared" si="4"/>
        <v>1322.6666666666667</v>
      </c>
      <c r="K7" s="44">
        <f t="shared" si="5"/>
        <v>1322.3</v>
      </c>
      <c r="L7" s="44">
        <f t="shared" si="6"/>
        <v>5831.0785399999995</v>
      </c>
      <c r="M7" s="35"/>
      <c r="N7" s="35"/>
      <c r="O7" s="35"/>
      <c r="P7" s="35"/>
      <c r="Q7" s="35"/>
      <c r="R7" s="35"/>
      <c r="S7" s="35"/>
      <c r="T7" s="35"/>
      <c r="U7" s="35"/>
    </row>
    <row r="8" spans="1:21" x14ac:dyDescent="0.25">
      <c r="A8" s="45">
        <v>7</v>
      </c>
      <c r="B8" s="46">
        <f t="shared" si="0"/>
        <v>43117</v>
      </c>
      <c r="C8" s="46">
        <v>43144</v>
      </c>
      <c r="D8" s="47">
        <f t="shared" si="1"/>
        <v>28</v>
      </c>
      <c r="E8" s="47">
        <v>33440</v>
      </c>
      <c r="F8" s="47">
        <f t="shared" ref="F8" si="10">F6</f>
        <v>4.4097999999999997</v>
      </c>
      <c r="G8" s="47">
        <v>33431</v>
      </c>
      <c r="H8" s="48">
        <f t="shared" si="2"/>
        <v>147424.0238</v>
      </c>
      <c r="I8" s="47">
        <f t="shared" si="3"/>
        <v>5265.1437071428572</v>
      </c>
      <c r="J8" s="38">
        <f t="shared" si="4"/>
        <v>1194.2857142857142</v>
      </c>
      <c r="K8" s="38">
        <f t="shared" si="5"/>
        <v>1193.9642857142858</v>
      </c>
      <c r="L8" s="38">
        <f t="shared" si="6"/>
        <v>5265.1437071428572</v>
      </c>
      <c r="M8" s="35"/>
      <c r="N8" s="35"/>
      <c r="O8" s="35"/>
      <c r="P8" s="35"/>
      <c r="Q8" s="35"/>
      <c r="R8" s="35"/>
      <c r="S8" s="35"/>
      <c r="T8" s="35"/>
      <c r="U8" s="35"/>
    </row>
    <row r="9" spans="1:21" x14ac:dyDescent="0.25">
      <c r="A9" s="40">
        <v>8</v>
      </c>
      <c r="B9" s="41">
        <f t="shared" si="0"/>
        <v>43145</v>
      </c>
      <c r="C9" s="41">
        <v>43177</v>
      </c>
      <c r="D9" s="42">
        <f t="shared" si="1"/>
        <v>33</v>
      </c>
      <c r="E9" s="42">
        <v>58240</v>
      </c>
      <c r="F9" s="42">
        <f t="shared" ref="F9" si="11">F8</f>
        <v>4.4097999999999997</v>
      </c>
      <c r="G9" s="42">
        <v>58224</v>
      </c>
      <c r="H9" s="43">
        <f t="shared" si="2"/>
        <v>256756.19519999999</v>
      </c>
      <c r="I9" s="42">
        <f t="shared" si="3"/>
        <v>7780.4907636363632</v>
      </c>
      <c r="J9" s="44">
        <f t="shared" si="4"/>
        <v>1764.8484848484848</v>
      </c>
      <c r="K9" s="44">
        <f t="shared" si="5"/>
        <v>1764.3636363636363</v>
      </c>
      <c r="L9" s="44">
        <f t="shared" si="6"/>
        <v>7780.4907636363623</v>
      </c>
      <c r="M9" s="35"/>
      <c r="N9" s="35"/>
      <c r="O9" s="35"/>
      <c r="P9" s="35"/>
      <c r="Q9" s="35"/>
      <c r="R9" s="35"/>
      <c r="S9" s="35"/>
      <c r="T9" s="35"/>
      <c r="U9" s="35"/>
    </row>
    <row r="10" spans="1:21" x14ac:dyDescent="0.25">
      <c r="A10" s="45">
        <v>9</v>
      </c>
      <c r="B10" s="46">
        <f t="shared" si="0"/>
        <v>43178</v>
      </c>
      <c r="C10" s="46">
        <v>43208</v>
      </c>
      <c r="D10" s="47">
        <f t="shared" si="1"/>
        <v>31</v>
      </c>
      <c r="E10" s="47">
        <v>68480</v>
      </c>
      <c r="F10" s="47">
        <f t="shared" ref="F10" si="12">F8</f>
        <v>4.4097999999999997</v>
      </c>
      <c r="G10" s="47">
        <v>68461</v>
      </c>
      <c r="H10" s="48">
        <f t="shared" si="2"/>
        <v>301899.31779999996</v>
      </c>
      <c r="I10" s="47">
        <f t="shared" si="3"/>
        <v>9738.6876709677399</v>
      </c>
      <c r="J10" s="38">
        <f t="shared" si="4"/>
        <v>2209.0322580645161</v>
      </c>
      <c r="K10" s="38">
        <f t="shared" si="5"/>
        <v>2208.4193548387098</v>
      </c>
      <c r="L10" s="38">
        <f t="shared" si="6"/>
        <v>9738.6876709677417</v>
      </c>
      <c r="M10" s="35"/>
      <c r="N10" s="35"/>
      <c r="O10" s="35"/>
      <c r="P10" s="35"/>
      <c r="Q10" s="35"/>
      <c r="R10" s="35"/>
      <c r="S10" s="35"/>
      <c r="T10" s="35"/>
      <c r="U10" s="35"/>
    </row>
    <row r="11" spans="1:21" x14ac:dyDescent="0.25">
      <c r="A11" s="40">
        <v>10</v>
      </c>
      <c r="B11" s="41">
        <f t="shared" si="0"/>
        <v>43209</v>
      </c>
      <c r="C11" s="41">
        <v>43237</v>
      </c>
      <c r="D11" s="42">
        <f t="shared" si="1"/>
        <v>29</v>
      </c>
      <c r="E11" s="42">
        <v>61440</v>
      </c>
      <c r="F11" s="42">
        <f t="shared" ref="F11" si="13">F10</f>
        <v>4.4097999999999997</v>
      </c>
      <c r="G11" s="42">
        <v>61423</v>
      </c>
      <c r="H11" s="43">
        <f t="shared" si="2"/>
        <v>270863.14539999998</v>
      </c>
      <c r="I11" s="42">
        <f t="shared" si="3"/>
        <v>9340.1084620689653</v>
      </c>
      <c r="J11" s="44">
        <f t="shared" si="4"/>
        <v>2118.6206896551726</v>
      </c>
      <c r="K11" s="44">
        <f t="shared" si="5"/>
        <v>2118.0344827586205</v>
      </c>
      <c r="L11" s="44">
        <f t="shared" si="6"/>
        <v>9340.1084620689635</v>
      </c>
      <c r="M11" s="35"/>
      <c r="N11" s="35"/>
      <c r="O11" s="35"/>
      <c r="P11" s="35"/>
      <c r="Q11" s="35"/>
      <c r="R11" s="35"/>
      <c r="S11" s="35"/>
      <c r="T11" s="35"/>
      <c r="U11" s="35"/>
    </row>
    <row r="12" spans="1:21" x14ac:dyDescent="0.25">
      <c r="A12" s="45">
        <v>11</v>
      </c>
      <c r="B12" s="46">
        <f t="shared" si="0"/>
        <v>43238</v>
      </c>
      <c r="C12" s="46">
        <v>43269</v>
      </c>
      <c r="D12" s="47">
        <f t="shared" si="1"/>
        <v>32</v>
      </c>
      <c r="E12" s="47">
        <v>72800</v>
      </c>
      <c r="F12" s="47">
        <f t="shared" ref="F12" si="14">F10</f>
        <v>4.4097999999999997</v>
      </c>
      <c r="G12" s="47">
        <v>72780</v>
      </c>
      <c r="H12" s="48">
        <f t="shared" si="2"/>
        <v>320945.24400000001</v>
      </c>
      <c r="I12" s="47">
        <f t="shared" si="3"/>
        <v>10029.538875</v>
      </c>
      <c r="J12" s="38">
        <f t="shared" si="4"/>
        <v>2275</v>
      </c>
      <c r="K12" s="38">
        <f t="shared" si="5"/>
        <v>2274.375</v>
      </c>
      <c r="L12" s="38">
        <f t="shared" si="6"/>
        <v>10029.538875</v>
      </c>
      <c r="M12" s="35"/>
      <c r="N12" s="35"/>
      <c r="O12" s="35"/>
      <c r="P12" s="35"/>
      <c r="Q12" s="35"/>
      <c r="R12" s="35"/>
      <c r="S12" s="35"/>
      <c r="T12" s="35"/>
      <c r="U12" s="35"/>
    </row>
    <row r="13" spans="1:21" x14ac:dyDescent="0.25">
      <c r="A13" s="40">
        <v>12</v>
      </c>
      <c r="B13" s="41">
        <f t="shared" si="0"/>
        <v>43270</v>
      </c>
      <c r="C13" s="41">
        <v>43298</v>
      </c>
      <c r="D13" s="42">
        <f t="shared" si="1"/>
        <v>29</v>
      </c>
      <c r="E13" s="42">
        <v>54560</v>
      </c>
      <c r="F13" s="42">
        <f t="shared" ref="F13" si="15">F12</f>
        <v>4.4097999999999997</v>
      </c>
      <c r="G13" s="42">
        <v>54545</v>
      </c>
      <c r="H13" s="43">
        <f t="shared" si="2"/>
        <v>240532.541</v>
      </c>
      <c r="I13" s="42">
        <f t="shared" si="3"/>
        <v>8294.2255517241374</v>
      </c>
      <c r="J13" s="44">
        <f t="shared" si="4"/>
        <v>1881.3793103448277</v>
      </c>
      <c r="K13" s="44">
        <f t="shared" si="5"/>
        <v>1880.8620689655172</v>
      </c>
      <c r="L13" s="44">
        <f t="shared" si="6"/>
        <v>8294.2255517241374</v>
      </c>
      <c r="M13" s="35"/>
      <c r="N13" s="35"/>
      <c r="O13" s="35"/>
      <c r="P13" s="35"/>
      <c r="Q13" s="35"/>
      <c r="R13" s="35"/>
      <c r="S13" s="35"/>
      <c r="T13" s="35"/>
      <c r="U13" s="35"/>
    </row>
    <row r="14" spans="1:21" x14ac:dyDescent="0.25">
      <c r="A14" s="45">
        <v>13</v>
      </c>
      <c r="B14" s="46">
        <f t="shared" si="0"/>
        <v>43299</v>
      </c>
      <c r="C14" s="46">
        <v>43328</v>
      </c>
      <c r="D14" s="47">
        <f t="shared" si="1"/>
        <v>30</v>
      </c>
      <c r="E14" s="47">
        <v>65440</v>
      </c>
      <c r="F14" s="47">
        <f t="shared" ref="F14" si="16">F12</f>
        <v>4.4097999999999997</v>
      </c>
      <c r="G14" s="47">
        <v>65422</v>
      </c>
      <c r="H14" s="48">
        <f t="shared" si="2"/>
        <v>288497.93559999997</v>
      </c>
      <c r="I14" s="47">
        <f t="shared" si="3"/>
        <v>9616.5978533333328</v>
      </c>
      <c r="J14" s="38">
        <f t="shared" si="4"/>
        <v>2181.3333333333335</v>
      </c>
      <c r="K14" s="38">
        <f t="shared" si="5"/>
        <v>2180.7333333333331</v>
      </c>
      <c r="L14" s="38">
        <f t="shared" si="6"/>
        <v>9616.5978533333309</v>
      </c>
      <c r="M14" s="35"/>
      <c r="N14" s="35"/>
      <c r="O14" s="35"/>
      <c r="P14" s="35"/>
      <c r="Q14" s="35"/>
      <c r="R14" s="35"/>
      <c r="S14" s="35"/>
      <c r="T14" s="35"/>
      <c r="U14" s="35"/>
    </row>
    <row r="15" spans="1:21" x14ac:dyDescent="0.25">
      <c r="A15" s="40">
        <v>14</v>
      </c>
      <c r="B15" s="41">
        <f>C14+1</f>
        <v>43329</v>
      </c>
      <c r="C15" s="41">
        <v>43360</v>
      </c>
      <c r="D15" s="42">
        <f t="shared" si="1"/>
        <v>32</v>
      </c>
      <c r="E15" s="42">
        <v>55200</v>
      </c>
      <c r="F15" s="42">
        <f t="shared" ref="F15" si="17">F14</f>
        <v>4.4097999999999997</v>
      </c>
      <c r="G15" s="42">
        <v>55185</v>
      </c>
      <c r="H15" s="43">
        <f t="shared" si="2"/>
        <v>243354.81299999999</v>
      </c>
      <c r="I15" s="42">
        <f t="shared" si="3"/>
        <v>7604.8379062499998</v>
      </c>
      <c r="J15" s="44">
        <f t="shared" si="4"/>
        <v>1725</v>
      </c>
      <c r="K15" s="44">
        <f t="shared" si="5"/>
        <v>1724.53125</v>
      </c>
      <c r="L15" s="44">
        <f t="shared" si="6"/>
        <v>7604.8379062499998</v>
      </c>
      <c r="M15" s="35"/>
      <c r="N15" s="35"/>
      <c r="O15" s="35"/>
      <c r="P15" s="35"/>
      <c r="Q15" s="35"/>
      <c r="R15" s="35"/>
      <c r="S15" s="35"/>
      <c r="T15" s="35"/>
      <c r="U15" s="35"/>
    </row>
    <row r="16" spans="1:21" x14ac:dyDescent="0.25">
      <c r="A16" s="45">
        <v>15</v>
      </c>
      <c r="B16" s="46">
        <f t="shared" ref="B16:B77" si="18">C15+1</f>
        <v>43361</v>
      </c>
      <c r="C16" s="46">
        <v>43390</v>
      </c>
      <c r="D16" s="47">
        <f t="shared" si="1"/>
        <v>30</v>
      </c>
      <c r="E16" s="47">
        <v>55840</v>
      </c>
      <c r="F16" s="47">
        <f t="shared" ref="F16" si="19">F14</f>
        <v>4.4097999999999997</v>
      </c>
      <c r="G16" s="47">
        <v>55824</v>
      </c>
      <c r="H16" s="48">
        <f t="shared" si="2"/>
        <v>246172.6752</v>
      </c>
      <c r="I16" s="47">
        <f t="shared" si="3"/>
        <v>8205.7558399999998</v>
      </c>
      <c r="J16" s="38">
        <f t="shared" si="4"/>
        <v>1861.3333333333333</v>
      </c>
      <c r="K16" s="38">
        <f t="shared" si="5"/>
        <v>1860.8</v>
      </c>
      <c r="L16" s="38">
        <f t="shared" si="6"/>
        <v>8205.7558399999998</v>
      </c>
      <c r="M16" s="35"/>
      <c r="N16" s="35"/>
      <c r="O16" s="35"/>
      <c r="P16" s="35"/>
      <c r="Q16" s="35"/>
      <c r="R16" s="35"/>
      <c r="S16" s="35"/>
      <c r="T16" s="35"/>
      <c r="U16" s="35"/>
    </row>
    <row r="17" spans="1:21" x14ac:dyDescent="0.25">
      <c r="A17" s="40">
        <v>16</v>
      </c>
      <c r="B17" s="41">
        <f t="shared" si="18"/>
        <v>43391</v>
      </c>
      <c r="C17" s="41">
        <v>43419</v>
      </c>
      <c r="D17" s="42">
        <f t="shared" si="1"/>
        <v>29</v>
      </c>
      <c r="E17" s="42">
        <v>48800</v>
      </c>
      <c r="F17" s="42">
        <f t="shared" ref="F17" si="20">F16</f>
        <v>4.4097999999999997</v>
      </c>
      <c r="G17" s="42">
        <v>48786</v>
      </c>
      <c r="H17" s="43">
        <f t="shared" si="2"/>
        <v>215136.50279999999</v>
      </c>
      <c r="I17" s="42">
        <f t="shared" si="3"/>
        <v>7418.5000965517238</v>
      </c>
      <c r="J17" s="44">
        <f t="shared" si="4"/>
        <v>1682.7586206896551</v>
      </c>
      <c r="K17" s="44">
        <f t="shared" si="5"/>
        <v>1682.2758620689656</v>
      </c>
      <c r="L17" s="44">
        <f t="shared" si="6"/>
        <v>7418.5000965517238</v>
      </c>
      <c r="M17" s="35"/>
      <c r="N17" s="35"/>
      <c r="O17" s="35"/>
      <c r="P17" s="35"/>
      <c r="Q17" s="35"/>
      <c r="R17" s="35"/>
      <c r="S17" s="35"/>
      <c r="T17" s="35"/>
      <c r="U17" s="35"/>
    </row>
    <row r="18" spans="1:21" x14ac:dyDescent="0.25">
      <c r="A18" s="45">
        <v>17</v>
      </c>
      <c r="B18" s="46">
        <f t="shared" si="18"/>
        <v>43420</v>
      </c>
      <c r="C18" s="46">
        <v>43451</v>
      </c>
      <c r="D18" s="47">
        <f t="shared" si="1"/>
        <v>32</v>
      </c>
      <c r="E18" s="47">
        <v>42880</v>
      </c>
      <c r="F18" s="47">
        <f t="shared" ref="F18" si="21">F16</f>
        <v>4.4097999999999997</v>
      </c>
      <c r="G18" s="47">
        <v>42868</v>
      </c>
      <c r="H18" s="48">
        <f t="shared" si="2"/>
        <v>189039.3064</v>
      </c>
      <c r="I18" s="47">
        <f t="shared" si="3"/>
        <v>5907.478325</v>
      </c>
      <c r="J18" s="38">
        <f t="shared" si="4"/>
        <v>1340</v>
      </c>
      <c r="K18" s="38">
        <f t="shared" si="5"/>
        <v>1339.625</v>
      </c>
      <c r="L18" s="38">
        <f t="shared" si="6"/>
        <v>5907.478325</v>
      </c>
      <c r="M18" s="35"/>
      <c r="N18" s="35"/>
      <c r="O18" s="35"/>
      <c r="P18" s="35"/>
      <c r="Q18" s="35"/>
      <c r="R18" s="35"/>
      <c r="S18" s="35"/>
      <c r="T18" s="35"/>
      <c r="U18" s="35"/>
    </row>
    <row r="19" spans="1:21" x14ac:dyDescent="0.25">
      <c r="A19" s="40">
        <v>18</v>
      </c>
      <c r="B19" s="41">
        <f t="shared" si="18"/>
        <v>43452</v>
      </c>
      <c r="C19" s="41">
        <v>43481</v>
      </c>
      <c r="D19" s="42">
        <f t="shared" si="1"/>
        <v>30</v>
      </c>
      <c r="E19" s="42">
        <v>33760</v>
      </c>
      <c r="F19" s="42">
        <f t="shared" ref="F19" si="22">F18</f>
        <v>4.4097999999999997</v>
      </c>
      <c r="G19" s="42">
        <v>33751</v>
      </c>
      <c r="H19" s="43">
        <f t="shared" si="2"/>
        <v>148835.15979999999</v>
      </c>
      <c r="I19" s="42">
        <f t="shared" si="3"/>
        <v>4961.1719933333334</v>
      </c>
      <c r="J19" s="44">
        <f t="shared" si="4"/>
        <v>1125.3333333333333</v>
      </c>
      <c r="K19" s="44">
        <f t="shared" si="5"/>
        <v>1125.0333333333333</v>
      </c>
      <c r="L19" s="44">
        <f t="shared" si="6"/>
        <v>4961.1719933333325</v>
      </c>
      <c r="M19" s="35"/>
      <c r="N19" s="35"/>
      <c r="O19" s="35"/>
      <c r="P19" s="35"/>
      <c r="Q19" s="35"/>
      <c r="R19" s="35"/>
      <c r="S19" s="35"/>
      <c r="T19" s="35"/>
      <c r="U19" s="35"/>
    </row>
    <row r="20" spans="1:21" x14ac:dyDescent="0.25">
      <c r="A20" s="45">
        <v>19</v>
      </c>
      <c r="B20" s="46">
        <f t="shared" si="18"/>
        <v>43482</v>
      </c>
      <c r="C20" s="46">
        <v>43515</v>
      </c>
      <c r="D20" s="47">
        <f t="shared" si="1"/>
        <v>34</v>
      </c>
      <c r="E20" s="47">
        <v>6880</v>
      </c>
      <c r="F20" s="47">
        <f t="shared" ref="F20" si="23">F18</f>
        <v>4.4097999999999997</v>
      </c>
      <c r="G20" s="47">
        <v>53585</v>
      </c>
      <c r="H20" s="48">
        <f t="shared" si="2"/>
        <v>236299.13299999997</v>
      </c>
      <c r="I20" s="47">
        <f t="shared" si="3"/>
        <v>6949.9744999999994</v>
      </c>
      <c r="J20" s="38">
        <f t="shared" si="4"/>
        <v>202.35294117647058</v>
      </c>
      <c r="K20" s="38">
        <f t="shared" si="5"/>
        <v>1576.0294117647059</v>
      </c>
      <c r="L20" s="38">
        <f t="shared" si="6"/>
        <v>6949.9744999999994</v>
      </c>
      <c r="M20" s="35"/>
      <c r="N20" s="35"/>
      <c r="O20" s="35"/>
      <c r="P20" s="35"/>
      <c r="Q20" s="35"/>
      <c r="R20" s="35"/>
      <c r="S20" s="35"/>
      <c r="T20" s="35"/>
      <c r="U20" s="35"/>
    </row>
    <row r="21" spans="1:21" x14ac:dyDescent="0.25">
      <c r="A21" s="40">
        <v>20</v>
      </c>
      <c r="B21" s="41">
        <f t="shared" si="18"/>
        <v>43516</v>
      </c>
      <c r="C21" s="41">
        <v>43542</v>
      </c>
      <c r="D21" s="42">
        <f t="shared" si="1"/>
        <v>27</v>
      </c>
      <c r="E21" s="42">
        <v>35040</v>
      </c>
      <c r="F21" s="42">
        <f t="shared" ref="F21" si="24">F20</f>
        <v>4.4097999999999997</v>
      </c>
      <c r="G21" s="42">
        <v>35030</v>
      </c>
      <c r="H21" s="43">
        <f t="shared" si="2"/>
        <v>154475.29399999999</v>
      </c>
      <c r="I21" s="42">
        <f t="shared" si="3"/>
        <v>5721.3071851851846</v>
      </c>
      <c r="J21" s="44">
        <f t="shared" si="4"/>
        <v>1297.7777777777778</v>
      </c>
      <c r="K21" s="44">
        <f t="shared" si="5"/>
        <v>1297.4074074074074</v>
      </c>
      <c r="L21" s="44">
        <f t="shared" si="6"/>
        <v>5721.3071851851846</v>
      </c>
      <c r="M21" s="35"/>
      <c r="N21" s="35"/>
      <c r="O21" s="35"/>
      <c r="P21" s="35"/>
      <c r="Q21" s="35"/>
      <c r="R21" s="35"/>
      <c r="S21" s="35"/>
      <c r="T21" s="35"/>
      <c r="U21" s="35"/>
    </row>
    <row r="22" spans="1:21" x14ac:dyDescent="0.25">
      <c r="A22" s="45">
        <v>21</v>
      </c>
      <c r="B22" s="46">
        <f t="shared" si="18"/>
        <v>43543</v>
      </c>
      <c r="C22" s="46">
        <v>43572</v>
      </c>
      <c r="D22" s="47">
        <f t="shared" si="1"/>
        <v>30</v>
      </c>
      <c r="E22" s="47">
        <v>52000</v>
      </c>
      <c r="F22" s="47">
        <f t="shared" ref="F22" si="25">F20</f>
        <v>4.4097999999999997</v>
      </c>
      <c r="G22" s="47">
        <v>51985</v>
      </c>
      <c r="H22" s="48">
        <f t="shared" si="2"/>
        <v>229243.45299999998</v>
      </c>
      <c r="I22" s="47">
        <f t="shared" si="3"/>
        <v>7641.448433333333</v>
      </c>
      <c r="J22" s="38">
        <f t="shared" si="4"/>
        <v>1733.3333333333333</v>
      </c>
      <c r="K22" s="38">
        <f t="shared" si="5"/>
        <v>1732.8333333333333</v>
      </c>
      <c r="L22" s="38">
        <f t="shared" si="6"/>
        <v>7641.4484333333321</v>
      </c>
      <c r="M22" s="35"/>
      <c r="N22" s="35"/>
      <c r="O22" s="35"/>
      <c r="P22" s="35"/>
      <c r="Q22" s="35"/>
      <c r="R22" s="35"/>
      <c r="S22" s="35"/>
      <c r="T22" s="35"/>
      <c r="U22" s="35"/>
    </row>
    <row r="23" spans="1:21" x14ac:dyDescent="0.25">
      <c r="A23" s="40">
        <v>22</v>
      </c>
      <c r="B23" s="41">
        <f t="shared" si="18"/>
        <v>43573</v>
      </c>
      <c r="C23" s="41">
        <v>43604</v>
      </c>
      <c r="D23" s="42">
        <f t="shared" si="1"/>
        <v>32</v>
      </c>
      <c r="E23" s="42">
        <v>54720</v>
      </c>
      <c r="F23" s="42">
        <f t="shared" ref="F23" si="26">F22</f>
        <v>4.4097999999999997</v>
      </c>
      <c r="G23" s="42">
        <v>54705</v>
      </c>
      <c r="H23" s="43">
        <f t="shared" si="2"/>
        <v>241238.109</v>
      </c>
      <c r="I23" s="42">
        <f t="shared" si="3"/>
        <v>7538.6909062499999</v>
      </c>
      <c r="J23" s="44">
        <f t="shared" si="4"/>
        <v>1710</v>
      </c>
      <c r="K23" s="44">
        <f t="shared" si="5"/>
        <v>1709.53125</v>
      </c>
      <c r="L23" s="44">
        <f t="shared" si="6"/>
        <v>7538.6909062499999</v>
      </c>
      <c r="M23" s="35"/>
      <c r="N23" s="35"/>
      <c r="O23" s="35"/>
      <c r="P23" s="35"/>
      <c r="Q23" s="35"/>
      <c r="R23" s="35"/>
      <c r="S23" s="35"/>
      <c r="T23" s="35"/>
      <c r="U23" s="35"/>
    </row>
    <row r="24" spans="1:21" x14ac:dyDescent="0.25">
      <c r="A24" s="45">
        <v>23</v>
      </c>
      <c r="B24" s="46">
        <f t="shared" si="18"/>
        <v>43605</v>
      </c>
      <c r="C24" s="46">
        <v>43634</v>
      </c>
      <c r="D24" s="47">
        <f t="shared" si="1"/>
        <v>30</v>
      </c>
      <c r="E24" s="47">
        <v>52480</v>
      </c>
      <c r="F24" s="47">
        <f t="shared" ref="F24" si="27">F22</f>
        <v>4.4097999999999997</v>
      </c>
      <c r="G24" s="47">
        <v>52465</v>
      </c>
      <c r="H24" s="48">
        <f t="shared" si="2"/>
        <v>231360.15699999998</v>
      </c>
      <c r="I24" s="47">
        <f t="shared" si="3"/>
        <v>7712.0052333333324</v>
      </c>
      <c r="J24" s="38">
        <f t="shared" si="4"/>
        <v>1749.3333333333333</v>
      </c>
      <c r="K24" s="38">
        <f t="shared" si="5"/>
        <v>1748.8333333333333</v>
      </c>
      <c r="L24" s="38">
        <f t="shared" si="6"/>
        <v>7712.0052333333324</v>
      </c>
      <c r="M24" s="35"/>
      <c r="N24" s="35"/>
      <c r="O24" s="35"/>
      <c r="P24" s="35"/>
      <c r="Q24" s="35"/>
      <c r="R24" s="35"/>
      <c r="S24" s="35"/>
      <c r="T24" s="35"/>
      <c r="U24" s="35"/>
    </row>
    <row r="25" spans="1:21" x14ac:dyDescent="0.25">
      <c r="A25" s="40">
        <v>24</v>
      </c>
      <c r="B25" s="41">
        <f t="shared" si="18"/>
        <v>43635</v>
      </c>
      <c r="C25" s="41"/>
      <c r="D25" s="42">
        <f t="shared" si="1"/>
        <v>-43634</v>
      </c>
      <c r="E25" s="42"/>
      <c r="F25" s="42">
        <f t="shared" ref="F25" si="28">F24</f>
        <v>4.4097999999999997</v>
      </c>
      <c r="G25" s="42"/>
      <c r="H25" s="43">
        <f t="shared" si="2"/>
        <v>0</v>
      </c>
      <c r="I25" s="42">
        <f t="shared" si="3"/>
        <v>0</v>
      </c>
      <c r="J25" s="44">
        <f t="shared" si="4"/>
        <v>0</v>
      </c>
      <c r="K25" s="44">
        <f t="shared" si="5"/>
        <v>0</v>
      </c>
      <c r="L25" s="44">
        <f t="shared" si="6"/>
        <v>0</v>
      </c>
      <c r="M25" s="35"/>
      <c r="N25" s="35"/>
      <c r="O25" s="35"/>
      <c r="P25" s="35"/>
      <c r="Q25" s="35"/>
      <c r="R25" s="35"/>
      <c r="S25" s="35"/>
      <c r="T25" s="35"/>
      <c r="U25" s="35"/>
    </row>
    <row r="26" spans="1:21" x14ac:dyDescent="0.25">
      <c r="A26" s="45">
        <v>25</v>
      </c>
      <c r="B26" s="46">
        <f t="shared" si="18"/>
        <v>1</v>
      </c>
      <c r="C26" s="46"/>
      <c r="D26" s="47">
        <f t="shared" si="1"/>
        <v>0</v>
      </c>
      <c r="E26" s="47"/>
      <c r="F26" s="47">
        <f t="shared" ref="F26" si="29">F24</f>
        <v>4.4097999999999997</v>
      </c>
      <c r="G26" s="47"/>
      <c r="H26" s="48">
        <f t="shared" si="2"/>
        <v>0</v>
      </c>
      <c r="I26" s="47" t="e">
        <f t="shared" si="3"/>
        <v>#DIV/0!</v>
      </c>
      <c r="J26" s="38" t="e">
        <f t="shared" si="4"/>
        <v>#DIV/0!</v>
      </c>
      <c r="K26" s="38" t="e">
        <f t="shared" si="5"/>
        <v>#DIV/0!</v>
      </c>
      <c r="L26" s="38" t="e">
        <f t="shared" si="6"/>
        <v>#DIV/0!</v>
      </c>
      <c r="M26" s="35"/>
      <c r="N26" s="35"/>
      <c r="O26" s="35"/>
      <c r="P26" s="35"/>
      <c r="Q26" s="35"/>
      <c r="R26" s="35"/>
      <c r="S26" s="35"/>
      <c r="T26" s="35"/>
      <c r="U26" s="35"/>
    </row>
    <row r="27" spans="1:21" x14ac:dyDescent="0.25">
      <c r="A27" s="40">
        <v>26</v>
      </c>
      <c r="B27" s="41">
        <f t="shared" si="18"/>
        <v>1</v>
      </c>
      <c r="C27" s="41"/>
      <c r="D27" s="42">
        <f t="shared" si="1"/>
        <v>0</v>
      </c>
      <c r="E27" s="42"/>
      <c r="F27" s="42">
        <f t="shared" ref="F27" si="30">F26</f>
        <v>4.4097999999999997</v>
      </c>
      <c r="G27" s="42"/>
      <c r="H27" s="43">
        <f t="shared" si="2"/>
        <v>0</v>
      </c>
      <c r="I27" s="42" t="e">
        <f t="shared" si="3"/>
        <v>#DIV/0!</v>
      </c>
      <c r="J27" s="44" t="e">
        <f t="shared" si="4"/>
        <v>#DIV/0!</v>
      </c>
      <c r="K27" s="44" t="e">
        <f t="shared" si="5"/>
        <v>#DIV/0!</v>
      </c>
      <c r="L27" s="44" t="e">
        <f t="shared" si="6"/>
        <v>#DIV/0!</v>
      </c>
      <c r="M27" s="35"/>
      <c r="N27" s="35"/>
      <c r="O27" s="35"/>
      <c r="P27" s="35"/>
      <c r="Q27" s="35"/>
      <c r="R27" s="35"/>
      <c r="S27" s="35"/>
      <c r="T27" s="35"/>
      <c r="U27" s="35"/>
    </row>
    <row r="28" spans="1:21" x14ac:dyDescent="0.25">
      <c r="A28" s="45">
        <v>27</v>
      </c>
      <c r="B28" s="46">
        <f t="shared" si="18"/>
        <v>1</v>
      </c>
      <c r="C28" s="46"/>
      <c r="D28" s="47">
        <f t="shared" si="1"/>
        <v>0</v>
      </c>
      <c r="E28" s="47"/>
      <c r="F28" s="47">
        <f t="shared" ref="F28" si="31">F26</f>
        <v>4.4097999999999997</v>
      </c>
      <c r="G28" s="47"/>
      <c r="H28" s="48">
        <f t="shared" si="2"/>
        <v>0</v>
      </c>
      <c r="I28" s="47" t="e">
        <f t="shared" si="3"/>
        <v>#DIV/0!</v>
      </c>
      <c r="J28" s="38" t="e">
        <f t="shared" si="4"/>
        <v>#DIV/0!</v>
      </c>
      <c r="K28" s="38" t="e">
        <f t="shared" si="5"/>
        <v>#DIV/0!</v>
      </c>
      <c r="L28" s="38" t="e">
        <f t="shared" si="6"/>
        <v>#DIV/0!</v>
      </c>
      <c r="M28" s="35"/>
      <c r="N28" s="35"/>
      <c r="O28" s="35"/>
      <c r="P28" s="35"/>
      <c r="Q28" s="35"/>
      <c r="R28" s="35"/>
      <c r="S28" s="35"/>
      <c r="T28" s="35"/>
      <c r="U28" s="35"/>
    </row>
    <row r="29" spans="1:21" x14ac:dyDescent="0.25">
      <c r="A29" s="40">
        <v>28</v>
      </c>
      <c r="B29" s="41">
        <f t="shared" si="18"/>
        <v>1</v>
      </c>
      <c r="C29" s="41"/>
      <c r="D29" s="42">
        <f t="shared" si="1"/>
        <v>0</v>
      </c>
      <c r="E29" s="42"/>
      <c r="F29" s="42">
        <f t="shared" ref="F29" si="32">F28</f>
        <v>4.4097999999999997</v>
      </c>
      <c r="G29" s="42"/>
      <c r="H29" s="43">
        <f t="shared" si="2"/>
        <v>0</v>
      </c>
      <c r="I29" s="42" t="e">
        <f t="shared" si="3"/>
        <v>#DIV/0!</v>
      </c>
      <c r="J29" s="44" t="e">
        <f t="shared" si="4"/>
        <v>#DIV/0!</v>
      </c>
      <c r="K29" s="44" t="e">
        <f t="shared" si="5"/>
        <v>#DIV/0!</v>
      </c>
      <c r="L29" s="44" t="e">
        <f t="shared" si="6"/>
        <v>#DIV/0!</v>
      </c>
      <c r="M29" s="35"/>
      <c r="N29" s="35"/>
      <c r="O29" s="35"/>
      <c r="P29" s="35"/>
      <c r="Q29" s="35"/>
      <c r="R29" s="35"/>
      <c r="S29" s="35"/>
      <c r="T29" s="35"/>
      <c r="U29" s="35"/>
    </row>
    <row r="30" spans="1:21" x14ac:dyDescent="0.25">
      <c r="A30" s="45">
        <v>29</v>
      </c>
      <c r="B30" s="46">
        <f t="shared" si="18"/>
        <v>1</v>
      </c>
      <c r="C30" s="46"/>
      <c r="D30" s="47">
        <f t="shared" si="1"/>
        <v>0</v>
      </c>
      <c r="E30" s="47"/>
      <c r="F30" s="47">
        <f t="shared" ref="F30" si="33">F28</f>
        <v>4.4097999999999997</v>
      </c>
      <c r="G30" s="47"/>
      <c r="H30" s="48">
        <f t="shared" si="2"/>
        <v>0</v>
      </c>
      <c r="I30" s="47" t="e">
        <f t="shared" si="3"/>
        <v>#DIV/0!</v>
      </c>
      <c r="J30" s="38" t="e">
        <f t="shared" si="4"/>
        <v>#DIV/0!</v>
      </c>
      <c r="K30" s="38" t="e">
        <f t="shared" si="5"/>
        <v>#DIV/0!</v>
      </c>
      <c r="L30" s="38" t="e">
        <f t="shared" si="6"/>
        <v>#DIV/0!</v>
      </c>
      <c r="M30" s="35"/>
      <c r="N30" s="35"/>
      <c r="O30" s="35"/>
      <c r="P30" s="35"/>
      <c r="Q30" s="35"/>
      <c r="R30" s="35"/>
      <c r="S30" s="35"/>
      <c r="T30" s="35"/>
      <c r="U30" s="35"/>
    </row>
    <row r="31" spans="1:21" x14ac:dyDescent="0.25">
      <c r="A31" s="40">
        <v>30</v>
      </c>
      <c r="B31" s="41">
        <f t="shared" si="18"/>
        <v>1</v>
      </c>
      <c r="C31" s="41"/>
      <c r="D31" s="42">
        <f t="shared" si="1"/>
        <v>0</v>
      </c>
      <c r="E31" s="42"/>
      <c r="F31" s="42">
        <f t="shared" ref="F31" si="34">F30</f>
        <v>4.4097999999999997</v>
      </c>
      <c r="G31" s="42"/>
      <c r="H31" s="43">
        <f t="shared" si="2"/>
        <v>0</v>
      </c>
      <c r="I31" s="42" t="e">
        <f t="shared" si="3"/>
        <v>#DIV/0!</v>
      </c>
      <c r="J31" s="44" t="e">
        <f t="shared" si="4"/>
        <v>#DIV/0!</v>
      </c>
      <c r="K31" s="44" t="e">
        <f t="shared" si="5"/>
        <v>#DIV/0!</v>
      </c>
      <c r="L31" s="44" t="e">
        <f t="shared" si="6"/>
        <v>#DIV/0!</v>
      </c>
      <c r="M31" s="35"/>
      <c r="N31" s="35"/>
      <c r="O31" s="35"/>
      <c r="P31" s="35"/>
      <c r="Q31" s="35"/>
      <c r="R31" s="35"/>
      <c r="S31" s="35"/>
      <c r="T31" s="35"/>
      <c r="U31" s="35"/>
    </row>
    <row r="32" spans="1:21" x14ac:dyDescent="0.25">
      <c r="A32" s="45">
        <v>31</v>
      </c>
      <c r="B32" s="46">
        <f t="shared" si="18"/>
        <v>1</v>
      </c>
      <c r="C32" s="46"/>
      <c r="D32" s="47">
        <f t="shared" si="1"/>
        <v>0</v>
      </c>
      <c r="E32" s="47"/>
      <c r="F32" s="47">
        <f t="shared" ref="F32" si="35">F30</f>
        <v>4.4097999999999997</v>
      </c>
      <c r="G32" s="47"/>
      <c r="H32" s="48">
        <f t="shared" si="2"/>
        <v>0</v>
      </c>
      <c r="I32" s="47" t="e">
        <f t="shared" si="3"/>
        <v>#DIV/0!</v>
      </c>
      <c r="J32" s="38" t="e">
        <f t="shared" si="4"/>
        <v>#DIV/0!</v>
      </c>
      <c r="K32" s="38" t="e">
        <f t="shared" si="5"/>
        <v>#DIV/0!</v>
      </c>
      <c r="L32" s="38" t="e">
        <f t="shared" si="6"/>
        <v>#DIV/0!</v>
      </c>
      <c r="M32" s="35"/>
      <c r="N32" s="35"/>
      <c r="O32" s="35"/>
      <c r="P32" s="35"/>
      <c r="Q32" s="35"/>
      <c r="R32" s="35"/>
      <c r="S32" s="35"/>
      <c r="T32" s="35"/>
      <c r="U32" s="35"/>
    </row>
    <row r="33" spans="1:21" x14ac:dyDescent="0.25">
      <c r="A33" s="40">
        <v>32</v>
      </c>
      <c r="B33" s="41">
        <f t="shared" si="18"/>
        <v>1</v>
      </c>
      <c r="C33" s="41"/>
      <c r="D33" s="42">
        <f t="shared" si="1"/>
        <v>0</v>
      </c>
      <c r="E33" s="42"/>
      <c r="F33" s="42">
        <f t="shared" ref="F33" si="36">F32</f>
        <v>4.4097999999999997</v>
      </c>
      <c r="G33" s="42"/>
      <c r="H33" s="43">
        <f t="shared" si="2"/>
        <v>0</v>
      </c>
      <c r="I33" s="42" t="e">
        <f t="shared" si="3"/>
        <v>#DIV/0!</v>
      </c>
      <c r="J33" s="44" t="e">
        <f t="shared" si="4"/>
        <v>#DIV/0!</v>
      </c>
      <c r="K33" s="44" t="e">
        <f t="shared" si="5"/>
        <v>#DIV/0!</v>
      </c>
      <c r="L33" s="44" t="e">
        <f t="shared" si="6"/>
        <v>#DIV/0!</v>
      </c>
      <c r="M33" s="35"/>
      <c r="N33" s="35"/>
      <c r="O33" s="35"/>
      <c r="P33" s="35"/>
      <c r="Q33" s="35"/>
      <c r="R33" s="35"/>
      <c r="S33" s="35"/>
      <c r="T33" s="35"/>
      <c r="U33" s="35"/>
    </row>
    <row r="34" spans="1:21" x14ac:dyDescent="0.25">
      <c r="A34" s="45">
        <v>33</v>
      </c>
      <c r="B34" s="46">
        <f t="shared" si="18"/>
        <v>1</v>
      </c>
      <c r="C34" s="46"/>
      <c r="D34" s="47">
        <f t="shared" si="1"/>
        <v>0</v>
      </c>
      <c r="E34" s="47"/>
      <c r="F34" s="47">
        <f t="shared" ref="F34" si="37">F32</f>
        <v>4.4097999999999997</v>
      </c>
      <c r="G34" s="47"/>
      <c r="H34" s="48">
        <f t="shared" si="2"/>
        <v>0</v>
      </c>
      <c r="I34" s="47" t="e">
        <f t="shared" si="3"/>
        <v>#DIV/0!</v>
      </c>
      <c r="J34" s="38" t="e">
        <f t="shared" si="4"/>
        <v>#DIV/0!</v>
      </c>
      <c r="K34" s="38" t="e">
        <f t="shared" si="5"/>
        <v>#DIV/0!</v>
      </c>
      <c r="L34" s="38" t="e">
        <f t="shared" si="6"/>
        <v>#DIV/0!</v>
      </c>
      <c r="M34" s="35"/>
      <c r="N34" s="35"/>
      <c r="O34" s="35"/>
      <c r="P34" s="35"/>
      <c r="Q34" s="35"/>
      <c r="R34" s="35"/>
      <c r="S34" s="35"/>
      <c r="T34" s="35"/>
      <c r="U34" s="35"/>
    </row>
    <row r="35" spans="1:21" x14ac:dyDescent="0.25">
      <c r="A35" s="40">
        <v>34</v>
      </c>
      <c r="B35" s="41">
        <f t="shared" si="18"/>
        <v>1</v>
      </c>
      <c r="C35" s="41"/>
      <c r="D35" s="42">
        <f t="shared" si="1"/>
        <v>0</v>
      </c>
      <c r="E35" s="42"/>
      <c r="F35" s="42">
        <f t="shared" ref="F35" si="38">F34</f>
        <v>4.4097999999999997</v>
      </c>
      <c r="G35" s="42"/>
      <c r="H35" s="43">
        <f t="shared" si="2"/>
        <v>0</v>
      </c>
      <c r="I35" s="42" t="e">
        <f t="shared" si="3"/>
        <v>#DIV/0!</v>
      </c>
      <c r="J35" s="44" t="e">
        <f t="shared" si="4"/>
        <v>#DIV/0!</v>
      </c>
      <c r="K35" s="44" t="e">
        <f t="shared" si="5"/>
        <v>#DIV/0!</v>
      </c>
      <c r="L35" s="44" t="e">
        <f t="shared" si="6"/>
        <v>#DIV/0!</v>
      </c>
      <c r="M35" s="35"/>
      <c r="N35" s="35"/>
      <c r="O35" s="35"/>
      <c r="P35" s="35"/>
      <c r="Q35" s="35"/>
      <c r="R35" s="35"/>
      <c r="S35" s="35"/>
      <c r="T35" s="35"/>
      <c r="U35" s="35"/>
    </row>
    <row r="36" spans="1:21" x14ac:dyDescent="0.25">
      <c r="A36" s="45">
        <v>35</v>
      </c>
      <c r="B36" s="46">
        <f t="shared" si="18"/>
        <v>1</v>
      </c>
      <c r="C36" s="46"/>
      <c r="D36" s="47">
        <f t="shared" si="1"/>
        <v>0</v>
      </c>
      <c r="E36" s="47"/>
      <c r="F36" s="47">
        <f t="shared" ref="F36" si="39">F34</f>
        <v>4.4097999999999997</v>
      </c>
      <c r="G36" s="47"/>
      <c r="H36" s="48">
        <f t="shared" si="2"/>
        <v>0</v>
      </c>
      <c r="I36" s="47" t="e">
        <f t="shared" si="3"/>
        <v>#DIV/0!</v>
      </c>
      <c r="J36" s="38" t="e">
        <f t="shared" si="4"/>
        <v>#DIV/0!</v>
      </c>
      <c r="K36" s="38" t="e">
        <f t="shared" si="5"/>
        <v>#DIV/0!</v>
      </c>
      <c r="L36" s="38" t="e">
        <f t="shared" si="6"/>
        <v>#DIV/0!</v>
      </c>
      <c r="M36" s="35"/>
      <c r="N36" s="35"/>
      <c r="O36" s="35"/>
      <c r="P36" s="35"/>
      <c r="Q36" s="35"/>
      <c r="R36" s="35"/>
      <c r="S36" s="35"/>
      <c r="T36" s="35"/>
      <c r="U36" s="35"/>
    </row>
    <row r="37" spans="1:21" x14ac:dyDescent="0.25">
      <c r="A37" s="40">
        <v>36</v>
      </c>
      <c r="B37" s="41">
        <f t="shared" si="18"/>
        <v>1</v>
      </c>
      <c r="C37" s="41"/>
      <c r="D37" s="42">
        <f t="shared" si="1"/>
        <v>0</v>
      </c>
      <c r="E37" s="42"/>
      <c r="F37" s="42">
        <f t="shared" ref="F37" si="40">F36</f>
        <v>4.4097999999999997</v>
      </c>
      <c r="G37" s="42"/>
      <c r="H37" s="43">
        <f t="shared" si="2"/>
        <v>0</v>
      </c>
      <c r="I37" s="42" t="e">
        <f t="shared" si="3"/>
        <v>#DIV/0!</v>
      </c>
      <c r="J37" s="44" t="e">
        <f t="shared" si="4"/>
        <v>#DIV/0!</v>
      </c>
      <c r="K37" s="44" t="e">
        <f t="shared" si="5"/>
        <v>#DIV/0!</v>
      </c>
      <c r="L37" s="44" t="e">
        <f t="shared" si="6"/>
        <v>#DIV/0!</v>
      </c>
      <c r="M37" s="35"/>
      <c r="N37" s="35"/>
      <c r="O37" s="35"/>
      <c r="P37" s="35"/>
      <c r="Q37" s="35"/>
      <c r="R37" s="35"/>
      <c r="S37" s="35"/>
      <c r="T37" s="35"/>
      <c r="U37" s="35"/>
    </row>
    <row r="38" spans="1:21" x14ac:dyDescent="0.25">
      <c r="A38" s="45">
        <v>37</v>
      </c>
      <c r="B38" s="46">
        <f t="shared" si="18"/>
        <v>1</v>
      </c>
      <c r="C38" s="46"/>
      <c r="D38" s="47">
        <f t="shared" si="1"/>
        <v>0</v>
      </c>
      <c r="E38" s="47"/>
      <c r="F38" s="47">
        <f t="shared" ref="F38" si="41">F36</f>
        <v>4.4097999999999997</v>
      </c>
      <c r="G38" s="47"/>
      <c r="H38" s="48">
        <f t="shared" si="2"/>
        <v>0</v>
      </c>
      <c r="I38" s="47" t="e">
        <f t="shared" si="3"/>
        <v>#DIV/0!</v>
      </c>
      <c r="J38" s="38" t="e">
        <f t="shared" si="4"/>
        <v>#DIV/0!</v>
      </c>
      <c r="K38" s="38" t="e">
        <f t="shared" si="5"/>
        <v>#DIV/0!</v>
      </c>
      <c r="L38" s="38" t="e">
        <f t="shared" si="6"/>
        <v>#DIV/0!</v>
      </c>
      <c r="M38" s="35"/>
      <c r="N38" s="35"/>
      <c r="O38" s="35"/>
      <c r="P38" s="35"/>
      <c r="Q38" s="35"/>
      <c r="R38" s="35"/>
      <c r="S38" s="35"/>
      <c r="T38" s="35"/>
      <c r="U38" s="35"/>
    </row>
    <row r="39" spans="1:21" x14ac:dyDescent="0.25">
      <c r="A39" s="40">
        <v>38</v>
      </c>
      <c r="B39" s="41">
        <f t="shared" si="18"/>
        <v>1</v>
      </c>
      <c r="C39" s="41"/>
      <c r="D39" s="42">
        <f t="shared" si="1"/>
        <v>0</v>
      </c>
      <c r="E39" s="42"/>
      <c r="F39" s="42">
        <f t="shared" ref="F39" si="42">F38</f>
        <v>4.4097999999999997</v>
      </c>
      <c r="G39" s="42"/>
      <c r="H39" s="43">
        <f t="shared" si="2"/>
        <v>0</v>
      </c>
      <c r="I39" s="42" t="e">
        <f t="shared" si="3"/>
        <v>#DIV/0!</v>
      </c>
      <c r="J39" s="44" t="e">
        <f t="shared" si="4"/>
        <v>#DIV/0!</v>
      </c>
      <c r="K39" s="44" t="e">
        <f t="shared" si="5"/>
        <v>#DIV/0!</v>
      </c>
      <c r="L39" s="44" t="e">
        <f t="shared" si="6"/>
        <v>#DIV/0!</v>
      </c>
      <c r="M39" s="35"/>
      <c r="N39" s="35"/>
      <c r="O39" s="35"/>
      <c r="P39" s="35"/>
      <c r="Q39" s="35"/>
      <c r="R39" s="35"/>
      <c r="S39" s="35"/>
      <c r="T39" s="35"/>
      <c r="U39" s="35"/>
    </row>
    <row r="40" spans="1:21" x14ac:dyDescent="0.25">
      <c r="A40" s="45">
        <v>39</v>
      </c>
      <c r="B40" s="46">
        <f t="shared" si="18"/>
        <v>1</v>
      </c>
      <c r="C40" s="46"/>
      <c r="D40" s="47">
        <f t="shared" si="1"/>
        <v>0</v>
      </c>
      <c r="E40" s="47"/>
      <c r="F40" s="47">
        <f t="shared" ref="F40" si="43">F38</f>
        <v>4.4097999999999997</v>
      </c>
      <c r="G40" s="47"/>
      <c r="H40" s="48">
        <f t="shared" si="2"/>
        <v>0</v>
      </c>
      <c r="I40" s="47" t="e">
        <f t="shared" si="3"/>
        <v>#DIV/0!</v>
      </c>
      <c r="J40" s="38" t="e">
        <f t="shared" si="4"/>
        <v>#DIV/0!</v>
      </c>
      <c r="K40" s="38" t="e">
        <f t="shared" si="5"/>
        <v>#DIV/0!</v>
      </c>
      <c r="L40" s="38" t="e">
        <f t="shared" si="6"/>
        <v>#DIV/0!</v>
      </c>
      <c r="M40" s="35"/>
      <c r="N40" s="35"/>
      <c r="O40" s="35"/>
      <c r="P40" s="35"/>
      <c r="Q40" s="35"/>
      <c r="R40" s="35"/>
      <c r="S40" s="35"/>
      <c r="T40" s="35"/>
      <c r="U40" s="35"/>
    </row>
    <row r="41" spans="1:21" x14ac:dyDescent="0.25">
      <c r="A41" s="40">
        <v>40</v>
      </c>
      <c r="B41" s="41">
        <f t="shared" si="18"/>
        <v>1</v>
      </c>
      <c r="C41" s="41"/>
      <c r="D41" s="42">
        <f t="shared" si="1"/>
        <v>0</v>
      </c>
      <c r="E41" s="42"/>
      <c r="F41" s="42">
        <f t="shared" ref="F41" si="44">F40</f>
        <v>4.4097999999999997</v>
      </c>
      <c r="G41" s="42"/>
      <c r="H41" s="43">
        <f t="shared" si="2"/>
        <v>0</v>
      </c>
      <c r="I41" s="42" t="e">
        <f t="shared" si="3"/>
        <v>#DIV/0!</v>
      </c>
      <c r="J41" s="44" t="e">
        <f t="shared" si="4"/>
        <v>#DIV/0!</v>
      </c>
      <c r="K41" s="44" t="e">
        <f t="shared" si="5"/>
        <v>#DIV/0!</v>
      </c>
      <c r="L41" s="44" t="e">
        <f t="shared" si="6"/>
        <v>#DIV/0!</v>
      </c>
      <c r="M41" s="35"/>
      <c r="N41" s="35"/>
      <c r="O41" s="35"/>
      <c r="P41" s="35"/>
      <c r="Q41" s="35"/>
      <c r="R41" s="35"/>
      <c r="S41" s="35"/>
      <c r="T41" s="35"/>
      <c r="U41" s="35"/>
    </row>
    <row r="42" spans="1:21" x14ac:dyDescent="0.25">
      <c r="A42" s="45">
        <v>41</v>
      </c>
      <c r="B42" s="46">
        <f t="shared" si="18"/>
        <v>1</v>
      </c>
      <c r="C42" s="46"/>
      <c r="D42" s="47">
        <f t="shared" si="1"/>
        <v>0</v>
      </c>
      <c r="E42" s="47"/>
      <c r="F42" s="47">
        <f t="shared" ref="F42" si="45">F40</f>
        <v>4.4097999999999997</v>
      </c>
      <c r="G42" s="47"/>
      <c r="H42" s="48">
        <f t="shared" si="2"/>
        <v>0</v>
      </c>
      <c r="I42" s="47" t="e">
        <f t="shared" si="3"/>
        <v>#DIV/0!</v>
      </c>
      <c r="J42" s="38" t="e">
        <f t="shared" si="4"/>
        <v>#DIV/0!</v>
      </c>
      <c r="K42" s="38" t="e">
        <f t="shared" si="5"/>
        <v>#DIV/0!</v>
      </c>
      <c r="L42" s="38" t="e">
        <f t="shared" si="6"/>
        <v>#DIV/0!</v>
      </c>
      <c r="M42" s="35"/>
      <c r="N42" s="35"/>
      <c r="O42" s="35"/>
      <c r="P42" s="35"/>
      <c r="Q42" s="35"/>
      <c r="R42" s="35"/>
      <c r="S42" s="35"/>
      <c r="T42" s="35"/>
      <c r="U42" s="35"/>
    </row>
    <row r="43" spans="1:21" x14ac:dyDescent="0.25">
      <c r="A43" s="40">
        <v>42</v>
      </c>
      <c r="B43" s="41">
        <f t="shared" si="18"/>
        <v>1</v>
      </c>
      <c r="C43" s="41"/>
      <c r="D43" s="42">
        <f t="shared" si="1"/>
        <v>0</v>
      </c>
      <c r="E43" s="42"/>
      <c r="F43" s="42">
        <f t="shared" ref="F43" si="46">F42</f>
        <v>4.4097999999999997</v>
      </c>
      <c r="G43" s="42"/>
      <c r="H43" s="43">
        <f t="shared" si="2"/>
        <v>0</v>
      </c>
      <c r="I43" s="42" t="e">
        <f t="shared" si="3"/>
        <v>#DIV/0!</v>
      </c>
      <c r="J43" s="44" t="e">
        <f t="shared" si="4"/>
        <v>#DIV/0!</v>
      </c>
      <c r="K43" s="44" t="e">
        <f t="shared" si="5"/>
        <v>#DIV/0!</v>
      </c>
      <c r="L43" s="44" t="e">
        <f t="shared" si="6"/>
        <v>#DIV/0!</v>
      </c>
      <c r="M43" s="35"/>
      <c r="N43" s="35"/>
      <c r="O43" s="35"/>
      <c r="P43" s="35"/>
      <c r="Q43" s="35"/>
      <c r="R43" s="35"/>
      <c r="S43" s="35"/>
      <c r="T43" s="35"/>
      <c r="U43" s="35"/>
    </row>
    <row r="44" spans="1:21" x14ac:dyDescent="0.25">
      <c r="A44" s="45">
        <v>43</v>
      </c>
      <c r="B44" s="46">
        <f t="shared" si="18"/>
        <v>1</v>
      </c>
      <c r="C44" s="46"/>
      <c r="D44" s="47">
        <f t="shared" si="1"/>
        <v>0</v>
      </c>
      <c r="E44" s="47"/>
      <c r="F44" s="47">
        <f t="shared" ref="F44" si="47">F42</f>
        <v>4.4097999999999997</v>
      </c>
      <c r="G44" s="47"/>
      <c r="H44" s="48">
        <f t="shared" si="2"/>
        <v>0</v>
      </c>
      <c r="I44" s="47" t="e">
        <f t="shared" si="3"/>
        <v>#DIV/0!</v>
      </c>
      <c r="J44" s="38" t="e">
        <f t="shared" si="4"/>
        <v>#DIV/0!</v>
      </c>
      <c r="K44" s="38" t="e">
        <f t="shared" si="5"/>
        <v>#DIV/0!</v>
      </c>
      <c r="L44" s="38" t="e">
        <f t="shared" si="6"/>
        <v>#DIV/0!</v>
      </c>
      <c r="M44" s="35"/>
      <c r="N44" s="35"/>
      <c r="O44" s="35"/>
      <c r="P44" s="35"/>
      <c r="Q44" s="35"/>
      <c r="R44" s="35"/>
      <c r="S44" s="35"/>
      <c r="T44" s="35"/>
      <c r="U44" s="35"/>
    </row>
    <row r="45" spans="1:21" x14ac:dyDescent="0.25">
      <c r="A45" s="40">
        <v>44</v>
      </c>
      <c r="B45" s="41">
        <f t="shared" si="18"/>
        <v>1</v>
      </c>
      <c r="C45" s="41"/>
      <c r="D45" s="42">
        <f t="shared" si="1"/>
        <v>0</v>
      </c>
      <c r="E45" s="42"/>
      <c r="F45" s="42">
        <f t="shared" ref="F45" si="48">F44</f>
        <v>4.4097999999999997</v>
      </c>
      <c r="G45" s="42"/>
      <c r="H45" s="43">
        <f t="shared" si="2"/>
        <v>0</v>
      </c>
      <c r="I45" s="42" t="e">
        <f t="shared" si="3"/>
        <v>#DIV/0!</v>
      </c>
      <c r="J45" s="44" t="e">
        <f t="shared" si="4"/>
        <v>#DIV/0!</v>
      </c>
      <c r="K45" s="44" t="e">
        <f t="shared" si="5"/>
        <v>#DIV/0!</v>
      </c>
      <c r="L45" s="44" t="e">
        <f t="shared" si="6"/>
        <v>#DIV/0!</v>
      </c>
      <c r="M45" s="35"/>
      <c r="N45" s="35"/>
      <c r="O45" s="35"/>
      <c r="P45" s="35"/>
      <c r="Q45" s="35"/>
      <c r="R45" s="35"/>
      <c r="S45" s="35"/>
      <c r="T45" s="35"/>
      <c r="U45" s="35"/>
    </row>
    <row r="46" spans="1:21" x14ac:dyDescent="0.25">
      <c r="A46" s="45">
        <v>45</v>
      </c>
      <c r="B46" s="46">
        <f t="shared" si="18"/>
        <v>1</v>
      </c>
      <c r="C46" s="46"/>
      <c r="D46" s="47">
        <f t="shared" si="1"/>
        <v>0</v>
      </c>
      <c r="E46" s="47"/>
      <c r="F46" s="47">
        <f t="shared" ref="F46" si="49">F44</f>
        <v>4.4097999999999997</v>
      </c>
      <c r="G46" s="47"/>
      <c r="H46" s="48">
        <f t="shared" si="2"/>
        <v>0</v>
      </c>
      <c r="I46" s="47" t="e">
        <f t="shared" si="3"/>
        <v>#DIV/0!</v>
      </c>
      <c r="J46" s="38" t="e">
        <f t="shared" si="4"/>
        <v>#DIV/0!</v>
      </c>
      <c r="K46" s="38" t="e">
        <f t="shared" si="5"/>
        <v>#DIV/0!</v>
      </c>
      <c r="L46" s="38" t="e">
        <f t="shared" si="6"/>
        <v>#DIV/0!</v>
      </c>
      <c r="M46" s="35"/>
      <c r="N46" s="35"/>
      <c r="O46" s="35"/>
      <c r="P46" s="35"/>
      <c r="Q46" s="35"/>
      <c r="R46" s="35"/>
      <c r="S46" s="35"/>
      <c r="T46" s="35"/>
      <c r="U46" s="35"/>
    </row>
    <row r="47" spans="1:21" x14ac:dyDescent="0.25">
      <c r="A47" s="40">
        <v>46</v>
      </c>
      <c r="B47" s="41">
        <f t="shared" si="18"/>
        <v>1</v>
      </c>
      <c r="C47" s="41"/>
      <c r="D47" s="42">
        <f t="shared" si="1"/>
        <v>0</v>
      </c>
      <c r="E47" s="42"/>
      <c r="F47" s="42">
        <f t="shared" ref="F47" si="50">F46</f>
        <v>4.4097999999999997</v>
      </c>
      <c r="G47" s="42"/>
      <c r="H47" s="43">
        <f t="shared" si="2"/>
        <v>0</v>
      </c>
      <c r="I47" s="42" t="e">
        <f t="shared" si="3"/>
        <v>#DIV/0!</v>
      </c>
      <c r="J47" s="44" t="e">
        <f t="shared" si="4"/>
        <v>#DIV/0!</v>
      </c>
      <c r="K47" s="44" t="e">
        <f t="shared" si="5"/>
        <v>#DIV/0!</v>
      </c>
      <c r="L47" s="44" t="e">
        <f t="shared" si="6"/>
        <v>#DIV/0!</v>
      </c>
      <c r="M47" s="35"/>
      <c r="N47" s="35"/>
      <c r="O47" s="35"/>
      <c r="P47" s="35"/>
      <c r="Q47" s="35"/>
      <c r="R47" s="35"/>
      <c r="S47" s="35"/>
      <c r="T47" s="35"/>
      <c r="U47" s="35"/>
    </row>
    <row r="48" spans="1:21" x14ac:dyDescent="0.25">
      <c r="A48" s="45">
        <v>47</v>
      </c>
      <c r="B48" s="46">
        <f t="shared" si="18"/>
        <v>1</v>
      </c>
      <c r="C48" s="46"/>
      <c r="D48" s="47">
        <f t="shared" si="1"/>
        <v>0</v>
      </c>
      <c r="E48" s="47"/>
      <c r="F48" s="47">
        <f t="shared" ref="F48" si="51">F46</f>
        <v>4.4097999999999997</v>
      </c>
      <c r="G48" s="47"/>
      <c r="H48" s="48">
        <f t="shared" si="2"/>
        <v>0</v>
      </c>
      <c r="I48" s="47" t="e">
        <f t="shared" si="3"/>
        <v>#DIV/0!</v>
      </c>
      <c r="J48" s="38" t="e">
        <f t="shared" si="4"/>
        <v>#DIV/0!</v>
      </c>
      <c r="K48" s="38" t="e">
        <f t="shared" si="5"/>
        <v>#DIV/0!</v>
      </c>
      <c r="L48" s="38" t="e">
        <f t="shared" si="6"/>
        <v>#DIV/0!</v>
      </c>
      <c r="M48" s="35"/>
      <c r="N48" s="35"/>
      <c r="O48" s="35"/>
      <c r="P48" s="35"/>
      <c r="Q48" s="35"/>
      <c r="R48" s="35"/>
      <c r="S48" s="35"/>
      <c r="T48" s="35"/>
      <c r="U48" s="35"/>
    </row>
    <row r="49" spans="1:21" x14ac:dyDescent="0.25">
      <c r="A49" s="40">
        <v>48</v>
      </c>
      <c r="B49" s="41">
        <f t="shared" si="18"/>
        <v>1</v>
      </c>
      <c r="C49" s="41"/>
      <c r="D49" s="42">
        <f t="shared" si="1"/>
        <v>0</v>
      </c>
      <c r="E49" s="42"/>
      <c r="F49" s="42">
        <f t="shared" ref="F49" si="52">F48</f>
        <v>4.4097999999999997</v>
      </c>
      <c r="G49" s="42"/>
      <c r="H49" s="43">
        <f t="shared" si="2"/>
        <v>0</v>
      </c>
      <c r="I49" s="42" t="e">
        <f t="shared" si="3"/>
        <v>#DIV/0!</v>
      </c>
      <c r="J49" s="44" t="e">
        <f t="shared" si="4"/>
        <v>#DIV/0!</v>
      </c>
      <c r="K49" s="44" t="e">
        <f t="shared" si="5"/>
        <v>#DIV/0!</v>
      </c>
      <c r="L49" s="44" t="e">
        <f t="shared" si="6"/>
        <v>#DIV/0!</v>
      </c>
      <c r="M49" s="35"/>
      <c r="N49" s="35"/>
      <c r="O49" s="35"/>
      <c r="P49" s="35"/>
      <c r="Q49" s="35"/>
      <c r="R49" s="35"/>
      <c r="S49" s="35"/>
      <c r="T49" s="35"/>
      <c r="U49" s="35"/>
    </row>
    <row r="50" spans="1:21" x14ac:dyDescent="0.25">
      <c r="A50" s="45">
        <v>49</v>
      </c>
      <c r="B50" s="46">
        <f t="shared" si="18"/>
        <v>1</v>
      </c>
      <c r="C50" s="46"/>
      <c r="D50" s="47">
        <f t="shared" si="1"/>
        <v>0</v>
      </c>
      <c r="E50" s="47"/>
      <c r="F50" s="47">
        <f t="shared" ref="F50" si="53">F48</f>
        <v>4.4097999999999997</v>
      </c>
      <c r="G50" s="47"/>
      <c r="H50" s="48">
        <f t="shared" si="2"/>
        <v>0</v>
      </c>
      <c r="I50" s="47" t="e">
        <f t="shared" si="3"/>
        <v>#DIV/0!</v>
      </c>
      <c r="J50" s="38" t="e">
        <f t="shared" si="4"/>
        <v>#DIV/0!</v>
      </c>
      <c r="K50" s="38" t="e">
        <f t="shared" si="5"/>
        <v>#DIV/0!</v>
      </c>
      <c r="L50" s="38" t="e">
        <f t="shared" si="6"/>
        <v>#DIV/0!</v>
      </c>
      <c r="M50" s="35"/>
      <c r="N50" s="35"/>
      <c r="O50" s="35"/>
      <c r="P50" s="35"/>
      <c r="Q50" s="35"/>
      <c r="R50" s="35"/>
      <c r="S50" s="35"/>
      <c r="T50" s="35"/>
      <c r="U50" s="35"/>
    </row>
    <row r="51" spans="1:21" x14ac:dyDescent="0.25">
      <c r="A51" s="40">
        <v>50</v>
      </c>
      <c r="B51" s="41">
        <f t="shared" si="18"/>
        <v>1</v>
      </c>
      <c r="C51" s="41"/>
      <c r="D51" s="42">
        <f t="shared" si="1"/>
        <v>0</v>
      </c>
      <c r="E51" s="42"/>
      <c r="F51" s="42">
        <f t="shared" ref="F51" si="54">F50</f>
        <v>4.4097999999999997</v>
      </c>
      <c r="G51" s="42"/>
      <c r="H51" s="43">
        <f t="shared" si="2"/>
        <v>0</v>
      </c>
      <c r="I51" s="42" t="e">
        <f t="shared" si="3"/>
        <v>#DIV/0!</v>
      </c>
      <c r="J51" s="44" t="e">
        <f t="shared" si="4"/>
        <v>#DIV/0!</v>
      </c>
      <c r="K51" s="44" t="e">
        <f t="shared" si="5"/>
        <v>#DIV/0!</v>
      </c>
      <c r="L51" s="44" t="e">
        <f t="shared" si="6"/>
        <v>#DIV/0!</v>
      </c>
      <c r="M51" s="35"/>
      <c r="N51" s="35"/>
      <c r="O51" s="35"/>
      <c r="P51" s="35"/>
      <c r="Q51" s="35"/>
      <c r="R51" s="35"/>
      <c r="S51" s="35"/>
      <c r="T51" s="35"/>
      <c r="U51" s="35"/>
    </row>
    <row r="52" spans="1:21" x14ac:dyDescent="0.25">
      <c r="A52" s="45">
        <v>51</v>
      </c>
      <c r="B52" s="46">
        <f t="shared" si="18"/>
        <v>1</v>
      </c>
      <c r="C52" s="46"/>
      <c r="D52" s="47">
        <f t="shared" si="1"/>
        <v>0</v>
      </c>
      <c r="E52" s="47"/>
      <c r="F52" s="47">
        <f t="shared" ref="F52" si="55">F50</f>
        <v>4.4097999999999997</v>
      </c>
      <c r="G52" s="47"/>
      <c r="H52" s="48">
        <f t="shared" si="2"/>
        <v>0</v>
      </c>
      <c r="I52" s="47" t="e">
        <f t="shared" si="3"/>
        <v>#DIV/0!</v>
      </c>
      <c r="J52" s="38" t="e">
        <f t="shared" si="4"/>
        <v>#DIV/0!</v>
      </c>
      <c r="K52" s="38" t="e">
        <f t="shared" si="5"/>
        <v>#DIV/0!</v>
      </c>
      <c r="L52" s="38" t="e">
        <f t="shared" si="6"/>
        <v>#DIV/0!</v>
      </c>
      <c r="M52" s="35"/>
      <c r="N52" s="35"/>
      <c r="O52" s="35"/>
      <c r="P52" s="35"/>
      <c r="Q52" s="35"/>
      <c r="R52" s="35"/>
      <c r="S52" s="35"/>
      <c r="T52" s="35"/>
      <c r="U52" s="35"/>
    </row>
    <row r="53" spans="1:21" x14ac:dyDescent="0.25">
      <c r="A53" s="40">
        <v>52</v>
      </c>
      <c r="B53" s="41">
        <f t="shared" si="18"/>
        <v>1</v>
      </c>
      <c r="C53" s="41"/>
      <c r="D53" s="42">
        <f t="shared" si="1"/>
        <v>0</v>
      </c>
      <c r="E53" s="42"/>
      <c r="F53" s="42">
        <f t="shared" ref="F53" si="56">F52</f>
        <v>4.4097999999999997</v>
      </c>
      <c r="G53" s="42"/>
      <c r="H53" s="43">
        <f t="shared" si="2"/>
        <v>0</v>
      </c>
      <c r="I53" s="42" t="e">
        <f t="shared" si="3"/>
        <v>#DIV/0!</v>
      </c>
      <c r="J53" s="44" t="e">
        <f t="shared" si="4"/>
        <v>#DIV/0!</v>
      </c>
      <c r="K53" s="44" t="e">
        <f t="shared" si="5"/>
        <v>#DIV/0!</v>
      </c>
      <c r="L53" s="44" t="e">
        <f t="shared" si="6"/>
        <v>#DIV/0!</v>
      </c>
      <c r="M53" s="35"/>
      <c r="N53" s="35"/>
      <c r="O53" s="35"/>
      <c r="P53" s="35"/>
      <c r="Q53" s="35"/>
      <c r="R53" s="35"/>
      <c r="S53" s="35"/>
      <c r="T53" s="35"/>
      <c r="U53" s="35"/>
    </row>
    <row r="54" spans="1:21" x14ac:dyDescent="0.25">
      <c r="A54" s="45">
        <v>53</v>
      </c>
      <c r="B54" s="46">
        <f t="shared" si="18"/>
        <v>1</v>
      </c>
      <c r="C54" s="46"/>
      <c r="D54" s="47">
        <f t="shared" si="1"/>
        <v>0</v>
      </c>
      <c r="E54" s="47"/>
      <c r="F54" s="47">
        <f t="shared" ref="F54" si="57">F52</f>
        <v>4.4097999999999997</v>
      </c>
      <c r="G54" s="47"/>
      <c r="H54" s="48">
        <f t="shared" si="2"/>
        <v>0</v>
      </c>
      <c r="I54" s="47" t="e">
        <f t="shared" si="3"/>
        <v>#DIV/0!</v>
      </c>
      <c r="J54" s="38" t="e">
        <f t="shared" si="4"/>
        <v>#DIV/0!</v>
      </c>
      <c r="K54" s="38" t="e">
        <f t="shared" si="5"/>
        <v>#DIV/0!</v>
      </c>
      <c r="L54" s="38" t="e">
        <f t="shared" si="6"/>
        <v>#DIV/0!</v>
      </c>
      <c r="M54" s="35"/>
      <c r="N54" s="35"/>
      <c r="O54" s="35"/>
      <c r="P54" s="35"/>
      <c r="Q54" s="35"/>
      <c r="R54" s="35"/>
      <c r="S54" s="35"/>
      <c r="T54" s="35"/>
      <c r="U54" s="35"/>
    </row>
    <row r="55" spans="1:21" x14ac:dyDescent="0.25">
      <c r="A55" s="40">
        <v>54</v>
      </c>
      <c r="B55" s="41">
        <f t="shared" si="18"/>
        <v>1</v>
      </c>
      <c r="C55" s="41"/>
      <c r="D55" s="42">
        <f t="shared" si="1"/>
        <v>0</v>
      </c>
      <c r="E55" s="42"/>
      <c r="F55" s="42">
        <f t="shared" ref="F55" si="58">F54</f>
        <v>4.4097999999999997</v>
      </c>
      <c r="G55" s="42"/>
      <c r="H55" s="43">
        <f t="shared" si="2"/>
        <v>0</v>
      </c>
      <c r="I55" s="42" t="e">
        <f t="shared" si="3"/>
        <v>#DIV/0!</v>
      </c>
      <c r="J55" s="44" t="e">
        <f t="shared" si="4"/>
        <v>#DIV/0!</v>
      </c>
      <c r="K55" s="44" t="e">
        <f t="shared" si="5"/>
        <v>#DIV/0!</v>
      </c>
      <c r="L55" s="44" t="e">
        <f t="shared" si="6"/>
        <v>#DIV/0!</v>
      </c>
      <c r="M55" s="35"/>
      <c r="N55" s="35"/>
      <c r="O55" s="35"/>
      <c r="P55" s="35"/>
      <c r="Q55" s="35"/>
      <c r="R55" s="35"/>
      <c r="S55" s="35"/>
      <c r="T55" s="35"/>
      <c r="U55" s="35"/>
    </row>
    <row r="56" spans="1:21" x14ac:dyDescent="0.25">
      <c r="A56" s="45">
        <v>55</v>
      </c>
      <c r="B56" s="46">
        <f t="shared" si="18"/>
        <v>1</v>
      </c>
      <c r="C56" s="46"/>
      <c r="D56" s="47">
        <f t="shared" si="1"/>
        <v>0</v>
      </c>
      <c r="E56" s="47"/>
      <c r="F56" s="47">
        <f t="shared" ref="F56" si="59">F54</f>
        <v>4.4097999999999997</v>
      </c>
      <c r="G56" s="47"/>
      <c r="H56" s="48">
        <f t="shared" si="2"/>
        <v>0</v>
      </c>
      <c r="I56" s="47" t="e">
        <f t="shared" si="3"/>
        <v>#DIV/0!</v>
      </c>
      <c r="J56" s="38" t="e">
        <f t="shared" si="4"/>
        <v>#DIV/0!</v>
      </c>
      <c r="K56" s="38" t="e">
        <f t="shared" si="5"/>
        <v>#DIV/0!</v>
      </c>
      <c r="L56" s="38" t="e">
        <f t="shared" si="6"/>
        <v>#DIV/0!</v>
      </c>
      <c r="M56" s="35"/>
      <c r="N56" s="35"/>
      <c r="O56" s="35"/>
      <c r="P56" s="35"/>
      <c r="Q56" s="35"/>
      <c r="R56" s="35"/>
      <c r="S56" s="35"/>
      <c r="T56" s="35"/>
      <c r="U56" s="35"/>
    </row>
    <row r="57" spans="1:21" x14ac:dyDescent="0.25">
      <c r="A57" s="40">
        <v>56</v>
      </c>
      <c r="B57" s="41">
        <f t="shared" si="18"/>
        <v>1</v>
      </c>
      <c r="C57" s="41"/>
      <c r="D57" s="42">
        <f t="shared" si="1"/>
        <v>0</v>
      </c>
      <c r="E57" s="42"/>
      <c r="F57" s="42">
        <f t="shared" ref="F57" si="60">F56</f>
        <v>4.4097999999999997</v>
      </c>
      <c r="G57" s="42"/>
      <c r="H57" s="43">
        <f t="shared" si="2"/>
        <v>0</v>
      </c>
      <c r="I57" s="42" t="e">
        <f t="shared" si="3"/>
        <v>#DIV/0!</v>
      </c>
      <c r="J57" s="44" t="e">
        <f t="shared" si="4"/>
        <v>#DIV/0!</v>
      </c>
      <c r="K57" s="44" t="e">
        <f t="shared" si="5"/>
        <v>#DIV/0!</v>
      </c>
      <c r="L57" s="44" t="e">
        <f t="shared" si="6"/>
        <v>#DIV/0!</v>
      </c>
      <c r="M57" s="35"/>
      <c r="N57" s="35"/>
      <c r="O57" s="35"/>
      <c r="P57" s="35"/>
      <c r="Q57" s="35"/>
      <c r="R57" s="35"/>
      <c r="S57" s="35"/>
      <c r="T57" s="35"/>
      <c r="U57" s="35"/>
    </row>
    <row r="58" spans="1:21" x14ac:dyDescent="0.25">
      <c r="A58" s="45">
        <v>57</v>
      </c>
      <c r="B58" s="46">
        <f t="shared" si="18"/>
        <v>1</v>
      </c>
      <c r="C58" s="46"/>
      <c r="D58" s="47">
        <f t="shared" si="1"/>
        <v>0</v>
      </c>
      <c r="E58" s="47"/>
      <c r="F58" s="47">
        <f t="shared" ref="F58" si="61">F56</f>
        <v>4.4097999999999997</v>
      </c>
      <c r="G58" s="47"/>
      <c r="H58" s="48">
        <f t="shared" si="2"/>
        <v>0</v>
      </c>
      <c r="I58" s="47" t="e">
        <f t="shared" si="3"/>
        <v>#DIV/0!</v>
      </c>
      <c r="J58" s="38" t="e">
        <f t="shared" si="4"/>
        <v>#DIV/0!</v>
      </c>
      <c r="K58" s="38" t="e">
        <f t="shared" si="5"/>
        <v>#DIV/0!</v>
      </c>
      <c r="L58" s="38" t="e">
        <f t="shared" si="6"/>
        <v>#DIV/0!</v>
      </c>
      <c r="M58" s="35"/>
      <c r="N58" s="35"/>
      <c r="O58" s="35"/>
      <c r="P58" s="35"/>
      <c r="Q58" s="35"/>
      <c r="R58" s="35"/>
      <c r="S58" s="35"/>
      <c r="T58" s="35"/>
      <c r="U58" s="35"/>
    </row>
    <row r="59" spans="1:21" x14ac:dyDescent="0.25">
      <c r="A59" s="40">
        <v>58</v>
      </c>
      <c r="B59" s="41">
        <f t="shared" si="18"/>
        <v>1</v>
      </c>
      <c r="C59" s="41"/>
      <c r="D59" s="42">
        <f t="shared" si="1"/>
        <v>0</v>
      </c>
      <c r="E59" s="42"/>
      <c r="F59" s="42">
        <f t="shared" ref="F59" si="62">F58</f>
        <v>4.4097999999999997</v>
      </c>
      <c r="G59" s="42"/>
      <c r="H59" s="43">
        <f t="shared" si="2"/>
        <v>0</v>
      </c>
      <c r="I59" s="42" t="e">
        <f t="shared" si="3"/>
        <v>#DIV/0!</v>
      </c>
      <c r="J59" s="44" t="e">
        <f t="shared" si="4"/>
        <v>#DIV/0!</v>
      </c>
      <c r="K59" s="44" t="e">
        <f t="shared" si="5"/>
        <v>#DIV/0!</v>
      </c>
      <c r="L59" s="44" t="e">
        <f t="shared" si="6"/>
        <v>#DIV/0!</v>
      </c>
      <c r="M59" s="35"/>
      <c r="N59" s="35"/>
      <c r="O59" s="35"/>
      <c r="P59" s="35"/>
      <c r="Q59" s="35"/>
      <c r="R59" s="35"/>
      <c r="S59" s="35"/>
      <c r="T59" s="35"/>
      <c r="U59" s="35"/>
    </row>
    <row r="60" spans="1:21" x14ac:dyDescent="0.25">
      <c r="A60" s="45">
        <v>59</v>
      </c>
      <c r="B60" s="46">
        <f t="shared" si="18"/>
        <v>1</v>
      </c>
      <c r="C60" s="46"/>
      <c r="D60" s="47">
        <f t="shared" si="1"/>
        <v>0</v>
      </c>
      <c r="E60" s="47"/>
      <c r="F60" s="47">
        <f t="shared" ref="F60" si="63">F58</f>
        <v>4.4097999999999997</v>
      </c>
      <c r="G60" s="47"/>
      <c r="H60" s="48">
        <f t="shared" si="2"/>
        <v>0</v>
      </c>
      <c r="I60" s="47" t="e">
        <f t="shared" si="3"/>
        <v>#DIV/0!</v>
      </c>
      <c r="J60" s="38" t="e">
        <f t="shared" si="4"/>
        <v>#DIV/0!</v>
      </c>
      <c r="K60" s="38" t="e">
        <f t="shared" si="5"/>
        <v>#DIV/0!</v>
      </c>
      <c r="L60" s="38" t="e">
        <f t="shared" si="6"/>
        <v>#DIV/0!</v>
      </c>
      <c r="M60" s="35"/>
      <c r="N60" s="35"/>
      <c r="O60" s="35"/>
      <c r="P60" s="35"/>
      <c r="Q60" s="35"/>
      <c r="R60" s="35"/>
      <c r="S60" s="35"/>
      <c r="T60" s="35"/>
      <c r="U60" s="35"/>
    </row>
    <row r="61" spans="1:21" x14ac:dyDescent="0.25">
      <c r="A61" s="40">
        <v>60</v>
      </c>
      <c r="B61" s="41">
        <f t="shared" si="18"/>
        <v>1</v>
      </c>
      <c r="C61" s="41"/>
      <c r="D61" s="42">
        <f t="shared" si="1"/>
        <v>0</v>
      </c>
      <c r="E61" s="42"/>
      <c r="F61" s="42">
        <f t="shared" ref="F61" si="64">F60</f>
        <v>4.4097999999999997</v>
      </c>
      <c r="G61" s="42"/>
      <c r="H61" s="43">
        <f t="shared" si="2"/>
        <v>0</v>
      </c>
      <c r="I61" s="42" t="e">
        <f t="shared" si="3"/>
        <v>#DIV/0!</v>
      </c>
      <c r="J61" s="44" t="e">
        <f t="shared" si="4"/>
        <v>#DIV/0!</v>
      </c>
      <c r="K61" s="44" t="e">
        <f t="shared" si="5"/>
        <v>#DIV/0!</v>
      </c>
      <c r="L61" s="44" t="e">
        <f t="shared" si="6"/>
        <v>#DIV/0!</v>
      </c>
      <c r="M61" s="35"/>
      <c r="N61" s="35"/>
      <c r="O61" s="35"/>
      <c r="P61" s="35"/>
      <c r="Q61" s="35"/>
      <c r="R61" s="35"/>
      <c r="S61" s="35"/>
      <c r="T61" s="35"/>
      <c r="U61" s="35"/>
    </row>
    <row r="62" spans="1:21" x14ac:dyDescent="0.25">
      <c r="A62" s="45">
        <v>61</v>
      </c>
      <c r="B62" s="46">
        <f t="shared" si="18"/>
        <v>1</v>
      </c>
      <c r="C62" s="46"/>
      <c r="D62" s="47">
        <f t="shared" si="1"/>
        <v>0</v>
      </c>
      <c r="E62" s="47"/>
      <c r="F62" s="47">
        <f t="shared" ref="F62" si="65">F60</f>
        <v>4.4097999999999997</v>
      </c>
      <c r="G62" s="47"/>
      <c r="H62" s="48">
        <f t="shared" si="2"/>
        <v>0</v>
      </c>
      <c r="I62" s="47" t="e">
        <f t="shared" si="3"/>
        <v>#DIV/0!</v>
      </c>
      <c r="J62" s="38" t="e">
        <f t="shared" si="4"/>
        <v>#DIV/0!</v>
      </c>
      <c r="K62" s="38" t="e">
        <f t="shared" si="5"/>
        <v>#DIV/0!</v>
      </c>
      <c r="L62" s="38" t="e">
        <f t="shared" si="6"/>
        <v>#DIV/0!</v>
      </c>
      <c r="M62" s="35"/>
      <c r="N62" s="35"/>
      <c r="O62" s="35"/>
      <c r="P62" s="35"/>
      <c r="Q62" s="35"/>
      <c r="R62" s="35"/>
      <c r="S62" s="35"/>
      <c r="T62" s="35"/>
      <c r="U62" s="35"/>
    </row>
    <row r="63" spans="1:21" x14ac:dyDescent="0.25">
      <c r="A63" s="40">
        <v>62</v>
      </c>
      <c r="B63" s="41">
        <f t="shared" si="18"/>
        <v>1</v>
      </c>
      <c r="C63" s="41"/>
      <c r="D63" s="42">
        <f t="shared" si="1"/>
        <v>0</v>
      </c>
      <c r="E63" s="42"/>
      <c r="F63" s="42">
        <f t="shared" ref="F63" si="66">F62</f>
        <v>4.4097999999999997</v>
      </c>
      <c r="G63" s="42"/>
      <c r="H63" s="43">
        <f t="shared" si="2"/>
        <v>0</v>
      </c>
      <c r="I63" s="42" t="e">
        <f t="shared" si="3"/>
        <v>#DIV/0!</v>
      </c>
      <c r="J63" s="44" t="e">
        <f t="shared" si="4"/>
        <v>#DIV/0!</v>
      </c>
      <c r="K63" s="44" t="e">
        <f t="shared" si="5"/>
        <v>#DIV/0!</v>
      </c>
      <c r="L63" s="44" t="e">
        <f t="shared" si="6"/>
        <v>#DIV/0!</v>
      </c>
      <c r="M63" s="35"/>
      <c r="N63" s="35"/>
      <c r="O63" s="35"/>
      <c r="P63" s="35"/>
      <c r="Q63" s="35"/>
      <c r="R63" s="35"/>
      <c r="S63" s="35"/>
      <c r="T63" s="35"/>
      <c r="U63" s="35"/>
    </row>
    <row r="64" spans="1:21" x14ac:dyDescent="0.25">
      <c r="A64" s="45">
        <v>63</v>
      </c>
      <c r="B64" s="46">
        <f t="shared" si="18"/>
        <v>1</v>
      </c>
      <c r="C64" s="46"/>
      <c r="D64" s="47">
        <f t="shared" si="1"/>
        <v>0</v>
      </c>
      <c r="E64" s="47"/>
      <c r="F64" s="47">
        <f t="shared" ref="F64" si="67">F62</f>
        <v>4.4097999999999997</v>
      </c>
      <c r="G64" s="47"/>
      <c r="H64" s="48">
        <f t="shared" si="2"/>
        <v>0</v>
      </c>
      <c r="I64" s="47" t="e">
        <f t="shared" si="3"/>
        <v>#DIV/0!</v>
      </c>
      <c r="J64" s="38" t="e">
        <f t="shared" si="4"/>
        <v>#DIV/0!</v>
      </c>
      <c r="K64" s="38" t="e">
        <f t="shared" si="5"/>
        <v>#DIV/0!</v>
      </c>
      <c r="L64" s="38" t="e">
        <f t="shared" si="6"/>
        <v>#DIV/0!</v>
      </c>
      <c r="M64" s="35"/>
      <c r="N64" s="35"/>
      <c r="O64" s="35"/>
      <c r="P64" s="35"/>
      <c r="Q64" s="35"/>
      <c r="R64" s="35"/>
      <c r="S64" s="35"/>
      <c r="T64" s="35"/>
      <c r="U64" s="35"/>
    </row>
    <row r="65" spans="1:21" x14ac:dyDescent="0.25">
      <c r="A65" s="40">
        <v>64</v>
      </c>
      <c r="B65" s="41">
        <f t="shared" si="18"/>
        <v>1</v>
      </c>
      <c r="C65" s="41"/>
      <c r="D65" s="42">
        <f t="shared" si="1"/>
        <v>0</v>
      </c>
      <c r="E65" s="42"/>
      <c r="F65" s="42">
        <f t="shared" ref="F65" si="68">F64</f>
        <v>4.4097999999999997</v>
      </c>
      <c r="G65" s="42"/>
      <c r="H65" s="43">
        <f t="shared" si="2"/>
        <v>0</v>
      </c>
      <c r="I65" s="42" t="e">
        <f t="shared" si="3"/>
        <v>#DIV/0!</v>
      </c>
      <c r="J65" s="44" t="e">
        <f t="shared" si="4"/>
        <v>#DIV/0!</v>
      </c>
      <c r="K65" s="44" t="e">
        <f t="shared" si="5"/>
        <v>#DIV/0!</v>
      </c>
      <c r="L65" s="44" t="e">
        <f t="shared" si="6"/>
        <v>#DIV/0!</v>
      </c>
      <c r="M65" s="35"/>
      <c r="N65" s="35"/>
      <c r="O65" s="35"/>
      <c r="P65" s="35"/>
      <c r="Q65" s="35"/>
      <c r="R65" s="35"/>
      <c r="S65" s="35"/>
      <c r="T65" s="35"/>
      <c r="U65" s="35"/>
    </row>
    <row r="66" spans="1:21" x14ac:dyDescent="0.25">
      <c r="A66" s="45">
        <v>65</v>
      </c>
      <c r="B66" s="46">
        <f t="shared" si="18"/>
        <v>1</v>
      </c>
      <c r="C66" s="46"/>
      <c r="D66" s="47">
        <f t="shared" si="1"/>
        <v>0</v>
      </c>
      <c r="E66" s="47"/>
      <c r="F66" s="47">
        <f t="shared" ref="F66" si="69">F64</f>
        <v>4.4097999999999997</v>
      </c>
      <c r="G66" s="47"/>
      <c r="H66" s="48">
        <f t="shared" si="2"/>
        <v>0</v>
      </c>
      <c r="I66" s="47" t="e">
        <f t="shared" si="3"/>
        <v>#DIV/0!</v>
      </c>
      <c r="J66" s="38" t="e">
        <f t="shared" si="4"/>
        <v>#DIV/0!</v>
      </c>
      <c r="K66" s="38" t="e">
        <f t="shared" si="5"/>
        <v>#DIV/0!</v>
      </c>
      <c r="L66" s="38" t="e">
        <f t="shared" si="6"/>
        <v>#DIV/0!</v>
      </c>
      <c r="M66" s="35"/>
      <c r="N66" s="35"/>
      <c r="O66" s="35"/>
      <c r="P66" s="35"/>
      <c r="Q66" s="35"/>
      <c r="R66" s="35"/>
      <c r="S66" s="35"/>
      <c r="T66" s="35"/>
      <c r="U66" s="35"/>
    </row>
    <row r="67" spans="1:21" x14ac:dyDescent="0.25">
      <c r="A67" s="40">
        <v>66</v>
      </c>
      <c r="B67" s="41">
        <f t="shared" si="18"/>
        <v>1</v>
      </c>
      <c r="C67" s="41"/>
      <c r="D67" s="42">
        <f t="shared" ref="D67:D77" si="70">C67-B67+1</f>
        <v>0</v>
      </c>
      <c r="E67" s="42"/>
      <c r="F67" s="42">
        <f t="shared" ref="F67" si="71">F66</f>
        <v>4.4097999999999997</v>
      </c>
      <c r="G67" s="42"/>
      <c r="H67" s="43">
        <f t="shared" ref="H67:H77" si="72">F67*G67</f>
        <v>0</v>
      </c>
      <c r="I67" s="42" t="e">
        <f t="shared" ref="I67:I77" si="73">H67/D67</f>
        <v>#DIV/0!</v>
      </c>
      <c r="J67" s="44" t="e">
        <f t="shared" si="4"/>
        <v>#DIV/0!</v>
      </c>
      <c r="K67" s="44" t="e">
        <f t="shared" si="5"/>
        <v>#DIV/0!</v>
      </c>
      <c r="L67" s="44" t="e">
        <f t="shared" si="6"/>
        <v>#DIV/0!</v>
      </c>
      <c r="M67" s="35"/>
      <c r="N67" s="35"/>
      <c r="O67" s="35"/>
      <c r="P67" s="35"/>
      <c r="Q67" s="35"/>
      <c r="R67" s="35"/>
      <c r="S67" s="35"/>
      <c r="T67" s="35"/>
      <c r="U67" s="35"/>
    </row>
    <row r="68" spans="1:21" x14ac:dyDescent="0.25">
      <c r="A68" s="45">
        <v>67</v>
      </c>
      <c r="B68" s="46">
        <f t="shared" si="18"/>
        <v>1</v>
      </c>
      <c r="C68" s="46"/>
      <c r="D68" s="47">
        <f t="shared" si="70"/>
        <v>0</v>
      </c>
      <c r="E68" s="47"/>
      <c r="F68" s="47">
        <f t="shared" ref="F68" si="74">F66</f>
        <v>4.4097999999999997</v>
      </c>
      <c r="G68" s="47"/>
      <c r="H68" s="48">
        <f t="shared" si="72"/>
        <v>0</v>
      </c>
      <c r="I68" s="47" t="e">
        <f t="shared" si="73"/>
        <v>#DIV/0!</v>
      </c>
      <c r="J68" s="38" t="e">
        <f t="shared" ref="J68:J77" si="75">E68/D68</f>
        <v>#DIV/0!</v>
      </c>
      <c r="K68" s="38" t="e">
        <f t="shared" ref="K68:K77" si="76">G68/D68</f>
        <v>#DIV/0!</v>
      </c>
      <c r="L68" s="38" t="e">
        <f t="shared" ref="L68:L77" si="77">K68*F68</f>
        <v>#DIV/0!</v>
      </c>
      <c r="M68" s="35"/>
      <c r="N68" s="35"/>
      <c r="O68" s="35"/>
      <c r="P68" s="35"/>
      <c r="Q68" s="35"/>
      <c r="R68" s="35"/>
      <c r="S68" s="35"/>
      <c r="T68" s="35"/>
      <c r="U68" s="35"/>
    </row>
    <row r="69" spans="1:21" x14ac:dyDescent="0.25">
      <c r="A69" s="40">
        <v>68</v>
      </c>
      <c r="B69" s="41">
        <f t="shared" si="18"/>
        <v>1</v>
      </c>
      <c r="C69" s="41"/>
      <c r="D69" s="42">
        <f t="shared" si="70"/>
        <v>0</v>
      </c>
      <c r="E69" s="42"/>
      <c r="F69" s="42">
        <f t="shared" ref="F69" si="78">F68</f>
        <v>4.4097999999999997</v>
      </c>
      <c r="G69" s="42"/>
      <c r="H69" s="43">
        <f t="shared" si="72"/>
        <v>0</v>
      </c>
      <c r="I69" s="42" t="e">
        <f t="shared" si="73"/>
        <v>#DIV/0!</v>
      </c>
      <c r="J69" s="44" t="e">
        <f t="shared" si="75"/>
        <v>#DIV/0!</v>
      </c>
      <c r="K69" s="44" t="e">
        <f t="shared" si="76"/>
        <v>#DIV/0!</v>
      </c>
      <c r="L69" s="44" t="e">
        <f t="shared" si="77"/>
        <v>#DIV/0!</v>
      </c>
      <c r="M69" s="35"/>
      <c r="N69" s="35"/>
      <c r="O69" s="35"/>
      <c r="P69" s="35"/>
      <c r="Q69" s="35"/>
      <c r="R69" s="35"/>
      <c r="S69" s="35"/>
      <c r="T69" s="35"/>
      <c r="U69" s="35"/>
    </row>
    <row r="70" spans="1:21" x14ac:dyDescent="0.25">
      <c r="A70" s="45">
        <v>69</v>
      </c>
      <c r="B70" s="46">
        <f t="shared" si="18"/>
        <v>1</v>
      </c>
      <c r="C70" s="46"/>
      <c r="D70" s="47">
        <f t="shared" si="70"/>
        <v>0</v>
      </c>
      <c r="E70" s="47"/>
      <c r="F70" s="47">
        <f t="shared" ref="F70" si="79">F68</f>
        <v>4.4097999999999997</v>
      </c>
      <c r="G70" s="47"/>
      <c r="H70" s="48">
        <f t="shared" si="72"/>
        <v>0</v>
      </c>
      <c r="I70" s="47" t="e">
        <f t="shared" si="73"/>
        <v>#DIV/0!</v>
      </c>
      <c r="J70" s="38" t="e">
        <f t="shared" si="75"/>
        <v>#DIV/0!</v>
      </c>
      <c r="K70" s="38" t="e">
        <f t="shared" si="76"/>
        <v>#DIV/0!</v>
      </c>
      <c r="L70" s="38" t="e">
        <f t="shared" si="77"/>
        <v>#DIV/0!</v>
      </c>
      <c r="M70" s="35"/>
      <c r="N70" s="35"/>
      <c r="O70" s="35"/>
      <c r="P70" s="35"/>
      <c r="Q70" s="35"/>
      <c r="R70" s="35"/>
      <c r="S70" s="35"/>
      <c r="T70" s="35"/>
      <c r="U70" s="35"/>
    </row>
    <row r="71" spans="1:21" x14ac:dyDescent="0.25">
      <c r="A71" s="40">
        <v>70</v>
      </c>
      <c r="B71" s="41">
        <f t="shared" si="18"/>
        <v>1</v>
      </c>
      <c r="C71" s="41"/>
      <c r="D71" s="42">
        <f t="shared" si="70"/>
        <v>0</v>
      </c>
      <c r="E71" s="42"/>
      <c r="F71" s="42">
        <f t="shared" ref="F71" si="80">F70</f>
        <v>4.4097999999999997</v>
      </c>
      <c r="G71" s="42"/>
      <c r="H71" s="43">
        <f t="shared" si="72"/>
        <v>0</v>
      </c>
      <c r="I71" s="42" t="e">
        <f t="shared" si="73"/>
        <v>#DIV/0!</v>
      </c>
      <c r="J71" s="44" t="e">
        <f t="shared" si="75"/>
        <v>#DIV/0!</v>
      </c>
      <c r="K71" s="44" t="e">
        <f t="shared" si="76"/>
        <v>#DIV/0!</v>
      </c>
      <c r="L71" s="44" t="e">
        <f t="shared" si="77"/>
        <v>#DIV/0!</v>
      </c>
      <c r="M71" s="35"/>
      <c r="N71" s="35"/>
      <c r="O71" s="35"/>
      <c r="P71" s="35"/>
      <c r="Q71" s="35"/>
      <c r="R71" s="35"/>
      <c r="S71" s="35"/>
      <c r="T71" s="35"/>
      <c r="U71" s="35"/>
    </row>
    <row r="72" spans="1:21" x14ac:dyDescent="0.25">
      <c r="A72" s="45">
        <v>71</v>
      </c>
      <c r="B72" s="46">
        <f t="shared" si="18"/>
        <v>1</v>
      </c>
      <c r="C72" s="46"/>
      <c r="D72" s="47">
        <f t="shared" si="70"/>
        <v>0</v>
      </c>
      <c r="E72" s="47"/>
      <c r="F72" s="47">
        <f t="shared" ref="F72" si="81">F70</f>
        <v>4.4097999999999997</v>
      </c>
      <c r="G72" s="47"/>
      <c r="H72" s="48">
        <f t="shared" si="72"/>
        <v>0</v>
      </c>
      <c r="I72" s="47" t="e">
        <f t="shared" si="73"/>
        <v>#DIV/0!</v>
      </c>
      <c r="J72" s="38" t="e">
        <f t="shared" si="75"/>
        <v>#DIV/0!</v>
      </c>
      <c r="K72" s="38" t="e">
        <f t="shared" si="76"/>
        <v>#DIV/0!</v>
      </c>
      <c r="L72" s="38" t="e">
        <f t="shared" si="77"/>
        <v>#DIV/0!</v>
      </c>
      <c r="M72" s="35"/>
      <c r="N72" s="35"/>
      <c r="O72" s="35"/>
      <c r="P72" s="35"/>
      <c r="Q72" s="35"/>
      <c r="R72" s="35"/>
      <c r="S72" s="35"/>
      <c r="T72" s="35"/>
      <c r="U72" s="35"/>
    </row>
    <row r="73" spans="1:21" x14ac:dyDescent="0.25">
      <c r="A73" s="40">
        <v>72</v>
      </c>
      <c r="B73" s="41">
        <f t="shared" si="18"/>
        <v>1</v>
      </c>
      <c r="C73" s="41"/>
      <c r="D73" s="42">
        <f t="shared" si="70"/>
        <v>0</v>
      </c>
      <c r="E73" s="42"/>
      <c r="F73" s="42">
        <f t="shared" ref="F73" si="82">F72</f>
        <v>4.4097999999999997</v>
      </c>
      <c r="G73" s="42"/>
      <c r="H73" s="43">
        <f t="shared" si="72"/>
        <v>0</v>
      </c>
      <c r="I73" s="42" t="e">
        <f t="shared" si="73"/>
        <v>#DIV/0!</v>
      </c>
      <c r="J73" s="44" t="e">
        <f t="shared" si="75"/>
        <v>#DIV/0!</v>
      </c>
      <c r="K73" s="44" t="e">
        <f t="shared" si="76"/>
        <v>#DIV/0!</v>
      </c>
      <c r="L73" s="44" t="e">
        <f t="shared" si="77"/>
        <v>#DIV/0!</v>
      </c>
      <c r="M73" s="35"/>
      <c r="N73" s="35"/>
      <c r="O73" s="35"/>
      <c r="P73" s="35"/>
      <c r="Q73" s="35"/>
      <c r="R73" s="35"/>
      <c r="S73" s="35"/>
      <c r="T73" s="35"/>
      <c r="U73" s="35"/>
    </row>
    <row r="74" spans="1:21" x14ac:dyDescent="0.25">
      <c r="A74" s="45">
        <v>73</v>
      </c>
      <c r="B74" s="46">
        <f t="shared" si="18"/>
        <v>1</v>
      </c>
      <c r="C74" s="46"/>
      <c r="D74" s="47">
        <f t="shared" si="70"/>
        <v>0</v>
      </c>
      <c r="E74" s="47"/>
      <c r="F74" s="47">
        <f t="shared" ref="F74" si="83">F72</f>
        <v>4.4097999999999997</v>
      </c>
      <c r="G74" s="47"/>
      <c r="H74" s="48">
        <f t="shared" si="72"/>
        <v>0</v>
      </c>
      <c r="I74" s="47" t="e">
        <f t="shared" si="73"/>
        <v>#DIV/0!</v>
      </c>
      <c r="J74" s="38" t="e">
        <f t="shared" si="75"/>
        <v>#DIV/0!</v>
      </c>
      <c r="K74" s="38" t="e">
        <f t="shared" si="76"/>
        <v>#DIV/0!</v>
      </c>
      <c r="L74" s="38" t="e">
        <f t="shared" si="77"/>
        <v>#DIV/0!</v>
      </c>
      <c r="M74" s="35"/>
      <c r="N74" s="35"/>
      <c r="O74" s="35"/>
      <c r="P74" s="35"/>
      <c r="Q74" s="35"/>
      <c r="R74" s="35"/>
      <c r="S74" s="35"/>
      <c r="T74" s="35"/>
      <c r="U74" s="35"/>
    </row>
    <row r="75" spans="1:21" x14ac:dyDescent="0.25">
      <c r="A75" s="40">
        <v>74</v>
      </c>
      <c r="B75" s="41">
        <f t="shared" si="18"/>
        <v>1</v>
      </c>
      <c r="C75" s="41"/>
      <c r="D75" s="42">
        <f t="shared" si="70"/>
        <v>0</v>
      </c>
      <c r="E75" s="42"/>
      <c r="F75" s="42">
        <f t="shared" ref="F75" si="84">F74</f>
        <v>4.4097999999999997</v>
      </c>
      <c r="G75" s="42"/>
      <c r="H75" s="43">
        <f t="shared" si="72"/>
        <v>0</v>
      </c>
      <c r="I75" s="42" t="e">
        <f t="shared" si="73"/>
        <v>#DIV/0!</v>
      </c>
      <c r="J75" s="44" t="e">
        <f t="shared" si="75"/>
        <v>#DIV/0!</v>
      </c>
      <c r="K75" s="44" t="e">
        <f t="shared" si="76"/>
        <v>#DIV/0!</v>
      </c>
      <c r="L75" s="44" t="e">
        <f t="shared" si="77"/>
        <v>#DIV/0!</v>
      </c>
      <c r="M75" s="35"/>
      <c r="N75" s="35"/>
      <c r="O75" s="35"/>
      <c r="P75" s="35"/>
      <c r="Q75" s="35"/>
      <c r="R75" s="35"/>
      <c r="S75" s="35"/>
      <c r="T75" s="35"/>
      <c r="U75" s="35"/>
    </row>
    <row r="76" spans="1:21" x14ac:dyDescent="0.25">
      <c r="A76" s="45">
        <v>75</v>
      </c>
      <c r="B76" s="46">
        <f t="shared" si="18"/>
        <v>1</v>
      </c>
      <c r="C76" s="46"/>
      <c r="D76" s="47">
        <f t="shared" si="70"/>
        <v>0</v>
      </c>
      <c r="E76" s="47"/>
      <c r="F76" s="47">
        <f t="shared" ref="F76" si="85">F74</f>
        <v>4.4097999999999997</v>
      </c>
      <c r="G76" s="47"/>
      <c r="H76" s="48">
        <f t="shared" si="72"/>
        <v>0</v>
      </c>
      <c r="I76" s="47" t="e">
        <f t="shared" si="73"/>
        <v>#DIV/0!</v>
      </c>
      <c r="J76" s="38" t="e">
        <f t="shared" si="75"/>
        <v>#DIV/0!</v>
      </c>
      <c r="K76" s="38" t="e">
        <f t="shared" si="76"/>
        <v>#DIV/0!</v>
      </c>
      <c r="L76" s="38" t="e">
        <f t="shared" si="77"/>
        <v>#DIV/0!</v>
      </c>
      <c r="M76" s="35"/>
      <c r="N76" s="35"/>
      <c r="O76" s="35"/>
      <c r="P76" s="35"/>
      <c r="Q76" s="35"/>
      <c r="R76" s="35"/>
      <c r="S76" s="35"/>
      <c r="T76" s="35"/>
      <c r="U76" s="35"/>
    </row>
    <row r="77" spans="1:21" x14ac:dyDescent="0.25">
      <c r="A77" s="40">
        <v>76</v>
      </c>
      <c r="B77" s="41">
        <f t="shared" si="18"/>
        <v>1</v>
      </c>
      <c r="C77" s="41"/>
      <c r="D77" s="42">
        <f t="shared" si="70"/>
        <v>0</v>
      </c>
      <c r="E77" s="42"/>
      <c r="F77" s="42">
        <f t="shared" ref="F77" si="86">F76</f>
        <v>4.4097999999999997</v>
      </c>
      <c r="G77" s="42"/>
      <c r="H77" s="43">
        <f t="shared" si="72"/>
        <v>0</v>
      </c>
      <c r="I77" s="42" t="e">
        <f t="shared" si="73"/>
        <v>#DIV/0!</v>
      </c>
      <c r="J77" s="44" t="e">
        <f t="shared" si="75"/>
        <v>#DIV/0!</v>
      </c>
      <c r="K77" s="44" t="e">
        <f t="shared" si="76"/>
        <v>#DIV/0!</v>
      </c>
      <c r="L77" s="44" t="e">
        <f t="shared" si="77"/>
        <v>#DIV/0!</v>
      </c>
      <c r="M77" s="35"/>
      <c r="N77" s="35"/>
      <c r="O77" s="35"/>
      <c r="P77" s="35"/>
      <c r="Q77" s="35"/>
      <c r="R77" s="35"/>
      <c r="S77" s="35"/>
      <c r="T77" s="35"/>
      <c r="U77" s="35"/>
    </row>
    <row r="78" spans="1:21" x14ac:dyDescent="0.25"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35"/>
      <c r="N78" s="35"/>
      <c r="O78" s="35"/>
      <c r="P78" s="35"/>
      <c r="Q78" s="35"/>
      <c r="R78" s="35"/>
      <c r="S78" s="35"/>
      <c r="T78" s="35"/>
      <c r="U78" s="35"/>
    </row>
    <row r="79" spans="1:21" x14ac:dyDescent="0.25"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35"/>
      <c r="N79" s="35"/>
      <c r="O79" s="35"/>
      <c r="P79" s="35"/>
      <c r="Q79" s="35"/>
      <c r="R79" s="35"/>
      <c r="S79" s="35"/>
      <c r="T79" s="35"/>
      <c r="U79" s="35"/>
    </row>
    <row r="80" spans="1:21" x14ac:dyDescent="0.25"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35"/>
      <c r="N80" s="35"/>
      <c r="O80" s="35"/>
      <c r="P80" s="35"/>
      <c r="Q80" s="35"/>
      <c r="R80" s="35"/>
      <c r="S80" s="35"/>
      <c r="T80" s="35"/>
      <c r="U80" s="35"/>
    </row>
    <row r="81" spans="2:21" x14ac:dyDescent="0.25"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35"/>
      <c r="N81" s="35"/>
      <c r="O81" s="35"/>
      <c r="P81" s="35"/>
      <c r="Q81" s="35"/>
      <c r="R81" s="35"/>
      <c r="S81" s="35"/>
      <c r="T81" s="35"/>
      <c r="U81" s="35"/>
    </row>
    <row r="82" spans="2:21" x14ac:dyDescent="0.25"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35"/>
      <c r="N82" s="35"/>
      <c r="O82" s="35"/>
      <c r="P82" s="35"/>
      <c r="Q82" s="35"/>
      <c r="R82" s="35"/>
      <c r="S82" s="35"/>
      <c r="T82" s="35"/>
      <c r="U82" s="35"/>
    </row>
    <row r="83" spans="2:21" x14ac:dyDescent="0.25"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35"/>
      <c r="N83" s="35"/>
      <c r="O83" s="35"/>
      <c r="P83" s="35"/>
      <c r="Q83" s="35"/>
      <c r="R83" s="35"/>
      <c r="S83" s="35"/>
      <c r="T83" s="35"/>
      <c r="U83" s="35"/>
    </row>
    <row r="84" spans="2:21" x14ac:dyDescent="0.25"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35"/>
      <c r="N84" s="35"/>
      <c r="O84" s="35"/>
      <c r="P84" s="35"/>
      <c r="Q84" s="35"/>
      <c r="R84" s="35"/>
      <c r="S84" s="35"/>
      <c r="T84" s="35"/>
      <c r="U84" s="35"/>
    </row>
    <row r="85" spans="2:21" x14ac:dyDescent="0.25"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35"/>
      <c r="N85" s="35"/>
      <c r="O85" s="35"/>
      <c r="P85" s="35"/>
      <c r="Q85" s="35"/>
      <c r="R85" s="35"/>
      <c r="S85" s="35"/>
      <c r="T85" s="35"/>
      <c r="U85" s="35"/>
    </row>
    <row r="86" spans="2:21" x14ac:dyDescent="0.25"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35"/>
      <c r="N86" s="35"/>
      <c r="O86" s="35"/>
      <c r="P86" s="35"/>
      <c r="Q86" s="35"/>
      <c r="R86" s="35"/>
      <c r="S86" s="35"/>
      <c r="T86" s="35"/>
      <c r="U86" s="35"/>
    </row>
    <row r="87" spans="2:21" x14ac:dyDescent="0.25"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35"/>
      <c r="N87" s="35"/>
      <c r="O87" s="35"/>
      <c r="P87" s="35"/>
      <c r="Q87" s="35"/>
      <c r="R87" s="35"/>
      <c r="S87" s="35"/>
      <c r="T87" s="35"/>
      <c r="U87" s="35"/>
    </row>
    <row r="88" spans="2:21" x14ac:dyDescent="0.25"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35"/>
      <c r="N88" s="35"/>
      <c r="O88" s="35"/>
      <c r="P88" s="35"/>
      <c r="Q88" s="35"/>
      <c r="R88" s="35"/>
      <c r="S88" s="35"/>
      <c r="T88" s="35"/>
      <c r="U88" s="35"/>
    </row>
    <row r="89" spans="2:21" x14ac:dyDescent="0.25"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35"/>
      <c r="N89" s="35"/>
      <c r="O89" s="35"/>
      <c r="P89" s="35"/>
      <c r="Q89" s="35"/>
      <c r="R89" s="35"/>
      <c r="S89" s="35"/>
      <c r="T89" s="35"/>
      <c r="U89" s="35"/>
    </row>
    <row r="90" spans="2:21" x14ac:dyDescent="0.25"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35"/>
      <c r="N90" s="35"/>
      <c r="O90" s="35"/>
      <c r="P90" s="35"/>
      <c r="Q90" s="35"/>
      <c r="R90" s="35"/>
      <c r="S90" s="35"/>
      <c r="T90" s="35"/>
      <c r="U90" s="35"/>
    </row>
    <row r="91" spans="2:21" x14ac:dyDescent="0.25"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35"/>
      <c r="N91" s="35"/>
      <c r="O91" s="35"/>
      <c r="P91" s="35"/>
      <c r="Q91" s="35"/>
      <c r="R91" s="35"/>
      <c r="S91" s="35"/>
      <c r="T91" s="35"/>
      <c r="U91" s="35"/>
    </row>
    <row r="92" spans="2:21" x14ac:dyDescent="0.25"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35"/>
      <c r="N92" s="35"/>
      <c r="O92" s="35"/>
      <c r="P92" s="35"/>
      <c r="Q92" s="35"/>
      <c r="R92" s="35"/>
      <c r="S92" s="35"/>
      <c r="T92" s="35"/>
      <c r="U92" s="35"/>
    </row>
    <row r="93" spans="2:21" x14ac:dyDescent="0.25"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35"/>
      <c r="N93" s="35"/>
      <c r="O93" s="35"/>
      <c r="P93" s="35"/>
      <c r="Q93" s="35"/>
      <c r="R93" s="35"/>
      <c r="S93" s="35"/>
      <c r="T93" s="35"/>
      <c r="U93" s="35"/>
    </row>
    <row r="94" spans="2:21" x14ac:dyDescent="0.25"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35"/>
      <c r="N94" s="35"/>
      <c r="O94" s="35"/>
      <c r="P94" s="35"/>
      <c r="Q94" s="35"/>
      <c r="R94" s="35"/>
      <c r="S94" s="35"/>
      <c r="T94" s="35"/>
      <c r="U94" s="35"/>
    </row>
    <row r="95" spans="2:21" x14ac:dyDescent="0.25"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35"/>
      <c r="N95" s="35"/>
      <c r="O95" s="35"/>
      <c r="P95" s="35"/>
      <c r="Q95" s="35"/>
      <c r="R95" s="35"/>
      <c r="S95" s="35"/>
      <c r="T95" s="35"/>
      <c r="U95" s="35"/>
    </row>
    <row r="96" spans="2:21" x14ac:dyDescent="0.25"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35"/>
      <c r="N96" s="35"/>
      <c r="O96" s="35"/>
      <c r="P96" s="35"/>
      <c r="Q96" s="35"/>
      <c r="R96" s="35"/>
      <c r="S96" s="35"/>
      <c r="T96" s="35"/>
      <c r="U96" s="35"/>
    </row>
    <row r="97" spans="2:21" x14ac:dyDescent="0.25"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35"/>
      <c r="N97" s="35"/>
      <c r="O97" s="35"/>
      <c r="P97" s="35"/>
      <c r="Q97" s="35"/>
      <c r="R97" s="35"/>
      <c r="S97" s="35"/>
      <c r="T97" s="35"/>
      <c r="U97" s="35"/>
    </row>
    <row r="98" spans="2:21" x14ac:dyDescent="0.25"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35"/>
      <c r="N98" s="35"/>
      <c r="O98" s="35"/>
      <c r="P98" s="35"/>
      <c r="Q98" s="35"/>
      <c r="R98" s="35"/>
      <c r="S98" s="35"/>
      <c r="T98" s="35"/>
      <c r="U98" s="35"/>
    </row>
    <row r="99" spans="2:21" x14ac:dyDescent="0.25"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35"/>
      <c r="N99" s="35"/>
      <c r="O99" s="35"/>
      <c r="P99" s="35"/>
      <c r="Q99" s="35"/>
      <c r="R99" s="35"/>
      <c r="S99" s="35"/>
      <c r="T99" s="35"/>
      <c r="U99" s="35"/>
    </row>
    <row r="100" spans="2:21" x14ac:dyDescent="0.25"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35"/>
      <c r="N100" s="35"/>
      <c r="O100" s="35"/>
      <c r="P100" s="35"/>
      <c r="Q100" s="35"/>
      <c r="R100" s="35"/>
      <c r="S100" s="35"/>
      <c r="T100" s="35"/>
      <c r="U100" s="35"/>
    </row>
    <row r="101" spans="2:21" x14ac:dyDescent="0.25"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35"/>
      <c r="N101" s="35"/>
      <c r="O101" s="35"/>
      <c r="P101" s="35"/>
      <c r="Q101" s="35"/>
      <c r="R101" s="35"/>
      <c r="S101" s="35"/>
      <c r="T101" s="35"/>
      <c r="U101" s="35"/>
    </row>
    <row r="102" spans="2:21" x14ac:dyDescent="0.25"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35"/>
      <c r="N102" s="35"/>
      <c r="O102" s="35"/>
      <c r="P102" s="35"/>
      <c r="Q102" s="35"/>
      <c r="R102" s="35"/>
      <c r="S102" s="35"/>
      <c r="T102" s="35"/>
      <c r="U102" s="35"/>
    </row>
    <row r="103" spans="2:21" x14ac:dyDescent="0.25"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35"/>
      <c r="N103" s="35"/>
      <c r="O103" s="35"/>
      <c r="P103" s="35"/>
      <c r="Q103" s="35"/>
      <c r="R103" s="35"/>
      <c r="S103" s="35"/>
      <c r="T103" s="35"/>
      <c r="U103" s="35"/>
    </row>
    <row r="104" spans="2:21" x14ac:dyDescent="0.25"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35"/>
      <c r="N104" s="35"/>
      <c r="O104" s="35"/>
      <c r="P104" s="35"/>
      <c r="Q104" s="35"/>
      <c r="R104" s="35"/>
      <c r="S104" s="35"/>
      <c r="T104" s="35"/>
      <c r="U104" s="35"/>
    </row>
    <row r="105" spans="2:21" x14ac:dyDescent="0.25"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35"/>
      <c r="N105" s="35"/>
      <c r="O105" s="35"/>
      <c r="P105" s="35"/>
      <c r="Q105" s="35"/>
      <c r="R105" s="35"/>
      <c r="S105" s="35"/>
      <c r="T105" s="35"/>
      <c r="U105" s="35"/>
    </row>
    <row r="106" spans="2:21" x14ac:dyDescent="0.25"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35"/>
      <c r="N106" s="35"/>
      <c r="O106" s="35"/>
      <c r="P106" s="35"/>
      <c r="Q106" s="35"/>
      <c r="R106" s="35"/>
      <c r="S106" s="35"/>
      <c r="T106" s="35"/>
      <c r="U106" s="35"/>
    </row>
    <row r="107" spans="2:21" x14ac:dyDescent="0.25"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35"/>
      <c r="N107" s="35"/>
      <c r="O107" s="35"/>
      <c r="P107" s="35"/>
      <c r="Q107" s="35"/>
      <c r="R107" s="35"/>
      <c r="S107" s="35"/>
      <c r="T107" s="35"/>
      <c r="U107" s="35"/>
    </row>
    <row r="108" spans="2:21" x14ac:dyDescent="0.25"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35"/>
      <c r="N108" s="35"/>
      <c r="O108" s="35"/>
      <c r="P108" s="35"/>
      <c r="Q108" s="35"/>
      <c r="R108" s="35"/>
      <c r="S108" s="35"/>
      <c r="T108" s="35"/>
      <c r="U108" s="35"/>
    </row>
    <row r="109" spans="2:21" x14ac:dyDescent="0.25"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35"/>
      <c r="N109" s="35"/>
      <c r="O109" s="35"/>
      <c r="P109" s="35"/>
      <c r="Q109" s="35"/>
      <c r="R109" s="35"/>
      <c r="S109" s="35"/>
      <c r="T109" s="35"/>
      <c r="U109" s="35"/>
    </row>
    <row r="110" spans="2:21" x14ac:dyDescent="0.25"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35"/>
      <c r="N110" s="35"/>
      <c r="O110" s="35"/>
      <c r="P110" s="35"/>
      <c r="Q110" s="35"/>
      <c r="R110" s="35"/>
      <c r="S110" s="35"/>
      <c r="T110" s="35"/>
      <c r="U110" s="35"/>
    </row>
    <row r="111" spans="2:21" x14ac:dyDescent="0.25"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35"/>
      <c r="N111" s="35"/>
      <c r="O111" s="35"/>
      <c r="P111" s="35"/>
      <c r="Q111" s="35"/>
      <c r="R111" s="35"/>
      <c r="S111" s="35"/>
      <c r="T111" s="35"/>
      <c r="U111" s="35"/>
    </row>
    <row r="112" spans="2:21" x14ac:dyDescent="0.25"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35"/>
      <c r="N112" s="35"/>
      <c r="O112" s="35"/>
      <c r="P112" s="35"/>
      <c r="Q112" s="35"/>
      <c r="R112" s="35"/>
      <c r="S112" s="35"/>
      <c r="T112" s="35"/>
      <c r="U112" s="35"/>
    </row>
    <row r="113" spans="2:21" x14ac:dyDescent="0.25"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35"/>
      <c r="N113" s="35"/>
      <c r="O113" s="35"/>
      <c r="P113" s="35"/>
      <c r="Q113" s="35"/>
      <c r="R113" s="35"/>
      <c r="S113" s="35"/>
      <c r="T113" s="35"/>
      <c r="U113" s="35"/>
    </row>
    <row r="114" spans="2:21" x14ac:dyDescent="0.25"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35"/>
      <c r="N114" s="35"/>
      <c r="O114" s="35"/>
      <c r="P114" s="35"/>
      <c r="Q114" s="35"/>
      <c r="R114" s="35"/>
      <c r="S114" s="35"/>
      <c r="T114" s="35"/>
      <c r="U114" s="35"/>
    </row>
    <row r="115" spans="2:21" x14ac:dyDescent="0.25"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35"/>
      <c r="N115" s="35"/>
      <c r="O115" s="35"/>
      <c r="P115" s="35"/>
      <c r="Q115" s="35"/>
      <c r="R115" s="35"/>
      <c r="S115" s="35"/>
      <c r="T115" s="35"/>
      <c r="U115" s="35"/>
    </row>
    <row r="116" spans="2:21" x14ac:dyDescent="0.25"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35"/>
      <c r="N116" s="35"/>
      <c r="O116" s="35"/>
      <c r="P116" s="35"/>
      <c r="Q116" s="35"/>
      <c r="R116" s="35"/>
      <c r="S116" s="35"/>
      <c r="T116" s="35"/>
      <c r="U116" s="35"/>
    </row>
    <row r="117" spans="2:21" x14ac:dyDescent="0.25"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35"/>
      <c r="N117" s="35"/>
      <c r="O117" s="35"/>
      <c r="P117" s="35"/>
      <c r="Q117" s="35"/>
      <c r="R117" s="35"/>
      <c r="S117" s="35"/>
      <c r="T117" s="35"/>
      <c r="U117" s="35"/>
    </row>
    <row r="118" spans="2:21" x14ac:dyDescent="0.25"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35"/>
      <c r="N118" s="35"/>
      <c r="O118" s="35"/>
      <c r="P118" s="35"/>
      <c r="Q118" s="35"/>
      <c r="R118" s="35"/>
      <c r="S118" s="35"/>
      <c r="T118" s="35"/>
      <c r="U118" s="35"/>
    </row>
    <row r="119" spans="2:21" x14ac:dyDescent="0.25"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35"/>
      <c r="N119" s="35"/>
      <c r="O119" s="35"/>
      <c r="P119" s="35"/>
      <c r="Q119" s="35"/>
      <c r="R119" s="35"/>
      <c r="S119" s="35"/>
      <c r="T119" s="35"/>
      <c r="U119" s="35"/>
    </row>
    <row r="120" spans="2:21" x14ac:dyDescent="0.25"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35"/>
      <c r="N120" s="35"/>
      <c r="O120" s="35"/>
      <c r="P120" s="35"/>
      <c r="Q120" s="35"/>
      <c r="R120" s="35"/>
      <c r="S120" s="35"/>
      <c r="T120" s="35"/>
      <c r="U120" s="35"/>
    </row>
    <row r="121" spans="2:21" x14ac:dyDescent="0.25"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35"/>
      <c r="N121" s="35"/>
      <c r="O121" s="35"/>
      <c r="P121" s="35"/>
      <c r="Q121" s="35"/>
      <c r="R121" s="35"/>
      <c r="S121" s="35"/>
      <c r="T121" s="35"/>
      <c r="U121" s="35"/>
    </row>
    <row r="122" spans="2:21" x14ac:dyDescent="0.25"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35"/>
      <c r="N122" s="35"/>
      <c r="O122" s="35"/>
      <c r="P122" s="35"/>
      <c r="Q122" s="35"/>
      <c r="R122" s="35"/>
      <c r="S122" s="35"/>
      <c r="T122" s="35"/>
      <c r="U122" s="35"/>
    </row>
    <row r="123" spans="2:21" x14ac:dyDescent="0.25"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35"/>
      <c r="N123" s="35"/>
      <c r="O123" s="35"/>
      <c r="P123" s="35"/>
      <c r="Q123" s="35"/>
      <c r="R123" s="35"/>
      <c r="S123" s="35"/>
      <c r="T123" s="35"/>
      <c r="U123" s="35"/>
    </row>
    <row r="124" spans="2:21" x14ac:dyDescent="0.25"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35"/>
      <c r="N124" s="35"/>
      <c r="O124" s="35"/>
      <c r="P124" s="35"/>
      <c r="Q124" s="35"/>
      <c r="R124" s="35"/>
      <c r="S124" s="35"/>
      <c r="T124" s="35"/>
      <c r="U124" s="35"/>
    </row>
    <row r="125" spans="2:21" x14ac:dyDescent="0.25"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35"/>
      <c r="N125" s="35"/>
      <c r="O125" s="35"/>
      <c r="P125" s="35"/>
      <c r="Q125" s="35"/>
      <c r="R125" s="35"/>
      <c r="S125" s="35"/>
      <c r="T125" s="35"/>
      <c r="U125" s="35"/>
    </row>
    <row r="126" spans="2:21" x14ac:dyDescent="0.25"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35"/>
      <c r="N126" s="35"/>
      <c r="O126" s="35"/>
      <c r="P126" s="35"/>
      <c r="Q126" s="35"/>
      <c r="R126" s="35"/>
      <c r="S126" s="35"/>
      <c r="T126" s="35"/>
      <c r="U126" s="35"/>
    </row>
    <row r="127" spans="2:21" x14ac:dyDescent="0.25"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35"/>
      <c r="N127" s="35"/>
      <c r="O127" s="35"/>
      <c r="P127" s="35"/>
      <c r="Q127" s="35"/>
      <c r="R127" s="35"/>
      <c r="S127" s="35"/>
      <c r="T127" s="35"/>
      <c r="U127" s="35"/>
    </row>
    <row r="128" spans="2:21" x14ac:dyDescent="0.25"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35"/>
      <c r="N128" s="35"/>
      <c r="O128" s="35"/>
      <c r="P128" s="35"/>
      <c r="Q128" s="35"/>
      <c r="R128" s="35"/>
      <c r="S128" s="35"/>
      <c r="T128" s="35"/>
      <c r="U128" s="35"/>
    </row>
    <row r="129" spans="2:21" x14ac:dyDescent="0.25"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35"/>
      <c r="N129" s="35"/>
      <c r="O129" s="35"/>
      <c r="P129" s="35"/>
      <c r="Q129" s="35"/>
      <c r="R129" s="35"/>
      <c r="S129" s="35"/>
      <c r="T129" s="35"/>
      <c r="U129" s="35"/>
    </row>
    <row r="130" spans="2:21" x14ac:dyDescent="0.25"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35"/>
      <c r="N130" s="35"/>
      <c r="O130" s="35"/>
      <c r="P130" s="35"/>
      <c r="Q130" s="35"/>
      <c r="R130" s="35"/>
      <c r="S130" s="35"/>
      <c r="T130" s="35"/>
      <c r="U130" s="35"/>
    </row>
    <row r="131" spans="2:21" x14ac:dyDescent="0.25"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35"/>
      <c r="N131" s="35"/>
      <c r="O131" s="35"/>
      <c r="P131" s="35"/>
      <c r="Q131" s="35"/>
      <c r="R131" s="35"/>
      <c r="S131" s="35"/>
      <c r="T131" s="35"/>
      <c r="U131" s="35"/>
    </row>
    <row r="132" spans="2:21" x14ac:dyDescent="0.25"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35"/>
      <c r="N132" s="35"/>
      <c r="O132" s="35"/>
      <c r="P132" s="35"/>
      <c r="Q132" s="35"/>
      <c r="R132" s="35"/>
      <c r="S132" s="35"/>
      <c r="T132" s="35"/>
      <c r="U132" s="35"/>
    </row>
    <row r="133" spans="2:21" x14ac:dyDescent="0.25"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35"/>
      <c r="N133" s="35"/>
      <c r="O133" s="35"/>
      <c r="P133" s="35"/>
      <c r="Q133" s="35"/>
      <c r="R133" s="35"/>
      <c r="S133" s="35"/>
      <c r="T133" s="35"/>
      <c r="U133" s="35"/>
    </row>
    <row r="134" spans="2:21" x14ac:dyDescent="0.25"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35"/>
      <c r="N134" s="35"/>
      <c r="O134" s="35"/>
      <c r="P134" s="35"/>
      <c r="Q134" s="35"/>
      <c r="R134" s="35"/>
      <c r="S134" s="35"/>
      <c r="T134" s="35"/>
      <c r="U134" s="35"/>
    </row>
    <row r="135" spans="2:21" x14ac:dyDescent="0.25"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35"/>
      <c r="N135" s="35"/>
      <c r="O135" s="35"/>
      <c r="P135" s="35"/>
      <c r="Q135" s="35"/>
      <c r="R135" s="35"/>
      <c r="S135" s="35"/>
      <c r="T135" s="35"/>
      <c r="U135" s="35"/>
    </row>
    <row r="136" spans="2:21" x14ac:dyDescent="0.25"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35"/>
      <c r="N136" s="35"/>
      <c r="O136" s="35"/>
      <c r="P136" s="35"/>
      <c r="Q136" s="35"/>
      <c r="R136" s="35"/>
      <c r="S136" s="35"/>
      <c r="T136" s="35"/>
      <c r="U136" s="35"/>
    </row>
    <row r="137" spans="2:21" x14ac:dyDescent="0.25"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35"/>
      <c r="N137" s="35"/>
      <c r="O137" s="35"/>
      <c r="P137" s="35"/>
      <c r="Q137" s="35"/>
      <c r="R137" s="35"/>
      <c r="S137" s="35"/>
      <c r="T137" s="35"/>
      <c r="U137" s="35"/>
    </row>
    <row r="138" spans="2:21" x14ac:dyDescent="0.25"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35"/>
      <c r="N138" s="35"/>
      <c r="O138" s="35"/>
      <c r="P138" s="35"/>
      <c r="Q138" s="35"/>
      <c r="R138" s="35"/>
      <c r="S138" s="35"/>
      <c r="T138" s="35"/>
      <c r="U138" s="35"/>
    </row>
    <row r="139" spans="2:21" x14ac:dyDescent="0.25"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35"/>
      <c r="N139" s="35"/>
      <c r="O139" s="35"/>
      <c r="P139" s="35"/>
      <c r="Q139" s="35"/>
      <c r="R139" s="35"/>
      <c r="S139" s="35"/>
      <c r="T139" s="35"/>
      <c r="U139" s="35"/>
    </row>
    <row r="140" spans="2:21" x14ac:dyDescent="0.25"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35"/>
      <c r="N140" s="35"/>
      <c r="O140" s="35"/>
      <c r="P140" s="35"/>
      <c r="Q140" s="35"/>
      <c r="R140" s="35"/>
      <c r="S140" s="35"/>
      <c r="T140" s="35"/>
      <c r="U140" s="35"/>
    </row>
    <row r="141" spans="2:21" x14ac:dyDescent="0.25"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35"/>
      <c r="N141" s="35"/>
      <c r="O141" s="35"/>
      <c r="P141" s="35"/>
      <c r="Q141" s="35"/>
      <c r="R141" s="35"/>
      <c r="S141" s="35"/>
      <c r="T141" s="35"/>
      <c r="U141" s="35"/>
    </row>
    <row r="142" spans="2:21" x14ac:dyDescent="0.25"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35"/>
      <c r="N142" s="35"/>
      <c r="O142" s="35"/>
      <c r="P142" s="35"/>
      <c r="Q142" s="35"/>
      <c r="R142" s="35"/>
      <c r="S142" s="35"/>
      <c r="T142" s="35"/>
      <c r="U142" s="35"/>
    </row>
    <row r="143" spans="2:21" x14ac:dyDescent="0.25"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35"/>
      <c r="N143" s="35"/>
      <c r="O143" s="35"/>
      <c r="P143" s="35"/>
      <c r="Q143" s="35"/>
      <c r="R143" s="35"/>
      <c r="S143" s="35"/>
      <c r="T143" s="35"/>
      <c r="U143" s="35"/>
    </row>
    <row r="144" spans="2:21" x14ac:dyDescent="0.25"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35"/>
      <c r="N144" s="35"/>
      <c r="O144" s="35"/>
      <c r="P144" s="35"/>
      <c r="Q144" s="35"/>
      <c r="R144" s="35"/>
      <c r="S144" s="35"/>
      <c r="T144" s="35"/>
      <c r="U144" s="35"/>
    </row>
    <row r="145" spans="2:21" x14ac:dyDescent="0.25"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35"/>
      <c r="N145" s="35"/>
      <c r="O145" s="35"/>
      <c r="P145" s="35"/>
      <c r="Q145" s="35"/>
      <c r="R145" s="35"/>
      <c r="S145" s="35"/>
      <c r="T145" s="35"/>
      <c r="U145" s="35"/>
    </row>
    <row r="146" spans="2:21" x14ac:dyDescent="0.25"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35"/>
      <c r="N146" s="35"/>
      <c r="O146" s="35"/>
      <c r="P146" s="35"/>
      <c r="Q146" s="35"/>
      <c r="R146" s="35"/>
      <c r="S146" s="35"/>
      <c r="T146" s="35"/>
      <c r="U146" s="35"/>
    </row>
    <row r="147" spans="2:21" x14ac:dyDescent="0.25"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35"/>
      <c r="N147" s="35"/>
      <c r="O147" s="35"/>
      <c r="P147" s="35"/>
      <c r="Q147" s="35"/>
      <c r="R147" s="35"/>
      <c r="S147" s="35"/>
      <c r="T147" s="35"/>
      <c r="U147" s="35"/>
    </row>
    <row r="148" spans="2:21" x14ac:dyDescent="0.25"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35"/>
      <c r="N148" s="35"/>
      <c r="O148" s="35"/>
      <c r="P148" s="35"/>
      <c r="Q148" s="35"/>
      <c r="R148" s="35"/>
      <c r="S148" s="35"/>
      <c r="T148" s="35"/>
      <c r="U148" s="35"/>
    </row>
    <row r="149" spans="2:21" x14ac:dyDescent="0.25"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35"/>
      <c r="N149" s="35"/>
      <c r="O149" s="35"/>
      <c r="P149" s="35"/>
      <c r="Q149" s="35"/>
      <c r="R149" s="35"/>
      <c r="S149" s="35"/>
      <c r="T149" s="35"/>
      <c r="U149" s="35"/>
    </row>
    <row r="150" spans="2:21" x14ac:dyDescent="0.25"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35"/>
      <c r="N150" s="35"/>
      <c r="O150" s="35"/>
      <c r="P150" s="35"/>
      <c r="Q150" s="35"/>
      <c r="R150" s="35"/>
      <c r="S150" s="35"/>
      <c r="T150" s="35"/>
      <c r="U150" s="35"/>
    </row>
    <row r="151" spans="2:21" x14ac:dyDescent="0.25"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35"/>
      <c r="N151" s="35"/>
      <c r="O151" s="35"/>
      <c r="P151" s="35"/>
      <c r="Q151" s="35"/>
      <c r="R151" s="35"/>
      <c r="S151" s="35"/>
      <c r="T151" s="35"/>
      <c r="U151" s="35"/>
    </row>
    <row r="152" spans="2:21" x14ac:dyDescent="0.25"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35"/>
      <c r="N152" s="35"/>
      <c r="O152" s="35"/>
      <c r="P152" s="35"/>
      <c r="Q152" s="35"/>
      <c r="R152" s="35"/>
      <c r="S152" s="35"/>
      <c r="T152" s="35"/>
      <c r="U152" s="35"/>
    </row>
    <row r="153" spans="2:21" x14ac:dyDescent="0.25"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35"/>
      <c r="N153" s="35"/>
      <c r="O153" s="35"/>
      <c r="P153" s="35"/>
      <c r="Q153" s="35"/>
      <c r="R153" s="35"/>
      <c r="S153" s="35"/>
      <c r="T153" s="35"/>
      <c r="U153" s="35"/>
    </row>
    <row r="154" spans="2:21" x14ac:dyDescent="0.25"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35"/>
      <c r="N154" s="35"/>
      <c r="O154" s="35"/>
      <c r="P154" s="35"/>
      <c r="Q154" s="35"/>
      <c r="R154" s="35"/>
      <c r="S154" s="35"/>
      <c r="T154" s="35"/>
      <c r="U154" s="35"/>
    </row>
    <row r="155" spans="2:21" x14ac:dyDescent="0.25"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35"/>
      <c r="N155" s="35"/>
      <c r="O155" s="35"/>
      <c r="P155" s="35"/>
      <c r="Q155" s="35"/>
      <c r="R155" s="35"/>
      <c r="S155" s="35"/>
      <c r="T155" s="35"/>
      <c r="U155" s="35"/>
    </row>
    <row r="156" spans="2:21" x14ac:dyDescent="0.25"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35"/>
      <c r="N156" s="35"/>
      <c r="O156" s="35"/>
      <c r="P156" s="35"/>
      <c r="Q156" s="35"/>
      <c r="R156" s="35"/>
      <c r="S156" s="35"/>
      <c r="T156" s="35"/>
      <c r="U156" s="35"/>
    </row>
    <row r="157" spans="2:21" x14ac:dyDescent="0.25"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35"/>
      <c r="N157" s="35"/>
      <c r="O157" s="35"/>
      <c r="P157" s="35"/>
      <c r="Q157" s="35"/>
      <c r="R157" s="35"/>
      <c r="S157" s="35"/>
      <c r="T157" s="35"/>
      <c r="U157" s="35"/>
    </row>
    <row r="158" spans="2:21" x14ac:dyDescent="0.25"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35"/>
      <c r="N158" s="35"/>
      <c r="O158" s="35"/>
      <c r="P158" s="35"/>
      <c r="Q158" s="35"/>
      <c r="R158" s="35"/>
      <c r="S158" s="35"/>
      <c r="T158" s="35"/>
      <c r="U158" s="35"/>
    </row>
    <row r="159" spans="2:21" x14ac:dyDescent="0.25"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35"/>
      <c r="N159" s="35"/>
      <c r="O159" s="35"/>
      <c r="P159" s="35"/>
      <c r="Q159" s="35"/>
      <c r="R159" s="35"/>
      <c r="S159" s="35"/>
      <c r="T159" s="35"/>
      <c r="U159" s="35"/>
    </row>
    <row r="160" spans="2:21" x14ac:dyDescent="0.25"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35"/>
      <c r="N160" s="35"/>
      <c r="O160" s="35"/>
      <c r="P160" s="35"/>
      <c r="Q160" s="35"/>
      <c r="R160" s="35"/>
      <c r="S160" s="35"/>
      <c r="T160" s="35"/>
      <c r="U160" s="35"/>
    </row>
    <row r="161" spans="2:21" x14ac:dyDescent="0.25"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35"/>
      <c r="N161" s="35"/>
      <c r="O161" s="35"/>
      <c r="P161" s="35"/>
      <c r="Q161" s="35"/>
      <c r="R161" s="35"/>
      <c r="S161" s="35"/>
      <c r="T161" s="35"/>
      <c r="U161" s="35"/>
    </row>
    <row r="162" spans="2:21" x14ac:dyDescent="0.25"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35"/>
      <c r="N162" s="35"/>
      <c r="O162" s="35"/>
      <c r="P162" s="35"/>
      <c r="Q162" s="35"/>
      <c r="R162" s="35"/>
      <c r="S162" s="35"/>
      <c r="T162" s="35"/>
      <c r="U162" s="35"/>
    </row>
    <row r="163" spans="2:21" x14ac:dyDescent="0.25"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35"/>
      <c r="N163" s="35"/>
      <c r="O163" s="35"/>
      <c r="P163" s="35"/>
      <c r="Q163" s="35"/>
      <c r="R163" s="35"/>
      <c r="S163" s="35"/>
      <c r="T163" s="35"/>
      <c r="U163" s="35"/>
    </row>
    <row r="164" spans="2:21" x14ac:dyDescent="0.25"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35"/>
      <c r="N164" s="35"/>
      <c r="O164" s="35"/>
      <c r="P164" s="35"/>
      <c r="Q164" s="35"/>
      <c r="R164" s="35"/>
      <c r="S164" s="35"/>
      <c r="T164" s="35"/>
      <c r="U164" s="35"/>
    </row>
    <row r="165" spans="2:21" x14ac:dyDescent="0.25"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35"/>
      <c r="N165" s="35"/>
      <c r="O165" s="35"/>
      <c r="P165" s="35"/>
      <c r="Q165" s="35"/>
      <c r="R165" s="35"/>
      <c r="S165" s="35"/>
      <c r="T165" s="35"/>
      <c r="U165" s="35"/>
    </row>
    <row r="166" spans="2:21" x14ac:dyDescent="0.25"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35"/>
      <c r="N166" s="35"/>
      <c r="O166" s="35"/>
      <c r="P166" s="35"/>
      <c r="Q166" s="35"/>
      <c r="R166" s="35"/>
      <c r="S166" s="35"/>
      <c r="T166" s="35"/>
      <c r="U166" s="35"/>
    </row>
    <row r="167" spans="2:21" x14ac:dyDescent="0.25"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35"/>
      <c r="N167" s="35"/>
      <c r="O167" s="35"/>
      <c r="P167" s="35"/>
      <c r="Q167" s="35"/>
      <c r="R167" s="35"/>
      <c r="S167" s="35"/>
      <c r="T167" s="35"/>
      <c r="U167" s="35"/>
    </row>
    <row r="168" spans="2:21" x14ac:dyDescent="0.25"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35"/>
      <c r="N168" s="35"/>
      <c r="O168" s="35"/>
      <c r="P168" s="35"/>
      <c r="Q168" s="35"/>
      <c r="R168" s="35"/>
      <c r="S168" s="35"/>
      <c r="T168" s="35"/>
      <c r="U168" s="35"/>
    </row>
    <row r="169" spans="2:21" x14ac:dyDescent="0.25"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35"/>
      <c r="N169" s="35"/>
      <c r="O169" s="35"/>
      <c r="P169" s="35"/>
      <c r="Q169" s="35"/>
      <c r="R169" s="35"/>
      <c r="S169" s="35"/>
      <c r="T169" s="35"/>
      <c r="U169" s="35"/>
    </row>
    <row r="170" spans="2:21" x14ac:dyDescent="0.25"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35"/>
      <c r="N170" s="35"/>
      <c r="O170" s="35"/>
      <c r="P170" s="35"/>
      <c r="Q170" s="35"/>
      <c r="R170" s="35"/>
      <c r="S170" s="35"/>
      <c r="T170" s="35"/>
      <c r="U170" s="35"/>
    </row>
    <row r="171" spans="2:21" x14ac:dyDescent="0.25"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35"/>
      <c r="N171" s="35"/>
      <c r="O171" s="35"/>
      <c r="P171" s="35"/>
      <c r="Q171" s="35"/>
      <c r="R171" s="35"/>
      <c r="S171" s="35"/>
      <c r="T171" s="35"/>
      <c r="U171" s="35"/>
    </row>
    <row r="172" spans="2:21" x14ac:dyDescent="0.25"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35"/>
      <c r="N172" s="35"/>
      <c r="O172" s="35"/>
      <c r="P172" s="35"/>
      <c r="Q172" s="35"/>
      <c r="R172" s="35"/>
      <c r="S172" s="35"/>
      <c r="T172" s="35"/>
      <c r="U172" s="35"/>
    </row>
    <row r="173" spans="2:21" x14ac:dyDescent="0.25"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35"/>
      <c r="N173" s="35"/>
      <c r="O173" s="35"/>
      <c r="P173" s="35"/>
      <c r="Q173" s="35"/>
      <c r="R173" s="35"/>
      <c r="S173" s="35"/>
      <c r="T173" s="35"/>
      <c r="U173" s="35"/>
    </row>
    <row r="174" spans="2:21" x14ac:dyDescent="0.25"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35"/>
      <c r="N174" s="35"/>
      <c r="O174" s="35"/>
      <c r="P174" s="35"/>
      <c r="Q174" s="35"/>
      <c r="R174" s="35"/>
      <c r="S174" s="35"/>
      <c r="T174" s="35"/>
      <c r="U174" s="35"/>
    </row>
    <row r="175" spans="2:21" x14ac:dyDescent="0.25"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35"/>
      <c r="N175" s="35"/>
      <c r="O175" s="35"/>
      <c r="P175" s="35"/>
      <c r="Q175" s="35"/>
      <c r="R175" s="35"/>
      <c r="S175" s="35"/>
      <c r="T175" s="35"/>
      <c r="U175" s="35"/>
    </row>
    <row r="176" spans="2:21" x14ac:dyDescent="0.25"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35"/>
      <c r="N176" s="35"/>
      <c r="O176" s="35"/>
      <c r="P176" s="35"/>
      <c r="Q176" s="35"/>
      <c r="R176" s="35"/>
      <c r="S176" s="35"/>
      <c r="T176" s="35"/>
      <c r="U176" s="35"/>
    </row>
    <row r="177" spans="2:21" x14ac:dyDescent="0.25"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35"/>
      <c r="N177" s="35"/>
      <c r="O177" s="35"/>
      <c r="P177" s="35"/>
      <c r="Q177" s="35"/>
      <c r="R177" s="35"/>
      <c r="S177" s="35"/>
      <c r="T177" s="35"/>
      <c r="U177" s="35"/>
    </row>
    <row r="178" spans="2:21" x14ac:dyDescent="0.25"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35"/>
      <c r="N178" s="35"/>
      <c r="O178" s="35"/>
      <c r="P178" s="35"/>
      <c r="Q178" s="35"/>
      <c r="R178" s="35"/>
      <c r="S178" s="35"/>
      <c r="T178" s="35"/>
      <c r="U178" s="35"/>
    </row>
    <row r="179" spans="2:21" x14ac:dyDescent="0.25"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35"/>
      <c r="N179" s="35"/>
      <c r="O179" s="35"/>
      <c r="P179" s="35"/>
      <c r="Q179" s="35"/>
      <c r="R179" s="35"/>
      <c r="S179" s="35"/>
      <c r="T179" s="35"/>
      <c r="U179" s="35"/>
    </row>
    <row r="180" spans="2:21" x14ac:dyDescent="0.25"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35"/>
      <c r="N180" s="35"/>
      <c r="O180" s="35"/>
      <c r="P180" s="35"/>
      <c r="Q180" s="35"/>
      <c r="R180" s="35"/>
      <c r="S180" s="35"/>
      <c r="T180" s="35"/>
      <c r="U180" s="35"/>
    </row>
    <row r="181" spans="2:21" x14ac:dyDescent="0.25"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35"/>
      <c r="N181" s="35"/>
      <c r="O181" s="35"/>
      <c r="P181" s="35"/>
      <c r="Q181" s="35"/>
      <c r="R181" s="35"/>
      <c r="S181" s="35"/>
      <c r="T181" s="35"/>
      <c r="U181" s="35"/>
    </row>
    <row r="182" spans="2:21" x14ac:dyDescent="0.25"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35"/>
      <c r="N182" s="35"/>
      <c r="O182" s="35"/>
      <c r="P182" s="35"/>
      <c r="Q182" s="35"/>
      <c r="R182" s="35"/>
      <c r="S182" s="35"/>
      <c r="T182" s="35"/>
      <c r="U182" s="35"/>
    </row>
    <row r="183" spans="2:21" x14ac:dyDescent="0.25"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35"/>
      <c r="N183" s="35"/>
      <c r="O183" s="35"/>
      <c r="P183" s="35"/>
      <c r="Q183" s="35"/>
      <c r="R183" s="35"/>
      <c r="S183" s="35"/>
      <c r="T183" s="35"/>
      <c r="U183" s="35"/>
    </row>
    <row r="184" spans="2:21" x14ac:dyDescent="0.25"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35"/>
      <c r="N184" s="35"/>
      <c r="O184" s="35"/>
      <c r="P184" s="35"/>
      <c r="Q184" s="35"/>
      <c r="R184" s="35"/>
      <c r="S184" s="35"/>
      <c r="T184" s="35"/>
      <c r="U184" s="35"/>
    </row>
    <row r="185" spans="2:21" x14ac:dyDescent="0.25"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35"/>
      <c r="N185" s="35"/>
      <c r="O185" s="35"/>
      <c r="P185" s="35"/>
      <c r="Q185" s="35"/>
      <c r="R185" s="35"/>
      <c r="S185" s="35"/>
      <c r="T185" s="35"/>
      <c r="U185" s="35"/>
    </row>
    <row r="186" spans="2:21" x14ac:dyDescent="0.25"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35"/>
      <c r="N186" s="35"/>
      <c r="O186" s="35"/>
      <c r="P186" s="35"/>
      <c r="Q186" s="35"/>
      <c r="R186" s="35"/>
      <c r="S186" s="35"/>
      <c r="T186" s="35"/>
      <c r="U186" s="35"/>
    </row>
    <row r="187" spans="2:21" x14ac:dyDescent="0.25"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35"/>
      <c r="N187" s="35"/>
      <c r="O187" s="35"/>
      <c r="P187" s="35"/>
      <c r="Q187" s="35"/>
      <c r="R187" s="35"/>
      <c r="S187" s="35"/>
      <c r="T187" s="35"/>
      <c r="U187" s="35"/>
    </row>
    <row r="188" spans="2:21" x14ac:dyDescent="0.25"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35"/>
      <c r="N188" s="35"/>
      <c r="O188" s="35"/>
      <c r="P188" s="35"/>
      <c r="Q188" s="35"/>
      <c r="R188" s="35"/>
      <c r="S188" s="35"/>
      <c r="T188" s="35"/>
      <c r="U188" s="35"/>
    </row>
    <row r="189" spans="2:21" x14ac:dyDescent="0.25"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35"/>
      <c r="N189" s="35"/>
      <c r="O189" s="35"/>
      <c r="P189" s="35"/>
      <c r="Q189" s="35"/>
      <c r="R189" s="35"/>
      <c r="S189" s="35"/>
      <c r="T189" s="35"/>
      <c r="U189" s="35"/>
    </row>
    <row r="190" spans="2:21" x14ac:dyDescent="0.25"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35"/>
      <c r="N190" s="35"/>
      <c r="O190" s="35"/>
      <c r="P190" s="35"/>
      <c r="Q190" s="35"/>
      <c r="R190" s="35"/>
      <c r="S190" s="35"/>
      <c r="T190" s="35"/>
      <c r="U190" s="35"/>
    </row>
    <row r="191" spans="2:21" x14ac:dyDescent="0.25"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35"/>
      <c r="N191" s="35"/>
      <c r="O191" s="35"/>
      <c r="P191" s="35"/>
      <c r="Q191" s="35"/>
      <c r="R191" s="35"/>
      <c r="S191" s="35"/>
      <c r="T191" s="35"/>
      <c r="U191" s="35"/>
    </row>
    <row r="192" spans="2:21" x14ac:dyDescent="0.25"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35"/>
      <c r="N192" s="35"/>
      <c r="O192" s="35"/>
      <c r="P192" s="35"/>
      <c r="Q192" s="35"/>
      <c r="R192" s="35"/>
      <c r="S192" s="35"/>
      <c r="T192" s="35"/>
      <c r="U192" s="35"/>
    </row>
    <row r="193" spans="2:21" x14ac:dyDescent="0.25"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35"/>
      <c r="N193" s="35"/>
      <c r="O193" s="35"/>
      <c r="P193" s="35"/>
      <c r="Q193" s="35"/>
      <c r="R193" s="35"/>
      <c r="S193" s="35"/>
      <c r="T193" s="35"/>
      <c r="U193" s="35"/>
    </row>
    <row r="194" spans="2:21" x14ac:dyDescent="0.25"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35"/>
      <c r="N194" s="35"/>
      <c r="O194" s="35"/>
      <c r="P194" s="35"/>
      <c r="Q194" s="35"/>
      <c r="R194" s="35"/>
      <c r="S194" s="35"/>
      <c r="T194" s="35"/>
      <c r="U194" s="35"/>
    </row>
    <row r="195" spans="2:21" x14ac:dyDescent="0.25"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35"/>
      <c r="N195" s="35"/>
      <c r="O195" s="35"/>
      <c r="P195" s="35"/>
      <c r="Q195" s="35"/>
      <c r="R195" s="35"/>
      <c r="S195" s="35"/>
      <c r="T195" s="35"/>
      <c r="U195" s="35"/>
    </row>
    <row r="196" spans="2:21" x14ac:dyDescent="0.25"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35"/>
      <c r="N196" s="35"/>
      <c r="O196" s="35"/>
      <c r="P196" s="35"/>
      <c r="Q196" s="35"/>
      <c r="R196" s="35"/>
      <c r="S196" s="35"/>
      <c r="T196" s="35"/>
      <c r="U196" s="35"/>
    </row>
    <row r="197" spans="2:21" x14ac:dyDescent="0.25"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35"/>
      <c r="N197" s="35"/>
      <c r="O197" s="35"/>
      <c r="P197" s="35"/>
      <c r="Q197" s="35"/>
      <c r="R197" s="35"/>
      <c r="S197" s="35"/>
      <c r="T197" s="35"/>
      <c r="U197" s="35"/>
    </row>
    <row r="198" spans="2:21" x14ac:dyDescent="0.25"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35"/>
      <c r="N198" s="35"/>
      <c r="O198" s="35"/>
      <c r="P198" s="35"/>
      <c r="Q198" s="35"/>
      <c r="R198" s="35"/>
      <c r="S198" s="35"/>
      <c r="T198" s="35"/>
      <c r="U198" s="35"/>
    </row>
    <row r="199" spans="2:21" x14ac:dyDescent="0.25"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35"/>
      <c r="N199" s="35"/>
      <c r="O199" s="35"/>
      <c r="P199" s="35"/>
      <c r="Q199" s="35"/>
      <c r="R199" s="35"/>
      <c r="S199" s="35"/>
      <c r="T199" s="35"/>
      <c r="U199" s="35"/>
    </row>
    <row r="200" spans="2:21" x14ac:dyDescent="0.25"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35"/>
      <c r="N200" s="35"/>
      <c r="O200" s="35"/>
      <c r="P200" s="35"/>
      <c r="Q200" s="35"/>
      <c r="R200" s="35"/>
      <c r="S200" s="35"/>
      <c r="T200" s="35"/>
      <c r="U200" s="35"/>
    </row>
    <row r="201" spans="2:21" x14ac:dyDescent="0.25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35"/>
      <c r="N201" s="35"/>
      <c r="O201" s="35"/>
      <c r="P201" s="35"/>
      <c r="Q201" s="35"/>
      <c r="R201" s="35"/>
      <c r="S201" s="35"/>
      <c r="T201" s="35"/>
      <c r="U201" s="35"/>
    </row>
    <row r="202" spans="2:21" x14ac:dyDescent="0.25"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35"/>
      <c r="N202" s="35"/>
      <c r="O202" s="35"/>
      <c r="P202" s="35"/>
      <c r="Q202" s="35"/>
      <c r="R202" s="35"/>
      <c r="S202" s="35"/>
      <c r="T202" s="35"/>
      <c r="U202" s="35"/>
    </row>
    <row r="203" spans="2:21" x14ac:dyDescent="0.25"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35"/>
      <c r="N203" s="35"/>
      <c r="O203" s="35"/>
      <c r="P203" s="35"/>
      <c r="Q203" s="35"/>
      <c r="R203" s="35"/>
      <c r="S203" s="35"/>
      <c r="T203" s="35"/>
      <c r="U203" s="35"/>
    </row>
    <row r="204" spans="2:21" x14ac:dyDescent="0.25"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35"/>
      <c r="N204" s="35"/>
      <c r="O204" s="35"/>
      <c r="P204" s="35"/>
      <c r="Q204" s="35"/>
      <c r="R204" s="35"/>
      <c r="S204" s="35"/>
      <c r="T204" s="35"/>
      <c r="U204" s="35"/>
    </row>
    <row r="205" spans="2:21" x14ac:dyDescent="0.25"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35"/>
      <c r="N205" s="35"/>
      <c r="O205" s="35"/>
      <c r="P205" s="35"/>
      <c r="Q205" s="35"/>
      <c r="R205" s="35"/>
      <c r="S205" s="35"/>
      <c r="T205" s="35"/>
      <c r="U205" s="35"/>
    </row>
    <row r="206" spans="2:21" x14ac:dyDescent="0.25"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35"/>
      <c r="N206" s="35"/>
      <c r="O206" s="35"/>
      <c r="P206" s="35"/>
      <c r="Q206" s="35"/>
      <c r="R206" s="35"/>
      <c r="S206" s="35"/>
      <c r="T206" s="35"/>
      <c r="U206" s="35"/>
    </row>
    <row r="207" spans="2:21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35"/>
      <c r="N207" s="35"/>
      <c r="O207" s="35"/>
      <c r="P207" s="35"/>
      <c r="Q207" s="35"/>
      <c r="R207" s="35"/>
      <c r="S207" s="35"/>
      <c r="T207" s="35"/>
      <c r="U207" s="35"/>
    </row>
    <row r="208" spans="2:21" x14ac:dyDescent="0.25"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35"/>
      <c r="N208" s="35"/>
      <c r="O208" s="35"/>
      <c r="P208" s="35"/>
      <c r="Q208" s="35"/>
      <c r="R208" s="35"/>
      <c r="S208" s="35"/>
      <c r="T208" s="35"/>
      <c r="U208" s="35"/>
    </row>
    <row r="209" spans="2:21" x14ac:dyDescent="0.25"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35"/>
      <c r="N209" s="35"/>
      <c r="O209" s="35"/>
      <c r="P209" s="35"/>
      <c r="Q209" s="35"/>
      <c r="R209" s="35"/>
      <c r="S209" s="35"/>
      <c r="T209" s="35"/>
      <c r="U209" s="35"/>
    </row>
    <row r="210" spans="2:21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35"/>
      <c r="N210" s="35"/>
      <c r="O210" s="35"/>
      <c r="P210" s="35"/>
      <c r="Q210" s="35"/>
      <c r="R210" s="35"/>
      <c r="S210" s="35"/>
      <c r="T210" s="35"/>
      <c r="U210" s="35"/>
    </row>
    <row r="211" spans="2:21" x14ac:dyDescent="0.25"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35"/>
      <c r="N211" s="35"/>
      <c r="O211" s="35"/>
      <c r="P211" s="35"/>
      <c r="Q211" s="35"/>
      <c r="R211" s="35"/>
      <c r="S211" s="35"/>
      <c r="T211" s="35"/>
      <c r="U211" s="35"/>
    </row>
    <row r="212" spans="2:21" x14ac:dyDescent="0.25"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35"/>
      <c r="N212" s="35"/>
      <c r="O212" s="35"/>
      <c r="P212" s="35"/>
      <c r="Q212" s="35"/>
      <c r="R212" s="35"/>
      <c r="S212" s="35"/>
      <c r="T212" s="35"/>
      <c r="U212" s="35"/>
    </row>
    <row r="213" spans="2:21" x14ac:dyDescent="0.25"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35"/>
      <c r="N213" s="35"/>
      <c r="O213" s="35"/>
      <c r="P213" s="35"/>
      <c r="Q213" s="35"/>
      <c r="R213" s="35"/>
      <c r="S213" s="35"/>
      <c r="T213" s="35"/>
      <c r="U213" s="35"/>
    </row>
    <row r="214" spans="2:21" x14ac:dyDescent="0.25"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35"/>
      <c r="N214" s="35"/>
      <c r="O214" s="35"/>
      <c r="P214" s="35"/>
      <c r="Q214" s="35"/>
      <c r="R214" s="35"/>
      <c r="S214" s="35"/>
      <c r="T214" s="35"/>
      <c r="U214" s="35"/>
    </row>
    <row r="215" spans="2:21" x14ac:dyDescent="0.25"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35"/>
      <c r="N215" s="35"/>
      <c r="O215" s="35"/>
      <c r="P215" s="35"/>
      <c r="Q215" s="35"/>
      <c r="R215" s="35"/>
      <c r="S215" s="35"/>
      <c r="T215" s="35"/>
      <c r="U215" s="35"/>
    </row>
    <row r="216" spans="2:21" x14ac:dyDescent="0.25"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35"/>
      <c r="N216" s="35"/>
      <c r="O216" s="35"/>
      <c r="P216" s="35"/>
      <c r="Q216" s="35"/>
      <c r="R216" s="35"/>
      <c r="S216" s="35"/>
      <c r="T216" s="35"/>
      <c r="U216" s="35"/>
    </row>
    <row r="217" spans="2:21" x14ac:dyDescent="0.25"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35"/>
      <c r="N217" s="35"/>
      <c r="O217" s="35"/>
      <c r="P217" s="35"/>
      <c r="Q217" s="35"/>
      <c r="R217" s="35"/>
      <c r="S217" s="35"/>
      <c r="T217" s="35"/>
      <c r="U217" s="35"/>
    </row>
    <row r="218" spans="2:21" x14ac:dyDescent="0.25"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35"/>
      <c r="N218" s="35"/>
      <c r="O218" s="35"/>
      <c r="P218" s="35"/>
      <c r="Q218" s="35"/>
      <c r="R218" s="35"/>
      <c r="S218" s="35"/>
      <c r="T218" s="35"/>
      <c r="U218" s="35"/>
    </row>
    <row r="219" spans="2:21" x14ac:dyDescent="0.25"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35"/>
      <c r="N219" s="35"/>
      <c r="O219" s="35"/>
      <c r="P219" s="35"/>
      <c r="Q219" s="35"/>
      <c r="R219" s="35"/>
      <c r="S219" s="35"/>
      <c r="T219" s="35"/>
      <c r="U219" s="35"/>
    </row>
    <row r="220" spans="2:21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35"/>
      <c r="N220" s="35"/>
      <c r="O220" s="35"/>
      <c r="P220" s="35"/>
      <c r="Q220" s="35"/>
      <c r="R220" s="35"/>
      <c r="S220" s="35"/>
      <c r="T220" s="35"/>
      <c r="U220" s="35"/>
    </row>
    <row r="221" spans="2:21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35"/>
      <c r="N221" s="35"/>
      <c r="O221" s="35"/>
      <c r="P221" s="35"/>
      <c r="Q221" s="35"/>
      <c r="R221" s="35"/>
      <c r="S221" s="35"/>
      <c r="T221" s="35"/>
      <c r="U221" s="35"/>
    </row>
    <row r="222" spans="2:21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35"/>
      <c r="N222" s="35"/>
      <c r="O222" s="35"/>
      <c r="P222" s="35"/>
      <c r="Q222" s="35"/>
      <c r="R222" s="35"/>
      <c r="S222" s="35"/>
      <c r="T222" s="35"/>
      <c r="U222" s="35"/>
    </row>
    <row r="223" spans="2:21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35"/>
      <c r="N223" s="35"/>
      <c r="O223" s="35"/>
      <c r="P223" s="35"/>
      <c r="Q223" s="35"/>
      <c r="R223" s="35"/>
      <c r="S223" s="35"/>
      <c r="T223" s="35"/>
      <c r="U223" s="35"/>
    </row>
    <row r="224" spans="2:21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35"/>
      <c r="N224" s="35"/>
      <c r="O224" s="35"/>
      <c r="P224" s="35"/>
      <c r="Q224" s="35"/>
      <c r="R224" s="35"/>
      <c r="S224" s="35"/>
      <c r="T224" s="35"/>
      <c r="U224" s="35"/>
    </row>
    <row r="225" spans="2:21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35"/>
      <c r="N225" s="35"/>
      <c r="O225" s="35"/>
      <c r="P225" s="35"/>
      <c r="Q225" s="35"/>
      <c r="R225" s="35"/>
      <c r="S225" s="35"/>
      <c r="T225" s="35"/>
      <c r="U225" s="35"/>
    </row>
    <row r="226" spans="2:21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35"/>
      <c r="N226" s="35"/>
      <c r="O226" s="35"/>
      <c r="P226" s="35"/>
      <c r="Q226" s="35"/>
      <c r="R226" s="35"/>
      <c r="S226" s="35"/>
      <c r="T226" s="35"/>
      <c r="U226" s="35"/>
    </row>
    <row r="227" spans="2:21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35"/>
      <c r="N227" s="35"/>
      <c r="O227" s="35"/>
      <c r="P227" s="35"/>
      <c r="Q227" s="35"/>
      <c r="R227" s="35"/>
      <c r="S227" s="35"/>
      <c r="T227" s="35"/>
      <c r="U227" s="35"/>
    </row>
    <row r="228" spans="2:21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35"/>
      <c r="N228" s="35"/>
      <c r="O228" s="35"/>
      <c r="P228" s="35"/>
      <c r="Q228" s="35"/>
      <c r="R228" s="35"/>
      <c r="S228" s="35"/>
      <c r="T228" s="35"/>
      <c r="U228" s="35"/>
    </row>
    <row r="229" spans="2:21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35"/>
      <c r="N229" s="35"/>
      <c r="O229" s="35"/>
      <c r="P229" s="35"/>
      <c r="Q229" s="35"/>
      <c r="R229" s="35"/>
      <c r="S229" s="35"/>
      <c r="T229" s="35"/>
      <c r="U229" s="35"/>
    </row>
    <row r="230" spans="2:21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35"/>
      <c r="N230" s="35"/>
      <c r="O230" s="35"/>
      <c r="P230" s="35"/>
      <c r="Q230" s="35"/>
      <c r="R230" s="35"/>
      <c r="S230" s="35"/>
      <c r="T230" s="35"/>
      <c r="U230" s="35"/>
    </row>
    <row r="231" spans="2:21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35"/>
      <c r="N231" s="35"/>
      <c r="O231" s="35"/>
      <c r="P231" s="35"/>
      <c r="Q231" s="35"/>
      <c r="R231" s="35"/>
      <c r="S231" s="35"/>
      <c r="T231" s="35"/>
      <c r="U231" s="35"/>
    </row>
    <row r="232" spans="2:21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35"/>
      <c r="N232" s="35"/>
      <c r="O232" s="35"/>
      <c r="P232" s="35"/>
      <c r="Q232" s="35"/>
      <c r="R232" s="35"/>
      <c r="S232" s="35"/>
      <c r="T232" s="35"/>
      <c r="U232" s="35"/>
    </row>
    <row r="233" spans="2:21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35"/>
      <c r="N233" s="35"/>
      <c r="O233" s="35"/>
      <c r="P233" s="35"/>
      <c r="Q233" s="35"/>
      <c r="R233" s="35"/>
      <c r="S233" s="35"/>
      <c r="T233" s="35"/>
      <c r="U233" s="35"/>
    </row>
    <row r="234" spans="2:21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35"/>
      <c r="N234" s="35"/>
      <c r="O234" s="35"/>
      <c r="P234" s="35"/>
      <c r="Q234" s="35"/>
      <c r="R234" s="35"/>
      <c r="S234" s="35"/>
      <c r="T234" s="35"/>
      <c r="U234" s="35"/>
    </row>
    <row r="235" spans="2:21" x14ac:dyDescent="0.25"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35"/>
      <c r="N235" s="35"/>
      <c r="O235" s="35"/>
      <c r="P235" s="35"/>
      <c r="Q235" s="35"/>
      <c r="R235" s="35"/>
      <c r="S235" s="35"/>
      <c r="T235" s="35"/>
      <c r="U235" s="35"/>
    </row>
    <row r="236" spans="2:21" x14ac:dyDescent="0.25"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35"/>
      <c r="N236" s="35"/>
      <c r="O236" s="35"/>
      <c r="P236" s="35"/>
      <c r="Q236" s="35"/>
      <c r="R236" s="35"/>
      <c r="S236" s="35"/>
      <c r="T236" s="35"/>
      <c r="U236" s="35"/>
    </row>
    <row r="237" spans="2:21" x14ac:dyDescent="0.25"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35"/>
      <c r="N237" s="35"/>
      <c r="O237" s="35"/>
      <c r="P237" s="35"/>
      <c r="Q237" s="35"/>
      <c r="R237" s="35"/>
      <c r="S237" s="35"/>
      <c r="T237" s="35"/>
      <c r="U237" s="35"/>
    </row>
    <row r="238" spans="2:21" x14ac:dyDescent="0.25"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35"/>
      <c r="N238" s="35"/>
      <c r="O238" s="35"/>
      <c r="P238" s="35"/>
      <c r="Q238" s="35"/>
      <c r="R238" s="35"/>
      <c r="S238" s="35"/>
      <c r="T238" s="35"/>
      <c r="U238" s="35"/>
    </row>
    <row r="239" spans="2:21" x14ac:dyDescent="0.25"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35"/>
      <c r="N239" s="35"/>
      <c r="O239" s="35"/>
      <c r="P239" s="35"/>
      <c r="Q239" s="35"/>
      <c r="R239" s="35"/>
      <c r="S239" s="35"/>
      <c r="T239" s="35"/>
      <c r="U239" s="35"/>
    </row>
    <row r="240" spans="2:21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35"/>
      <c r="N240" s="35"/>
      <c r="O240" s="35"/>
      <c r="P240" s="35"/>
      <c r="Q240" s="35"/>
      <c r="R240" s="35"/>
      <c r="S240" s="35"/>
      <c r="T240" s="35"/>
      <c r="U240" s="35"/>
    </row>
    <row r="241" spans="2:21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35"/>
      <c r="N241" s="35"/>
      <c r="O241" s="35"/>
      <c r="P241" s="35"/>
      <c r="Q241" s="35"/>
      <c r="R241" s="35"/>
      <c r="S241" s="35"/>
      <c r="T241" s="35"/>
      <c r="U241" s="35"/>
    </row>
    <row r="242" spans="2:21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35"/>
      <c r="N242" s="35"/>
      <c r="O242" s="35"/>
      <c r="P242" s="35"/>
      <c r="Q242" s="35"/>
      <c r="R242" s="35"/>
      <c r="S242" s="35"/>
      <c r="T242" s="35"/>
      <c r="U242" s="35"/>
    </row>
    <row r="243" spans="2:21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35"/>
      <c r="N243" s="35"/>
      <c r="O243" s="35"/>
      <c r="P243" s="35"/>
      <c r="Q243" s="35"/>
      <c r="R243" s="35"/>
      <c r="S243" s="35"/>
      <c r="T243" s="35"/>
      <c r="U243" s="35"/>
    </row>
    <row r="244" spans="2:21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35"/>
      <c r="N244" s="35"/>
      <c r="O244" s="35"/>
      <c r="P244" s="35"/>
      <c r="Q244" s="35"/>
      <c r="R244" s="35"/>
      <c r="S244" s="35"/>
      <c r="T244" s="35"/>
      <c r="U244" s="35"/>
    </row>
    <row r="245" spans="2:21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35"/>
      <c r="N245" s="35"/>
      <c r="O245" s="35"/>
      <c r="P245" s="35"/>
      <c r="Q245" s="35"/>
      <c r="R245" s="35"/>
      <c r="S245" s="35"/>
      <c r="T245" s="35"/>
      <c r="U245" s="35"/>
    </row>
    <row r="246" spans="2:21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35"/>
      <c r="N246" s="35"/>
      <c r="O246" s="35"/>
      <c r="P246" s="35"/>
      <c r="Q246" s="35"/>
      <c r="R246" s="35"/>
      <c r="S246" s="35"/>
      <c r="T246" s="35"/>
      <c r="U246" s="35"/>
    </row>
    <row r="247" spans="2:21" x14ac:dyDescent="0.25"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35"/>
      <c r="N247" s="35"/>
      <c r="O247" s="35"/>
      <c r="P247" s="35"/>
      <c r="Q247" s="35"/>
      <c r="R247" s="35"/>
      <c r="S247" s="35"/>
      <c r="T247" s="35"/>
      <c r="U247" s="35"/>
    </row>
    <row r="248" spans="2:21" x14ac:dyDescent="0.25"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35"/>
      <c r="N248" s="35"/>
      <c r="O248" s="35"/>
      <c r="P248" s="35"/>
      <c r="Q248" s="35"/>
      <c r="R248" s="35"/>
      <c r="S248" s="35"/>
      <c r="T248" s="35"/>
      <c r="U248" s="35"/>
    </row>
    <row r="249" spans="2:21" x14ac:dyDescent="0.25"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35"/>
      <c r="N249" s="35"/>
      <c r="O249" s="35"/>
      <c r="P249" s="35"/>
      <c r="Q249" s="35"/>
      <c r="R249" s="35"/>
      <c r="S249" s="35"/>
      <c r="T249" s="35"/>
      <c r="U249" s="35"/>
    </row>
    <row r="250" spans="2:21" x14ac:dyDescent="0.25"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35"/>
      <c r="N250" s="35"/>
      <c r="O250" s="35"/>
      <c r="P250" s="35"/>
      <c r="Q250" s="35"/>
      <c r="R250" s="35"/>
      <c r="S250" s="35"/>
      <c r="T250" s="35"/>
      <c r="U250" s="35"/>
    </row>
    <row r="251" spans="2:21" x14ac:dyDescent="0.25"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35"/>
      <c r="N251" s="35"/>
      <c r="O251" s="35"/>
      <c r="P251" s="35"/>
      <c r="Q251" s="35"/>
      <c r="R251" s="35"/>
      <c r="S251" s="35"/>
      <c r="T251" s="35"/>
      <c r="U251" s="35"/>
    </row>
    <row r="252" spans="2:21" x14ac:dyDescent="0.25"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35"/>
      <c r="N252" s="35"/>
      <c r="O252" s="35"/>
      <c r="P252" s="35"/>
      <c r="Q252" s="35"/>
      <c r="R252" s="35"/>
      <c r="S252" s="35"/>
      <c r="T252" s="35"/>
      <c r="U252" s="35"/>
    </row>
    <row r="253" spans="2:21" x14ac:dyDescent="0.25"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35"/>
      <c r="N253" s="35"/>
      <c r="O253" s="35"/>
      <c r="P253" s="35"/>
      <c r="Q253" s="35"/>
      <c r="R253" s="35"/>
      <c r="S253" s="35"/>
      <c r="T253" s="35"/>
      <c r="U253" s="35"/>
    </row>
    <row r="254" spans="2:21" x14ac:dyDescent="0.25"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35"/>
      <c r="N254" s="35"/>
      <c r="O254" s="35"/>
      <c r="P254" s="35"/>
      <c r="Q254" s="35"/>
      <c r="R254" s="35"/>
      <c r="S254" s="35"/>
      <c r="T254" s="35"/>
      <c r="U254" s="35"/>
    </row>
    <row r="255" spans="2:21" x14ac:dyDescent="0.25"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35"/>
      <c r="N255" s="35"/>
      <c r="O255" s="35"/>
      <c r="P255" s="35"/>
      <c r="Q255" s="35"/>
      <c r="R255" s="35"/>
      <c r="S255" s="35"/>
      <c r="T255" s="35"/>
      <c r="U255" s="35"/>
    </row>
    <row r="256" spans="2:21" x14ac:dyDescent="0.25"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35"/>
      <c r="N256" s="35"/>
      <c r="O256" s="35"/>
      <c r="P256" s="35"/>
      <c r="Q256" s="35"/>
      <c r="R256" s="35"/>
      <c r="S256" s="35"/>
      <c r="T256" s="35"/>
      <c r="U256" s="35"/>
    </row>
    <row r="257" spans="2:21" x14ac:dyDescent="0.25"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35"/>
      <c r="N257" s="35"/>
      <c r="O257" s="35"/>
      <c r="P257" s="35"/>
      <c r="Q257" s="35"/>
      <c r="R257" s="35"/>
      <c r="S257" s="35"/>
      <c r="T257" s="35"/>
      <c r="U257" s="35"/>
    </row>
    <row r="258" spans="2:21" x14ac:dyDescent="0.25"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35"/>
      <c r="N258" s="35"/>
      <c r="O258" s="35"/>
      <c r="P258" s="35"/>
      <c r="Q258" s="35"/>
      <c r="R258" s="35"/>
      <c r="S258" s="35"/>
      <c r="T258" s="35"/>
      <c r="U258" s="35"/>
    </row>
    <row r="259" spans="2:21" x14ac:dyDescent="0.25"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35"/>
      <c r="N259" s="35"/>
      <c r="O259" s="35"/>
      <c r="P259" s="35"/>
      <c r="Q259" s="35"/>
      <c r="R259" s="35"/>
      <c r="S259" s="35"/>
      <c r="T259" s="35"/>
      <c r="U259" s="35"/>
    </row>
    <row r="260" spans="2:21" x14ac:dyDescent="0.25"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35"/>
      <c r="N260" s="35"/>
      <c r="O260" s="35"/>
      <c r="P260" s="35"/>
      <c r="Q260" s="35"/>
      <c r="R260" s="35"/>
      <c r="S260" s="35"/>
      <c r="T260" s="35"/>
      <c r="U260" s="35"/>
    </row>
    <row r="261" spans="2:21" x14ac:dyDescent="0.25"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35"/>
      <c r="N261" s="35"/>
      <c r="O261" s="35"/>
      <c r="P261" s="35"/>
      <c r="Q261" s="35"/>
      <c r="R261" s="35"/>
      <c r="S261" s="35"/>
      <c r="T261" s="35"/>
      <c r="U261" s="35"/>
    </row>
    <row r="262" spans="2:21" x14ac:dyDescent="0.25"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35"/>
      <c r="N262" s="35"/>
      <c r="O262" s="35"/>
      <c r="P262" s="35"/>
      <c r="Q262" s="35"/>
      <c r="R262" s="35"/>
      <c r="S262" s="35"/>
      <c r="T262" s="35"/>
      <c r="U262" s="35"/>
    </row>
    <row r="263" spans="2:21" x14ac:dyDescent="0.25"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35"/>
      <c r="N263" s="35"/>
      <c r="O263" s="35"/>
      <c r="P263" s="35"/>
      <c r="Q263" s="35"/>
      <c r="R263" s="35"/>
      <c r="S263" s="35"/>
      <c r="T263" s="35"/>
      <c r="U263" s="35"/>
    </row>
    <row r="264" spans="2:21" x14ac:dyDescent="0.25"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35"/>
      <c r="N264" s="35"/>
      <c r="O264" s="35"/>
      <c r="P264" s="35"/>
      <c r="Q264" s="35"/>
      <c r="R264" s="35"/>
      <c r="S264" s="35"/>
      <c r="T264" s="35"/>
      <c r="U264" s="35"/>
    </row>
    <row r="265" spans="2:21" x14ac:dyDescent="0.25"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35"/>
      <c r="N265" s="35"/>
      <c r="O265" s="35"/>
      <c r="P265" s="35"/>
      <c r="Q265" s="35"/>
      <c r="R265" s="35"/>
      <c r="S265" s="35"/>
      <c r="T265" s="35"/>
      <c r="U265" s="35"/>
    </row>
    <row r="266" spans="2:21" x14ac:dyDescent="0.25"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35"/>
      <c r="N266" s="35"/>
      <c r="O266" s="35"/>
      <c r="P266" s="35"/>
      <c r="Q266" s="35"/>
      <c r="R266" s="35"/>
      <c r="S266" s="35"/>
      <c r="T266" s="35"/>
      <c r="U266" s="35"/>
    </row>
    <row r="267" spans="2:21" x14ac:dyDescent="0.25"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35"/>
      <c r="N267" s="35"/>
      <c r="O267" s="35"/>
      <c r="P267" s="35"/>
      <c r="Q267" s="35"/>
      <c r="R267" s="35"/>
      <c r="S267" s="35"/>
      <c r="T267" s="35"/>
      <c r="U267" s="35"/>
    </row>
    <row r="268" spans="2:21" x14ac:dyDescent="0.25"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35"/>
      <c r="N268" s="35"/>
      <c r="O268" s="35"/>
      <c r="P268" s="35"/>
      <c r="Q268" s="35"/>
      <c r="R268" s="35"/>
      <c r="S268" s="35"/>
      <c r="T268" s="35"/>
      <c r="U268" s="35"/>
    </row>
    <row r="269" spans="2:21" x14ac:dyDescent="0.25"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35"/>
      <c r="N269" s="35"/>
      <c r="O269" s="35"/>
      <c r="P269" s="35"/>
      <c r="Q269" s="35"/>
      <c r="R269" s="35"/>
      <c r="S269" s="35"/>
      <c r="T269" s="35"/>
      <c r="U269" s="35"/>
    </row>
    <row r="270" spans="2:21" x14ac:dyDescent="0.25"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35"/>
      <c r="N270" s="35"/>
      <c r="O270" s="35"/>
      <c r="P270" s="35"/>
      <c r="Q270" s="35"/>
      <c r="R270" s="35"/>
      <c r="S270" s="35"/>
      <c r="T270" s="35"/>
      <c r="U270" s="35"/>
    </row>
    <row r="271" spans="2:21" x14ac:dyDescent="0.25"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35"/>
      <c r="N271" s="35"/>
      <c r="O271" s="35"/>
      <c r="P271" s="35"/>
      <c r="Q271" s="35"/>
      <c r="R271" s="35"/>
      <c r="S271" s="35"/>
      <c r="T271" s="35"/>
      <c r="U271" s="35"/>
    </row>
    <row r="272" spans="2:21" x14ac:dyDescent="0.25"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35"/>
      <c r="N272" s="35"/>
      <c r="O272" s="35"/>
      <c r="P272" s="35"/>
      <c r="Q272" s="35"/>
      <c r="R272" s="35"/>
      <c r="S272" s="35"/>
      <c r="T272" s="35"/>
      <c r="U272" s="35"/>
    </row>
    <row r="273" spans="2:21" x14ac:dyDescent="0.25"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35"/>
      <c r="N273" s="35"/>
      <c r="O273" s="35"/>
      <c r="P273" s="35"/>
      <c r="Q273" s="35"/>
      <c r="R273" s="35"/>
      <c r="S273" s="35"/>
      <c r="T273" s="35"/>
      <c r="U273" s="35"/>
    </row>
    <row r="274" spans="2:21" x14ac:dyDescent="0.25"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35"/>
      <c r="N274" s="35"/>
      <c r="O274" s="35"/>
      <c r="P274" s="35"/>
      <c r="Q274" s="35"/>
      <c r="R274" s="35"/>
      <c r="S274" s="35"/>
      <c r="T274" s="35"/>
      <c r="U274" s="35"/>
    </row>
    <row r="275" spans="2:21" x14ac:dyDescent="0.25"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35"/>
      <c r="N275" s="35"/>
      <c r="O275" s="35"/>
      <c r="P275" s="35"/>
      <c r="Q275" s="35"/>
      <c r="R275" s="35"/>
      <c r="S275" s="35"/>
      <c r="T275" s="35"/>
      <c r="U275" s="35"/>
    </row>
    <row r="276" spans="2:21" x14ac:dyDescent="0.25"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35"/>
      <c r="N276" s="35"/>
      <c r="O276" s="35"/>
      <c r="P276" s="35"/>
      <c r="Q276" s="35"/>
      <c r="R276" s="35"/>
      <c r="S276" s="35"/>
      <c r="T276" s="35"/>
      <c r="U276" s="35"/>
    </row>
    <row r="277" spans="2:21" x14ac:dyDescent="0.25"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35"/>
      <c r="N277" s="35"/>
      <c r="O277" s="35"/>
      <c r="P277" s="35"/>
      <c r="Q277" s="35"/>
      <c r="R277" s="35"/>
      <c r="S277" s="35"/>
      <c r="T277" s="35"/>
      <c r="U277" s="35"/>
    </row>
    <row r="278" spans="2:21" x14ac:dyDescent="0.25"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35"/>
      <c r="N278" s="35"/>
      <c r="O278" s="35"/>
      <c r="P278" s="35"/>
      <c r="Q278" s="35"/>
      <c r="R278" s="35"/>
      <c r="S278" s="35"/>
      <c r="T278" s="35"/>
      <c r="U278" s="35"/>
    </row>
    <row r="279" spans="2:21" x14ac:dyDescent="0.25"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35"/>
      <c r="N279" s="35"/>
      <c r="O279" s="35"/>
      <c r="P279" s="35"/>
      <c r="Q279" s="35"/>
      <c r="R279" s="35"/>
      <c r="S279" s="35"/>
      <c r="T279" s="35"/>
      <c r="U279" s="35"/>
    </row>
    <row r="280" spans="2:21" x14ac:dyDescent="0.25"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35"/>
      <c r="N280" s="35"/>
      <c r="O280" s="35"/>
      <c r="P280" s="35"/>
      <c r="Q280" s="35"/>
      <c r="R280" s="35"/>
      <c r="S280" s="35"/>
      <c r="T280" s="35"/>
      <c r="U280" s="35"/>
    </row>
    <row r="281" spans="2:21" x14ac:dyDescent="0.25"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35"/>
      <c r="N281" s="35"/>
      <c r="O281" s="35"/>
      <c r="P281" s="35"/>
      <c r="Q281" s="35"/>
      <c r="R281" s="35"/>
      <c r="S281" s="35"/>
      <c r="T281" s="35"/>
      <c r="U281" s="35"/>
    </row>
    <row r="282" spans="2:21" x14ac:dyDescent="0.25"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35"/>
      <c r="N282" s="35"/>
      <c r="O282" s="35"/>
      <c r="P282" s="35"/>
      <c r="Q282" s="35"/>
      <c r="R282" s="35"/>
      <c r="S282" s="35"/>
      <c r="T282" s="35"/>
      <c r="U282" s="35"/>
    </row>
    <row r="283" spans="2:21" x14ac:dyDescent="0.25"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35"/>
      <c r="N283" s="35"/>
      <c r="O283" s="35"/>
      <c r="P283" s="35"/>
      <c r="Q283" s="35"/>
      <c r="R283" s="35"/>
      <c r="S283" s="35"/>
      <c r="T283" s="35"/>
      <c r="U283" s="35"/>
    </row>
    <row r="284" spans="2:21" x14ac:dyDescent="0.25"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35"/>
      <c r="N284" s="35"/>
      <c r="O284" s="35"/>
      <c r="P284" s="35"/>
      <c r="Q284" s="35"/>
      <c r="R284" s="35"/>
      <c r="S284" s="35"/>
      <c r="T284" s="35"/>
      <c r="U284" s="35"/>
    </row>
    <row r="285" spans="2:21" x14ac:dyDescent="0.25"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35"/>
      <c r="N285" s="35"/>
      <c r="O285" s="35"/>
      <c r="P285" s="35"/>
      <c r="Q285" s="35"/>
      <c r="R285" s="35"/>
      <c r="S285" s="35"/>
      <c r="T285" s="35"/>
      <c r="U285" s="35"/>
    </row>
    <row r="286" spans="2:21" x14ac:dyDescent="0.25"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35"/>
      <c r="N286" s="35"/>
      <c r="O286" s="35"/>
      <c r="P286" s="35"/>
      <c r="Q286" s="35"/>
      <c r="R286" s="35"/>
      <c r="S286" s="35"/>
      <c r="T286" s="35"/>
      <c r="U286" s="35"/>
    </row>
    <row r="287" spans="2:21" x14ac:dyDescent="0.25"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35"/>
      <c r="N287" s="35"/>
      <c r="O287" s="35"/>
      <c r="P287" s="35"/>
      <c r="Q287" s="35"/>
      <c r="R287" s="35"/>
      <c r="S287" s="35"/>
      <c r="T287" s="35"/>
      <c r="U287" s="35"/>
    </row>
    <row r="288" spans="2:21" x14ac:dyDescent="0.25"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35"/>
      <c r="N288" s="35"/>
      <c r="O288" s="35"/>
      <c r="P288" s="35"/>
      <c r="Q288" s="35"/>
      <c r="R288" s="35"/>
      <c r="S288" s="35"/>
      <c r="T288" s="35"/>
      <c r="U288" s="35"/>
    </row>
    <row r="289" spans="2:21" x14ac:dyDescent="0.25"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35"/>
      <c r="N289" s="35"/>
      <c r="O289" s="35"/>
      <c r="P289" s="35"/>
      <c r="Q289" s="35"/>
      <c r="R289" s="35"/>
      <c r="S289" s="35"/>
      <c r="T289" s="35"/>
      <c r="U289" s="35"/>
    </row>
    <row r="290" spans="2:21" x14ac:dyDescent="0.25"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35"/>
      <c r="N290" s="35"/>
      <c r="O290" s="35"/>
      <c r="P290" s="35"/>
      <c r="Q290" s="35"/>
      <c r="R290" s="35"/>
      <c r="S290" s="35"/>
      <c r="T290" s="35"/>
      <c r="U290" s="35"/>
    </row>
    <row r="291" spans="2:21" x14ac:dyDescent="0.25"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35"/>
      <c r="N291" s="35"/>
      <c r="O291" s="35"/>
      <c r="P291" s="35"/>
      <c r="Q291" s="35"/>
      <c r="R291" s="35"/>
      <c r="S291" s="35"/>
      <c r="T291" s="35"/>
      <c r="U291" s="35"/>
    </row>
    <row r="292" spans="2:21" x14ac:dyDescent="0.25"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35"/>
      <c r="N292" s="35"/>
      <c r="O292" s="35"/>
      <c r="P292" s="35"/>
      <c r="Q292" s="35"/>
      <c r="R292" s="35"/>
      <c r="S292" s="35"/>
      <c r="T292" s="35"/>
      <c r="U292" s="35"/>
    </row>
    <row r="293" spans="2:21" x14ac:dyDescent="0.25"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35"/>
      <c r="N293" s="35"/>
      <c r="O293" s="35"/>
      <c r="P293" s="35"/>
      <c r="Q293" s="35"/>
      <c r="R293" s="35"/>
      <c r="S293" s="35"/>
      <c r="T293" s="35"/>
      <c r="U293" s="35"/>
    </row>
    <row r="294" spans="2:21" x14ac:dyDescent="0.25"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35"/>
      <c r="N294" s="35"/>
      <c r="O294" s="35"/>
      <c r="P294" s="35"/>
      <c r="Q294" s="35"/>
      <c r="R294" s="35"/>
      <c r="S294" s="35"/>
      <c r="T294" s="35"/>
      <c r="U294" s="35"/>
    </row>
    <row r="295" spans="2:21" x14ac:dyDescent="0.25"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35"/>
      <c r="N295" s="35"/>
      <c r="O295" s="35"/>
      <c r="P295" s="35"/>
      <c r="Q295" s="35"/>
      <c r="R295" s="35"/>
      <c r="S295" s="35"/>
      <c r="T295" s="35"/>
      <c r="U295" s="35"/>
    </row>
  </sheetData>
  <phoneticPr fontId="2" type="noConversion"/>
  <hyperlinks>
    <hyperlink ref="M1" location="電費單總表!A1" display="回電費總表" xr:uid="{D98F4FC4-94C2-4431-80EF-F7500358684C}"/>
    <hyperlink ref="A1" r:id="rId1" display="電費單\AN16003001-世鴻一期.pdf" xr:uid="{2C2FDD4C-8CD7-47B1-84BE-05A2EE787434}"/>
    <hyperlink ref="N1" r:id="rId2" xr:uid="{BD5D5B1C-B54F-4AE6-90B7-B86777A5905C}"/>
    <hyperlink ref="O1" r:id="rId3" xr:uid="{6FD345E4-FB49-4E5B-BD0D-A14297D60360}"/>
  </hyperlinks>
  <pageMargins left="0.7" right="0.7" top="0.75" bottom="0.75" header="0.3" footer="0.3"/>
  <pageSetup paperSize="9" orientation="portrait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3E661-3E8F-4A48-BEB6-930A809336F1}">
  <sheetPr>
    <tabColor rgb="FF7030A0"/>
  </sheetPr>
  <dimension ref="A1:U295"/>
  <sheetViews>
    <sheetView workbookViewId="0">
      <pane ySplit="1" topLeftCell="A2" activePane="bottomLeft" state="frozen"/>
      <selection activeCell="N28" sqref="N28"/>
      <selection pane="bottomLeft" activeCell="N28" sqref="N28"/>
    </sheetView>
  </sheetViews>
  <sheetFormatPr defaultRowHeight="16.5" x14ac:dyDescent="0.25"/>
  <cols>
    <col min="1" max="1" width="9.75" style="50" bestFit="1" customWidth="1"/>
    <col min="2" max="3" width="13.25" style="51" bestFit="1" customWidth="1"/>
    <col min="4" max="4" width="13.25" style="51" customWidth="1"/>
    <col min="5" max="5" width="15.125" style="50" bestFit="1" customWidth="1"/>
    <col min="6" max="7" width="9" style="50"/>
    <col min="8" max="8" width="16.375" style="50" bestFit="1" customWidth="1"/>
    <col min="9" max="12" width="9" style="50"/>
    <col min="13" max="13" width="11.875" bestFit="1" customWidth="1"/>
  </cols>
  <sheetData>
    <row r="1" spans="1:21" ht="33.75" thickBot="1" x14ac:dyDescent="0.3">
      <c r="A1" s="27" t="s">
        <v>539</v>
      </c>
      <c r="B1" s="28" t="s">
        <v>525</v>
      </c>
      <c r="C1" s="29" t="s">
        <v>526</v>
      </c>
      <c r="D1" s="29" t="s">
        <v>527</v>
      </c>
      <c r="E1" s="30" t="s">
        <v>528</v>
      </c>
      <c r="F1" s="30" t="s">
        <v>529</v>
      </c>
      <c r="G1" s="30" t="s">
        <v>530</v>
      </c>
      <c r="H1" s="30" t="s">
        <v>531</v>
      </c>
      <c r="I1" s="30" t="s">
        <v>532</v>
      </c>
      <c r="J1" s="30" t="s">
        <v>533</v>
      </c>
      <c r="K1" s="30" t="s">
        <v>534</v>
      </c>
      <c r="L1" s="31" t="s">
        <v>535</v>
      </c>
      <c r="M1" s="32" t="s">
        <v>536</v>
      </c>
      <c r="N1" s="33" t="s">
        <v>537</v>
      </c>
      <c r="O1" s="34" t="s">
        <v>538</v>
      </c>
      <c r="P1" s="35"/>
      <c r="Q1" s="35"/>
      <c r="R1" s="35"/>
    </row>
    <row r="2" spans="1:21" x14ac:dyDescent="0.25">
      <c r="A2" s="36">
        <v>1</v>
      </c>
      <c r="B2" s="37">
        <v>42803</v>
      </c>
      <c r="C2" s="37">
        <v>43054</v>
      </c>
      <c r="D2" s="38">
        <f>C2-B2+1</f>
        <v>252</v>
      </c>
      <c r="E2" s="38">
        <v>437760</v>
      </c>
      <c r="F2" s="38">
        <v>4.4097999999999997</v>
      </c>
      <c r="G2" s="38">
        <v>437638</v>
      </c>
      <c r="H2" s="39">
        <f>F2*G2</f>
        <v>1929896.0523999999</v>
      </c>
      <c r="I2" s="38">
        <f>H2/D2</f>
        <v>7658.3176682539679</v>
      </c>
      <c r="J2" s="38">
        <f>E2/D2</f>
        <v>1737.1428571428571</v>
      </c>
      <c r="K2" s="38">
        <f>G2/D2</f>
        <v>1736.6587301587301</v>
      </c>
      <c r="L2" s="38">
        <f>K2*F2</f>
        <v>7658.3176682539679</v>
      </c>
      <c r="M2" s="35"/>
      <c r="N2" s="35"/>
      <c r="O2" s="35"/>
      <c r="P2" s="35"/>
      <c r="Q2" s="35"/>
      <c r="R2" s="35"/>
      <c r="S2" s="35"/>
      <c r="T2" s="35"/>
    </row>
    <row r="3" spans="1:21" x14ac:dyDescent="0.25">
      <c r="A3" s="40">
        <v>2</v>
      </c>
      <c r="B3" s="41">
        <f>C2+1</f>
        <v>43055</v>
      </c>
      <c r="C3" s="41">
        <v>43086</v>
      </c>
      <c r="D3" s="42">
        <f t="shared" ref="D3:D66" si="0">C3-B3+1</f>
        <v>32</v>
      </c>
      <c r="E3" s="42">
        <v>36800</v>
      </c>
      <c r="F3" s="42">
        <f>F2</f>
        <v>4.4097999999999997</v>
      </c>
      <c r="G3" s="42">
        <v>36790</v>
      </c>
      <c r="H3" s="43">
        <f t="shared" ref="H3:H66" si="1">F3*G3</f>
        <v>162236.54199999999</v>
      </c>
      <c r="I3" s="42">
        <f t="shared" ref="I3:I66" si="2">H3/D3</f>
        <v>5069.8919374999996</v>
      </c>
      <c r="J3" s="44">
        <f>E3/D3</f>
        <v>1150</v>
      </c>
      <c r="K3" s="44">
        <f>G3/D3</f>
        <v>1149.6875</v>
      </c>
      <c r="L3" s="44">
        <f>K3*F3</f>
        <v>5069.8919374999996</v>
      </c>
      <c r="M3" s="35"/>
      <c r="N3" s="35"/>
      <c r="O3" s="35"/>
      <c r="P3" s="35"/>
      <c r="Q3" s="35"/>
      <c r="R3" s="35"/>
      <c r="S3" s="35"/>
      <c r="T3" s="35"/>
      <c r="U3" s="35"/>
    </row>
    <row r="4" spans="1:21" x14ac:dyDescent="0.25">
      <c r="A4" s="45">
        <v>3</v>
      </c>
      <c r="B4" s="46">
        <f t="shared" ref="B4:B67" si="3">C3+1</f>
        <v>43087</v>
      </c>
      <c r="C4" s="46">
        <v>43104</v>
      </c>
      <c r="D4" s="47">
        <f t="shared" si="0"/>
        <v>18</v>
      </c>
      <c r="E4" s="47">
        <v>20800</v>
      </c>
      <c r="F4" s="47">
        <f>F2</f>
        <v>4.4097999999999997</v>
      </c>
      <c r="G4" s="47">
        <v>20794</v>
      </c>
      <c r="H4" s="48">
        <f t="shared" si="1"/>
        <v>91697.381199999989</v>
      </c>
      <c r="I4" s="47">
        <f t="shared" si="2"/>
        <v>5094.298955555555</v>
      </c>
      <c r="J4" s="38">
        <f t="shared" ref="J4:J67" si="4">E4/D4</f>
        <v>1155.5555555555557</v>
      </c>
      <c r="K4" s="38">
        <f t="shared" ref="K4:K67" si="5">G4/D4</f>
        <v>1155.2222222222222</v>
      </c>
      <c r="L4" s="38">
        <f t="shared" ref="L4:L67" si="6">K4*F4</f>
        <v>5094.298955555555</v>
      </c>
      <c r="M4" s="35"/>
      <c r="N4" s="35"/>
      <c r="O4" s="35"/>
      <c r="P4" s="35"/>
      <c r="Q4" s="35"/>
      <c r="R4" s="35"/>
      <c r="S4" s="35"/>
      <c r="T4" s="35"/>
      <c r="U4" s="35"/>
    </row>
    <row r="5" spans="1:21" x14ac:dyDescent="0.25">
      <c r="A5" s="40">
        <v>4</v>
      </c>
      <c r="B5" s="41">
        <f t="shared" si="3"/>
        <v>43105</v>
      </c>
      <c r="C5" s="41">
        <v>43116</v>
      </c>
      <c r="D5" s="42">
        <f t="shared" si="0"/>
        <v>12</v>
      </c>
      <c r="E5" s="42">
        <v>17600</v>
      </c>
      <c r="F5" s="42">
        <f t="shared" ref="F5" si="7">F4</f>
        <v>4.4097999999999997</v>
      </c>
      <c r="G5" s="42">
        <v>17595</v>
      </c>
      <c r="H5" s="43">
        <f t="shared" si="1"/>
        <v>77590.430999999997</v>
      </c>
      <c r="I5" s="42">
        <f t="shared" si="2"/>
        <v>6465.8692499999997</v>
      </c>
      <c r="J5" s="44">
        <f t="shared" si="4"/>
        <v>1466.6666666666667</v>
      </c>
      <c r="K5" s="44">
        <f t="shared" si="5"/>
        <v>1466.25</v>
      </c>
      <c r="L5" s="44">
        <f t="shared" si="6"/>
        <v>6465.8692499999997</v>
      </c>
      <c r="M5" s="49"/>
      <c r="N5" s="35"/>
      <c r="O5" s="35"/>
      <c r="P5" s="35"/>
      <c r="Q5" s="35"/>
      <c r="R5" s="35"/>
      <c r="S5" s="35"/>
      <c r="T5" s="35"/>
      <c r="U5" s="35"/>
    </row>
    <row r="6" spans="1:21" x14ac:dyDescent="0.25">
      <c r="A6" s="45">
        <v>5</v>
      </c>
      <c r="B6" s="46">
        <f t="shared" si="3"/>
        <v>43117</v>
      </c>
      <c r="C6" s="46">
        <v>43144</v>
      </c>
      <c r="D6" s="47">
        <f t="shared" si="0"/>
        <v>28</v>
      </c>
      <c r="E6" s="47">
        <v>32960</v>
      </c>
      <c r="F6" s="47">
        <f t="shared" ref="F6" si="8">F4</f>
        <v>4.4097999999999997</v>
      </c>
      <c r="G6" s="47">
        <v>32951</v>
      </c>
      <c r="H6" s="48">
        <f t="shared" si="1"/>
        <v>145307.3198</v>
      </c>
      <c r="I6" s="47">
        <f t="shared" si="2"/>
        <v>5189.547135714286</v>
      </c>
      <c r="J6" s="38">
        <f t="shared" si="4"/>
        <v>1177.1428571428571</v>
      </c>
      <c r="K6" s="38">
        <f t="shared" si="5"/>
        <v>1176.8214285714287</v>
      </c>
      <c r="L6" s="38">
        <f t="shared" si="6"/>
        <v>5189.547135714286</v>
      </c>
      <c r="M6" s="35"/>
      <c r="N6" s="35"/>
      <c r="O6" s="35"/>
      <c r="P6" s="35"/>
      <c r="Q6" s="35"/>
      <c r="R6" s="35"/>
      <c r="S6" s="35"/>
      <c r="T6" s="35"/>
      <c r="U6" s="35"/>
    </row>
    <row r="7" spans="1:21" x14ac:dyDescent="0.25">
      <c r="A7" s="40">
        <v>6</v>
      </c>
      <c r="B7" s="41">
        <f t="shared" si="3"/>
        <v>43145</v>
      </c>
      <c r="C7" s="41">
        <v>43177</v>
      </c>
      <c r="D7" s="42">
        <f t="shared" si="0"/>
        <v>33</v>
      </c>
      <c r="E7" s="42">
        <v>56320</v>
      </c>
      <c r="F7" s="42">
        <f t="shared" ref="F7" si="9">F6</f>
        <v>4.4097999999999997</v>
      </c>
      <c r="G7" s="42">
        <v>56304</v>
      </c>
      <c r="H7" s="43">
        <f t="shared" si="1"/>
        <v>248289.3792</v>
      </c>
      <c r="I7" s="42">
        <f t="shared" si="2"/>
        <v>7523.9205818181817</v>
      </c>
      <c r="J7" s="44">
        <f t="shared" si="4"/>
        <v>1706.6666666666667</v>
      </c>
      <c r="K7" s="44">
        <f t="shared" si="5"/>
        <v>1706.1818181818182</v>
      </c>
      <c r="L7" s="44">
        <f t="shared" si="6"/>
        <v>7523.9205818181817</v>
      </c>
      <c r="M7" s="35"/>
      <c r="N7" s="35"/>
      <c r="O7" s="35"/>
      <c r="P7" s="35"/>
      <c r="Q7" s="35"/>
      <c r="R7" s="35"/>
      <c r="S7" s="35"/>
      <c r="T7" s="35"/>
      <c r="U7" s="35"/>
    </row>
    <row r="8" spans="1:21" x14ac:dyDescent="0.25">
      <c r="A8" s="45">
        <v>7</v>
      </c>
      <c r="B8" s="46">
        <f t="shared" si="3"/>
        <v>43178</v>
      </c>
      <c r="C8" s="46">
        <v>43208</v>
      </c>
      <c r="D8" s="47">
        <f t="shared" si="0"/>
        <v>31</v>
      </c>
      <c r="E8" s="47">
        <v>68000</v>
      </c>
      <c r="F8" s="47">
        <f t="shared" ref="F8" si="10">F6</f>
        <v>4.4097999999999997</v>
      </c>
      <c r="G8" s="47">
        <v>67981</v>
      </c>
      <c r="H8" s="48">
        <f t="shared" si="1"/>
        <v>299782.61379999999</v>
      </c>
      <c r="I8" s="47">
        <f t="shared" si="2"/>
        <v>9670.4068967741932</v>
      </c>
      <c r="J8" s="38">
        <f t="shared" si="4"/>
        <v>2193.5483870967741</v>
      </c>
      <c r="K8" s="38">
        <f t="shared" si="5"/>
        <v>2192.9354838709678</v>
      </c>
      <c r="L8" s="38">
        <f t="shared" si="6"/>
        <v>9670.4068967741932</v>
      </c>
      <c r="M8" s="35"/>
      <c r="N8" s="35"/>
      <c r="O8" s="35"/>
      <c r="P8" s="35"/>
      <c r="Q8" s="35"/>
      <c r="R8" s="35"/>
      <c r="S8" s="35"/>
      <c r="T8" s="35"/>
      <c r="U8" s="35"/>
    </row>
    <row r="9" spans="1:21" x14ac:dyDescent="0.25">
      <c r="A9" s="40">
        <v>8</v>
      </c>
      <c r="B9" s="41">
        <f t="shared" si="3"/>
        <v>43209</v>
      </c>
      <c r="C9" s="41">
        <v>43237</v>
      </c>
      <c r="D9" s="42">
        <f t="shared" si="0"/>
        <v>29</v>
      </c>
      <c r="E9" s="42">
        <v>60960</v>
      </c>
      <c r="F9" s="42">
        <f t="shared" ref="F9" si="11">F8</f>
        <v>4.4097999999999997</v>
      </c>
      <c r="G9" s="42">
        <v>60943</v>
      </c>
      <c r="H9" s="43">
        <f t="shared" si="1"/>
        <v>268746.44140000001</v>
      </c>
      <c r="I9" s="42">
        <f t="shared" si="2"/>
        <v>9267.1186689655169</v>
      </c>
      <c r="J9" s="44">
        <f t="shared" si="4"/>
        <v>2102.0689655172414</v>
      </c>
      <c r="K9" s="44">
        <f t="shared" si="5"/>
        <v>2101.4827586206898</v>
      </c>
      <c r="L9" s="44">
        <f t="shared" si="6"/>
        <v>9267.1186689655169</v>
      </c>
      <c r="M9" s="35"/>
      <c r="N9" s="35"/>
      <c r="O9" s="35"/>
      <c r="P9" s="35"/>
      <c r="Q9" s="35"/>
      <c r="R9" s="35"/>
      <c r="S9" s="35"/>
      <c r="T9" s="35"/>
      <c r="U9" s="35"/>
    </row>
    <row r="10" spans="1:21" x14ac:dyDescent="0.25">
      <c r="A10" s="45">
        <v>9</v>
      </c>
      <c r="B10" s="46">
        <f t="shared" si="3"/>
        <v>43238</v>
      </c>
      <c r="C10" s="46">
        <v>43269</v>
      </c>
      <c r="D10" s="47">
        <f t="shared" si="0"/>
        <v>32</v>
      </c>
      <c r="E10" s="47">
        <v>74400</v>
      </c>
      <c r="F10" s="47">
        <f t="shared" ref="F10" si="12">F8</f>
        <v>4.4097999999999997</v>
      </c>
      <c r="G10" s="47">
        <v>74379</v>
      </c>
      <c r="H10" s="48">
        <f t="shared" si="1"/>
        <v>327996.51419999998</v>
      </c>
      <c r="I10" s="47">
        <f t="shared" si="2"/>
        <v>10249.891068749999</v>
      </c>
      <c r="J10" s="38">
        <f t="shared" si="4"/>
        <v>2325</v>
      </c>
      <c r="K10" s="38">
        <f t="shared" si="5"/>
        <v>2324.34375</v>
      </c>
      <c r="L10" s="38">
        <f t="shared" si="6"/>
        <v>10249.891068749999</v>
      </c>
      <c r="M10" s="35"/>
      <c r="N10" s="35"/>
      <c r="O10" s="35"/>
      <c r="P10" s="35"/>
      <c r="Q10" s="35"/>
      <c r="R10" s="35"/>
      <c r="S10" s="35"/>
      <c r="T10" s="35"/>
      <c r="U10" s="35"/>
    </row>
    <row r="11" spans="1:21" x14ac:dyDescent="0.25">
      <c r="A11" s="40">
        <v>10</v>
      </c>
      <c r="B11" s="41">
        <f t="shared" si="3"/>
        <v>43270</v>
      </c>
      <c r="C11" s="41">
        <v>43298</v>
      </c>
      <c r="D11" s="42">
        <f t="shared" si="0"/>
        <v>29</v>
      </c>
      <c r="E11" s="42">
        <v>55520</v>
      </c>
      <c r="F11" s="42">
        <f t="shared" ref="F11" si="13">F10</f>
        <v>4.4097999999999997</v>
      </c>
      <c r="G11" s="42">
        <v>55505</v>
      </c>
      <c r="H11" s="43">
        <f t="shared" si="1"/>
        <v>244765.94899999999</v>
      </c>
      <c r="I11" s="42">
        <f t="shared" si="2"/>
        <v>8440.2051379310342</v>
      </c>
      <c r="J11" s="44">
        <f t="shared" si="4"/>
        <v>1914.4827586206898</v>
      </c>
      <c r="K11" s="44">
        <f t="shared" si="5"/>
        <v>1913.9655172413793</v>
      </c>
      <c r="L11" s="44">
        <f t="shared" si="6"/>
        <v>8440.2051379310342</v>
      </c>
      <c r="M11" s="35"/>
      <c r="N11" s="35"/>
      <c r="O11" s="35"/>
      <c r="P11" s="35"/>
      <c r="Q11" s="35"/>
      <c r="R11" s="35"/>
      <c r="S11" s="35"/>
      <c r="T11" s="35"/>
      <c r="U11" s="35"/>
    </row>
    <row r="12" spans="1:21" x14ac:dyDescent="0.25">
      <c r="A12" s="45">
        <v>11</v>
      </c>
      <c r="B12" s="46">
        <f t="shared" si="3"/>
        <v>43299</v>
      </c>
      <c r="C12" s="46">
        <v>43328</v>
      </c>
      <c r="D12" s="47">
        <f t="shared" si="0"/>
        <v>30</v>
      </c>
      <c r="E12" s="47">
        <v>61600</v>
      </c>
      <c r="F12" s="47">
        <f t="shared" ref="F12" si="14">F10</f>
        <v>4.4097999999999997</v>
      </c>
      <c r="G12" s="47">
        <v>61583</v>
      </c>
      <c r="H12" s="48">
        <f>F12*G12</f>
        <v>271568.71340000001</v>
      </c>
      <c r="I12" s="47">
        <f t="shared" si="2"/>
        <v>9052.2904466666678</v>
      </c>
      <c r="J12" s="38">
        <f t="shared" si="4"/>
        <v>2053.3333333333335</v>
      </c>
      <c r="K12" s="38">
        <f t="shared" si="5"/>
        <v>2052.7666666666669</v>
      </c>
      <c r="L12" s="38">
        <f t="shared" si="6"/>
        <v>9052.2904466666678</v>
      </c>
      <c r="M12" s="35"/>
      <c r="N12" s="35"/>
      <c r="O12" s="35"/>
      <c r="P12" s="35"/>
      <c r="Q12" s="35"/>
      <c r="R12" s="35"/>
      <c r="S12" s="35"/>
      <c r="T12" s="35"/>
      <c r="U12" s="35"/>
    </row>
    <row r="13" spans="1:21" x14ac:dyDescent="0.25">
      <c r="A13" s="40">
        <v>12</v>
      </c>
      <c r="B13" s="41">
        <f t="shared" si="3"/>
        <v>43329</v>
      </c>
      <c r="C13" s="41">
        <v>43360</v>
      </c>
      <c r="D13" s="42">
        <f t="shared" si="0"/>
        <v>32</v>
      </c>
      <c r="E13" s="42">
        <v>52960</v>
      </c>
      <c r="F13" s="42">
        <f t="shared" ref="F13" si="15">F12</f>
        <v>4.4097999999999997</v>
      </c>
      <c r="G13" s="42">
        <v>52945</v>
      </c>
      <c r="H13" s="43">
        <f t="shared" si="1"/>
        <v>233476.86099999998</v>
      </c>
      <c r="I13" s="42">
        <f t="shared" si="2"/>
        <v>7296.1519062499992</v>
      </c>
      <c r="J13" s="44">
        <f t="shared" si="4"/>
        <v>1655</v>
      </c>
      <c r="K13" s="44">
        <f t="shared" si="5"/>
        <v>1654.53125</v>
      </c>
      <c r="L13" s="44">
        <f t="shared" si="6"/>
        <v>7296.1519062499992</v>
      </c>
      <c r="M13" s="35"/>
      <c r="N13" s="35"/>
      <c r="O13" s="35"/>
      <c r="P13" s="35"/>
      <c r="Q13" s="35"/>
      <c r="R13" s="35"/>
      <c r="S13" s="35"/>
      <c r="T13" s="35"/>
      <c r="U13" s="35"/>
    </row>
    <row r="14" spans="1:21" x14ac:dyDescent="0.25">
      <c r="A14" s="45">
        <v>13</v>
      </c>
      <c r="B14" s="46">
        <f t="shared" si="3"/>
        <v>43361</v>
      </c>
      <c r="C14" s="46">
        <v>43390</v>
      </c>
      <c r="D14" s="47">
        <f t="shared" si="0"/>
        <v>30</v>
      </c>
      <c r="E14" s="47">
        <v>55680</v>
      </c>
      <c r="F14" s="47">
        <f t="shared" ref="F14" si="16">F12</f>
        <v>4.4097999999999997</v>
      </c>
      <c r="G14" s="47">
        <v>55664</v>
      </c>
      <c r="H14" s="48">
        <f t="shared" si="1"/>
        <v>245467.1072</v>
      </c>
      <c r="I14" s="47">
        <f t="shared" si="2"/>
        <v>8182.236906666667</v>
      </c>
      <c r="J14" s="38">
        <f t="shared" si="4"/>
        <v>1856</v>
      </c>
      <c r="K14" s="38">
        <f t="shared" si="5"/>
        <v>1855.4666666666667</v>
      </c>
      <c r="L14" s="38">
        <f t="shared" si="6"/>
        <v>8182.2369066666661</v>
      </c>
      <c r="M14" s="35"/>
      <c r="N14" s="35"/>
      <c r="O14" s="35"/>
      <c r="P14" s="35"/>
      <c r="Q14" s="35"/>
      <c r="R14" s="35"/>
      <c r="S14" s="35"/>
      <c r="T14" s="35"/>
      <c r="U14" s="35"/>
    </row>
    <row r="15" spans="1:21" x14ac:dyDescent="0.25">
      <c r="A15" s="40">
        <v>14</v>
      </c>
      <c r="B15" s="41">
        <f t="shared" si="3"/>
        <v>43391</v>
      </c>
      <c r="C15" s="41">
        <v>43419</v>
      </c>
      <c r="D15" s="42">
        <f t="shared" si="0"/>
        <v>29</v>
      </c>
      <c r="E15" s="42">
        <v>47200</v>
      </c>
      <c r="F15" s="42">
        <f t="shared" ref="F15" si="17">F14</f>
        <v>4.4097999999999997</v>
      </c>
      <c r="G15" s="42">
        <v>47187</v>
      </c>
      <c r="H15" s="43">
        <f t="shared" si="1"/>
        <v>208085.23259999999</v>
      </c>
      <c r="I15" s="42">
        <f t="shared" si="2"/>
        <v>7175.352848275862</v>
      </c>
      <c r="J15" s="44">
        <f t="shared" si="4"/>
        <v>1627.5862068965516</v>
      </c>
      <c r="K15" s="44">
        <f t="shared" si="5"/>
        <v>1627.1379310344828</v>
      </c>
      <c r="L15" s="44">
        <f t="shared" si="6"/>
        <v>7175.352848275862</v>
      </c>
      <c r="M15" s="35"/>
      <c r="N15" s="35"/>
      <c r="O15" s="35"/>
      <c r="P15" s="35"/>
      <c r="Q15" s="35"/>
      <c r="R15" s="35"/>
      <c r="S15" s="35"/>
      <c r="T15" s="35"/>
      <c r="U15" s="35"/>
    </row>
    <row r="16" spans="1:21" x14ac:dyDescent="0.25">
      <c r="A16" s="45">
        <v>15</v>
      </c>
      <c r="B16" s="46">
        <f t="shared" si="3"/>
        <v>43420</v>
      </c>
      <c r="C16" s="46">
        <v>43451</v>
      </c>
      <c r="D16" s="47">
        <f t="shared" si="0"/>
        <v>32</v>
      </c>
      <c r="E16" s="47">
        <v>40960</v>
      </c>
      <c r="F16" s="47">
        <f t="shared" ref="F16" si="18">F14</f>
        <v>4.4097999999999997</v>
      </c>
      <c r="G16" s="47">
        <v>40949</v>
      </c>
      <c r="H16" s="48">
        <f t="shared" si="1"/>
        <v>180576.90019999997</v>
      </c>
      <c r="I16" s="47">
        <f t="shared" si="2"/>
        <v>5643.0281312499992</v>
      </c>
      <c r="J16" s="38">
        <f t="shared" si="4"/>
        <v>1280</v>
      </c>
      <c r="K16" s="38">
        <f t="shared" si="5"/>
        <v>1279.65625</v>
      </c>
      <c r="L16" s="38">
        <f t="shared" si="6"/>
        <v>5643.0281312499992</v>
      </c>
      <c r="M16" s="35"/>
      <c r="N16" s="35"/>
      <c r="O16" s="35"/>
      <c r="P16" s="35"/>
      <c r="Q16" s="35"/>
      <c r="R16" s="35"/>
      <c r="S16" s="35"/>
      <c r="T16" s="35"/>
      <c r="U16" s="35"/>
    </row>
    <row r="17" spans="1:21" x14ac:dyDescent="0.25">
      <c r="A17" s="40">
        <v>16</v>
      </c>
      <c r="B17" s="41">
        <f t="shared" si="3"/>
        <v>43452</v>
      </c>
      <c r="C17" s="41">
        <v>43481</v>
      </c>
      <c r="D17" s="42">
        <f t="shared" si="0"/>
        <v>30</v>
      </c>
      <c r="E17" s="42">
        <v>31200</v>
      </c>
      <c r="F17" s="42">
        <f t="shared" ref="F17" si="19">F16</f>
        <v>4.4097999999999997</v>
      </c>
      <c r="G17" s="42">
        <v>31191</v>
      </c>
      <c r="H17" s="43">
        <f t="shared" si="1"/>
        <v>137546.07180000001</v>
      </c>
      <c r="I17" s="42">
        <f t="shared" si="2"/>
        <v>4584.86906</v>
      </c>
      <c r="J17" s="44">
        <f t="shared" si="4"/>
        <v>1040</v>
      </c>
      <c r="K17" s="44">
        <f t="shared" si="5"/>
        <v>1039.7</v>
      </c>
      <c r="L17" s="44">
        <f t="shared" si="6"/>
        <v>4584.86906</v>
      </c>
      <c r="M17" s="35"/>
      <c r="N17" s="35"/>
      <c r="O17" s="35"/>
      <c r="P17" s="35"/>
      <c r="Q17" s="35"/>
      <c r="R17" s="35"/>
      <c r="S17" s="35"/>
      <c r="T17" s="35"/>
      <c r="U17" s="35"/>
    </row>
    <row r="18" spans="1:21" x14ac:dyDescent="0.25">
      <c r="A18" s="45">
        <v>17</v>
      </c>
      <c r="B18" s="46">
        <f t="shared" si="3"/>
        <v>43482</v>
      </c>
      <c r="C18" s="46">
        <v>43515</v>
      </c>
      <c r="D18" s="47">
        <f t="shared" si="0"/>
        <v>34</v>
      </c>
      <c r="E18" s="47">
        <v>6560</v>
      </c>
      <c r="F18" s="47">
        <f t="shared" ref="F18" si="20">F16</f>
        <v>4.4097999999999997</v>
      </c>
      <c r="G18" s="47">
        <v>49586</v>
      </c>
      <c r="H18" s="48">
        <f t="shared" si="1"/>
        <v>218664.34279999998</v>
      </c>
      <c r="I18" s="47">
        <f t="shared" si="2"/>
        <v>6431.3041999999996</v>
      </c>
      <c r="J18" s="38">
        <f t="shared" si="4"/>
        <v>192.94117647058823</v>
      </c>
      <c r="K18" s="38">
        <f t="shared" si="5"/>
        <v>1458.4117647058824</v>
      </c>
      <c r="L18" s="38">
        <f t="shared" si="6"/>
        <v>6431.3041999999996</v>
      </c>
      <c r="M18" s="35"/>
      <c r="N18" s="35"/>
      <c r="O18" s="35"/>
      <c r="P18" s="35"/>
      <c r="Q18" s="35"/>
      <c r="R18" s="35"/>
      <c r="S18" s="35"/>
      <c r="T18" s="35"/>
      <c r="U18" s="35"/>
    </row>
    <row r="19" spans="1:21" x14ac:dyDescent="0.25">
      <c r="A19" s="40">
        <v>18</v>
      </c>
      <c r="B19" s="41">
        <f t="shared" si="3"/>
        <v>43516</v>
      </c>
      <c r="C19" s="41">
        <v>43542</v>
      </c>
      <c r="D19" s="42">
        <f t="shared" si="0"/>
        <v>27</v>
      </c>
      <c r="E19" s="42">
        <v>34240</v>
      </c>
      <c r="F19" s="42">
        <f t="shared" ref="F19" si="21">F18</f>
        <v>4.4097999999999997</v>
      </c>
      <c r="G19" s="42">
        <v>34230</v>
      </c>
      <c r="H19" s="43">
        <f t="shared" si="1"/>
        <v>150947.454</v>
      </c>
      <c r="I19" s="42">
        <f t="shared" si="2"/>
        <v>5590.6464444444446</v>
      </c>
      <c r="J19" s="44">
        <f t="shared" si="4"/>
        <v>1268.148148148148</v>
      </c>
      <c r="K19" s="44">
        <f t="shared" si="5"/>
        <v>1267.7777777777778</v>
      </c>
      <c r="L19" s="44">
        <f t="shared" si="6"/>
        <v>5590.6464444444446</v>
      </c>
      <c r="M19" s="35"/>
      <c r="N19" s="35"/>
      <c r="O19" s="35"/>
      <c r="P19" s="35"/>
      <c r="Q19" s="35"/>
      <c r="R19" s="35"/>
      <c r="S19" s="35"/>
      <c r="T19" s="35"/>
      <c r="U19" s="35"/>
    </row>
    <row r="20" spans="1:21" x14ac:dyDescent="0.25">
      <c r="A20" s="45">
        <v>19</v>
      </c>
      <c r="B20" s="46">
        <f t="shared" si="3"/>
        <v>43543</v>
      </c>
      <c r="C20" s="46"/>
      <c r="D20" s="47">
        <f t="shared" si="0"/>
        <v>-43542</v>
      </c>
      <c r="E20" s="47"/>
      <c r="F20" s="47">
        <f t="shared" ref="F20" si="22">F18</f>
        <v>4.4097999999999997</v>
      </c>
      <c r="G20" s="47"/>
      <c r="H20" s="48">
        <f t="shared" si="1"/>
        <v>0</v>
      </c>
      <c r="I20" s="47">
        <f t="shared" si="2"/>
        <v>0</v>
      </c>
      <c r="J20" s="38">
        <f t="shared" si="4"/>
        <v>0</v>
      </c>
      <c r="K20" s="38">
        <f t="shared" si="5"/>
        <v>0</v>
      </c>
      <c r="L20" s="38">
        <f t="shared" si="6"/>
        <v>0</v>
      </c>
      <c r="M20" s="35"/>
      <c r="N20" s="35"/>
      <c r="O20" s="35"/>
      <c r="P20" s="35"/>
      <c r="Q20" s="35"/>
      <c r="R20" s="35"/>
      <c r="S20" s="35"/>
      <c r="T20" s="35"/>
      <c r="U20" s="35"/>
    </row>
    <row r="21" spans="1:21" x14ac:dyDescent="0.25">
      <c r="A21" s="40">
        <v>20</v>
      </c>
      <c r="B21" s="41">
        <f t="shared" si="3"/>
        <v>1</v>
      </c>
      <c r="C21" s="41"/>
      <c r="D21" s="42">
        <f t="shared" si="0"/>
        <v>0</v>
      </c>
      <c r="E21" s="42"/>
      <c r="F21" s="42">
        <f t="shared" ref="F21" si="23">F20</f>
        <v>4.4097999999999997</v>
      </c>
      <c r="G21" s="42"/>
      <c r="H21" s="43">
        <f t="shared" si="1"/>
        <v>0</v>
      </c>
      <c r="I21" s="42" t="e">
        <f t="shared" si="2"/>
        <v>#DIV/0!</v>
      </c>
      <c r="J21" s="44" t="e">
        <f t="shared" si="4"/>
        <v>#DIV/0!</v>
      </c>
      <c r="K21" s="44" t="e">
        <f t="shared" si="5"/>
        <v>#DIV/0!</v>
      </c>
      <c r="L21" s="44" t="e">
        <f t="shared" si="6"/>
        <v>#DIV/0!</v>
      </c>
      <c r="M21" s="35"/>
      <c r="N21" s="35"/>
      <c r="O21" s="35"/>
      <c r="P21" s="35"/>
      <c r="Q21" s="35"/>
      <c r="R21" s="35"/>
      <c r="S21" s="35"/>
      <c r="T21" s="35"/>
      <c r="U21" s="35"/>
    </row>
    <row r="22" spans="1:21" x14ac:dyDescent="0.25">
      <c r="A22" s="45">
        <v>21</v>
      </c>
      <c r="B22" s="46">
        <f t="shared" si="3"/>
        <v>1</v>
      </c>
      <c r="C22" s="46"/>
      <c r="D22" s="47">
        <f t="shared" si="0"/>
        <v>0</v>
      </c>
      <c r="E22" s="47"/>
      <c r="F22" s="47">
        <f t="shared" ref="F22" si="24">F20</f>
        <v>4.4097999999999997</v>
      </c>
      <c r="G22" s="47"/>
      <c r="H22" s="48">
        <f t="shared" si="1"/>
        <v>0</v>
      </c>
      <c r="I22" s="47" t="e">
        <f t="shared" si="2"/>
        <v>#DIV/0!</v>
      </c>
      <c r="J22" s="38" t="e">
        <f t="shared" si="4"/>
        <v>#DIV/0!</v>
      </c>
      <c r="K22" s="38" t="e">
        <f t="shared" si="5"/>
        <v>#DIV/0!</v>
      </c>
      <c r="L22" s="38" t="e">
        <f t="shared" si="6"/>
        <v>#DIV/0!</v>
      </c>
      <c r="M22" s="35"/>
      <c r="N22" s="35"/>
      <c r="O22" s="35"/>
      <c r="P22" s="35"/>
      <c r="Q22" s="35"/>
      <c r="R22" s="35"/>
      <c r="S22" s="35"/>
      <c r="T22" s="35"/>
      <c r="U22" s="35"/>
    </row>
    <row r="23" spans="1:21" x14ac:dyDescent="0.25">
      <c r="A23" s="40">
        <v>22</v>
      </c>
      <c r="B23" s="41">
        <f t="shared" si="3"/>
        <v>1</v>
      </c>
      <c r="C23" s="41"/>
      <c r="D23" s="42">
        <f t="shared" si="0"/>
        <v>0</v>
      </c>
      <c r="E23" s="42"/>
      <c r="F23" s="42">
        <f t="shared" ref="F23" si="25">F22</f>
        <v>4.4097999999999997</v>
      </c>
      <c r="G23" s="42"/>
      <c r="H23" s="43">
        <f t="shared" si="1"/>
        <v>0</v>
      </c>
      <c r="I23" s="42" t="e">
        <f t="shared" si="2"/>
        <v>#DIV/0!</v>
      </c>
      <c r="J23" s="44" t="e">
        <f t="shared" si="4"/>
        <v>#DIV/0!</v>
      </c>
      <c r="K23" s="44" t="e">
        <f t="shared" si="5"/>
        <v>#DIV/0!</v>
      </c>
      <c r="L23" s="44" t="e">
        <f t="shared" si="6"/>
        <v>#DIV/0!</v>
      </c>
      <c r="M23" s="35"/>
      <c r="N23" s="35"/>
      <c r="O23" s="35"/>
      <c r="P23" s="35"/>
      <c r="Q23" s="35"/>
      <c r="R23" s="35"/>
      <c r="S23" s="35"/>
      <c r="T23" s="35"/>
      <c r="U23" s="35"/>
    </row>
    <row r="24" spans="1:21" x14ac:dyDescent="0.25">
      <c r="A24" s="45">
        <v>23</v>
      </c>
      <c r="B24" s="46">
        <f t="shared" si="3"/>
        <v>1</v>
      </c>
      <c r="C24" s="46"/>
      <c r="D24" s="47">
        <f t="shared" si="0"/>
        <v>0</v>
      </c>
      <c r="E24" s="47"/>
      <c r="F24" s="47">
        <f t="shared" ref="F24" si="26">F22</f>
        <v>4.4097999999999997</v>
      </c>
      <c r="G24" s="47"/>
      <c r="H24" s="48">
        <f t="shared" si="1"/>
        <v>0</v>
      </c>
      <c r="I24" s="47" t="e">
        <f t="shared" si="2"/>
        <v>#DIV/0!</v>
      </c>
      <c r="J24" s="38" t="e">
        <f t="shared" si="4"/>
        <v>#DIV/0!</v>
      </c>
      <c r="K24" s="38" t="e">
        <f t="shared" si="5"/>
        <v>#DIV/0!</v>
      </c>
      <c r="L24" s="38" t="e">
        <f t="shared" si="6"/>
        <v>#DIV/0!</v>
      </c>
      <c r="M24" s="35"/>
      <c r="N24" s="35"/>
      <c r="O24" s="35"/>
      <c r="P24" s="35"/>
      <c r="Q24" s="35"/>
      <c r="R24" s="35"/>
      <c r="S24" s="35"/>
      <c r="T24" s="35"/>
      <c r="U24" s="35"/>
    </row>
    <row r="25" spans="1:21" x14ac:dyDescent="0.25">
      <c r="A25" s="40">
        <v>24</v>
      </c>
      <c r="B25" s="41">
        <f t="shared" si="3"/>
        <v>1</v>
      </c>
      <c r="C25" s="41"/>
      <c r="D25" s="42">
        <f t="shared" si="0"/>
        <v>0</v>
      </c>
      <c r="E25" s="42"/>
      <c r="F25" s="42">
        <f t="shared" ref="F25" si="27">F24</f>
        <v>4.4097999999999997</v>
      </c>
      <c r="G25" s="42"/>
      <c r="H25" s="43">
        <f t="shared" si="1"/>
        <v>0</v>
      </c>
      <c r="I25" s="42" t="e">
        <f t="shared" si="2"/>
        <v>#DIV/0!</v>
      </c>
      <c r="J25" s="44" t="e">
        <f t="shared" si="4"/>
        <v>#DIV/0!</v>
      </c>
      <c r="K25" s="44" t="e">
        <f t="shared" si="5"/>
        <v>#DIV/0!</v>
      </c>
      <c r="L25" s="44" t="e">
        <f t="shared" si="6"/>
        <v>#DIV/0!</v>
      </c>
      <c r="M25" s="35"/>
      <c r="N25" s="35"/>
      <c r="O25" s="35"/>
      <c r="P25" s="35"/>
      <c r="Q25" s="35"/>
      <c r="R25" s="35"/>
      <c r="S25" s="35"/>
      <c r="T25" s="35"/>
      <c r="U25" s="35"/>
    </row>
    <row r="26" spans="1:21" x14ac:dyDescent="0.25">
      <c r="A26" s="45">
        <v>25</v>
      </c>
      <c r="B26" s="46">
        <f t="shared" si="3"/>
        <v>1</v>
      </c>
      <c r="C26" s="46"/>
      <c r="D26" s="47">
        <f t="shared" si="0"/>
        <v>0</v>
      </c>
      <c r="E26" s="47"/>
      <c r="F26" s="47">
        <f t="shared" ref="F26" si="28">F24</f>
        <v>4.4097999999999997</v>
      </c>
      <c r="G26" s="47"/>
      <c r="H26" s="48">
        <f t="shared" si="1"/>
        <v>0</v>
      </c>
      <c r="I26" s="47" t="e">
        <f t="shared" si="2"/>
        <v>#DIV/0!</v>
      </c>
      <c r="J26" s="38" t="e">
        <f t="shared" si="4"/>
        <v>#DIV/0!</v>
      </c>
      <c r="K26" s="38" t="e">
        <f t="shared" si="5"/>
        <v>#DIV/0!</v>
      </c>
      <c r="L26" s="38" t="e">
        <f t="shared" si="6"/>
        <v>#DIV/0!</v>
      </c>
      <c r="M26" s="35"/>
      <c r="N26" s="35"/>
      <c r="O26" s="35"/>
      <c r="P26" s="35"/>
      <c r="Q26" s="35"/>
      <c r="R26" s="35"/>
      <c r="S26" s="35"/>
      <c r="T26" s="35"/>
      <c r="U26" s="35"/>
    </row>
    <row r="27" spans="1:21" x14ac:dyDescent="0.25">
      <c r="A27" s="40">
        <v>26</v>
      </c>
      <c r="B27" s="41">
        <f t="shared" si="3"/>
        <v>1</v>
      </c>
      <c r="C27" s="41"/>
      <c r="D27" s="42">
        <f t="shared" si="0"/>
        <v>0</v>
      </c>
      <c r="E27" s="42"/>
      <c r="F27" s="42">
        <f t="shared" ref="F27" si="29">F26</f>
        <v>4.4097999999999997</v>
      </c>
      <c r="G27" s="42"/>
      <c r="H27" s="43">
        <f t="shared" si="1"/>
        <v>0</v>
      </c>
      <c r="I27" s="42" t="e">
        <f t="shared" si="2"/>
        <v>#DIV/0!</v>
      </c>
      <c r="J27" s="44" t="e">
        <f t="shared" si="4"/>
        <v>#DIV/0!</v>
      </c>
      <c r="K27" s="44" t="e">
        <f t="shared" si="5"/>
        <v>#DIV/0!</v>
      </c>
      <c r="L27" s="44" t="e">
        <f t="shared" si="6"/>
        <v>#DIV/0!</v>
      </c>
      <c r="M27" s="35"/>
      <c r="N27" s="35"/>
      <c r="O27" s="35"/>
      <c r="P27" s="35"/>
      <c r="Q27" s="35"/>
      <c r="R27" s="35"/>
      <c r="S27" s="35"/>
      <c r="T27" s="35"/>
      <c r="U27" s="35"/>
    </row>
    <row r="28" spans="1:21" x14ac:dyDescent="0.25">
      <c r="A28" s="45">
        <v>27</v>
      </c>
      <c r="B28" s="46">
        <f t="shared" si="3"/>
        <v>1</v>
      </c>
      <c r="C28" s="46"/>
      <c r="D28" s="47">
        <f t="shared" si="0"/>
        <v>0</v>
      </c>
      <c r="E28" s="47"/>
      <c r="F28" s="47">
        <f t="shared" ref="F28" si="30">F26</f>
        <v>4.4097999999999997</v>
      </c>
      <c r="G28" s="47"/>
      <c r="H28" s="48">
        <f t="shared" si="1"/>
        <v>0</v>
      </c>
      <c r="I28" s="47" t="e">
        <f t="shared" si="2"/>
        <v>#DIV/0!</v>
      </c>
      <c r="J28" s="38" t="e">
        <f t="shared" si="4"/>
        <v>#DIV/0!</v>
      </c>
      <c r="K28" s="38" t="e">
        <f t="shared" si="5"/>
        <v>#DIV/0!</v>
      </c>
      <c r="L28" s="38" t="e">
        <f t="shared" si="6"/>
        <v>#DIV/0!</v>
      </c>
      <c r="M28" s="35"/>
      <c r="N28" s="35"/>
      <c r="O28" s="35"/>
      <c r="P28" s="35"/>
      <c r="Q28" s="35"/>
      <c r="R28" s="35"/>
      <c r="S28" s="35"/>
      <c r="T28" s="35"/>
      <c r="U28" s="35"/>
    </row>
    <row r="29" spans="1:21" x14ac:dyDescent="0.25">
      <c r="A29" s="40">
        <v>28</v>
      </c>
      <c r="B29" s="41">
        <f t="shared" si="3"/>
        <v>1</v>
      </c>
      <c r="C29" s="41"/>
      <c r="D29" s="42">
        <f t="shared" si="0"/>
        <v>0</v>
      </c>
      <c r="E29" s="42"/>
      <c r="F29" s="42">
        <f t="shared" ref="F29" si="31">F28</f>
        <v>4.4097999999999997</v>
      </c>
      <c r="G29" s="42"/>
      <c r="H29" s="43">
        <f t="shared" si="1"/>
        <v>0</v>
      </c>
      <c r="I29" s="42" t="e">
        <f t="shared" si="2"/>
        <v>#DIV/0!</v>
      </c>
      <c r="J29" s="44" t="e">
        <f t="shared" si="4"/>
        <v>#DIV/0!</v>
      </c>
      <c r="K29" s="44" t="e">
        <f t="shared" si="5"/>
        <v>#DIV/0!</v>
      </c>
      <c r="L29" s="44" t="e">
        <f t="shared" si="6"/>
        <v>#DIV/0!</v>
      </c>
      <c r="M29" s="35"/>
      <c r="N29" s="35"/>
      <c r="O29" s="35"/>
      <c r="P29" s="35"/>
      <c r="Q29" s="35"/>
      <c r="R29" s="35"/>
      <c r="S29" s="35"/>
      <c r="T29" s="35"/>
      <c r="U29" s="35"/>
    </row>
    <row r="30" spans="1:21" x14ac:dyDescent="0.25">
      <c r="A30" s="45">
        <v>29</v>
      </c>
      <c r="B30" s="46">
        <f t="shared" si="3"/>
        <v>1</v>
      </c>
      <c r="C30" s="46"/>
      <c r="D30" s="47">
        <f t="shared" si="0"/>
        <v>0</v>
      </c>
      <c r="E30" s="47"/>
      <c r="F30" s="47">
        <f t="shared" ref="F30" si="32">F28</f>
        <v>4.4097999999999997</v>
      </c>
      <c r="G30" s="47"/>
      <c r="H30" s="48">
        <f t="shared" si="1"/>
        <v>0</v>
      </c>
      <c r="I30" s="47" t="e">
        <f t="shared" si="2"/>
        <v>#DIV/0!</v>
      </c>
      <c r="J30" s="38" t="e">
        <f t="shared" si="4"/>
        <v>#DIV/0!</v>
      </c>
      <c r="K30" s="38" t="e">
        <f t="shared" si="5"/>
        <v>#DIV/0!</v>
      </c>
      <c r="L30" s="38" t="e">
        <f t="shared" si="6"/>
        <v>#DIV/0!</v>
      </c>
      <c r="M30" s="35"/>
      <c r="N30" s="35"/>
      <c r="O30" s="35"/>
      <c r="P30" s="35"/>
      <c r="Q30" s="35"/>
      <c r="R30" s="35"/>
      <c r="S30" s="35"/>
      <c r="T30" s="35"/>
      <c r="U30" s="35"/>
    </row>
    <row r="31" spans="1:21" x14ac:dyDescent="0.25">
      <c r="A31" s="40">
        <v>30</v>
      </c>
      <c r="B31" s="41">
        <f t="shared" si="3"/>
        <v>1</v>
      </c>
      <c r="C31" s="41"/>
      <c r="D31" s="42">
        <f t="shared" si="0"/>
        <v>0</v>
      </c>
      <c r="E31" s="42"/>
      <c r="F31" s="42">
        <f t="shared" ref="F31" si="33">F30</f>
        <v>4.4097999999999997</v>
      </c>
      <c r="G31" s="42"/>
      <c r="H31" s="43">
        <f t="shared" si="1"/>
        <v>0</v>
      </c>
      <c r="I31" s="42" t="e">
        <f t="shared" si="2"/>
        <v>#DIV/0!</v>
      </c>
      <c r="J31" s="44" t="e">
        <f t="shared" si="4"/>
        <v>#DIV/0!</v>
      </c>
      <c r="K31" s="44" t="e">
        <f t="shared" si="5"/>
        <v>#DIV/0!</v>
      </c>
      <c r="L31" s="44" t="e">
        <f t="shared" si="6"/>
        <v>#DIV/0!</v>
      </c>
      <c r="M31" s="35"/>
      <c r="N31" s="35"/>
      <c r="O31" s="35"/>
      <c r="P31" s="35"/>
      <c r="Q31" s="35"/>
      <c r="R31" s="35"/>
      <c r="S31" s="35"/>
      <c r="T31" s="35"/>
      <c r="U31" s="35"/>
    </row>
    <row r="32" spans="1:21" x14ac:dyDescent="0.25">
      <c r="A32" s="45">
        <v>31</v>
      </c>
      <c r="B32" s="46">
        <f t="shared" si="3"/>
        <v>1</v>
      </c>
      <c r="C32" s="46"/>
      <c r="D32" s="47">
        <f t="shared" si="0"/>
        <v>0</v>
      </c>
      <c r="E32" s="47"/>
      <c r="F32" s="47">
        <f t="shared" ref="F32" si="34">F30</f>
        <v>4.4097999999999997</v>
      </c>
      <c r="G32" s="47"/>
      <c r="H32" s="48">
        <f t="shared" si="1"/>
        <v>0</v>
      </c>
      <c r="I32" s="47" t="e">
        <f t="shared" si="2"/>
        <v>#DIV/0!</v>
      </c>
      <c r="J32" s="38" t="e">
        <f t="shared" si="4"/>
        <v>#DIV/0!</v>
      </c>
      <c r="K32" s="38" t="e">
        <f t="shared" si="5"/>
        <v>#DIV/0!</v>
      </c>
      <c r="L32" s="38" t="e">
        <f t="shared" si="6"/>
        <v>#DIV/0!</v>
      </c>
      <c r="M32" s="35"/>
      <c r="N32" s="35"/>
      <c r="O32" s="35"/>
      <c r="P32" s="35"/>
      <c r="Q32" s="35"/>
      <c r="R32" s="35"/>
      <c r="S32" s="35"/>
      <c r="T32" s="35"/>
      <c r="U32" s="35"/>
    </row>
    <row r="33" spans="1:21" x14ac:dyDescent="0.25">
      <c r="A33" s="40">
        <v>32</v>
      </c>
      <c r="B33" s="41">
        <f t="shared" si="3"/>
        <v>1</v>
      </c>
      <c r="C33" s="41"/>
      <c r="D33" s="42">
        <f t="shared" si="0"/>
        <v>0</v>
      </c>
      <c r="E33" s="42"/>
      <c r="F33" s="42">
        <f t="shared" ref="F33" si="35">F32</f>
        <v>4.4097999999999997</v>
      </c>
      <c r="G33" s="42"/>
      <c r="H33" s="43">
        <f t="shared" si="1"/>
        <v>0</v>
      </c>
      <c r="I33" s="42" t="e">
        <f t="shared" si="2"/>
        <v>#DIV/0!</v>
      </c>
      <c r="J33" s="44" t="e">
        <f t="shared" si="4"/>
        <v>#DIV/0!</v>
      </c>
      <c r="K33" s="44" t="e">
        <f t="shared" si="5"/>
        <v>#DIV/0!</v>
      </c>
      <c r="L33" s="44" t="e">
        <f t="shared" si="6"/>
        <v>#DIV/0!</v>
      </c>
      <c r="M33" s="35"/>
      <c r="N33" s="35"/>
      <c r="O33" s="35"/>
      <c r="P33" s="35"/>
      <c r="Q33" s="35"/>
      <c r="R33" s="35"/>
      <c r="S33" s="35"/>
      <c r="T33" s="35"/>
      <c r="U33" s="35"/>
    </row>
    <row r="34" spans="1:21" x14ac:dyDescent="0.25">
      <c r="A34" s="45">
        <v>33</v>
      </c>
      <c r="B34" s="46">
        <f t="shared" si="3"/>
        <v>1</v>
      </c>
      <c r="C34" s="46"/>
      <c r="D34" s="47">
        <f t="shared" si="0"/>
        <v>0</v>
      </c>
      <c r="E34" s="47"/>
      <c r="F34" s="47">
        <f t="shared" ref="F34" si="36">F32</f>
        <v>4.4097999999999997</v>
      </c>
      <c r="G34" s="47"/>
      <c r="H34" s="48">
        <f t="shared" si="1"/>
        <v>0</v>
      </c>
      <c r="I34" s="47" t="e">
        <f t="shared" si="2"/>
        <v>#DIV/0!</v>
      </c>
      <c r="J34" s="38" t="e">
        <f t="shared" si="4"/>
        <v>#DIV/0!</v>
      </c>
      <c r="K34" s="38" t="e">
        <f t="shared" si="5"/>
        <v>#DIV/0!</v>
      </c>
      <c r="L34" s="38" t="e">
        <f t="shared" si="6"/>
        <v>#DIV/0!</v>
      </c>
      <c r="M34" s="35"/>
      <c r="N34" s="35"/>
      <c r="O34" s="35"/>
      <c r="P34" s="35"/>
      <c r="Q34" s="35"/>
      <c r="R34" s="35"/>
      <c r="S34" s="35"/>
      <c r="T34" s="35"/>
      <c r="U34" s="35"/>
    </row>
    <row r="35" spans="1:21" x14ac:dyDescent="0.25">
      <c r="A35" s="40">
        <v>34</v>
      </c>
      <c r="B35" s="41">
        <f t="shared" si="3"/>
        <v>1</v>
      </c>
      <c r="C35" s="41"/>
      <c r="D35" s="42">
        <f t="shared" si="0"/>
        <v>0</v>
      </c>
      <c r="E35" s="42"/>
      <c r="F35" s="42">
        <f t="shared" ref="F35" si="37">F34</f>
        <v>4.4097999999999997</v>
      </c>
      <c r="G35" s="42"/>
      <c r="H35" s="43">
        <f t="shared" si="1"/>
        <v>0</v>
      </c>
      <c r="I35" s="42" t="e">
        <f t="shared" si="2"/>
        <v>#DIV/0!</v>
      </c>
      <c r="J35" s="44" t="e">
        <f t="shared" si="4"/>
        <v>#DIV/0!</v>
      </c>
      <c r="K35" s="44" t="e">
        <f t="shared" si="5"/>
        <v>#DIV/0!</v>
      </c>
      <c r="L35" s="44" t="e">
        <f t="shared" si="6"/>
        <v>#DIV/0!</v>
      </c>
      <c r="M35" s="35"/>
      <c r="N35" s="35"/>
      <c r="O35" s="35"/>
      <c r="P35" s="35"/>
      <c r="Q35" s="35"/>
      <c r="R35" s="35"/>
      <c r="S35" s="35"/>
      <c r="T35" s="35"/>
      <c r="U35" s="35"/>
    </row>
    <row r="36" spans="1:21" x14ac:dyDescent="0.25">
      <c r="A36" s="45">
        <v>35</v>
      </c>
      <c r="B36" s="46">
        <f t="shared" si="3"/>
        <v>1</v>
      </c>
      <c r="C36" s="46"/>
      <c r="D36" s="47">
        <f t="shared" si="0"/>
        <v>0</v>
      </c>
      <c r="E36" s="47"/>
      <c r="F36" s="47">
        <f t="shared" ref="F36" si="38">F34</f>
        <v>4.4097999999999997</v>
      </c>
      <c r="G36" s="47"/>
      <c r="H36" s="48">
        <f t="shared" si="1"/>
        <v>0</v>
      </c>
      <c r="I36" s="47" t="e">
        <f t="shared" si="2"/>
        <v>#DIV/0!</v>
      </c>
      <c r="J36" s="38" t="e">
        <f t="shared" si="4"/>
        <v>#DIV/0!</v>
      </c>
      <c r="K36" s="38" t="e">
        <f t="shared" si="5"/>
        <v>#DIV/0!</v>
      </c>
      <c r="L36" s="38" t="e">
        <f t="shared" si="6"/>
        <v>#DIV/0!</v>
      </c>
      <c r="M36" s="35"/>
      <c r="N36" s="35"/>
      <c r="O36" s="35"/>
      <c r="P36" s="35"/>
      <c r="Q36" s="35"/>
      <c r="R36" s="35"/>
      <c r="S36" s="35"/>
      <c r="T36" s="35"/>
      <c r="U36" s="35"/>
    </row>
    <row r="37" spans="1:21" x14ac:dyDescent="0.25">
      <c r="A37" s="40">
        <v>36</v>
      </c>
      <c r="B37" s="41">
        <f t="shared" si="3"/>
        <v>1</v>
      </c>
      <c r="C37" s="41"/>
      <c r="D37" s="42">
        <f t="shared" si="0"/>
        <v>0</v>
      </c>
      <c r="E37" s="42"/>
      <c r="F37" s="42">
        <f t="shared" ref="F37" si="39">F36</f>
        <v>4.4097999999999997</v>
      </c>
      <c r="G37" s="42"/>
      <c r="H37" s="43">
        <f t="shared" si="1"/>
        <v>0</v>
      </c>
      <c r="I37" s="42" t="e">
        <f t="shared" si="2"/>
        <v>#DIV/0!</v>
      </c>
      <c r="J37" s="44" t="e">
        <f t="shared" si="4"/>
        <v>#DIV/0!</v>
      </c>
      <c r="K37" s="44" t="e">
        <f t="shared" si="5"/>
        <v>#DIV/0!</v>
      </c>
      <c r="L37" s="44" t="e">
        <f t="shared" si="6"/>
        <v>#DIV/0!</v>
      </c>
      <c r="M37" s="35"/>
      <c r="N37" s="35"/>
      <c r="O37" s="35"/>
      <c r="P37" s="35"/>
      <c r="Q37" s="35"/>
      <c r="R37" s="35"/>
      <c r="S37" s="35"/>
      <c r="T37" s="35"/>
      <c r="U37" s="35"/>
    </row>
    <row r="38" spans="1:21" x14ac:dyDescent="0.25">
      <c r="A38" s="45">
        <v>37</v>
      </c>
      <c r="B38" s="46">
        <f t="shared" si="3"/>
        <v>1</v>
      </c>
      <c r="C38" s="46"/>
      <c r="D38" s="47">
        <f t="shared" si="0"/>
        <v>0</v>
      </c>
      <c r="E38" s="47"/>
      <c r="F38" s="47">
        <f t="shared" ref="F38" si="40">F36</f>
        <v>4.4097999999999997</v>
      </c>
      <c r="G38" s="47"/>
      <c r="H38" s="48">
        <f t="shared" si="1"/>
        <v>0</v>
      </c>
      <c r="I38" s="47" t="e">
        <f t="shared" si="2"/>
        <v>#DIV/0!</v>
      </c>
      <c r="J38" s="38" t="e">
        <f t="shared" si="4"/>
        <v>#DIV/0!</v>
      </c>
      <c r="K38" s="38" t="e">
        <f t="shared" si="5"/>
        <v>#DIV/0!</v>
      </c>
      <c r="L38" s="38" t="e">
        <f t="shared" si="6"/>
        <v>#DIV/0!</v>
      </c>
      <c r="M38" s="35"/>
      <c r="N38" s="35"/>
      <c r="O38" s="35"/>
      <c r="P38" s="35"/>
      <c r="Q38" s="35"/>
      <c r="R38" s="35"/>
      <c r="S38" s="35"/>
      <c r="T38" s="35"/>
      <c r="U38" s="35"/>
    </row>
    <row r="39" spans="1:21" x14ac:dyDescent="0.25">
      <c r="A39" s="40">
        <v>38</v>
      </c>
      <c r="B39" s="41">
        <f t="shared" si="3"/>
        <v>1</v>
      </c>
      <c r="C39" s="41"/>
      <c r="D39" s="42">
        <f t="shared" si="0"/>
        <v>0</v>
      </c>
      <c r="E39" s="42"/>
      <c r="F39" s="42">
        <f t="shared" ref="F39" si="41">F38</f>
        <v>4.4097999999999997</v>
      </c>
      <c r="G39" s="42"/>
      <c r="H39" s="43">
        <f t="shared" si="1"/>
        <v>0</v>
      </c>
      <c r="I39" s="42" t="e">
        <f t="shared" si="2"/>
        <v>#DIV/0!</v>
      </c>
      <c r="J39" s="44" t="e">
        <f t="shared" si="4"/>
        <v>#DIV/0!</v>
      </c>
      <c r="K39" s="44" t="e">
        <f t="shared" si="5"/>
        <v>#DIV/0!</v>
      </c>
      <c r="L39" s="44" t="e">
        <f t="shared" si="6"/>
        <v>#DIV/0!</v>
      </c>
      <c r="M39" s="35"/>
      <c r="N39" s="35"/>
      <c r="O39" s="35"/>
      <c r="P39" s="35"/>
      <c r="Q39" s="35"/>
      <c r="R39" s="35"/>
      <c r="S39" s="35"/>
      <c r="T39" s="35"/>
      <c r="U39" s="35"/>
    </row>
    <row r="40" spans="1:21" x14ac:dyDescent="0.25">
      <c r="A40" s="45">
        <v>39</v>
      </c>
      <c r="B40" s="46">
        <f t="shared" si="3"/>
        <v>1</v>
      </c>
      <c r="C40" s="46"/>
      <c r="D40" s="47">
        <f t="shared" si="0"/>
        <v>0</v>
      </c>
      <c r="E40" s="47"/>
      <c r="F40" s="47">
        <f t="shared" ref="F40" si="42">F38</f>
        <v>4.4097999999999997</v>
      </c>
      <c r="G40" s="47"/>
      <c r="H40" s="48">
        <f t="shared" si="1"/>
        <v>0</v>
      </c>
      <c r="I40" s="47" t="e">
        <f t="shared" si="2"/>
        <v>#DIV/0!</v>
      </c>
      <c r="J40" s="38" t="e">
        <f t="shared" si="4"/>
        <v>#DIV/0!</v>
      </c>
      <c r="K40" s="38" t="e">
        <f t="shared" si="5"/>
        <v>#DIV/0!</v>
      </c>
      <c r="L40" s="38" t="e">
        <f t="shared" si="6"/>
        <v>#DIV/0!</v>
      </c>
      <c r="M40" s="35"/>
      <c r="N40" s="35"/>
      <c r="O40" s="35"/>
      <c r="P40" s="35"/>
      <c r="Q40" s="35"/>
      <c r="R40" s="35"/>
      <c r="S40" s="35"/>
      <c r="T40" s="35"/>
      <c r="U40" s="35"/>
    </row>
    <row r="41" spans="1:21" x14ac:dyDescent="0.25">
      <c r="A41" s="40">
        <v>40</v>
      </c>
      <c r="B41" s="41">
        <f t="shared" si="3"/>
        <v>1</v>
      </c>
      <c r="C41" s="41"/>
      <c r="D41" s="42">
        <f t="shared" si="0"/>
        <v>0</v>
      </c>
      <c r="E41" s="42"/>
      <c r="F41" s="42">
        <f t="shared" ref="F41" si="43">F40</f>
        <v>4.4097999999999997</v>
      </c>
      <c r="G41" s="42"/>
      <c r="H41" s="43">
        <f t="shared" si="1"/>
        <v>0</v>
      </c>
      <c r="I41" s="42" t="e">
        <f t="shared" si="2"/>
        <v>#DIV/0!</v>
      </c>
      <c r="J41" s="44" t="e">
        <f t="shared" si="4"/>
        <v>#DIV/0!</v>
      </c>
      <c r="K41" s="44" t="e">
        <f t="shared" si="5"/>
        <v>#DIV/0!</v>
      </c>
      <c r="L41" s="44" t="e">
        <f t="shared" si="6"/>
        <v>#DIV/0!</v>
      </c>
      <c r="M41" s="35"/>
      <c r="N41" s="35"/>
      <c r="O41" s="35"/>
      <c r="P41" s="35"/>
      <c r="Q41" s="35"/>
      <c r="R41" s="35"/>
      <c r="S41" s="35"/>
      <c r="T41" s="35"/>
      <c r="U41" s="35"/>
    </row>
    <row r="42" spans="1:21" x14ac:dyDescent="0.25">
      <c r="A42" s="45">
        <v>41</v>
      </c>
      <c r="B42" s="46">
        <f t="shared" si="3"/>
        <v>1</v>
      </c>
      <c r="C42" s="46"/>
      <c r="D42" s="47">
        <f t="shared" si="0"/>
        <v>0</v>
      </c>
      <c r="E42" s="47"/>
      <c r="F42" s="47">
        <f t="shared" ref="F42" si="44">F40</f>
        <v>4.4097999999999997</v>
      </c>
      <c r="G42" s="47"/>
      <c r="H42" s="48">
        <f t="shared" si="1"/>
        <v>0</v>
      </c>
      <c r="I42" s="47" t="e">
        <f t="shared" si="2"/>
        <v>#DIV/0!</v>
      </c>
      <c r="J42" s="38" t="e">
        <f t="shared" si="4"/>
        <v>#DIV/0!</v>
      </c>
      <c r="K42" s="38" t="e">
        <f t="shared" si="5"/>
        <v>#DIV/0!</v>
      </c>
      <c r="L42" s="38" t="e">
        <f t="shared" si="6"/>
        <v>#DIV/0!</v>
      </c>
      <c r="M42" s="35"/>
      <c r="N42" s="35"/>
      <c r="O42" s="35"/>
      <c r="P42" s="35"/>
      <c r="Q42" s="35"/>
      <c r="R42" s="35"/>
      <c r="S42" s="35"/>
      <c r="T42" s="35"/>
      <c r="U42" s="35"/>
    </row>
    <row r="43" spans="1:21" x14ac:dyDescent="0.25">
      <c r="A43" s="40">
        <v>42</v>
      </c>
      <c r="B43" s="41">
        <f t="shared" si="3"/>
        <v>1</v>
      </c>
      <c r="C43" s="41"/>
      <c r="D43" s="42">
        <f t="shared" si="0"/>
        <v>0</v>
      </c>
      <c r="E43" s="42"/>
      <c r="F43" s="42">
        <f t="shared" ref="F43" si="45">F42</f>
        <v>4.4097999999999997</v>
      </c>
      <c r="G43" s="42"/>
      <c r="H43" s="43">
        <f t="shared" si="1"/>
        <v>0</v>
      </c>
      <c r="I43" s="42" t="e">
        <f t="shared" si="2"/>
        <v>#DIV/0!</v>
      </c>
      <c r="J43" s="44" t="e">
        <f t="shared" si="4"/>
        <v>#DIV/0!</v>
      </c>
      <c r="K43" s="44" t="e">
        <f t="shared" si="5"/>
        <v>#DIV/0!</v>
      </c>
      <c r="L43" s="44" t="e">
        <f t="shared" si="6"/>
        <v>#DIV/0!</v>
      </c>
      <c r="M43" s="35"/>
      <c r="N43" s="35"/>
      <c r="O43" s="35"/>
      <c r="P43" s="35"/>
      <c r="Q43" s="35"/>
      <c r="R43" s="35"/>
      <c r="S43" s="35"/>
      <c r="T43" s="35"/>
      <c r="U43" s="35"/>
    </row>
    <row r="44" spans="1:21" x14ac:dyDescent="0.25">
      <c r="A44" s="45">
        <v>43</v>
      </c>
      <c r="B44" s="46">
        <f t="shared" si="3"/>
        <v>1</v>
      </c>
      <c r="C44" s="46"/>
      <c r="D44" s="47">
        <f t="shared" si="0"/>
        <v>0</v>
      </c>
      <c r="E44" s="47"/>
      <c r="F44" s="47">
        <f t="shared" ref="F44" si="46">F42</f>
        <v>4.4097999999999997</v>
      </c>
      <c r="G44" s="47"/>
      <c r="H44" s="48">
        <f t="shared" si="1"/>
        <v>0</v>
      </c>
      <c r="I44" s="47" t="e">
        <f t="shared" si="2"/>
        <v>#DIV/0!</v>
      </c>
      <c r="J44" s="38" t="e">
        <f t="shared" si="4"/>
        <v>#DIV/0!</v>
      </c>
      <c r="K44" s="38" t="e">
        <f t="shared" si="5"/>
        <v>#DIV/0!</v>
      </c>
      <c r="L44" s="38" t="e">
        <f t="shared" si="6"/>
        <v>#DIV/0!</v>
      </c>
      <c r="M44" s="35"/>
      <c r="N44" s="35"/>
      <c r="O44" s="35"/>
      <c r="P44" s="35"/>
      <c r="Q44" s="35"/>
      <c r="R44" s="35"/>
      <c r="S44" s="35"/>
      <c r="T44" s="35"/>
      <c r="U44" s="35"/>
    </row>
    <row r="45" spans="1:21" x14ac:dyDescent="0.25">
      <c r="A45" s="40">
        <v>44</v>
      </c>
      <c r="B45" s="41">
        <f t="shared" si="3"/>
        <v>1</v>
      </c>
      <c r="C45" s="41"/>
      <c r="D45" s="42">
        <f t="shared" si="0"/>
        <v>0</v>
      </c>
      <c r="E45" s="42"/>
      <c r="F45" s="42">
        <f t="shared" ref="F45" si="47">F44</f>
        <v>4.4097999999999997</v>
      </c>
      <c r="G45" s="42"/>
      <c r="H45" s="43">
        <f t="shared" si="1"/>
        <v>0</v>
      </c>
      <c r="I45" s="42" t="e">
        <f t="shared" si="2"/>
        <v>#DIV/0!</v>
      </c>
      <c r="J45" s="44" t="e">
        <f t="shared" si="4"/>
        <v>#DIV/0!</v>
      </c>
      <c r="K45" s="44" t="e">
        <f t="shared" si="5"/>
        <v>#DIV/0!</v>
      </c>
      <c r="L45" s="44" t="e">
        <f t="shared" si="6"/>
        <v>#DIV/0!</v>
      </c>
      <c r="M45" s="35"/>
      <c r="N45" s="35"/>
      <c r="O45" s="35"/>
      <c r="P45" s="35"/>
      <c r="Q45" s="35"/>
      <c r="R45" s="35"/>
      <c r="S45" s="35"/>
      <c r="T45" s="35"/>
      <c r="U45" s="35"/>
    </row>
    <row r="46" spans="1:21" x14ac:dyDescent="0.25">
      <c r="A46" s="45">
        <v>45</v>
      </c>
      <c r="B46" s="46">
        <f t="shared" si="3"/>
        <v>1</v>
      </c>
      <c r="C46" s="46"/>
      <c r="D46" s="47">
        <f t="shared" si="0"/>
        <v>0</v>
      </c>
      <c r="E46" s="47"/>
      <c r="F46" s="47">
        <f t="shared" ref="F46" si="48">F44</f>
        <v>4.4097999999999997</v>
      </c>
      <c r="G46" s="47"/>
      <c r="H46" s="48">
        <f t="shared" si="1"/>
        <v>0</v>
      </c>
      <c r="I46" s="47" t="e">
        <f t="shared" si="2"/>
        <v>#DIV/0!</v>
      </c>
      <c r="J46" s="38" t="e">
        <f t="shared" si="4"/>
        <v>#DIV/0!</v>
      </c>
      <c r="K46" s="38" t="e">
        <f t="shared" si="5"/>
        <v>#DIV/0!</v>
      </c>
      <c r="L46" s="38" t="e">
        <f t="shared" si="6"/>
        <v>#DIV/0!</v>
      </c>
      <c r="M46" s="35"/>
      <c r="N46" s="35"/>
      <c r="O46" s="35"/>
      <c r="P46" s="35"/>
      <c r="Q46" s="35"/>
      <c r="R46" s="35"/>
      <c r="S46" s="35"/>
      <c r="T46" s="35"/>
      <c r="U46" s="35"/>
    </row>
    <row r="47" spans="1:21" x14ac:dyDescent="0.25">
      <c r="A47" s="40">
        <v>46</v>
      </c>
      <c r="B47" s="41">
        <f t="shared" si="3"/>
        <v>1</v>
      </c>
      <c r="C47" s="41"/>
      <c r="D47" s="42">
        <f t="shared" si="0"/>
        <v>0</v>
      </c>
      <c r="E47" s="42"/>
      <c r="F47" s="42">
        <f t="shared" ref="F47" si="49">F46</f>
        <v>4.4097999999999997</v>
      </c>
      <c r="G47" s="42"/>
      <c r="H47" s="43">
        <f t="shared" si="1"/>
        <v>0</v>
      </c>
      <c r="I47" s="42" t="e">
        <f t="shared" si="2"/>
        <v>#DIV/0!</v>
      </c>
      <c r="J47" s="44" t="e">
        <f t="shared" si="4"/>
        <v>#DIV/0!</v>
      </c>
      <c r="K47" s="44" t="e">
        <f t="shared" si="5"/>
        <v>#DIV/0!</v>
      </c>
      <c r="L47" s="44" t="e">
        <f t="shared" si="6"/>
        <v>#DIV/0!</v>
      </c>
      <c r="M47" s="35"/>
      <c r="N47" s="35"/>
      <c r="O47" s="35"/>
      <c r="P47" s="35"/>
      <c r="Q47" s="35"/>
      <c r="R47" s="35"/>
      <c r="S47" s="35"/>
      <c r="T47" s="35"/>
      <c r="U47" s="35"/>
    </row>
    <row r="48" spans="1:21" x14ac:dyDescent="0.25">
      <c r="A48" s="45">
        <v>47</v>
      </c>
      <c r="B48" s="46">
        <f t="shared" si="3"/>
        <v>1</v>
      </c>
      <c r="C48" s="46"/>
      <c r="D48" s="47">
        <f t="shared" si="0"/>
        <v>0</v>
      </c>
      <c r="E48" s="47"/>
      <c r="F48" s="47">
        <f t="shared" ref="F48" si="50">F46</f>
        <v>4.4097999999999997</v>
      </c>
      <c r="G48" s="47"/>
      <c r="H48" s="48">
        <f t="shared" si="1"/>
        <v>0</v>
      </c>
      <c r="I48" s="47" t="e">
        <f t="shared" si="2"/>
        <v>#DIV/0!</v>
      </c>
      <c r="J48" s="38" t="e">
        <f t="shared" si="4"/>
        <v>#DIV/0!</v>
      </c>
      <c r="K48" s="38" t="e">
        <f t="shared" si="5"/>
        <v>#DIV/0!</v>
      </c>
      <c r="L48" s="38" t="e">
        <f t="shared" si="6"/>
        <v>#DIV/0!</v>
      </c>
      <c r="M48" s="35"/>
      <c r="N48" s="35"/>
      <c r="O48" s="35"/>
      <c r="P48" s="35"/>
      <c r="Q48" s="35"/>
      <c r="R48" s="35"/>
      <c r="S48" s="35"/>
      <c r="T48" s="35"/>
      <c r="U48" s="35"/>
    </row>
    <row r="49" spans="1:21" x14ac:dyDescent="0.25">
      <c r="A49" s="40">
        <v>48</v>
      </c>
      <c r="B49" s="41">
        <f t="shared" si="3"/>
        <v>1</v>
      </c>
      <c r="C49" s="41"/>
      <c r="D49" s="42">
        <f t="shared" si="0"/>
        <v>0</v>
      </c>
      <c r="E49" s="42"/>
      <c r="F49" s="42">
        <f t="shared" ref="F49" si="51">F48</f>
        <v>4.4097999999999997</v>
      </c>
      <c r="G49" s="42"/>
      <c r="H49" s="43">
        <f t="shared" si="1"/>
        <v>0</v>
      </c>
      <c r="I49" s="42" t="e">
        <f t="shared" si="2"/>
        <v>#DIV/0!</v>
      </c>
      <c r="J49" s="44" t="e">
        <f t="shared" si="4"/>
        <v>#DIV/0!</v>
      </c>
      <c r="K49" s="44" t="e">
        <f t="shared" si="5"/>
        <v>#DIV/0!</v>
      </c>
      <c r="L49" s="44" t="e">
        <f t="shared" si="6"/>
        <v>#DIV/0!</v>
      </c>
      <c r="M49" s="35"/>
      <c r="N49" s="35"/>
      <c r="O49" s="35"/>
      <c r="P49" s="35"/>
      <c r="Q49" s="35"/>
      <c r="R49" s="35"/>
      <c r="S49" s="35"/>
      <c r="T49" s="35"/>
      <c r="U49" s="35"/>
    </row>
    <row r="50" spans="1:21" x14ac:dyDescent="0.25">
      <c r="A50" s="45">
        <v>49</v>
      </c>
      <c r="B50" s="46">
        <f t="shared" si="3"/>
        <v>1</v>
      </c>
      <c r="C50" s="46"/>
      <c r="D50" s="47">
        <f t="shared" si="0"/>
        <v>0</v>
      </c>
      <c r="E50" s="47"/>
      <c r="F50" s="47">
        <f t="shared" ref="F50" si="52">F48</f>
        <v>4.4097999999999997</v>
      </c>
      <c r="G50" s="47"/>
      <c r="H50" s="48">
        <f t="shared" si="1"/>
        <v>0</v>
      </c>
      <c r="I50" s="47" t="e">
        <f t="shared" si="2"/>
        <v>#DIV/0!</v>
      </c>
      <c r="J50" s="38" t="e">
        <f t="shared" si="4"/>
        <v>#DIV/0!</v>
      </c>
      <c r="K50" s="38" t="e">
        <f t="shared" si="5"/>
        <v>#DIV/0!</v>
      </c>
      <c r="L50" s="38" t="e">
        <f t="shared" si="6"/>
        <v>#DIV/0!</v>
      </c>
      <c r="M50" s="35"/>
      <c r="N50" s="35"/>
      <c r="O50" s="35"/>
      <c r="P50" s="35"/>
      <c r="Q50" s="35"/>
      <c r="R50" s="35"/>
      <c r="S50" s="35"/>
      <c r="T50" s="35"/>
      <c r="U50" s="35"/>
    </row>
    <row r="51" spans="1:21" x14ac:dyDescent="0.25">
      <c r="A51" s="40">
        <v>50</v>
      </c>
      <c r="B51" s="41">
        <f t="shared" si="3"/>
        <v>1</v>
      </c>
      <c r="C51" s="41"/>
      <c r="D51" s="42">
        <f t="shared" si="0"/>
        <v>0</v>
      </c>
      <c r="E51" s="42"/>
      <c r="F51" s="42">
        <f t="shared" ref="F51" si="53">F50</f>
        <v>4.4097999999999997</v>
      </c>
      <c r="G51" s="42"/>
      <c r="H51" s="43">
        <f t="shared" si="1"/>
        <v>0</v>
      </c>
      <c r="I51" s="42" t="e">
        <f t="shared" si="2"/>
        <v>#DIV/0!</v>
      </c>
      <c r="J51" s="44" t="e">
        <f t="shared" si="4"/>
        <v>#DIV/0!</v>
      </c>
      <c r="K51" s="44" t="e">
        <f t="shared" si="5"/>
        <v>#DIV/0!</v>
      </c>
      <c r="L51" s="44" t="e">
        <f t="shared" si="6"/>
        <v>#DIV/0!</v>
      </c>
      <c r="M51" s="35"/>
      <c r="N51" s="35"/>
      <c r="O51" s="35"/>
      <c r="P51" s="35"/>
      <c r="Q51" s="35"/>
      <c r="R51" s="35"/>
      <c r="S51" s="35"/>
      <c r="T51" s="35"/>
      <c r="U51" s="35"/>
    </row>
    <row r="52" spans="1:21" x14ac:dyDescent="0.25">
      <c r="A52" s="45">
        <v>51</v>
      </c>
      <c r="B52" s="46">
        <f t="shared" si="3"/>
        <v>1</v>
      </c>
      <c r="C52" s="46"/>
      <c r="D52" s="47">
        <f t="shared" si="0"/>
        <v>0</v>
      </c>
      <c r="E52" s="47"/>
      <c r="F52" s="47">
        <f t="shared" ref="F52" si="54">F50</f>
        <v>4.4097999999999997</v>
      </c>
      <c r="G52" s="47"/>
      <c r="H52" s="48">
        <f t="shared" si="1"/>
        <v>0</v>
      </c>
      <c r="I52" s="47" t="e">
        <f t="shared" si="2"/>
        <v>#DIV/0!</v>
      </c>
      <c r="J52" s="38" t="e">
        <f t="shared" si="4"/>
        <v>#DIV/0!</v>
      </c>
      <c r="K52" s="38" t="e">
        <f t="shared" si="5"/>
        <v>#DIV/0!</v>
      </c>
      <c r="L52" s="38" t="e">
        <f t="shared" si="6"/>
        <v>#DIV/0!</v>
      </c>
      <c r="M52" s="35"/>
      <c r="N52" s="35"/>
      <c r="O52" s="35"/>
      <c r="P52" s="35"/>
      <c r="Q52" s="35"/>
      <c r="R52" s="35"/>
      <c r="S52" s="35"/>
      <c r="T52" s="35"/>
      <c r="U52" s="35"/>
    </row>
    <row r="53" spans="1:21" x14ac:dyDescent="0.25">
      <c r="A53" s="40">
        <v>52</v>
      </c>
      <c r="B53" s="41">
        <f t="shared" si="3"/>
        <v>1</v>
      </c>
      <c r="C53" s="41"/>
      <c r="D53" s="42">
        <f t="shared" si="0"/>
        <v>0</v>
      </c>
      <c r="E53" s="42"/>
      <c r="F53" s="42">
        <f t="shared" ref="F53" si="55">F52</f>
        <v>4.4097999999999997</v>
      </c>
      <c r="G53" s="42"/>
      <c r="H53" s="43">
        <f t="shared" si="1"/>
        <v>0</v>
      </c>
      <c r="I53" s="42" t="e">
        <f t="shared" si="2"/>
        <v>#DIV/0!</v>
      </c>
      <c r="J53" s="44" t="e">
        <f t="shared" si="4"/>
        <v>#DIV/0!</v>
      </c>
      <c r="K53" s="44" t="e">
        <f t="shared" si="5"/>
        <v>#DIV/0!</v>
      </c>
      <c r="L53" s="44" t="e">
        <f t="shared" si="6"/>
        <v>#DIV/0!</v>
      </c>
      <c r="M53" s="35"/>
      <c r="N53" s="35"/>
      <c r="O53" s="35"/>
      <c r="P53" s="35"/>
      <c r="Q53" s="35"/>
      <c r="R53" s="35"/>
      <c r="S53" s="35"/>
      <c r="T53" s="35"/>
      <c r="U53" s="35"/>
    </row>
    <row r="54" spans="1:21" x14ac:dyDescent="0.25">
      <c r="A54" s="45">
        <v>53</v>
      </c>
      <c r="B54" s="46">
        <f t="shared" si="3"/>
        <v>1</v>
      </c>
      <c r="C54" s="46"/>
      <c r="D54" s="47">
        <f t="shared" si="0"/>
        <v>0</v>
      </c>
      <c r="E54" s="47"/>
      <c r="F54" s="47">
        <f t="shared" ref="F54" si="56">F52</f>
        <v>4.4097999999999997</v>
      </c>
      <c r="G54" s="47"/>
      <c r="H54" s="48">
        <f t="shared" si="1"/>
        <v>0</v>
      </c>
      <c r="I54" s="47" t="e">
        <f t="shared" si="2"/>
        <v>#DIV/0!</v>
      </c>
      <c r="J54" s="38" t="e">
        <f t="shared" si="4"/>
        <v>#DIV/0!</v>
      </c>
      <c r="K54" s="38" t="e">
        <f t="shared" si="5"/>
        <v>#DIV/0!</v>
      </c>
      <c r="L54" s="38" t="e">
        <f t="shared" si="6"/>
        <v>#DIV/0!</v>
      </c>
      <c r="M54" s="35"/>
      <c r="N54" s="35"/>
      <c r="O54" s="35"/>
      <c r="P54" s="35"/>
      <c r="Q54" s="35"/>
      <c r="R54" s="35"/>
      <c r="S54" s="35"/>
      <c r="T54" s="35"/>
      <c r="U54" s="35"/>
    </row>
    <row r="55" spans="1:21" x14ac:dyDescent="0.25">
      <c r="A55" s="40">
        <v>54</v>
      </c>
      <c r="B55" s="41">
        <f t="shared" si="3"/>
        <v>1</v>
      </c>
      <c r="C55" s="41"/>
      <c r="D55" s="42">
        <f t="shared" si="0"/>
        <v>0</v>
      </c>
      <c r="E55" s="42"/>
      <c r="F55" s="42">
        <f t="shared" ref="F55" si="57">F54</f>
        <v>4.4097999999999997</v>
      </c>
      <c r="G55" s="42"/>
      <c r="H55" s="43">
        <f t="shared" si="1"/>
        <v>0</v>
      </c>
      <c r="I55" s="42" t="e">
        <f t="shared" si="2"/>
        <v>#DIV/0!</v>
      </c>
      <c r="J55" s="44" t="e">
        <f t="shared" si="4"/>
        <v>#DIV/0!</v>
      </c>
      <c r="K55" s="44" t="e">
        <f t="shared" si="5"/>
        <v>#DIV/0!</v>
      </c>
      <c r="L55" s="44" t="e">
        <f t="shared" si="6"/>
        <v>#DIV/0!</v>
      </c>
      <c r="M55" s="35"/>
      <c r="N55" s="35"/>
      <c r="O55" s="35"/>
      <c r="P55" s="35"/>
      <c r="Q55" s="35"/>
      <c r="R55" s="35"/>
      <c r="S55" s="35"/>
      <c r="T55" s="35"/>
      <c r="U55" s="35"/>
    </row>
    <row r="56" spans="1:21" x14ac:dyDescent="0.25">
      <c r="A56" s="45">
        <v>55</v>
      </c>
      <c r="B56" s="46">
        <f t="shared" si="3"/>
        <v>1</v>
      </c>
      <c r="C56" s="46"/>
      <c r="D56" s="47">
        <f t="shared" si="0"/>
        <v>0</v>
      </c>
      <c r="E56" s="47"/>
      <c r="F56" s="47">
        <f t="shared" ref="F56" si="58">F54</f>
        <v>4.4097999999999997</v>
      </c>
      <c r="G56" s="47"/>
      <c r="H56" s="48">
        <f t="shared" si="1"/>
        <v>0</v>
      </c>
      <c r="I56" s="47" t="e">
        <f t="shared" si="2"/>
        <v>#DIV/0!</v>
      </c>
      <c r="J56" s="38" t="e">
        <f t="shared" si="4"/>
        <v>#DIV/0!</v>
      </c>
      <c r="K56" s="38" t="e">
        <f t="shared" si="5"/>
        <v>#DIV/0!</v>
      </c>
      <c r="L56" s="38" t="e">
        <f t="shared" si="6"/>
        <v>#DIV/0!</v>
      </c>
      <c r="M56" s="35"/>
      <c r="N56" s="35"/>
      <c r="O56" s="35"/>
      <c r="P56" s="35"/>
      <c r="Q56" s="35"/>
      <c r="R56" s="35"/>
      <c r="S56" s="35"/>
      <c r="T56" s="35"/>
      <c r="U56" s="35"/>
    </row>
    <row r="57" spans="1:21" x14ac:dyDescent="0.25">
      <c r="A57" s="40">
        <v>56</v>
      </c>
      <c r="B57" s="41">
        <f t="shared" si="3"/>
        <v>1</v>
      </c>
      <c r="C57" s="41"/>
      <c r="D57" s="42">
        <f t="shared" si="0"/>
        <v>0</v>
      </c>
      <c r="E57" s="42"/>
      <c r="F57" s="42">
        <f t="shared" ref="F57" si="59">F56</f>
        <v>4.4097999999999997</v>
      </c>
      <c r="G57" s="42"/>
      <c r="H57" s="43">
        <f t="shared" si="1"/>
        <v>0</v>
      </c>
      <c r="I57" s="42" t="e">
        <f t="shared" si="2"/>
        <v>#DIV/0!</v>
      </c>
      <c r="J57" s="44" t="e">
        <f t="shared" si="4"/>
        <v>#DIV/0!</v>
      </c>
      <c r="K57" s="44" t="e">
        <f t="shared" si="5"/>
        <v>#DIV/0!</v>
      </c>
      <c r="L57" s="44" t="e">
        <f t="shared" si="6"/>
        <v>#DIV/0!</v>
      </c>
      <c r="M57" s="35"/>
      <c r="N57" s="35"/>
      <c r="O57" s="35"/>
      <c r="P57" s="35"/>
      <c r="Q57" s="35"/>
      <c r="R57" s="35"/>
      <c r="S57" s="35"/>
      <c r="T57" s="35"/>
      <c r="U57" s="35"/>
    </row>
    <row r="58" spans="1:21" x14ac:dyDescent="0.25">
      <c r="A58" s="45">
        <v>57</v>
      </c>
      <c r="B58" s="46">
        <f t="shared" si="3"/>
        <v>1</v>
      </c>
      <c r="C58" s="46"/>
      <c r="D58" s="47">
        <f t="shared" si="0"/>
        <v>0</v>
      </c>
      <c r="E58" s="47"/>
      <c r="F58" s="47">
        <f t="shared" ref="F58" si="60">F56</f>
        <v>4.4097999999999997</v>
      </c>
      <c r="G58" s="47"/>
      <c r="H58" s="48">
        <f t="shared" si="1"/>
        <v>0</v>
      </c>
      <c r="I58" s="47" t="e">
        <f t="shared" si="2"/>
        <v>#DIV/0!</v>
      </c>
      <c r="J58" s="38" t="e">
        <f t="shared" si="4"/>
        <v>#DIV/0!</v>
      </c>
      <c r="K58" s="38" t="e">
        <f t="shared" si="5"/>
        <v>#DIV/0!</v>
      </c>
      <c r="L58" s="38" t="e">
        <f t="shared" si="6"/>
        <v>#DIV/0!</v>
      </c>
      <c r="M58" s="35"/>
      <c r="N58" s="35"/>
      <c r="O58" s="35"/>
      <c r="P58" s="35"/>
      <c r="Q58" s="35"/>
      <c r="R58" s="35"/>
      <c r="S58" s="35"/>
      <c r="T58" s="35"/>
      <c r="U58" s="35"/>
    </row>
    <row r="59" spans="1:21" x14ac:dyDescent="0.25">
      <c r="A59" s="40">
        <v>58</v>
      </c>
      <c r="B59" s="41">
        <f t="shared" si="3"/>
        <v>1</v>
      </c>
      <c r="C59" s="41"/>
      <c r="D59" s="42">
        <f t="shared" si="0"/>
        <v>0</v>
      </c>
      <c r="E59" s="42"/>
      <c r="F59" s="42">
        <f t="shared" ref="F59" si="61">F58</f>
        <v>4.4097999999999997</v>
      </c>
      <c r="G59" s="42"/>
      <c r="H59" s="43">
        <f t="shared" si="1"/>
        <v>0</v>
      </c>
      <c r="I59" s="42" t="e">
        <f t="shared" si="2"/>
        <v>#DIV/0!</v>
      </c>
      <c r="J59" s="44" t="e">
        <f t="shared" si="4"/>
        <v>#DIV/0!</v>
      </c>
      <c r="K59" s="44" t="e">
        <f t="shared" si="5"/>
        <v>#DIV/0!</v>
      </c>
      <c r="L59" s="44" t="e">
        <f t="shared" si="6"/>
        <v>#DIV/0!</v>
      </c>
      <c r="M59" s="35"/>
      <c r="N59" s="35"/>
      <c r="O59" s="35"/>
      <c r="P59" s="35"/>
      <c r="Q59" s="35"/>
      <c r="R59" s="35"/>
      <c r="S59" s="35"/>
      <c r="T59" s="35"/>
      <c r="U59" s="35"/>
    </row>
    <row r="60" spans="1:21" x14ac:dyDescent="0.25">
      <c r="A60" s="45">
        <v>59</v>
      </c>
      <c r="B60" s="46">
        <f t="shared" si="3"/>
        <v>1</v>
      </c>
      <c r="C60" s="46"/>
      <c r="D60" s="47">
        <f t="shared" si="0"/>
        <v>0</v>
      </c>
      <c r="E60" s="47"/>
      <c r="F60" s="47">
        <f t="shared" ref="F60" si="62">F58</f>
        <v>4.4097999999999997</v>
      </c>
      <c r="G60" s="47"/>
      <c r="H60" s="48">
        <f t="shared" si="1"/>
        <v>0</v>
      </c>
      <c r="I60" s="47" t="e">
        <f t="shared" si="2"/>
        <v>#DIV/0!</v>
      </c>
      <c r="J60" s="38" t="e">
        <f t="shared" si="4"/>
        <v>#DIV/0!</v>
      </c>
      <c r="K60" s="38" t="e">
        <f t="shared" si="5"/>
        <v>#DIV/0!</v>
      </c>
      <c r="L60" s="38" t="e">
        <f t="shared" si="6"/>
        <v>#DIV/0!</v>
      </c>
      <c r="M60" s="35"/>
      <c r="N60" s="35"/>
      <c r="O60" s="35"/>
      <c r="P60" s="35"/>
      <c r="Q60" s="35"/>
      <c r="R60" s="35"/>
      <c r="S60" s="35"/>
      <c r="T60" s="35"/>
      <c r="U60" s="35"/>
    </row>
    <row r="61" spans="1:21" x14ac:dyDescent="0.25">
      <c r="A61" s="40">
        <v>60</v>
      </c>
      <c r="B61" s="41">
        <f t="shared" si="3"/>
        <v>1</v>
      </c>
      <c r="C61" s="41"/>
      <c r="D61" s="42">
        <f t="shared" si="0"/>
        <v>0</v>
      </c>
      <c r="E61" s="42"/>
      <c r="F61" s="42">
        <f t="shared" ref="F61" si="63">F60</f>
        <v>4.4097999999999997</v>
      </c>
      <c r="G61" s="42"/>
      <c r="H61" s="43">
        <f t="shared" si="1"/>
        <v>0</v>
      </c>
      <c r="I61" s="42" t="e">
        <f t="shared" si="2"/>
        <v>#DIV/0!</v>
      </c>
      <c r="J61" s="44" t="e">
        <f t="shared" si="4"/>
        <v>#DIV/0!</v>
      </c>
      <c r="K61" s="44" t="e">
        <f t="shared" si="5"/>
        <v>#DIV/0!</v>
      </c>
      <c r="L61" s="44" t="e">
        <f t="shared" si="6"/>
        <v>#DIV/0!</v>
      </c>
      <c r="M61" s="35"/>
      <c r="N61" s="35"/>
      <c r="O61" s="35"/>
      <c r="P61" s="35"/>
      <c r="Q61" s="35"/>
      <c r="R61" s="35"/>
      <c r="S61" s="35"/>
      <c r="T61" s="35"/>
      <c r="U61" s="35"/>
    </row>
    <row r="62" spans="1:21" x14ac:dyDescent="0.25">
      <c r="A62" s="45">
        <v>61</v>
      </c>
      <c r="B62" s="46">
        <f t="shared" si="3"/>
        <v>1</v>
      </c>
      <c r="C62" s="46"/>
      <c r="D62" s="47">
        <f t="shared" si="0"/>
        <v>0</v>
      </c>
      <c r="E62" s="47"/>
      <c r="F62" s="47">
        <f t="shared" ref="F62" si="64">F60</f>
        <v>4.4097999999999997</v>
      </c>
      <c r="G62" s="47"/>
      <c r="H62" s="48">
        <f t="shared" si="1"/>
        <v>0</v>
      </c>
      <c r="I62" s="47" t="e">
        <f t="shared" si="2"/>
        <v>#DIV/0!</v>
      </c>
      <c r="J62" s="38" t="e">
        <f t="shared" si="4"/>
        <v>#DIV/0!</v>
      </c>
      <c r="K62" s="38" t="e">
        <f t="shared" si="5"/>
        <v>#DIV/0!</v>
      </c>
      <c r="L62" s="38" t="e">
        <f t="shared" si="6"/>
        <v>#DIV/0!</v>
      </c>
      <c r="M62" s="35"/>
      <c r="N62" s="35"/>
      <c r="O62" s="35"/>
      <c r="P62" s="35"/>
      <c r="Q62" s="35"/>
      <c r="R62" s="35"/>
      <c r="S62" s="35"/>
      <c r="T62" s="35"/>
      <c r="U62" s="35"/>
    </row>
    <row r="63" spans="1:21" x14ac:dyDescent="0.25">
      <c r="A63" s="40">
        <v>62</v>
      </c>
      <c r="B63" s="41">
        <f t="shared" si="3"/>
        <v>1</v>
      </c>
      <c r="C63" s="41"/>
      <c r="D63" s="42">
        <f t="shared" si="0"/>
        <v>0</v>
      </c>
      <c r="E63" s="42"/>
      <c r="F63" s="42">
        <f t="shared" ref="F63" si="65">F62</f>
        <v>4.4097999999999997</v>
      </c>
      <c r="G63" s="42"/>
      <c r="H63" s="43">
        <f t="shared" si="1"/>
        <v>0</v>
      </c>
      <c r="I63" s="42" t="e">
        <f t="shared" si="2"/>
        <v>#DIV/0!</v>
      </c>
      <c r="J63" s="44" t="e">
        <f t="shared" si="4"/>
        <v>#DIV/0!</v>
      </c>
      <c r="K63" s="44" t="e">
        <f t="shared" si="5"/>
        <v>#DIV/0!</v>
      </c>
      <c r="L63" s="44" t="e">
        <f t="shared" si="6"/>
        <v>#DIV/0!</v>
      </c>
      <c r="M63" s="35"/>
      <c r="N63" s="35"/>
      <c r="O63" s="35"/>
      <c r="P63" s="35"/>
      <c r="Q63" s="35"/>
      <c r="R63" s="35"/>
      <c r="S63" s="35"/>
      <c r="T63" s="35"/>
      <c r="U63" s="35"/>
    </row>
    <row r="64" spans="1:21" x14ac:dyDescent="0.25">
      <c r="A64" s="45">
        <v>63</v>
      </c>
      <c r="B64" s="46">
        <f t="shared" si="3"/>
        <v>1</v>
      </c>
      <c r="C64" s="46"/>
      <c r="D64" s="47">
        <f t="shared" si="0"/>
        <v>0</v>
      </c>
      <c r="E64" s="47"/>
      <c r="F64" s="47">
        <f t="shared" ref="F64" si="66">F62</f>
        <v>4.4097999999999997</v>
      </c>
      <c r="G64" s="47"/>
      <c r="H64" s="48">
        <f t="shared" si="1"/>
        <v>0</v>
      </c>
      <c r="I64" s="47" t="e">
        <f t="shared" si="2"/>
        <v>#DIV/0!</v>
      </c>
      <c r="J64" s="38" t="e">
        <f t="shared" si="4"/>
        <v>#DIV/0!</v>
      </c>
      <c r="K64" s="38" t="e">
        <f t="shared" si="5"/>
        <v>#DIV/0!</v>
      </c>
      <c r="L64" s="38" t="e">
        <f t="shared" si="6"/>
        <v>#DIV/0!</v>
      </c>
      <c r="M64" s="35"/>
      <c r="N64" s="35"/>
      <c r="O64" s="35"/>
      <c r="P64" s="35"/>
      <c r="Q64" s="35"/>
      <c r="R64" s="35"/>
      <c r="S64" s="35"/>
      <c r="T64" s="35"/>
      <c r="U64" s="35"/>
    </row>
    <row r="65" spans="1:21" x14ac:dyDescent="0.25">
      <c r="A65" s="40">
        <v>64</v>
      </c>
      <c r="B65" s="41">
        <f t="shared" si="3"/>
        <v>1</v>
      </c>
      <c r="C65" s="41"/>
      <c r="D65" s="42">
        <f t="shared" si="0"/>
        <v>0</v>
      </c>
      <c r="E65" s="42"/>
      <c r="F65" s="42">
        <f t="shared" ref="F65" si="67">F64</f>
        <v>4.4097999999999997</v>
      </c>
      <c r="G65" s="42"/>
      <c r="H65" s="43">
        <f t="shared" si="1"/>
        <v>0</v>
      </c>
      <c r="I65" s="42" t="e">
        <f t="shared" si="2"/>
        <v>#DIV/0!</v>
      </c>
      <c r="J65" s="44" t="e">
        <f t="shared" si="4"/>
        <v>#DIV/0!</v>
      </c>
      <c r="K65" s="44" t="e">
        <f t="shared" si="5"/>
        <v>#DIV/0!</v>
      </c>
      <c r="L65" s="44" t="e">
        <f t="shared" si="6"/>
        <v>#DIV/0!</v>
      </c>
      <c r="M65" s="35"/>
      <c r="N65" s="35"/>
      <c r="O65" s="35"/>
      <c r="P65" s="35"/>
      <c r="Q65" s="35"/>
      <c r="R65" s="35"/>
      <c r="S65" s="35"/>
      <c r="T65" s="35"/>
      <c r="U65" s="35"/>
    </row>
    <row r="66" spans="1:21" x14ac:dyDescent="0.25">
      <c r="A66" s="45">
        <v>65</v>
      </c>
      <c r="B66" s="46">
        <f t="shared" si="3"/>
        <v>1</v>
      </c>
      <c r="C66" s="46"/>
      <c r="D66" s="47">
        <f t="shared" si="0"/>
        <v>0</v>
      </c>
      <c r="E66" s="47"/>
      <c r="F66" s="47">
        <f t="shared" ref="F66" si="68">F64</f>
        <v>4.4097999999999997</v>
      </c>
      <c r="G66" s="47"/>
      <c r="H66" s="48">
        <f t="shared" si="1"/>
        <v>0</v>
      </c>
      <c r="I66" s="47" t="e">
        <f t="shared" si="2"/>
        <v>#DIV/0!</v>
      </c>
      <c r="J66" s="38" t="e">
        <f t="shared" si="4"/>
        <v>#DIV/0!</v>
      </c>
      <c r="K66" s="38" t="e">
        <f t="shared" si="5"/>
        <v>#DIV/0!</v>
      </c>
      <c r="L66" s="38" t="e">
        <f t="shared" si="6"/>
        <v>#DIV/0!</v>
      </c>
      <c r="M66" s="35"/>
      <c r="N66" s="35"/>
      <c r="O66" s="35"/>
      <c r="P66" s="35"/>
      <c r="Q66" s="35"/>
      <c r="R66" s="35"/>
      <c r="S66" s="35"/>
      <c r="T66" s="35"/>
      <c r="U66" s="35"/>
    </row>
    <row r="67" spans="1:21" x14ac:dyDescent="0.25">
      <c r="A67" s="40">
        <v>66</v>
      </c>
      <c r="B67" s="41">
        <f t="shared" si="3"/>
        <v>1</v>
      </c>
      <c r="C67" s="41"/>
      <c r="D67" s="42">
        <f t="shared" ref="D67:D77" si="69">C67-B67+1</f>
        <v>0</v>
      </c>
      <c r="E67" s="42"/>
      <c r="F67" s="42">
        <f t="shared" ref="F67" si="70">F66</f>
        <v>4.4097999999999997</v>
      </c>
      <c r="G67" s="42"/>
      <c r="H67" s="43">
        <f t="shared" ref="H67:H77" si="71">F67*G67</f>
        <v>0</v>
      </c>
      <c r="I67" s="42" t="e">
        <f t="shared" ref="I67:I77" si="72">H67/D67</f>
        <v>#DIV/0!</v>
      </c>
      <c r="J67" s="44" t="e">
        <f t="shared" si="4"/>
        <v>#DIV/0!</v>
      </c>
      <c r="K67" s="44" t="e">
        <f t="shared" si="5"/>
        <v>#DIV/0!</v>
      </c>
      <c r="L67" s="44" t="e">
        <f t="shared" si="6"/>
        <v>#DIV/0!</v>
      </c>
      <c r="M67" s="35"/>
      <c r="N67" s="35"/>
      <c r="O67" s="35"/>
      <c r="P67" s="35"/>
      <c r="Q67" s="35"/>
      <c r="R67" s="35"/>
      <c r="S67" s="35"/>
      <c r="T67" s="35"/>
      <c r="U67" s="35"/>
    </row>
    <row r="68" spans="1:21" x14ac:dyDescent="0.25">
      <c r="A68" s="45">
        <v>67</v>
      </c>
      <c r="B68" s="46">
        <f t="shared" ref="B68:B77" si="73">C67+1</f>
        <v>1</v>
      </c>
      <c r="C68" s="46"/>
      <c r="D68" s="47">
        <f t="shared" si="69"/>
        <v>0</v>
      </c>
      <c r="E68" s="47"/>
      <c r="F68" s="47">
        <f t="shared" ref="F68" si="74">F66</f>
        <v>4.4097999999999997</v>
      </c>
      <c r="G68" s="47"/>
      <c r="H68" s="48">
        <f t="shared" si="71"/>
        <v>0</v>
      </c>
      <c r="I68" s="47" t="e">
        <f t="shared" si="72"/>
        <v>#DIV/0!</v>
      </c>
      <c r="J68" s="38" t="e">
        <f t="shared" ref="J68:J77" si="75">E68/D68</f>
        <v>#DIV/0!</v>
      </c>
      <c r="K68" s="38" t="e">
        <f t="shared" ref="K68:K77" si="76">G68/D68</f>
        <v>#DIV/0!</v>
      </c>
      <c r="L68" s="38" t="e">
        <f t="shared" ref="L68:L77" si="77">K68*F68</f>
        <v>#DIV/0!</v>
      </c>
      <c r="M68" s="35"/>
      <c r="N68" s="35"/>
      <c r="O68" s="35"/>
      <c r="P68" s="35"/>
      <c r="Q68" s="35"/>
      <c r="R68" s="35"/>
      <c r="S68" s="35"/>
      <c r="T68" s="35"/>
      <c r="U68" s="35"/>
    </row>
    <row r="69" spans="1:21" x14ac:dyDescent="0.25">
      <c r="A69" s="40">
        <v>68</v>
      </c>
      <c r="B69" s="41">
        <f t="shared" si="73"/>
        <v>1</v>
      </c>
      <c r="C69" s="41"/>
      <c r="D69" s="42">
        <f t="shared" si="69"/>
        <v>0</v>
      </c>
      <c r="E69" s="42"/>
      <c r="F69" s="42">
        <f t="shared" ref="F69" si="78">F68</f>
        <v>4.4097999999999997</v>
      </c>
      <c r="G69" s="42"/>
      <c r="H69" s="43">
        <f t="shared" si="71"/>
        <v>0</v>
      </c>
      <c r="I69" s="42" t="e">
        <f t="shared" si="72"/>
        <v>#DIV/0!</v>
      </c>
      <c r="J69" s="44" t="e">
        <f t="shared" si="75"/>
        <v>#DIV/0!</v>
      </c>
      <c r="K69" s="44" t="e">
        <f t="shared" si="76"/>
        <v>#DIV/0!</v>
      </c>
      <c r="L69" s="44" t="e">
        <f t="shared" si="77"/>
        <v>#DIV/0!</v>
      </c>
      <c r="M69" s="35"/>
      <c r="N69" s="35"/>
      <c r="O69" s="35"/>
      <c r="P69" s="35"/>
      <c r="Q69" s="35"/>
      <c r="R69" s="35"/>
      <c r="S69" s="35"/>
      <c r="T69" s="35"/>
      <c r="U69" s="35"/>
    </row>
    <row r="70" spans="1:21" x14ac:dyDescent="0.25">
      <c r="A70" s="45">
        <v>69</v>
      </c>
      <c r="B70" s="46">
        <f t="shared" si="73"/>
        <v>1</v>
      </c>
      <c r="C70" s="46"/>
      <c r="D70" s="47">
        <f t="shared" si="69"/>
        <v>0</v>
      </c>
      <c r="E70" s="47"/>
      <c r="F70" s="47">
        <f t="shared" ref="F70" si="79">F68</f>
        <v>4.4097999999999997</v>
      </c>
      <c r="G70" s="47"/>
      <c r="H70" s="48">
        <f t="shared" si="71"/>
        <v>0</v>
      </c>
      <c r="I70" s="47" t="e">
        <f t="shared" si="72"/>
        <v>#DIV/0!</v>
      </c>
      <c r="J70" s="38" t="e">
        <f t="shared" si="75"/>
        <v>#DIV/0!</v>
      </c>
      <c r="K70" s="38" t="e">
        <f t="shared" si="76"/>
        <v>#DIV/0!</v>
      </c>
      <c r="L70" s="38" t="e">
        <f t="shared" si="77"/>
        <v>#DIV/0!</v>
      </c>
      <c r="M70" s="35"/>
      <c r="N70" s="35"/>
      <c r="O70" s="35"/>
      <c r="P70" s="35"/>
      <c r="Q70" s="35"/>
      <c r="R70" s="35"/>
      <c r="S70" s="35"/>
      <c r="T70" s="35"/>
      <c r="U70" s="35"/>
    </row>
    <row r="71" spans="1:21" x14ac:dyDescent="0.25">
      <c r="A71" s="40">
        <v>70</v>
      </c>
      <c r="B71" s="41">
        <f t="shared" si="73"/>
        <v>1</v>
      </c>
      <c r="C71" s="41"/>
      <c r="D71" s="42">
        <f t="shared" si="69"/>
        <v>0</v>
      </c>
      <c r="E71" s="42"/>
      <c r="F71" s="42">
        <f t="shared" ref="F71" si="80">F70</f>
        <v>4.4097999999999997</v>
      </c>
      <c r="G71" s="42"/>
      <c r="H71" s="43">
        <f t="shared" si="71"/>
        <v>0</v>
      </c>
      <c r="I71" s="42" t="e">
        <f t="shared" si="72"/>
        <v>#DIV/0!</v>
      </c>
      <c r="J71" s="44" t="e">
        <f t="shared" si="75"/>
        <v>#DIV/0!</v>
      </c>
      <c r="K71" s="44" t="e">
        <f t="shared" si="76"/>
        <v>#DIV/0!</v>
      </c>
      <c r="L71" s="44" t="e">
        <f t="shared" si="77"/>
        <v>#DIV/0!</v>
      </c>
      <c r="M71" s="35"/>
      <c r="N71" s="35"/>
      <c r="O71" s="35"/>
      <c r="P71" s="35"/>
      <c r="Q71" s="35"/>
      <c r="R71" s="35"/>
      <c r="S71" s="35"/>
      <c r="T71" s="35"/>
      <c r="U71" s="35"/>
    </row>
    <row r="72" spans="1:21" x14ac:dyDescent="0.25">
      <c r="A72" s="45">
        <v>71</v>
      </c>
      <c r="B72" s="46">
        <f t="shared" si="73"/>
        <v>1</v>
      </c>
      <c r="C72" s="46"/>
      <c r="D72" s="47">
        <f t="shared" si="69"/>
        <v>0</v>
      </c>
      <c r="E72" s="47"/>
      <c r="F72" s="47">
        <f t="shared" ref="F72" si="81">F70</f>
        <v>4.4097999999999997</v>
      </c>
      <c r="G72" s="47"/>
      <c r="H72" s="48">
        <f t="shared" si="71"/>
        <v>0</v>
      </c>
      <c r="I72" s="47" t="e">
        <f t="shared" si="72"/>
        <v>#DIV/0!</v>
      </c>
      <c r="J72" s="38" t="e">
        <f t="shared" si="75"/>
        <v>#DIV/0!</v>
      </c>
      <c r="K72" s="38" t="e">
        <f t="shared" si="76"/>
        <v>#DIV/0!</v>
      </c>
      <c r="L72" s="38" t="e">
        <f t="shared" si="77"/>
        <v>#DIV/0!</v>
      </c>
      <c r="M72" s="35"/>
      <c r="N72" s="35"/>
      <c r="O72" s="35"/>
      <c r="P72" s="35"/>
      <c r="Q72" s="35"/>
      <c r="R72" s="35"/>
      <c r="S72" s="35"/>
      <c r="T72" s="35"/>
      <c r="U72" s="35"/>
    </row>
    <row r="73" spans="1:21" x14ac:dyDescent="0.25">
      <c r="A73" s="40">
        <v>72</v>
      </c>
      <c r="B73" s="41">
        <f t="shared" si="73"/>
        <v>1</v>
      </c>
      <c r="C73" s="41"/>
      <c r="D73" s="42">
        <f t="shared" si="69"/>
        <v>0</v>
      </c>
      <c r="E73" s="42"/>
      <c r="F73" s="42">
        <f t="shared" ref="F73" si="82">F72</f>
        <v>4.4097999999999997</v>
      </c>
      <c r="G73" s="42"/>
      <c r="H73" s="43">
        <f t="shared" si="71"/>
        <v>0</v>
      </c>
      <c r="I73" s="42" t="e">
        <f t="shared" si="72"/>
        <v>#DIV/0!</v>
      </c>
      <c r="J73" s="44" t="e">
        <f t="shared" si="75"/>
        <v>#DIV/0!</v>
      </c>
      <c r="K73" s="44" t="e">
        <f t="shared" si="76"/>
        <v>#DIV/0!</v>
      </c>
      <c r="L73" s="44" t="e">
        <f t="shared" si="77"/>
        <v>#DIV/0!</v>
      </c>
      <c r="M73" s="35"/>
      <c r="N73" s="35"/>
      <c r="O73" s="35"/>
      <c r="P73" s="35"/>
      <c r="Q73" s="35"/>
      <c r="R73" s="35"/>
      <c r="S73" s="35"/>
      <c r="T73" s="35"/>
      <c r="U73" s="35"/>
    </row>
    <row r="74" spans="1:21" x14ac:dyDescent="0.25">
      <c r="A74" s="45">
        <v>73</v>
      </c>
      <c r="B74" s="46">
        <f t="shared" si="73"/>
        <v>1</v>
      </c>
      <c r="C74" s="46"/>
      <c r="D74" s="47">
        <f t="shared" si="69"/>
        <v>0</v>
      </c>
      <c r="E74" s="47"/>
      <c r="F74" s="47">
        <f t="shared" ref="F74" si="83">F72</f>
        <v>4.4097999999999997</v>
      </c>
      <c r="G74" s="47"/>
      <c r="H74" s="48">
        <f t="shared" si="71"/>
        <v>0</v>
      </c>
      <c r="I74" s="47" t="e">
        <f t="shared" si="72"/>
        <v>#DIV/0!</v>
      </c>
      <c r="J74" s="38" t="e">
        <f t="shared" si="75"/>
        <v>#DIV/0!</v>
      </c>
      <c r="K74" s="38" t="e">
        <f t="shared" si="76"/>
        <v>#DIV/0!</v>
      </c>
      <c r="L74" s="38" t="e">
        <f t="shared" si="77"/>
        <v>#DIV/0!</v>
      </c>
      <c r="M74" s="35"/>
      <c r="N74" s="35"/>
      <c r="O74" s="35"/>
      <c r="P74" s="35"/>
      <c r="Q74" s="35"/>
      <c r="R74" s="35"/>
      <c r="S74" s="35"/>
      <c r="T74" s="35"/>
      <c r="U74" s="35"/>
    </row>
    <row r="75" spans="1:21" x14ac:dyDescent="0.25">
      <c r="A75" s="40">
        <v>74</v>
      </c>
      <c r="B75" s="41">
        <f t="shared" si="73"/>
        <v>1</v>
      </c>
      <c r="C75" s="41"/>
      <c r="D75" s="42">
        <f t="shared" si="69"/>
        <v>0</v>
      </c>
      <c r="E75" s="42"/>
      <c r="F75" s="42">
        <f t="shared" ref="F75" si="84">F74</f>
        <v>4.4097999999999997</v>
      </c>
      <c r="G75" s="42"/>
      <c r="H75" s="43">
        <f t="shared" si="71"/>
        <v>0</v>
      </c>
      <c r="I75" s="42" t="e">
        <f t="shared" si="72"/>
        <v>#DIV/0!</v>
      </c>
      <c r="J75" s="44" t="e">
        <f t="shared" si="75"/>
        <v>#DIV/0!</v>
      </c>
      <c r="K75" s="44" t="e">
        <f t="shared" si="76"/>
        <v>#DIV/0!</v>
      </c>
      <c r="L75" s="44" t="e">
        <f t="shared" si="77"/>
        <v>#DIV/0!</v>
      </c>
      <c r="M75" s="35"/>
      <c r="N75" s="35"/>
      <c r="O75" s="35"/>
      <c r="P75" s="35"/>
      <c r="Q75" s="35"/>
      <c r="R75" s="35"/>
      <c r="S75" s="35"/>
      <c r="T75" s="35"/>
      <c r="U75" s="35"/>
    </row>
    <row r="76" spans="1:21" x14ac:dyDescent="0.25">
      <c r="A76" s="45">
        <v>75</v>
      </c>
      <c r="B76" s="46">
        <f t="shared" si="73"/>
        <v>1</v>
      </c>
      <c r="C76" s="46"/>
      <c r="D76" s="47">
        <f t="shared" si="69"/>
        <v>0</v>
      </c>
      <c r="E76" s="47"/>
      <c r="F76" s="47">
        <f t="shared" ref="F76" si="85">F74</f>
        <v>4.4097999999999997</v>
      </c>
      <c r="G76" s="47"/>
      <c r="H76" s="48">
        <f t="shared" si="71"/>
        <v>0</v>
      </c>
      <c r="I76" s="47" t="e">
        <f t="shared" si="72"/>
        <v>#DIV/0!</v>
      </c>
      <c r="J76" s="38" t="e">
        <f t="shared" si="75"/>
        <v>#DIV/0!</v>
      </c>
      <c r="K76" s="38" t="e">
        <f t="shared" si="76"/>
        <v>#DIV/0!</v>
      </c>
      <c r="L76" s="38" t="e">
        <f t="shared" si="77"/>
        <v>#DIV/0!</v>
      </c>
      <c r="M76" s="35"/>
      <c r="N76" s="35"/>
      <c r="O76" s="35"/>
      <c r="P76" s="35"/>
      <c r="Q76" s="35"/>
      <c r="R76" s="35"/>
      <c r="S76" s="35"/>
      <c r="T76" s="35"/>
      <c r="U76" s="35"/>
    </row>
    <row r="77" spans="1:21" x14ac:dyDescent="0.25">
      <c r="A77" s="40">
        <v>76</v>
      </c>
      <c r="B77" s="41">
        <f t="shared" si="73"/>
        <v>1</v>
      </c>
      <c r="C77" s="41"/>
      <c r="D77" s="42">
        <f t="shared" si="69"/>
        <v>0</v>
      </c>
      <c r="E77" s="42"/>
      <c r="F77" s="42">
        <f t="shared" ref="F77" si="86">F76</f>
        <v>4.4097999999999997</v>
      </c>
      <c r="G77" s="42"/>
      <c r="H77" s="43">
        <f t="shared" si="71"/>
        <v>0</v>
      </c>
      <c r="I77" s="42" t="e">
        <f t="shared" si="72"/>
        <v>#DIV/0!</v>
      </c>
      <c r="J77" s="44" t="e">
        <f t="shared" si="75"/>
        <v>#DIV/0!</v>
      </c>
      <c r="K77" s="44" t="e">
        <f t="shared" si="76"/>
        <v>#DIV/0!</v>
      </c>
      <c r="L77" s="44" t="e">
        <f t="shared" si="77"/>
        <v>#DIV/0!</v>
      </c>
      <c r="M77" s="35"/>
      <c r="N77" s="35"/>
      <c r="O77" s="35"/>
      <c r="P77" s="35"/>
      <c r="Q77" s="35"/>
      <c r="R77" s="35"/>
      <c r="S77" s="35"/>
      <c r="T77" s="35"/>
      <c r="U77" s="35"/>
    </row>
    <row r="78" spans="1:21" x14ac:dyDescent="0.25"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35"/>
      <c r="N78" s="35"/>
      <c r="O78" s="35"/>
      <c r="P78" s="35"/>
      <c r="Q78" s="35"/>
      <c r="R78" s="35"/>
      <c r="S78" s="35"/>
      <c r="T78" s="35"/>
      <c r="U78" s="35"/>
    </row>
    <row r="79" spans="1:21" x14ac:dyDescent="0.25"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35"/>
      <c r="N79" s="35"/>
      <c r="O79" s="35"/>
      <c r="P79" s="35"/>
      <c r="Q79" s="35"/>
      <c r="R79" s="35"/>
      <c r="S79" s="35"/>
      <c r="T79" s="35"/>
      <c r="U79" s="35"/>
    </row>
    <row r="80" spans="1:21" x14ac:dyDescent="0.25"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35"/>
      <c r="N80" s="35"/>
      <c r="O80" s="35"/>
      <c r="P80" s="35"/>
      <c r="Q80" s="35"/>
      <c r="R80" s="35"/>
      <c r="S80" s="35"/>
      <c r="T80" s="35"/>
      <c r="U80" s="35"/>
    </row>
    <row r="81" spans="2:21" x14ac:dyDescent="0.25"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35"/>
      <c r="N81" s="35"/>
      <c r="O81" s="35"/>
      <c r="P81" s="35"/>
      <c r="Q81" s="35"/>
      <c r="R81" s="35"/>
      <c r="S81" s="35"/>
      <c r="T81" s="35"/>
      <c r="U81" s="35"/>
    </row>
    <row r="82" spans="2:21" x14ac:dyDescent="0.25"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35"/>
      <c r="N82" s="35"/>
      <c r="O82" s="35"/>
      <c r="P82" s="35"/>
      <c r="Q82" s="35"/>
      <c r="R82" s="35"/>
      <c r="S82" s="35"/>
      <c r="T82" s="35"/>
      <c r="U82" s="35"/>
    </row>
    <row r="83" spans="2:21" x14ac:dyDescent="0.25"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35"/>
      <c r="N83" s="35"/>
      <c r="O83" s="35"/>
      <c r="P83" s="35"/>
      <c r="Q83" s="35"/>
      <c r="R83" s="35"/>
      <c r="S83" s="35"/>
      <c r="T83" s="35"/>
      <c r="U83" s="35"/>
    </row>
    <row r="84" spans="2:21" x14ac:dyDescent="0.25"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35"/>
      <c r="N84" s="35"/>
      <c r="O84" s="35"/>
      <c r="P84" s="35"/>
      <c r="Q84" s="35"/>
      <c r="R84" s="35"/>
      <c r="S84" s="35"/>
      <c r="T84" s="35"/>
      <c r="U84" s="35"/>
    </row>
    <row r="85" spans="2:21" x14ac:dyDescent="0.25"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35"/>
      <c r="N85" s="35"/>
      <c r="O85" s="35"/>
      <c r="P85" s="35"/>
      <c r="Q85" s="35"/>
      <c r="R85" s="35"/>
      <c r="S85" s="35"/>
      <c r="T85" s="35"/>
      <c r="U85" s="35"/>
    </row>
    <row r="86" spans="2:21" x14ac:dyDescent="0.25"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35"/>
      <c r="N86" s="35"/>
      <c r="O86" s="35"/>
      <c r="P86" s="35"/>
      <c r="Q86" s="35"/>
      <c r="R86" s="35"/>
      <c r="S86" s="35"/>
      <c r="T86" s="35"/>
      <c r="U86" s="35"/>
    </row>
    <row r="87" spans="2:21" x14ac:dyDescent="0.25"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35"/>
      <c r="N87" s="35"/>
      <c r="O87" s="35"/>
      <c r="P87" s="35"/>
      <c r="Q87" s="35"/>
      <c r="R87" s="35"/>
      <c r="S87" s="35"/>
      <c r="T87" s="35"/>
      <c r="U87" s="35"/>
    </row>
    <row r="88" spans="2:21" x14ac:dyDescent="0.25"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35"/>
      <c r="N88" s="35"/>
      <c r="O88" s="35"/>
      <c r="P88" s="35"/>
      <c r="Q88" s="35"/>
      <c r="R88" s="35"/>
      <c r="S88" s="35"/>
      <c r="T88" s="35"/>
      <c r="U88" s="35"/>
    </row>
    <row r="89" spans="2:21" x14ac:dyDescent="0.25"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35"/>
      <c r="N89" s="35"/>
      <c r="O89" s="35"/>
      <c r="P89" s="35"/>
      <c r="Q89" s="35"/>
      <c r="R89" s="35"/>
      <c r="S89" s="35"/>
      <c r="T89" s="35"/>
      <c r="U89" s="35"/>
    </row>
    <row r="90" spans="2:21" x14ac:dyDescent="0.25"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35"/>
      <c r="N90" s="35"/>
      <c r="O90" s="35"/>
      <c r="P90" s="35"/>
      <c r="Q90" s="35"/>
      <c r="R90" s="35"/>
      <c r="S90" s="35"/>
      <c r="T90" s="35"/>
      <c r="U90" s="35"/>
    </row>
    <row r="91" spans="2:21" x14ac:dyDescent="0.25"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35"/>
      <c r="N91" s="35"/>
      <c r="O91" s="35"/>
      <c r="P91" s="35"/>
      <c r="Q91" s="35"/>
      <c r="R91" s="35"/>
      <c r="S91" s="35"/>
      <c r="T91" s="35"/>
      <c r="U91" s="35"/>
    </row>
    <row r="92" spans="2:21" x14ac:dyDescent="0.25"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35"/>
      <c r="N92" s="35"/>
      <c r="O92" s="35"/>
      <c r="P92" s="35"/>
      <c r="Q92" s="35"/>
      <c r="R92" s="35"/>
      <c r="S92" s="35"/>
      <c r="T92" s="35"/>
      <c r="U92" s="35"/>
    </row>
    <row r="93" spans="2:21" x14ac:dyDescent="0.25"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35"/>
      <c r="N93" s="35"/>
      <c r="O93" s="35"/>
      <c r="P93" s="35"/>
      <c r="Q93" s="35"/>
      <c r="R93" s="35"/>
      <c r="S93" s="35"/>
      <c r="T93" s="35"/>
      <c r="U93" s="35"/>
    </row>
    <row r="94" spans="2:21" x14ac:dyDescent="0.25"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35"/>
      <c r="N94" s="35"/>
      <c r="O94" s="35"/>
      <c r="P94" s="35"/>
      <c r="Q94" s="35"/>
      <c r="R94" s="35"/>
      <c r="S94" s="35"/>
      <c r="T94" s="35"/>
      <c r="U94" s="35"/>
    </row>
    <row r="95" spans="2:21" x14ac:dyDescent="0.25"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35"/>
      <c r="N95" s="35"/>
      <c r="O95" s="35"/>
      <c r="P95" s="35"/>
      <c r="Q95" s="35"/>
      <c r="R95" s="35"/>
      <c r="S95" s="35"/>
      <c r="T95" s="35"/>
      <c r="U95" s="35"/>
    </row>
    <row r="96" spans="2:21" x14ac:dyDescent="0.25"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35"/>
      <c r="N96" s="35"/>
      <c r="O96" s="35"/>
      <c r="P96" s="35"/>
      <c r="Q96" s="35"/>
      <c r="R96" s="35"/>
      <c r="S96" s="35"/>
      <c r="T96" s="35"/>
      <c r="U96" s="35"/>
    </row>
    <row r="97" spans="2:21" x14ac:dyDescent="0.25"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35"/>
      <c r="N97" s="35"/>
      <c r="O97" s="35"/>
      <c r="P97" s="35"/>
      <c r="Q97" s="35"/>
      <c r="R97" s="35"/>
      <c r="S97" s="35"/>
      <c r="T97" s="35"/>
      <c r="U97" s="35"/>
    </row>
    <row r="98" spans="2:21" x14ac:dyDescent="0.25"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35"/>
      <c r="N98" s="35"/>
      <c r="O98" s="35"/>
      <c r="P98" s="35"/>
      <c r="Q98" s="35"/>
      <c r="R98" s="35"/>
      <c r="S98" s="35"/>
      <c r="T98" s="35"/>
      <c r="U98" s="35"/>
    </row>
    <row r="99" spans="2:21" x14ac:dyDescent="0.25"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35"/>
      <c r="N99" s="35"/>
      <c r="O99" s="35"/>
      <c r="P99" s="35"/>
      <c r="Q99" s="35"/>
      <c r="R99" s="35"/>
      <c r="S99" s="35"/>
      <c r="T99" s="35"/>
      <c r="U99" s="35"/>
    </row>
    <row r="100" spans="2:21" x14ac:dyDescent="0.25"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35"/>
      <c r="N100" s="35"/>
      <c r="O100" s="35"/>
      <c r="P100" s="35"/>
      <c r="Q100" s="35"/>
      <c r="R100" s="35"/>
      <c r="S100" s="35"/>
      <c r="T100" s="35"/>
      <c r="U100" s="35"/>
    </row>
    <row r="101" spans="2:21" x14ac:dyDescent="0.25"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35"/>
      <c r="N101" s="35"/>
      <c r="O101" s="35"/>
      <c r="P101" s="35"/>
      <c r="Q101" s="35"/>
      <c r="R101" s="35"/>
      <c r="S101" s="35"/>
      <c r="T101" s="35"/>
      <c r="U101" s="35"/>
    </row>
    <row r="102" spans="2:21" x14ac:dyDescent="0.25"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35"/>
      <c r="N102" s="35"/>
      <c r="O102" s="35"/>
      <c r="P102" s="35"/>
      <c r="Q102" s="35"/>
      <c r="R102" s="35"/>
      <c r="S102" s="35"/>
      <c r="T102" s="35"/>
      <c r="U102" s="35"/>
    </row>
    <row r="103" spans="2:21" x14ac:dyDescent="0.25"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35"/>
      <c r="N103" s="35"/>
      <c r="O103" s="35"/>
      <c r="P103" s="35"/>
      <c r="Q103" s="35"/>
      <c r="R103" s="35"/>
      <c r="S103" s="35"/>
      <c r="T103" s="35"/>
      <c r="U103" s="35"/>
    </row>
    <row r="104" spans="2:21" x14ac:dyDescent="0.25"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35"/>
      <c r="N104" s="35"/>
      <c r="O104" s="35"/>
      <c r="P104" s="35"/>
      <c r="Q104" s="35"/>
      <c r="R104" s="35"/>
      <c r="S104" s="35"/>
      <c r="T104" s="35"/>
      <c r="U104" s="35"/>
    </row>
    <row r="105" spans="2:21" x14ac:dyDescent="0.25"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35"/>
      <c r="N105" s="35"/>
      <c r="O105" s="35"/>
      <c r="P105" s="35"/>
      <c r="Q105" s="35"/>
      <c r="R105" s="35"/>
      <c r="S105" s="35"/>
      <c r="T105" s="35"/>
      <c r="U105" s="35"/>
    </row>
    <row r="106" spans="2:21" x14ac:dyDescent="0.25"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35"/>
      <c r="N106" s="35"/>
      <c r="O106" s="35"/>
      <c r="P106" s="35"/>
      <c r="Q106" s="35"/>
      <c r="R106" s="35"/>
      <c r="S106" s="35"/>
      <c r="T106" s="35"/>
      <c r="U106" s="35"/>
    </row>
    <row r="107" spans="2:21" x14ac:dyDescent="0.25"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35"/>
      <c r="N107" s="35"/>
      <c r="O107" s="35"/>
      <c r="P107" s="35"/>
      <c r="Q107" s="35"/>
      <c r="R107" s="35"/>
      <c r="S107" s="35"/>
      <c r="T107" s="35"/>
      <c r="U107" s="35"/>
    </row>
    <row r="108" spans="2:21" x14ac:dyDescent="0.25"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35"/>
      <c r="N108" s="35"/>
      <c r="O108" s="35"/>
      <c r="P108" s="35"/>
      <c r="Q108" s="35"/>
      <c r="R108" s="35"/>
      <c r="S108" s="35"/>
      <c r="T108" s="35"/>
      <c r="U108" s="35"/>
    </row>
    <row r="109" spans="2:21" x14ac:dyDescent="0.25"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35"/>
      <c r="N109" s="35"/>
      <c r="O109" s="35"/>
      <c r="P109" s="35"/>
      <c r="Q109" s="35"/>
      <c r="R109" s="35"/>
      <c r="S109" s="35"/>
      <c r="T109" s="35"/>
      <c r="U109" s="35"/>
    </row>
    <row r="110" spans="2:21" x14ac:dyDescent="0.25"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35"/>
      <c r="N110" s="35"/>
      <c r="O110" s="35"/>
      <c r="P110" s="35"/>
      <c r="Q110" s="35"/>
      <c r="R110" s="35"/>
      <c r="S110" s="35"/>
      <c r="T110" s="35"/>
      <c r="U110" s="35"/>
    </row>
    <row r="111" spans="2:21" x14ac:dyDescent="0.25"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35"/>
      <c r="N111" s="35"/>
      <c r="O111" s="35"/>
      <c r="P111" s="35"/>
      <c r="Q111" s="35"/>
      <c r="R111" s="35"/>
      <c r="S111" s="35"/>
      <c r="T111" s="35"/>
      <c r="U111" s="35"/>
    </row>
    <row r="112" spans="2:21" x14ac:dyDescent="0.25"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35"/>
      <c r="N112" s="35"/>
      <c r="O112" s="35"/>
      <c r="P112" s="35"/>
      <c r="Q112" s="35"/>
      <c r="R112" s="35"/>
      <c r="S112" s="35"/>
      <c r="T112" s="35"/>
      <c r="U112" s="35"/>
    </row>
    <row r="113" spans="2:21" x14ac:dyDescent="0.25"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35"/>
      <c r="N113" s="35"/>
      <c r="O113" s="35"/>
      <c r="P113" s="35"/>
      <c r="Q113" s="35"/>
      <c r="R113" s="35"/>
      <c r="S113" s="35"/>
      <c r="T113" s="35"/>
      <c r="U113" s="35"/>
    </row>
    <row r="114" spans="2:21" x14ac:dyDescent="0.25"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35"/>
      <c r="N114" s="35"/>
      <c r="O114" s="35"/>
      <c r="P114" s="35"/>
      <c r="Q114" s="35"/>
      <c r="R114" s="35"/>
      <c r="S114" s="35"/>
      <c r="T114" s="35"/>
      <c r="U114" s="35"/>
    </row>
    <row r="115" spans="2:21" x14ac:dyDescent="0.25"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35"/>
      <c r="N115" s="35"/>
      <c r="O115" s="35"/>
      <c r="P115" s="35"/>
      <c r="Q115" s="35"/>
      <c r="R115" s="35"/>
      <c r="S115" s="35"/>
      <c r="T115" s="35"/>
      <c r="U115" s="35"/>
    </row>
    <row r="116" spans="2:21" x14ac:dyDescent="0.25"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35"/>
      <c r="N116" s="35"/>
      <c r="O116" s="35"/>
      <c r="P116" s="35"/>
      <c r="Q116" s="35"/>
      <c r="R116" s="35"/>
      <c r="S116" s="35"/>
      <c r="T116" s="35"/>
      <c r="U116" s="35"/>
    </row>
    <row r="117" spans="2:21" x14ac:dyDescent="0.25"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35"/>
      <c r="N117" s="35"/>
      <c r="O117" s="35"/>
      <c r="P117" s="35"/>
      <c r="Q117" s="35"/>
      <c r="R117" s="35"/>
      <c r="S117" s="35"/>
      <c r="T117" s="35"/>
      <c r="U117" s="35"/>
    </row>
    <row r="118" spans="2:21" x14ac:dyDescent="0.25"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35"/>
      <c r="N118" s="35"/>
      <c r="O118" s="35"/>
      <c r="P118" s="35"/>
      <c r="Q118" s="35"/>
      <c r="R118" s="35"/>
      <c r="S118" s="35"/>
      <c r="T118" s="35"/>
      <c r="U118" s="35"/>
    </row>
    <row r="119" spans="2:21" x14ac:dyDescent="0.25"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35"/>
      <c r="N119" s="35"/>
      <c r="O119" s="35"/>
      <c r="P119" s="35"/>
      <c r="Q119" s="35"/>
      <c r="R119" s="35"/>
      <c r="S119" s="35"/>
      <c r="T119" s="35"/>
      <c r="U119" s="35"/>
    </row>
    <row r="120" spans="2:21" x14ac:dyDescent="0.25"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35"/>
      <c r="N120" s="35"/>
      <c r="O120" s="35"/>
      <c r="P120" s="35"/>
      <c r="Q120" s="35"/>
      <c r="R120" s="35"/>
      <c r="S120" s="35"/>
      <c r="T120" s="35"/>
      <c r="U120" s="35"/>
    </row>
    <row r="121" spans="2:21" x14ac:dyDescent="0.25"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35"/>
      <c r="N121" s="35"/>
      <c r="O121" s="35"/>
      <c r="P121" s="35"/>
      <c r="Q121" s="35"/>
      <c r="R121" s="35"/>
      <c r="S121" s="35"/>
      <c r="T121" s="35"/>
      <c r="U121" s="35"/>
    </row>
    <row r="122" spans="2:21" x14ac:dyDescent="0.25"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35"/>
      <c r="N122" s="35"/>
      <c r="O122" s="35"/>
      <c r="P122" s="35"/>
      <c r="Q122" s="35"/>
      <c r="R122" s="35"/>
      <c r="S122" s="35"/>
      <c r="T122" s="35"/>
      <c r="U122" s="35"/>
    </row>
    <row r="123" spans="2:21" x14ac:dyDescent="0.25"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35"/>
      <c r="N123" s="35"/>
      <c r="O123" s="35"/>
      <c r="P123" s="35"/>
      <c r="Q123" s="35"/>
      <c r="R123" s="35"/>
      <c r="S123" s="35"/>
      <c r="T123" s="35"/>
      <c r="U123" s="35"/>
    </row>
    <row r="124" spans="2:21" x14ac:dyDescent="0.25"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35"/>
      <c r="N124" s="35"/>
      <c r="O124" s="35"/>
      <c r="P124" s="35"/>
      <c r="Q124" s="35"/>
      <c r="R124" s="35"/>
      <c r="S124" s="35"/>
      <c r="T124" s="35"/>
      <c r="U124" s="35"/>
    </row>
    <row r="125" spans="2:21" x14ac:dyDescent="0.25"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35"/>
      <c r="N125" s="35"/>
      <c r="O125" s="35"/>
      <c r="P125" s="35"/>
      <c r="Q125" s="35"/>
      <c r="R125" s="35"/>
      <c r="S125" s="35"/>
      <c r="T125" s="35"/>
      <c r="U125" s="35"/>
    </row>
    <row r="126" spans="2:21" x14ac:dyDescent="0.25"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35"/>
      <c r="N126" s="35"/>
      <c r="O126" s="35"/>
      <c r="P126" s="35"/>
      <c r="Q126" s="35"/>
      <c r="R126" s="35"/>
      <c r="S126" s="35"/>
      <c r="T126" s="35"/>
      <c r="U126" s="35"/>
    </row>
    <row r="127" spans="2:21" x14ac:dyDescent="0.25"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35"/>
      <c r="N127" s="35"/>
      <c r="O127" s="35"/>
      <c r="P127" s="35"/>
      <c r="Q127" s="35"/>
      <c r="R127" s="35"/>
      <c r="S127" s="35"/>
      <c r="T127" s="35"/>
      <c r="U127" s="35"/>
    </row>
    <row r="128" spans="2:21" x14ac:dyDescent="0.25"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35"/>
      <c r="N128" s="35"/>
      <c r="O128" s="35"/>
      <c r="P128" s="35"/>
      <c r="Q128" s="35"/>
      <c r="R128" s="35"/>
      <c r="S128" s="35"/>
      <c r="T128" s="35"/>
      <c r="U128" s="35"/>
    </row>
    <row r="129" spans="2:21" x14ac:dyDescent="0.25"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35"/>
      <c r="N129" s="35"/>
      <c r="O129" s="35"/>
      <c r="P129" s="35"/>
      <c r="Q129" s="35"/>
      <c r="R129" s="35"/>
      <c r="S129" s="35"/>
      <c r="T129" s="35"/>
      <c r="U129" s="35"/>
    </row>
    <row r="130" spans="2:21" x14ac:dyDescent="0.25"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35"/>
      <c r="N130" s="35"/>
      <c r="O130" s="35"/>
      <c r="P130" s="35"/>
      <c r="Q130" s="35"/>
      <c r="R130" s="35"/>
      <c r="S130" s="35"/>
      <c r="T130" s="35"/>
      <c r="U130" s="35"/>
    </row>
    <row r="131" spans="2:21" x14ac:dyDescent="0.25"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35"/>
      <c r="N131" s="35"/>
      <c r="O131" s="35"/>
      <c r="P131" s="35"/>
      <c r="Q131" s="35"/>
      <c r="R131" s="35"/>
      <c r="S131" s="35"/>
      <c r="T131" s="35"/>
      <c r="U131" s="35"/>
    </row>
    <row r="132" spans="2:21" x14ac:dyDescent="0.25"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35"/>
      <c r="N132" s="35"/>
      <c r="O132" s="35"/>
      <c r="P132" s="35"/>
      <c r="Q132" s="35"/>
      <c r="R132" s="35"/>
      <c r="S132" s="35"/>
      <c r="T132" s="35"/>
      <c r="U132" s="35"/>
    </row>
    <row r="133" spans="2:21" x14ac:dyDescent="0.25"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35"/>
      <c r="N133" s="35"/>
      <c r="O133" s="35"/>
      <c r="P133" s="35"/>
      <c r="Q133" s="35"/>
      <c r="R133" s="35"/>
      <c r="S133" s="35"/>
      <c r="T133" s="35"/>
      <c r="U133" s="35"/>
    </row>
    <row r="134" spans="2:21" x14ac:dyDescent="0.25"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35"/>
      <c r="N134" s="35"/>
      <c r="O134" s="35"/>
      <c r="P134" s="35"/>
      <c r="Q134" s="35"/>
      <c r="R134" s="35"/>
      <c r="S134" s="35"/>
      <c r="T134" s="35"/>
      <c r="U134" s="35"/>
    </row>
    <row r="135" spans="2:21" x14ac:dyDescent="0.25"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35"/>
      <c r="N135" s="35"/>
      <c r="O135" s="35"/>
      <c r="P135" s="35"/>
      <c r="Q135" s="35"/>
      <c r="R135" s="35"/>
      <c r="S135" s="35"/>
      <c r="T135" s="35"/>
      <c r="U135" s="35"/>
    </row>
    <row r="136" spans="2:21" x14ac:dyDescent="0.25"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35"/>
      <c r="N136" s="35"/>
      <c r="O136" s="35"/>
      <c r="P136" s="35"/>
      <c r="Q136" s="35"/>
      <c r="R136" s="35"/>
      <c r="S136" s="35"/>
      <c r="T136" s="35"/>
      <c r="U136" s="35"/>
    </row>
    <row r="137" spans="2:21" x14ac:dyDescent="0.25"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35"/>
      <c r="N137" s="35"/>
      <c r="O137" s="35"/>
      <c r="P137" s="35"/>
      <c r="Q137" s="35"/>
      <c r="R137" s="35"/>
      <c r="S137" s="35"/>
      <c r="T137" s="35"/>
      <c r="U137" s="35"/>
    </row>
    <row r="138" spans="2:21" x14ac:dyDescent="0.25"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35"/>
      <c r="N138" s="35"/>
      <c r="O138" s="35"/>
      <c r="P138" s="35"/>
      <c r="Q138" s="35"/>
      <c r="R138" s="35"/>
      <c r="S138" s="35"/>
      <c r="T138" s="35"/>
      <c r="U138" s="35"/>
    </row>
    <row r="139" spans="2:21" x14ac:dyDescent="0.25"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35"/>
      <c r="N139" s="35"/>
      <c r="O139" s="35"/>
      <c r="P139" s="35"/>
      <c r="Q139" s="35"/>
      <c r="R139" s="35"/>
      <c r="S139" s="35"/>
      <c r="T139" s="35"/>
      <c r="U139" s="35"/>
    </row>
    <row r="140" spans="2:21" x14ac:dyDescent="0.25"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35"/>
      <c r="N140" s="35"/>
      <c r="O140" s="35"/>
      <c r="P140" s="35"/>
      <c r="Q140" s="35"/>
      <c r="R140" s="35"/>
      <c r="S140" s="35"/>
      <c r="T140" s="35"/>
      <c r="U140" s="35"/>
    </row>
    <row r="141" spans="2:21" x14ac:dyDescent="0.25"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35"/>
      <c r="N141" s="35"/>
      <c r="O141" s="35"/>
      <c r="P141" s="35"/>
      <c r="Q141" s="35"/>
      <c r="R141" s="35"/>
      <c r="S141" s="35"/>
      <c r="T141" s="35"/>
      <c r="U141" s="35"/>
    </row>
    <row r="142" spans="2:21" x14ac:dyDescent="0.25"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35"/>
      <c r="N142" s="35"/>
      <c r="O142" s="35"/>
      <c r="P142" s="35"/>
      <c r="Q142" s="35"/>
      <c r="R142" s="35"/>
      <c r="S142" s="35"/>
      <c r="T142" s="35"/>
      <c r="U142" s="35"/>
    </row>
    <row r="143" spans="2:21" x14ac:dyDescent="0.25"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35"/>
      <c r="N143" s="35"/>
      <c r="O143" s="35"/>
      <c r="P143" s="35"/>
      <c r="Q143" s="35"/>
      <c r="R143" s="35"/>
      <c r="S143" s="35"/>
      <c r="T143" s="35"/>
      <c r="U143" s="35"/>
    </row>
    <row r="144" spans="2:21" x14ac:dyDescent="0.25"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35"/>
      <c r="N144" s="35"/>
      <c r="O144" s="35"/>
      <c r="P144" s="35"/>
      <c r="Q144" s="35"/>
      <c r="R144" s="35"/>
      <c r="S144" s="35"/>
      <c r="T144" s="35"/>
      <c r="U144" s="35"/>
    </row>
    <row r="145" spans="2:21" x14ac:dyDescent="0.25"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35"/>
      <c r="N145" s="35"/>
      <c r="O145" s="35"/>
      <c r="P145" s="35"/>
      <c r="Q145" s="35"/>
      <c r="R145" s="35"/>
      <c r="S145" s="35"/>
      <c r="T145" s="35"/>
      <c r="U145" s="35"/>
    </row>
    <row r="146" spans="2:21" x14ac:dyDescent="0.25"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35"/>
      <c r="N146" s="35"/>
      <c r="O146" s="35"/>
      <c r="P146" s="35"/>
      <c r="Q146" s="35"/>
      <c r="R146" s="35"/>
      <c r="S146" s="35"/>
      <c r="T146" s="35"/>
      <c r="U146" s="35"/>
    </row>
    <row r="147" spans="2:21" x14ac:dyDescent="0.25"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35"/>
      <c r="N147" s="35"/>
      <c r="O147" s="35"/>
      <c r="P147" s="35"/>
      <c r="Q147" s="35"/>
      <c r="R147" s="35"/>
      <c r="S147" s="35"/>
      <c r="T147" s="35"/>
      <c r="U147" s="35"/>
    </row>
    <row r="148" spans="2:21" x14ac:dyDescent="0.25"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35"/>
      <c r="N148" s="35"/>
      <c r="O148" s="35"/>
      <c r="P148" s="35"/>
      <c r="Q148" s="35"/>
      <c r="R148" s="35"/>
      <c r="S148" s="35"/>
      <c r="T148" s="35"/>
      <c r="U148" s="35"/>
    </row>
    <row r="149" spans="2:21" x14ac:dyDescent="0.25"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35"/>
      <c r="N149" s="35"/>
      <c r="O149" s="35"/>
      <c r="P149" s="35"/>
      <c r="Q149" s="35"/>
      <c r="R149" s="35"/>
      <c r="S149" s="35"/>
      <c r="T149" s="35"/>
      <c r="U149" s="35"/>
    </row>
    <row r="150" spans="2:21" x14ac:dyDescent="0.25"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35"/>
      <c r="N150" s="35"/>
      <c r="O150" s="35"/>
      <c r="P150" s="35"/>
      <c r="Q150" s="35"/>
      <c r="R150" s="35"/>
      <c r="S150" s="35"/>
      <c r="T150" s="35"/>
      <c r="U150" s="35"/>
    </row>
    <row r="151" spans="2:21" x14ac:dyDescent="0.25"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35"/>
      <c r="N151" s="35"/>
      <c r="O151" s="35"/>
      <c r="P151" s="35"/>
      <c r="Q151" s="35"/>
      <c r="R151" s="35"/>
      <c r="S151" s="35"/>
      <c r="T151" s="35"/>
      <c r="U151" s="35"/>
    </row>
    <row r="152" spans="2:21" x14ac:dyDescent="0.25"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35"/>
      <c r="N152" s="35"/>
      <c r="O152" s="35"/>
      <c r="P152" s="35"/>
      <c r="Q152" s="35"/>
      <c r="R152" s="35"/>
      <c r="S152" s="35"/>
      <c r="T152" s="35"/>
      <c r="U152" s="35"/>
    </row>
    <row r="153" spans="2:21" x14ac:dyDescent="0.25"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35"/>
      <c r="N153" s="35"/>
      <c r="O153" s="35"/>
      <c r="P153" s="35"/>
      <c r="Q153" s="35"/>
      <c r="R153" s="35"/>
      <c r="S153" s="35"/>
      <c r="T153" s="35"/>
      <c r="U153" s="35"/>
    </row>
    <row r="154" spans="2:21" x14ac:dyDescent="0.25"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35"/>
      <c r="N154" s="35"/>
      <c r="O154" s="35"/>
      <c r="P154" s="35"/>
      <c r="Q154" s="35"/>
      <c r="R154" s="35"/>
      <c r="S154" s="35"/>
      <c r="T154" s="35"/>
      <c r="U154" s="35"/>
    </row>
    <row r="155" spans="2:21" x14ac:dyDescent="0.25"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35"/>
      <c r="N155" s="35"/>
      <c r="O155" s="35"/>
      <c r="P155" s="35"/>
      <c r="Q155" s="35"/>
      <c r="R155" s="35"/>
      <c r="S155" s="35"/>
      <c r="T155" s="35"/>
      <c r="U155" s="35"/>
    </row>
    <row r="156" spans="2:21" x14ac:dyDescent="0.25"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35"/>
      <c r="N156" s="35"/>
      <c r="O156" s="35"/>
      <c r="P156" s="35"/>
      <c r="Q156" s="35"/>
      <c r="R156" s="35"/>
      <c r="S156" s="35"/>
      <c r="T156" s="35"/>
      <c r="U156" s="35"/>
    </row>
    <row r="157" spans="2:21" x14ac:dyDescent="0.25"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35"/>
      <c r="N157" s="35"/>
      <c r="O157" s="35"/>
      <c r="P157" s="35"/>
      <c r="Q157" s="35"/>
      <c r="R157" s="35"/>
      <c r="S157" s="35"/>
      <c r="T157" s="35"/>
      <c r="U157" s="35"/>
    </row>
    <row r="158" spans="2:21" x14ac:dyDescent="0.25"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35"/>
      <c r="N158" s="35"/>
      <c r="O158" s="35"/>
      <c r="P158" s="35"/>
      <c r="Q158" s="35"/>
      <c r="R158" s="35"/>
      <c r="S158" s="35"/>
      <c r="T158" s="35"/>
      <c r="U158" s="35"/>
    </row>
    <row r="159" spans="2:21" x14ac:dyDescent="0.25"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35"/>
      <c r="N159" s="35"/>
      <c r="O159" s="35"/>
      <c r="P159" s="35"/>
      <c r="Q159" s="35"/>
      <c r="R159" s="35"/>
      <c r="S159" s="35"/>
      <c r="T159" s="35"/>
      <c r="U159" s="35"/>
    </row>
    <row r="160" spans="2:21" x14ac:dyDescent="0.25"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35"/>
      <c r="N160" s="35"/>
      <c r="O160" s="35"/>
      <c r="P160" s="35"/>
      <c r="Q160" s="35"/>
      <c r="R160" s="35"/>
      <c r="S160" s="35"/>
      <c r="T160" s="35"/>
      <c r="U160" s="35"/>
    </row>
    <row r="161" spans="2:21" x14ac:dyDescent="0.25"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35"/>
      <c r="N161" s="35"/>
      <c r="O161" s="35"/>
      <c r="P161" s="35"/>
      <c r="Q161" s="35"/>
      <c r="R161" s="35"/>
      <c r="S161" s="35"/>
      <c r="T161" s="35"/>
      <c r="U161" s="35"/>
    </row>
    <row r="162" spans="2:21" x14ac:dyDescent="0.25"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35"/>
      <c r="N162" s="35"/>
      <c r="O162" s="35"/>
      <c r="P162" s="35"/>
      <c r="Q162" s="35"/>
      <c r="R162" s="35"/>
      <c r="S162" s="35"/>
      <c r="T162" s="35"/>
      <c r="U162" s="35"/>
    </row>
    <row r="163" spans="2:21" x14ac:dyDescent="0.25"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35"/>
      <c r="N163" s="35"/>
      <c r="O163" s="35"/>
      <c r="P163" s="35"/>
      <c r="Q163" s="35"/>
      <c r="R163" s="35"/>
      <c r="S163" s="35"/>
      <c r="T163" s="35"/>
      <c r="U163" s="35"/>
    </row>
    <row r="164" spans="2:21" x14ac:dyDescent="0.25"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35"/>
      <c r="N164" s="35"/>
      <c r="O164" s="35"/>
      <c r="P164" s="35"/>
      <c r="Q164" s="35"/>
      <c r="R164" s="35"/>
      <c r="S164" s="35"/>
      <c r="T164" s="35"/>
      <c r="U164" s="35"/>
    </row>
    <row r="165" spans="2:21" x14ac:dyDescent="0.25"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35"/>
      <c r="N165" s="35"/>
      <c r="O165" s="35"/>
      <c r="P165" s="35"/>
      <c r="Q165" s="35"/>
      <c r="R165" s="35"/>
      <c r="S165" s="35"/>
      <c r="T165" s="35"/>
      <c r="U165" s="35"/>
    </row>
    <row r="166" spans="2:21" x14ac:dyDescent="0.25"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35"/>
      <c r="N166" s="35"/>
      <c r="O166" s="35"/>
      <c r="P166" s="35"/>
      <c r="Q166" s="35"/>
      <c r="R166" s="35"/>
      <c r="S166" s="35"/>
      <c r="T166" s="35"/>
      <c r="U166" s="35"/>
    </row>
    <row r="167" spans="2:21" x14ac:dyDescent="0.25"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35"/>
      <c r="N167" s="35"/>
      <c r="O167" s="35"/>
      <c r="P167" s="35"/>
      <c r="Q167" s="35"/>
      <c r="R167" s="35"/>
      <c r="S167" s="35"/>
      <c r="T167" s="35"/>
      <c r="U167" s="35"/>
    </row>
    <row r="168" spans="2:21" x14ac:dyDescent="0.25"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35"/>
      <c r="N168" s="35"/>
      <c r="O168" s="35"/>
      <c r="P168" s="35"/>
      <c r="Q168" s="35"/>
      <c r="R168" s="35"/>
      <c r="S168" s="35"/>
      <c r="T168" s="35"/>
      <c r="U168" s="35"/>
    </row>
    <row r="169" spans="2:21" x14ac:dyDescent="0.25"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35"/>
      <c r="N169" s="35"/>
      <c r="O169" s="35"/>
      <c r="P169" s="35"/>
      <c r="Q169" s="35"/>
      <c r="R169" s="35"/>
      <c r="S169" s="35"/>
      <c r="T169" s="35"/>
      <c r="U169" s="35"/>
    </row>
    <row r="170" spans="2:21" x14ac:dyDescent="0.25"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35"/>
      <c r="N170" s="35"/>
      <c r="O170" s="35"/>
      <c r="P170" s="35"/>
      <c r="Q170" s="35"/>
      <c r="R170" s="35"/>
      <c r="S170" s="35"/>
      <c r="T170" s="35"/>
      <c r="U170" s="35"/>
    </row>
    <row r="171" spans="2:21" x14ac:dyDescent="0.25"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35"/>
      <c r="N171" s="35"/>
      <c r="O171" s="35"/>
      <c r="P171" s="35"/>
      <c r="Q171" s="35"/>
      <c r="R171" s="35"/>
      <c r="S171" s="35"/>
      <c r="T171" s="35"/>
      <c r="U171" s="35"/>
    </row>
    <row r="172" spans="2:21" x14ac:dyDescent="0.25"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35"/>
      <c r="N172" s="35"/>
      <c r="O172" s="35"/>
      <c r="P172" s="35"/>
      <c r="Q172" s="35"/>
      <c r="R172" s="35"/>
      <c r="S172" s="35"/>
      <c r="T172" s="35"/>
      <c r="U172" s="35"/>
    </row>
    <row r="173" spans="2:21" x14ac:dyDescent="0.25"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35"/>
      <c r="N173" s="35"/>
      <c r="O173" s="35"/>
      <c r="P173" s="35"/>
      <c r="Q173" s="35"/>
      <c r="R173" s="35"/>
      <c r="S173" s="35"/>
      <c r="T173" s="35"/>
      <c r="U173" s="35"/>
    </row>
    <row r="174" spans="2:21" x14ac:dyDescent="0.25"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35"/>
      <c r="N174" s="35"/>
      <c r="O174" s="35"/>
      <c r="P174" s="35"/>
      <c r="Q174" s="35"/>
      <c r="R174" s="35"/>
      <c r="S174" s="35"/>
      <c r="T174" s="35"/>
      <c r="U174" s="35"/>
    </row>
    <row r="175" spans="2:21" x14ac:dyDescent="0.25"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35"/>
      <c r="N175" s="35"/>
      <c r="O175" s="35"/>
      <c r="P175" s="35"/>
      <c r="Q175" s="35"/>
      <c r="R175" s="35"/>
      <c r="S175" s="35"/>
      <c r="T175" s="35"/>
      <c r="U175" s="35"/>
    </row>
    <row r="176" spans="2:21" x14ac:dyDescent="0.25"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35"/>
      <c r="N176" s="35"/>
      <c r="O176" s="35"/>
      <c r="P176" s="35"/>
      <c r="Q176" s="35"/>
      <c r="R176" s="35"/>
      <c r="S176" s="35"/>
      <c r="T176" s="35"/>
      <c r="U176" s="35"/>
    </row>
    <row r="177" spans="2:21" x14ac:dyDescent="0.25"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35"/>
      <c r="N177" s="35"/>
      <c r="O177" s="35"/>
      <c r="P177" s="35"/>
      <c r="Q177" s="35"/>
      <c r="R177" s="35"/>
      <c r="S177" s="35"/>
      <c r="T177" s="35"/>
      <c r="U177" s="35"/>
    </row>
    <row r="178" spans="2:21" x14ac:dyDescent="0.25"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35"/>
      <c r="N178" s="35"/>
      <c r="O178" s="35"/>
      <c r="P178" s="35"/>
      <c r="Q178" s="35"/>
      <c r="R178" s="35"/>
      <c r="S178" s="35"/>
      <c r="T178" s="35"/>
      <c r="U178" s="35"/>
    </row>
    <row r="179" spans="2:21" x14ac:dyDescent="0.25"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35"/>
      <c r="N179" s="35"/>
      <c r="O179" s="35"/>
      <c r="P179" s="35"/>
      <c r="Q179" s="35"/>
      <c r="R179" s="35"/>
      <c r="S179" s="35"/>
      <c r="T179" s="35"/>
      <c r="U179" s="35"/>
    </row>
    <row r="180" spans="2:21" x14ac:dyDescent="0.25"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35"/>
      <c r="N180" s="35"/>
      <c r="O180" s="35"/>
      <c r="P180" s="35"/>
      <c r="Q180" s="35"/>
      <c r="R180" s="35"/>
      <c r="S180" s="35"/>
      <c r="T180" s="35"/>
      <c r="U180" s="35"/>
    </row>
    <row r="181" spans="2:21" x14ac:dyDescent="0.25"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35"/>
      <c r="N181" s="35"/>
      <c r="O181" s="35"/>
      <c r="P181" s="35"/>
      <c r="Q181" s="35"/>
      <c r="R181" s="35"/>
      <c r="S181" s="35"/>
      <c r="T181" s="35"/>
      <c r="U181" s="35"/>
    </row>
    <row r="182" spans="2:21" x14ac:dyDescent="0.25"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35"/>
      <c r="N182" s="35"/>
      <c r="O182" s="35"/>
      <c r="P182" s="35"/>
      <c r="Q182" s="35"/>
      <c r="R182" s="35"/>
      <c r="S182" s="35"/>
      <c r="T182" s="35"/>
      <c r="U182" s="35"/>
    </row>
    <row r="183" spans="2:21" x14ac:dyDescent="0.25"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35"/>
      <c r="N183" s="35"/>
      <c r="O183" s="35"/>
      <c r="P183" s="35"/>
      <c r="Q183" s="35"/>
      <c r="R183" s="35"/>
      <c r="S183" s="35"/>
      <c r="T183" s="35"/>
      <c r="U183" s="35"/>
    </row>
    <row r="184" spans="2:21" x14ac:dyDescent="0.25"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35"/>
      <c r="N184" s="35"/>
      <c r="O184" s="35"/>
      <c r="P184" s="35"/>
      <c r="Q184" s="35"/>
      <c r="R184" s="35"/>
      <c r="S184" s="35"/>
      <c r="T184" s="35"/>
      <c r="U184" s="35"/>
    </row>
    <row r="185" spans="2:21" x14ac:dyDescent="0.25"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35"/>
      <c r="N185" s="35"/>
      <c r="O185" s="35"/>
      <c r="P185" s="35"/>
      <c r="Q185" s="35"/>
      <c r="R185" s="35"/>
      <c r="S185" s="35"/>
      <c r="T185" s="35"/>
      <c r="U185" s="35"/>
    </row>
    <row r="186" spans="2:21" x14ac:dyDescent="0.25"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35"/>
      <c r="N186" s="35"/>
      <c r="O186" s="35"/>
      <c r="P186" s="35"/>
      <c r="Q186" s="35"/>
      <c r="R186" s="35"/>
      <c r="S186" s="35"/>
      <c r="T186" s="35"/>
      <c r="U186" s="35"/>
    </row>
    <row r="187" spans="2:21" x14ac:dyDescent="0.25"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35"/>
      <c r="N187" s="35"/>
      <c r="O187" s="35"/>
      <c r="P187" s="35"/>
      <c r="Q187" s="35"/>
      <c r="R187" s="35"/>
      <c r="S187" s="35"/>
      <c r="T187" s="35"/>
      <c r="U187" s="35"/>
    </row>
    <row r="188" spans="2:21" x14ac:dyDescent="0.25"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35"/>
      <c r="N188" s="35"/>
      <c r="O188" s="35"/>
      <c r="P188" s="35"/>
      <c r="Q188" s="35"/>
      <c r="R188" s="35"/>
      <c r="S188" s="35"/>
      <c r="T188" s="35"/>
      <c r="U188" s="35"/>
    </row>
    <row r="189" spans="2:21" x14ac:dyDescent="0.25"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35"/>
      <c r="N189" s="35"/>
      <c r="O189" s="35"/>
      <c r="P189" s="35"/>
      <c r="Q189" s="35"/>
      <c r="R189" s="35"/>
      <c r="S189" s="35"/>
      <c r="T189" s="35"/>
      <c r="U189" s="35"/>
    </row>
    <row r="190" spans="2:21" x14ac:dyDescent="0.25"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35"/>
      <c r="N190" s="35"/>
      <c r="O190" s="35"/>
      <c r="P190" s="35"/>
      <c r="Q190" s="35"/>
      <c r="R190" s="35"/>
      <c r="S190" s="35"/>
      <c r="T190" s="35"/>
      <c r="U190" s="35"/>
    </row>
    <row r="191" spans="2:21" x14ac:dyDescent="0.25"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35"/>
      <c r="N191" s="35"/>
      <c r="O191" s="35"/>
      <c r="P191" s="35"/>
      <c r="Q191" s="35"/>
      <c r="R191" s="35"/>
      <c r="S191" s="35"/>
      <c r="T191" s="35"/>
      <c r="U191" s="35"/>
    </row>
    <row r="192" spans="2:21" x14ac:dyDescent="0.25"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35"/>
      <c r="N192" s="35"/>
      <c r="O192" s="35"/>
      <c r="P192" s="35"/>
      <c r="Q192" s="35"/>
      <c r="R192" s="35"/>
      <c r="S192" s="35"/>
      <c r="T192" s="35"/>
      <c r="U192" s="35"/>
    </row>
    <row r="193" spans="2:21" x14ac:dyDescent="0.25"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35"/>
      <c r="N193" s="35"/>
      <c r="O193" s="35"/>
      <c r="P193" s="35"/>
      <c r="Q193" s="35"/>
      <c r="R193" s="35"/>
      <c r="S193" s="35"/>
      <c r="T193" s="35"/>
      <c r="U193" s="35"/>
    </row>
    <row r="194" spans="2:21" x14ac:dyDescent="0.25"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35"/>
      <c r="N194" s="35"/>
      <c r="O194" s="35"/>
      <c r="P194" s="35"/>
      <c r="Q194" s="35"/>
      <c r="R194" s="35"/>
      <c r="S194" s="35"/>
      <c r="T194" s="35"/>
      <c r="U194" s="35"/>
    </row>
    <row r="195" spans="2:21" x14ac:dyDescent="0.25"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35"/>
      <c r="N195" s="35"/>
      <c r="O195" s="35"/>
      <c r="P195" s="35"/>
      <c r="Q195" s="35"/>
      <c r="R195" s="35"/>
      <c r="S195" s="35"/>
      <c r="T195" s="35"/>
      <c r="U195" s="35"/>
    </row>
    <row r="196" spans="2:21" x14ac:dyDescent="0.25"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35"/>
      <c r="N196" s="35"/>
      <c r="O196" s="35"/>
      <c r="P196" s="35"/>
      <c r="Q196" s="35"/>
      <c r="R196" s="35"/>
      <c r="S196" s="35"/>
      <c r="T196" s="35"/>
      <c r="U196" s="35"/>
    </row>
    <row r="197" spans="2:21" x14ac:dyDescent="0.25"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35"/>
      <c r="N197" s="35"/>
      <c r="O197" s="35"/>
      <c r="P197" s="35"/>
      <c r="Q197" s="35"/>
      <c r="R197" s="35"/>
      <c r="S197" s="35"/>
      <c r="T197" s="35"/>
      <c r="U197" s="35"/>
    </row>
    <row r="198" spans="2:21" x14ac:dyDescent="0.25"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35"/>
      <c r="N198" s="35"/>
      <c r="O198" s="35"/>
      <c r="P198" s="35"/>
      <c r="Q198" s="35"/>
      <c r="R198" s="35"/>
      <c r="S198" s="35"/>
      <c r="T198" s="35"/>
      <c r="U198" s="35"/>
    </row>
    <row r="199" spans="2:21" x14ac:dyDescent="0.25"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35"/>
      <c r="N199" s="35"/>
      <c r="O199" s="35"/>
      <c r="P199" s="35"/>
      <c r="Q199" s="35"/>
      <c r="R199" s="35"/>
      <c r="S199" s="35"/>
      <c r="T199" s="35"/>
      <c r="U199" s="35"/>
    </row>
    <row r="200" spans="2:21" x14ac:dyDescent="0.25"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35"/>
      <c r="N200" s="35"/>
      <c r="O200" s="35"/>
      <c r="P200" s="35"/>
      <c r="Q200" s="35"/>
      <c r="R200" s="35"/>
      <c r="S200" s="35"/>
      <c r="T200" s="35"/>
      <c r="U200" s="35"/>
    </row>
    <row r="201" spans="2:21" x14ac:dyDescent="0.25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35"/>
      <c r="N201" s="35"/>
      <c r="O201" s="35"/>
      <c r="P201" s="35"/>
      <c r="Q201" s="35"/>
      <c r="R201" s="35"/>
      <c r="S201" s="35"/>
      <c r="T201" s="35"/>
      <c r="U201" s="35"/>
    </row>
    <row r="202" spans="2:21" x14ac:dyDescent="0.25"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35"/>
      <c r="N202" s="35"/>
      <c r="O202" s="35"/>
      <c r="P202" s="35"/>
      <c r="Q202" s="35"/>
      <c r="R202" s="35"/>
      <c r="S202" s="35"/>
      <c r="T202" s="35"/>
      <c r="U202" s="35"/>
    </row>
    <row r="203" spans="2:21" x14ac:dyDescent="0.25"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35"/>
      <c r="N203" s="35"/>
      <c r="O203" s="35"/>
      <c r="P203" s="35"/>
      <c r="Q203" s="35"/>
      <c r="R203" s="35"/>
      <c r="S203" s="35"/>
      <c r="T203" s="35"/>
      <c r="U203" s="35"/>
    </row>
    <row r="204" spans="2:21" x14ac:dyDescent="0.25"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35"/>
      <c r="N204" s="35"/>
      <c r="O204" s="35"/>
      <c r="P204" s="35"/>
      <c r="Q204" s="35"/>
      <c r="R204" s="35"/>
      <c r="S204" s="35"/>
      <c r="T204" s="35"/>
      <c r="U204" s="35"/>
    </row>
    <row r="205" spans="2:21" x14ac:dyDescent="0.25"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35"/>
      <c r="N205" s="35"/>
      <c r="O205" s="35"/>
      <c r="P205" s="35"/>
      <c r="Q205" s="35"/>
      <c r="R205" s="35"/>
      <c r="S205" s="35"/>
      <c r="T205" s="35"/>
      <c r="U205" s="35"/>
    </row>
    <row r="206" spans="2:21" x14ac:dyDescent="0.25"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35"/>
      <c r="N206" s="35"/>
      <c r="O206" s="35"/>
      <c r="P206" s="35"/>
      <c r="Q206" s="35"/>
      <c r="R206" s="35"/>
      <c r="S206" s="35"/>
      <c r="T206" s="35"/>
      <c r="U206" s="35"/>
    </row>
    <row r="207" spans="2:21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35"/>
      <c r="N207" s="35"/>
      <c r="O207" s="35"/>
      <c r="P207" s="35"/>
      <c r="Q207" s="35"/>
      <c r="R207" s="35"/>
      <c r="S207" s="35"/>
      <c r="T207" s="35"/>
      <c r="U207" s="35"/>
    </row>
    <row r="208" spans="2:21" x14ac:dyDescent="0.25"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35"/>
      <c r="N208" s="35"/>
      <c r="O208" s="35"/>
      <c r="P208" s="35"/>
      <c r="Q208" s="35"/>
      <c r="R208" s="35"/>
      <c r="S208" s="35"/>
      <c r="T208" s="35"/>
      <c r="U208" s="35"/>
    </row>
    <row r="209" spans="2:21" x14ac:dyDescent="0.25"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35"/>
      <c r="N209" s="35"/>
      <c r="O209" s="35"/>
      <c r="P209" s="35"/>
      <c r="Q209" s="35"/>
      <c r="R209" s="35"/>
      <c r="S209" s="35"/>
      <c r="T209" s="35"/>
      <c r="U209" s="35"/>
    </row>
    <row r="210" spans="2:21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35"/>
      <c r="N210" s="35"/>
      <c r="O210" s="35"/>
      <c r="P210" s="35"/>
      <c r="Q210" s="35"/>
      <c r="R210" s="35"/>
      <c r="S210" s="35"/>
      <c r="T210" s="35"/>
      <c r="U210" s="35"/>
    </row>
    <row r="211" spans="2:21" x14ac:dyDescent="0.25"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35"/>
      <c r="N211" s="35"/>
      <c r="O211" s="35"/>
      <c r="P211" s="35"/>
      <c r="Q211" s="35"/>
      <c r="R211" s="35"/>
      <c r="S211" s="35"/>
      <c r="T211" s="35"/>
      <c r="U211" s="35"/>
    </row>
    <row r="212" spans="2:21" x14ac:dyDescent="0.25"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35"/>
      <c r="N212" s="35"/>
      <c r="O212" s="35"/>
      <c r="P212" s="35"/>
      <c r="Q212" s="35"/>
      <c r="R212" s="35"/>
      <c r="S212" s="35"/>
      <c r="T212" s="35"/>
      <c r="U212" s="35"/>
    </row>
    <row r="213" spans="2:21" x14ac:dyDescent="0.25"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35"/>
      <c r="N213" s="35"/>
      <c r="O213" s="35"/>
      <c r="P213" s="35"/>
      <c r="Q213" s="35"/>
      <c r="R213" s="35"/>
      <c r="S213" s="35"/>
      <c r="T213" s="35"/>
      <c r="U213" s="35"/>
    </row>
    <row r="214" spans="2:21" x14ac:dyDescent="0.25"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35"/>
      <c r="N214" s="35"/>
      <c r="O214" s="35"/>
      <c r="P214" s="35"/>
      <c r="Q214" s="35"/>
      <c r="R214" s="35"/>
      <c r="S214" s="35"/>
      <c r="T214" s="35"/>
      <c r="U214" s="35"/>
    </row>
    <row r="215" spans="2:21" x14ac:dyDescent="0.25"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35"/>
      <c r="N215" s="35"/>
      <c r="O215" s="35"/>
      <c r="P215" s="35"/>
      <c r="Q215" s="35"/>
      <c r="R215" s="35"/>
      <c r="S215" s="35"/>
      <c r="T215" s="35"/>
      <c r="U215" s="35"/>
    </row>
    <row r="216" spans="2:21" x14ac:dyDescent="0.25"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35"/>
      <c r="N216" s="35"/>
      <c r="O216" s="35"/>
      <c r="P216" s="35"/>
      <c r="Q216" s="35"/>
      <c r="R216" s="35"/>
      <c r="S216" s="35"/>
      <c r="T216" s="35"/>
      <c r="U216" s="35"/>
    </row>
    <row r="217" spans="2:21" x14ac:dyDescent="0.25"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35"/>
      <c r="N217" s="35"/>
      <c r="O217" s="35"/>
      <c r="P217" s="35"/>
      <c r="Q217" s="35"/>
      <c r="R217" s="35"/>
      <c r="S217" s="35"/>
      <c r="T217" s="35"/>
      <c r="U217" s="35"/>
    </row>
    <row r="218" spans="2:21" x14ac:dyDescent="0.25"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35"/>
      <c r="N218" s="35"/>
      <c r="O218" s="35"/>
      <c r="P218" s="35"/>
      <c r="Q218" s="35"/>
      <c r="R218" s="35"/>
      <c r="S218" s="35"/>
      <c r="T218" s="35"/>
      <c r="U218" s="35"/>
    </row>
    <row r="219" spans="2:21" x14ac:dyDescent="0.25"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35"/>
      <c r="N219" s="35"/>
      <c r="O219" s="35"/>
      <c r="P219" s="35"/>
      <c r="Q219" s="35"/>
      <c r="R219" s="35"/>
      <c r="S219" s="35"/>
      <c r="T219" s="35"/>
      <c r="U219" s="35"/>
    </row>
    <row r="220" spans="2:21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35"/>
      <c r="N220" s="35"/>
      <c r="O220" s="35"/>
      <c r="P220" s="35"/>
      <c r="Q220" s="35"/>
      <c r="R220" s="35"/>
      <c r="S220" s="35"/>
      <c r="T220" s="35"/>
      <c r="U220" s="35"/>
    </row>
    <row r="221" spans="2:21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35"/>
      <c r="N221" s="35"/>
      <c r="O221" s="35"/>
      <c r="P221" s="35"/>
      <c r="Q221" s="35"/>
      <c r="R221" s="35"/>
      <c r="S221" s="35"/>
      <c r="T221" s="35"/>
      <c r="U221" s="35"/>
    </row>
    <row r="222" spans="2:21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35"/>
      <c r="N222" s="35"/>
      <c r="O222" s="35"/>
      <c r="P222" s="35"/>
      <c r="Q222" s="35"/>
      <c r="R222" s="35"/>
      <c r="S222" s="35"/>
      <c r="T222" s="35"/>
      <c r="U222" s="35"/>
    </row>
    <row r="223" spans="2:21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35"/>
      <c r="N223" s="35"/>
      <c r="O223" s="35"/>
      <c r="P223" s="35"/>
      <c r="Q223" s="35"/>
      <c r="R223" s="35"/>
      <c r="S223" s="35"/>
      <c r="T223" s="35"/>
      <c r="U223" s="35"/>
    </row>
    <row r="224" spans="2:21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35"/>
      <c r="N224" s="35"/>
      <c r="O224" s="35"/>
      <c r="P224" s="35"/>
      <c r="Q224" s="35"/>
      <c r="R224" s="35"/>
      <c r="S224" s="35"/>
      <c r="T224" s="35"/>
      <c r="U224" s="35"/>
    </row>
    <row r="225" spans="2:21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35"/>
      <c r="N225" s="35"/>
      <c r="O225" s="35"/>
      <c r="P225" s="35"/>
      <c r="Q225" s="35"/>
      <c r="R225" s="35"/>
      <c r="S225" s="35"/>
      <c r="T225" s="35"/>
      <c r="U225" s="35"/>
    </row>
    <row r="226" spans="2:21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35"/>
      <c r="N226" s="35"/>
      <c r="O226" s="35"/>
      <c r="P226" s="35"/>
      <c r="Q226" s="35"/>
      <c r="R226" s="35"/>
      <c r="S226" s="35"/>
      <c r="T226" s="35"/>
      <c r="U226" s="35"/>
    </row>
    <row r="227" spans="2:21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35"/>
      <c r="N227" s="35"/>
      <c r="O227" s="35"/>
      <c r="P227" s="35"/>
      <c r="Q227" s="35"/>
      <c r="R227" s="35"/>
      <c r="S227" s="35"/>
      <c r="T227" s="35"/>
      <c r="U227" s="35"/>
    </row>
    <row r="228" spans="2:21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35"/>
      <c r="N228" s="35"/>
      <c r="O228" s="35"/>
      <c r="P228" s="35"/>
      <c r="Q228" s="35"/>
      <c r="R228" s="35"/>
      <c r="S228" s="35"/>
      <c r="T228" s="35"/>
      <c r="U228" s="35"/>
    </row>
    <row r="229" spans="2:21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35"/>
      <c r="N229" s="35"/>
      <c r="O229" s="35"/>
      <c r="P229" s="35"/>
      <c r="Q229" s="35"/>
      <c r="R229" s="35"/>
      <c r="S229" s="35"/>
      <c r="T229" s="35"/>
      <c r="U229" s="35"/>
    </row>
    <row r="230" spans="2:21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35"/>
      <c r="N230" s="35"/>
      <c r="O230" s="35"/>
      <c r="P230" s="35"/>
      <c r="Q230" s="35"/>
      <c r="R230" s="35"/>
      <c r="S230" s="35"/>
      <c r="T230" s="35"/>
      <c r="U230" s="35"/>
    </row>
    <row r="231" spans="2:21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35"/>
      <c r="N231" s="35"/>
      <c r="O231" s="35"/>
      <c r="P231" s="35"/>
      <c r="Q231" s="35"/>
      <c r="R231" s="35"/>
      <c r="S231" s="35"/>
      <c r="T231" s="35"/>
      <c r="U231" s="35"/>
    </row>
    <row r="232" spans="2:21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35"/>
      <c r="N232" s="35"/>
      <c r="O232" s="35"/>
      <c r="P232" s="35"/>
      <c r="Q232" s="35"/>
      <c r="R232" s="35"/>
      <c r="S232" s="35"/>
      <c r="T232" s="35"/>
      <c r="U232" s="35"/>
    </row>
    <row r="233" spans="2:21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35"/>
      <c r="N233" s="35"/>
      <c r="O233" s="35"/>
      <c r="P233" s="35"/>
      <c r="Q233" s="35"/>
      <c r="R233" s="35"/>
      <c r="S233" s="35"/>
      <c r="T233" s="35"/>
      <c r="U233" s="35"/>
    </row>
    <row r="234" spans="2:21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35"/>
      <c r="N234" s="35"/>
      <c r="O234" s="35"/>
      <c r="P234" s="35"/>
      <c r="Q234" s="35"/>
      <c r="R234" s="35"/>
      <c r="S234" s="35"/>
      <c r="T234" s="35"/>
      <c r="U234" s="35"/>
    </row>
    <row r="235" spans="2:21" x14ac:dyDescent="0.25"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35"/>
      <c r="N235" s="35"/>
      <c r="O235" s="35"/>
      <c r="P235" s="35"/>
      <c r="Q235" s="35"/>
      <c r="R235" s="35"/>
      <c r="S235" s="35"/>
      <c r="T235" s="35"/>
      <c r="U235" s="35"/>
    </row>
    <row r="236" spans="2:21" x14ac:dyDescent="0.25"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35"/>
      <c r="N236" s="35"/>
      <c r="O236" s="35"/>
      <c r="P236" s="35"/>
      <c r="Q236" s="35"/>
      <c r="R236" s="35"/>
      <c r="S236" s="35"/>
      <c r="T236" s="35"/>
      <c r="U236" s="35"/>
    </row>
    <row r="237" spans="2:21" x14ac:dyDescent="0.25"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35"/>
      <c r="N237" s="35"/>
      <c r="O237" s="35"/>
      <c r="P237" s="35"/>
      <c r="Q237" s="35"/>
      <c r="R237" s="35"/>
      <c r="S237" s="35"/>
      <c r="T237" s="35"/>
      <c r="U237" s="35"/>
    </row>
    <row r="238" spans="2:21" x14ac:dyDescent="0.25"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35"/>
      <c r="N238" s="35"/>
      <c r="O238" s="35"/>
      <c r="P238" s="35"/>
      <c r="Q238" s="35"/>
      <c r="R238" s="35"/>
      <c r="S238" s="35"/>
      <c r="T238" s="35"/>
      <c r="U238" s="35"/>
    </row>
    <row r="239" spans="2:21" x14ac:dyDescent="0.25"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35"/>
      <c r="N239" s="35"/>
      <c r="O239" s="35"/>
      <c r="P239" s="35"/>
      <c r="Q239" s="35"/>
      <c r="R239" s="35"/>
      <c r="S239" s="35"/>
      <c r="T239" s="35"/>
      <c r="U239" s="35"/>
    </row>
    <row r="240" spans="2:21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35"/>
      <c r="N240" s="35"/>
      <c r="O240" s="35"/>
      <c r="P240" s="35"/>
      <c r="Q240" s="35"/>
      <c r="R240" s="35"/>
      <c r="S240" s="35"/>
      <c r="T240" s="35"/>
      <c r="U240" s="35"/>
    </row>
    <row r="241" spans="2:21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35"/>
      <c r="N241" s="35"/>
      <c r="O241" s="35"/>
      <c r="P241" s="35"/>
      <c r="Q241" s="35"/>
      <c r="R241" s="35"/>
      <c r="S241" s="35"/>
      <c r="T241" s="35"/>
      <c r="U241" s="35"/>
    </row>
    <row r="242" spans="2:21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35"/>
      <c r="N242" s="35"/>
      <c r="O242" s="35"/>
      <c r="P242" s="35"/>
      <c r="Q242" s="35"/>
      <c r="R242" s="35"/>
      <c r="S242" s="35"/>
      <c r="T242" s="35"/>
      <c r="U242" s="35"/>
    </row>
    <row r="243" spans="2:21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35"/>
      <c r="N243" s="35"/>
      <c r="O243" s="35"/>
      <c r="P243" s="35"/>
      <c r="Q243" s="35"/>
      <c r="R243" s="35"/>
      <c r="S243" s="35"/>
      <c r="T243" s="35"/>
      <c r="U243" s="35"/>
    </row>
    <row r="244" spans="2:21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35"/>
      <c r="N244" s="35"/>
      <c r="O244" s="35"/>
      <c r="P244" s="35"/>
      <c r="Q244" s="35"/>
      <c r="R244" s="35"/>
      <c r="S244" s="35"/>
      <c r="T244" s="35"/>
      <c r="U244" s="35"/>
    </row>
    <row r="245" spans="2:21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35"/>
      <c r="N245" s="35"/>
      <c r="O245" s="35"/>
      <c r="P245" s="35"/>
      <c r="Q245" s="35"/>
      <c r="R245" s="35"/>
      <c r="S245" s="35"/>
      <c r="T245" s="35"/>
      <c r="U245" s="35"/>
    </row>
    <row r="246" spans="2:21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35"/>
      <c r="N246" s="35"/>
      <c r="O246" s="35"/>
      <c r="P246" s="35"/>
      <c r="Q246" s="35"/>
      <c r="R246" s="35"/>
      <c r="S246" s="35"/>
      <c r="T246" s="35"/>
      <c r="U246" s="35"/>
    </row>
    <row r="247" spans="2:21" x14ac:dyDescent="0.25"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35"/>
      <c r="N247" s="35"/>
      <c r="O247" s="35"/>
      <c r="P247" s="35"/>
      <c r="Q247" s="35"/>
      <c r="R247" s="35"/>
      <c r="S247" s="35"/>
      <c r="T247" s="35"/>
      <c r="U247" s="35"/>
    </row>
    <row r="248" spans="2:21" x14ac:dyDescent="0.25"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35"/>
      <c r="N248" s="35"/>
      <c r="O248" s="35"/>
      <c r="P248" s="35"/>
      <c r="Q248" s="35"/>
      <c r="R248" s="35"/>
      <c r="S248" s="35"/>
      <c r="T248" s="35"/>
      <c r="U248" s="35"/>
    </row>
    <row r="249" spans="2:21" x14ac:dyDescent="0.25"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35"/>
      <c r="N249" s="35"/>
      <c r="O249" s="35"/>
      <c r="P249" s="35"/>
      <c r="Q249" s="35"/>
      <c r="R249" s="35"/>
      <c r="S249" s="35"/>
      <c r="T249" s="35"/>
      <c r="U249" s="35"/>
    </row>
    <row r="250" spans="2:21" x14ac:dyDescent="0.25"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35"/>
      <c r="N250" s="35"/>
      <c r="O250" s="35"/>
      <c r="P250" s="35"/>
      <c r="Q250" s="35"/>
      <c r="R250" s="35"/>
      <c r="S250" s="35"/>
      <c r="T250" s="35"/>
      <c r="U250" s="35"/>
    </row>
    <row r="251" spans="2:21" x14ac:dyDescent="0.25"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35"/>
      <c r="N251" s="35"/>
      <c r="O251" s="35"/>
      <c r="P251" s="35"/>
      <c r="Q251" s="35"/>
      <c r="R251" s="35"/>
      <c r="S251" s="35"/>
      <c r="T251" s="35"/>
      <c r="U251" s="35"/>
    </row>
    <row r="252" spans="2:21" x14ac:dyDescent="0.25"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35"/>
      <c r="N252" s="35"/>
      <c r="O252" s="35"/>
      <c r="P252" s="35"/>
      <c r="Q252" s="35"/>
      <c r="R252" s="35"/>
      <c r="S252" s="35"/>
      <c r="T252" s="35"/>
      <c r="U252" s="35"/>
    </row>
    <row r="253" spans="2:21" x14ac:dyDescent="0.25"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35"/>
      <c r="N253" s="35"/>
      <c r="O253" s="35"/>
      <c r="P253" s="35"/>
      <c r="Q253" s="35"/>
      <c r="R253" s="35"/>
      <c r="S253" s="35"/>
      <c r="T253" s="35"/>
      <c r="U253" s="35"/>
    </row>
    <row r="254" spans="2:21" x14ac:dyDescent="0.25"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35"/>
      <c r="N254" s="35"/>
      <c r="O254" s="35"/>
      <c r="P254" s="35"/>
      <c r="Q254" s="35"/>
      <c r="R254" s="35"/>
      <c r="S254" s="35"/>
      <c r="T254" s="35"/>
      <c r="U254" s="35"/>
    </row>
    <row r="255" spans="2:21" x14ac:dyDescent="0.25"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35"/>
      <c r="N255" s="35"/>
      <c r="O255" s="35"/>
      <c r="P255" s="35"/>
      <c r="Q255" s="35"/>
      <c r="R255" s="35"/>
      <c r="S255" s="35"/>
      <c r="T255" s="35"/>
      <c r="U255" s="35"/>
    </row>
    <row r="256" spans="2:21" x14ac:dyDescent="0.25"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35"/>
      <c r="N256" s="35"/>
      <c r="O256" s="35"/>
      <c r="P256" s="35"/>
      <c r="Q256" s="35"/>
      <c r="R256" s="35"/>
      <c r="S256" s="35"/>
      <c r="T256" s="35"/>
      <c r="U256" s="35"/>
    </row>
    <row r="257" spans="2:21" x14ac:dyDescent="0.25"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35"/>
      <c r="N257" s="35"/>
      <c r="O257" s="35"/>
      <c r="P257" s="35"/>
      <c r="Q257" s="35"/>
      <c r="R257" s="35"/>
      <c r="S257" s="35"/>
      <c r="T257" s="35"/>
      <c r="U257" s="35"/>
    </row>
    <row r="258" spans="2:21" x14ac:dyDescent="0.25"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35"/>
      <c r="N258" s="35"/>
      <c r="O258" s="35"/>
      <c r="P258" s="35"/>
      <c r="Q258" s="35"/>
      <c r="R258" s="35"/>
      <c r="S258" s="35"/>
      <c r="T258" s="35"/>
      <c r="U258" s="35"/>
    </row>
    <row r="259" spans="2:21" x14ac:dyDescent="0.25"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35"/>
      <c r="N259" s="35"/>
      <c r="O259" s="35"/>
      <c r="P259" s="35"/>
      <c r="Q259" s="35"/>
      <c r="R259" s="35"/>
      <c r="S259" s="35"/>
      <c r="T259" s="35"/>
      <c r="U259" s="35"/>
    </row>
    <row r="260" spans="2:21" x14ac:dyDescent="0.25"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35"/>
      <c r="N260" s="35"/>
      <c r="O260" s="35"/>
      <c r="P260" s="35"/>
      <c r="Q260" s="35"/>
      <c r="R260" s="35"/>
      <c r="S260" s="35"/>
      <c r="T260" s="35"/>
      <c r="U260" s="35"/>
    </row>
    <row r="261" spans="2:21" x14ac:dyDescent="0.25"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35"/>
      <c r="N261" s="35"/>
      <c r="O261" s="35"/>
      <c r="P261" s="35"/>
      <c r="Q261" s="35"/>
      <c r="R261" s="35"/>
      <c r="S261" s="35"/>
      <c r="T261" s="35"/>
      <c r="U261" s="35"/>
    </row>
    <row r="262" spans="2:21" x14ac:dyDescent="0.25"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35"/>
      <c r="N262" s="35"/>
      <c r="O262" s="35"/>
      <c r="P262" s="35"/>
      <c r="Q262" s="35"/>
      <c r="R262" s="35"/>
      <c r="S262" s="35"/>
      <c r="T262" s="35"/>
      <c r="U262" s="35"/>
    </row>
    <row r="263" spans="2:21" x14ac:dyDescent="0.25"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35"/>
      <c r="N263" s="35"/>
      <c r="O263" s="35"/>
      <c r="P263" s="35"/>
      <c r="Q263" s="35"/>
      <c r="R263" s="35"/>
      <c r="S263" s="35"/>
      <c r="T263" s="35"/>
      <c r="U263" s="35"/>
    </row>
    <row r="264" spans="2:21" x14ac:dyDescent="0.25"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35"/>
      <c r="N264" s="35"/>
      <c r="O264" s="35"/>
      <c r="P264" s="35"/>
      <c r="Q264" s="35"/>
      <c r="R264" s="35"/>
      <c r="S264" s="35"/>
      <c r="T264" s="35"/>
      <c r="U264" s="35"/>
    </row>
    <row r="265" spans="2:21" x14ac:dyDescent="0.25"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35"/>
      <c r="N265" s="35"/>
      <c r="O265" s="35"/>
      <c r="P265" s="35"/>
      <c r="Q265" s="35"/>
      <c r="R265" s="35"/>
      <c r="S265" s="35"/>
      <c r="T265" s="35"/>
      <c r="U265" s="35"/>
    </row>
    <row r="266" spans="2:21" x14ac:dyDescent="0.25"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35"/>
      <c r="N266" s="35"/>
      <c r="O266" s="35"/>
      <c r="P266" s="35"/>
      <c r="Q266" s="35"/>
      <c r="R266" s="35"/>
      <c r="S266" s="35"/>
      <c r="T266" s="35"/>
      <c r="U266" s="35"/>
    </row>
    <row r="267" spans="2:21" x14ac:dyDescent="0.25"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35"/>
      <c r="N267" s="35"/>
      <c r="O267" s="35"/>
      <c r="P267" s="35"/>
      <c r="Q267" s="35"/>
      <c r="R267" s="35"/>
      <c r="S267" s="35"/>
      <c r="T267" s="35"/>
      <c r="U267" s="35"/>
    </row>
    <row r="268" spans="2:21" x14ac:dyDescent="0.25"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35"/>
      <c r="N268" s="35"/>
      <c r="O268" s="35"/>
      <c r="P268" s="35"/>
      <c r="Q268" s="35"/>
      <c r="R268" s="35"/>
      <c r="S268" s="35"/>
      <c r="T268" s="35"/>
      <c r="U268" s="35"/>
    </row>
    <row r="269" spans="2:21" x14ac:dyDescent="0.25"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35"/>
      <c r="N269" s="35"/>
      <c r="O269" s="35"/>
      <c r="P269" s="35"/>
      <c r="Q269" s="35"/>
      <c r="R269" s="35"/>
      <c r="S269" s="35"/>
      <c r="T269" s="35"/>
      <c r="U269" s="35"/>
    </row>
    <row r="270" spans="2:21" x14ac:dyDescent="0.25"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35"/>
      <c r="N270" s="35"/>
      <c r="O270" s="35"/>
      <c r="P270" s="35"/>
      <c r="Q270" s="35"/>
      <c r="R270" s="35"/>
      <c r="S270" s="35"/>
      <c r="T270" s="35"/>
      <c r="U270" s="35"/>
    </row>
    <row r="271" spans="2:21" x14ac:dyDescent="0.25"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35"/>
      <c r="N271" s="35"/>
      <c r="O271" s="35"/>
      <c r="P271" s="35"/>
      <c r="Q271" s="35"/>
      <c r="R271" s="35"/>
      <c r="S271" s="35"/>
      <c r="T271" s="35"/>
      <c r="U271" s="35"/>
    </row>
    <row r="272" spans="2:21" x14ac:dyDescent="0.25"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35"/>
      <c r="N272" s="35"/>
      <c r="O272" s="35"/>
      <c r="P272" s="35"/>
      <c r="Q272" s="35"/>
      <c r="R272" s="35"/>
      <c r="S272" s="35"/>
      <c r="T272" s="35"/>
      <c r="U272" s="35"/>
    </row>
    <row r="273" spans="2:21" x14ac:dyDescent="0.25"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35"/>
      <c r="N273" s="35"/>
      <c r="O273" s="35"/>
      <c r="P273" s="35"/>
      <c r="Q273" s="35"/>
      <c r="R273" s="35"/>
      <c r="S273" s="35"/>
      <c r="T273" s="35"/>
      <c r="U273" s="35"/>
    </row>
    <row r="274" spans="2:21" x14ac:dyDescent="0.25"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35"/>
      <c r="N274" s="35"/>
      <c r="O274" s="35"/>
      <c r="P274" s="35"/>
      <c r="Q274" s="35"/>
      <c r="R274" s="35"/>
      <c r="S274" s="35"/>
      <c r="T274" s="35"/>
      <c r="U274" s="35"/>
    </row>
    <row r="275" spans="2:21" x14ac:dyDescent="0.25"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35"/>
      <c r="N275" s="35"/>
      <c r="O275" s="35"/>
      <c r="P275" s="35"/>
      <c r="Q275" s="35"/>
      <c r="R275" s="35"/>
      <c r="S275" s="35"/>
      <c r="T275" s="35"/>
      <c r="U275" s="35"/>
    </row>
    <row r="276" spans="2:21" x14ac:dyDescent="0.25"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35"/>
      <c r="N276" s="35"/>
      <c r="O276" s="35"/>
      <c r="P276" s="35"/>
      <c r="Q276" s="35"/>
      <c r="R276" s="35"/>
      <c r="S276" s="35"/>
      <c r="T276" s="35"/>
      <c r="U276" s="35"/>
    </row>
    <row r="277" spans="2:21" x14ac:dyDescent="0.25"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35"/>
      <c r="N277" s="35"/>
      <c r="O277" s="35"/>
      <c r="P277" s="35"/>
      <c r="Q277" s="35"/>
      <c r="R277" s="35"/>
      <c r="S277" s="35"/>
      <c r="T277" s="35"/>
      <c r="U277" s="35"/>
    </row>
    <row r="278" spans="2:21" x14ac:dyDescent="0.25"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35"/>
      <c r="N278" s="35"/>
      <c r="O278" s="35"/>
      <c r="P278" s="35"/>
      <c r="Q278" s="35"/>
      <c r="R278" s="35"/>
      <c r="S278" s="35"/>
      <c r="T278" s="35"/>
      <c r="U278" s="35"/>
    </row>
    <row r="279" spans="2:21" x14ac:dyDescent="0.25"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35"/>
      <c r="N279" s="35"/>
      <c r="O279" s="35"/>
      <c r="P279" s="35"/>
      <c r="Q279" s="35"/>
      <c r="R279" s="35"/>
      <c r="S279" s="35"/>
      <c r="T279" s="35"/>
      <c r="U279" s="35"/>
    </row>
    <row r="280" spans="2:21" x14ac:dyDescent="0.25"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35"/>
      <c r="N280" s="35"/>
      <c r="O280" s="35"/>
      <c r="P280" s="35"/>
      <c r="Q280" s="35"/>
      <c r="R280" s="35"/>
      <c r="S280" s="35"/>
      <c r="T280" s="35"/>
      <c r="U280" s="35"/>
    </row>
    <row r="281" spans="2:21" x14ac:dyDescent="0.25"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35"/>
      <c r="N281" s="35"/>
      <c r="O281" s="35"/>
      <c r="P281" s="35"/>
      <c r="Q281" s="35"/>
      <c r="R281" s="35"/>
      <c r="S281" s="35"/>
      <c r="T281" s="35"/>
      <c r="U281" s="35"/>
    </row>
    <row r="282" spans="2:21" x14ac:dyDescent="0.25"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35"/>
      <c r="N282" s="35"/>
      <c r="O282" s="35"/>
      <c r="P282" s="35"/>
      <c r="Q282" s="35"/>
      <c r="R282" s="35"/>
      <c r="S282" s="35"/>
      <c r="T282" s="35"/>
      <c r="U282" s="35"/>
    </row>
    <row r="283" spans="2:21" x14ac:dyDescent="0.25"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35"/>
      <c r="N283" s="35"/>
      <c r="O283" s="35"/>
      <c r="P283" s="35"/>
      <c r="Q283" s="35"/>
      <c r="R283" s="35"/>
      <c r="S283" s="35"/>
      <c r="T283" s="35"/>
      <c r="U283" s="35"/>
    </row>
    <row r="284" spans="2:21" x14ac:dyDescent="0.25"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35"/>
      <c r="N284" s="35"/>
      <c r="O284" s="35"/>
      <c r="P284" s="35"/>
      <c r="Q284" s="35"/>
      <c r="R284" s="35"/>
      <c r="S284" s="35"/>
      <c r="T284" s="35"/>
      <c r="U284" s="35"/>
    </row>
    <row r="285" spans="2:21" x14ac:dyDescent="0.25"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35"/>
      <c r="N285" s="35"/>
      <c r="O285" s="35"/>
      <c r="P285" s="35"/>
      <c r="Q285" s="35"/>
      <c r="R285" s="35"/>
      <c r="S285" s="35"/>
      <c r="T285" s="35"/>
      <c r="U285" s="35"/>
    </row>
    <row r="286" spans="2:21" x14ac:dyDescent="0.25"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35"/>
      <c r="N286" s="35"/>
      <c r="O286" s="35"/>
      <c r="P286" s="35"/>
      <c r="Q286" s="35"/>
      <c r="R286" s="35"/>
      <c r="S286" s="35"/>
      <c r="T286" s="35"/>
      <c r="U286" s="35"/>
    </row>
    <row r="287" spans="2:21" x14ac:dyDescent="0.25"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35"/>
      <c r="N287" s="35"/>
      <c r="O287" s="35"/>
      <c r="P287" s="35"/>
      <c r="Q287" s="35"/>
      <c r="R287" s="35"/>
      <c r="S287" s="35"/>
      <c r="T287" s="35"/>
      <c r="U287" s="35"/>
    </row>
    <row r="288" spans="2:21" x14ac:dyDescent="0.25"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35"/>
      <c r="N288" s="35"/>
      <c r="O288" s="35"/>
      <c r="P288" s="35"/>
      <c r="Q288" s="35"/>
      <c r="R288" s="35"/>
      <c r="S288" s="35"/>
      <c r="T288" s="35"/>
      <c r="U288" s="35"/>
    </row>
    <row r="289" spans="2:21" x14ac:dyDescent="0.25"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35"/>
      <c r="N289" s="35"/>
      <c r="O289" s="35"/>
      <c r="P289" s="35"/>
      <c r="Q289" s="35"/>
      <c r="R289" s="35"/>
      <c r="S289" s="35"/>
      <c r="T289" s="35"/>
      <c r="U289" s="35"/>
    </row>
    <row r="290" spans="2:21" x14ac:dyDescent="0.25"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35"/>
      <c r="N290" s="35"/>
      <c r="O290" s="35"/>
      <c r="P290" s="35"/>
      <c r="Q290" s="35"/>
      <c r="R290" s="35"/>
      <c r="S290" s="35"/>
      <c r="T290" s="35"/>
      <c r="U290" s="35"/>
    </row>
    <row r="291" spans="2:21" x14ac:dyDescent="0.25"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35"/>
      <c r="N291" s="35"/>
      <c r="O291" s="35"/>
      <c r="P291" s="35"/>
      <c r="Q291" s="35"/>
      <c r="R291" s="35"/>
      <c r="S291" s="35"/>
      <c r="T291" s="35"/>
      <c r="U291" s="35"/>
    </row>
    <row r="292" spans="2:21" x14ac:dyDescent="0.25"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35"/>
      <c r="N292" s="35"/>
      <c r="O292" s="35"/>
      <c r="P292" s="35"/>
      <c r="Q292" s="35"/>
      <c r="R292" s="35"/>
      <c r="S292" s="35"/>
      <c r="T292" s="35"/>
      <c r="U292" s="35"/>
    </row>
    <row r="293" spans="2:21" x14ac:dyDescent="0.25"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35"/>
      <c r="N293" s="35"/>
      <c r="O293" s="35"/>
      <c r="P293" s="35"/>
      <c r="Q293" s="35"/>
      <c r="R293" s="35"/>
      <c r="S293" s="35"/>
      <c r="T293" s="35"/>
      <c r="U293" s="35"/>
    </row>
    <row r="294" spans="2:21" x14ac:dyDescent="0.25"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35"/>
      <c r="N294" s="35"/>
      <c r="O294" s="35"/>
      <c r="P294" s="35"/>
      <c r="Q294" s="35"/>
      <c r="R294" s="35"/>
      <c r="S294" s="35"/>
      <c r="T294" s="35"/>
      <c r="U294" s="35"/>
    </row>
    <row r="295" spans="2:21" x14ac:dyDescent="0.25"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35"/>
      <c r="N295" s="35"/>
      <c r="O295" s="35"/>
      <c r="P295" s="35"/>
      <c r="Q295" s="35"/>
      <c r="R295" s="35"/>
      <c r="S295" s="35"/>
      <c r="T295" s="35"/>
      <c r="U295" s="35"/>
    </row>
  </sheetData>
  <phoneticPr fontId="2" type="noConversion"/>
  <hyperlinks>
    <hyperlink ref="M1" location="電費單總表!A1" display="回電費總表" xr:uid="{CD875FE0-21FE-42D7-9B35-F6BF3C00E2AF}"/>
    <hyperlink ref="A1" r:id="rId1" display="電費單\AN16003002-世鴻二期.pdf" xr:uid="{610F573F-84FB-4E6C-A898-7DD3C2BDA92C}"/>
    <hyperlink ref="N1" r:id="rId2" xr:uid="{C9F178F0-A17F-492D-8212-162AF1B171A2}"/>
    <hyperlink ref="O1" r:id="rId3" xr:uid="{75AD338B-2854-4790-BDEC-0F1700B9C516}"/>
  </hyperlinks>
  <pageMargins left="0.7" right="0.7" top="0.75" bottom="0.75" header="0.3" footer="0.3"/>
  <pageSetup paperSize="9" orientation="portrait"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1BB64-5AD1-4899-8582-A59CAE208E09}">
  <sheetPr>
    <tabColor rgb="FF7030A0"/>
  </sheetPr>
  <dimension ref="A1:U295"/>
  <sheetViews>
    <sheetView workbookViewId="0">
      <pane ySplit="1" topLeftCell="A2" activePane="bottomLeft" state="frozen"/>
      <selection activeCell="N28" sqref="N28"/>
      <selection pane="bottomLeft" activeCell="N28" sqref="N28"/>
    </sheetView>
  </sheetViews>
  <sheetFormatPr defaultRowHeight="16.5" x14ac:dyDescent="0.25"/>
  <cols>
    <col min="1" max="1" width="9.75" style="50" bestFit="1" customWidth="1"/>
    <col min="2" max="3" width="13.25" style="51" bestFit="1" customWidth="1"/>
    <col min="4" max="4" width="13.25" style="51" customWidth="1"/>
    <col min="5" max="5" width="15.125" style="50" bestFit="1" customWidth="1"/>
    <col min="6" max="7" width="9" style="50"/>
    <col min="8" max="8" width="16.375" style="50" bestFit="1" customWidth="1"/>
    <col min="9" max="12" width="9" style="50"/>
    <col min="13" max="13" width="11.875" bestFit="1" customWidth="1"/>
  </cols>
  <sheetData>
    <row r="1" spans="1:21" ht="33.75" thickBot="1" x14ac:dyDescent="0.3">
      <c r="A1" s="27" t="s">
        <v>540</v>
      </c>
      <c r="B1" s="28" t="s">
        <v>525</v>
      </c>
      <c r="C1" s="29" t="s">
        <v>526</v>
      </c>
      <c r="D1" s="29" t="s">
        <v>527</v>
      </c>
      <c r="E1" s="30" t="s">
        <v>528</v>
      </c>
      <c r="F1" s="30" t="s">
        <v>529</v>
      </c>
      <c r="G1" s="30" t="s">
        <v>530</v>
      </c>
      <c r="H1" s="30" t="s">
        <v>531</v>
      </c>
      <c r="I1" s="30" t="s">
        <v>532</v>
      </c>
      <c r="J1" s="30" t="s">
        <v>533</v>
      </c>
      <c r="K1" s="30" t="s">
        <v>534</v>
      </c>
      <c r="L1" s="31" t="s">
        <v>535</v>
      </c>
      <c r="M1" s="32" t="s">
        <v>536</v>
      </c>
      <c r="N1" s="33" t="s">
        <v>537</v>
      </c>
      <c r="O1" s="34" t="s">
        <v>538</v>
      </c>
      <c r="P1" s="35"/>
      <c r="Q1" s="35"/>
      <c r="R1" s="35"/>
    </row>
    <row r="2" spans="1:21" x14ac:dyDescent="0.25">
      <c r="A2" s="36">
        <v>1</v>
      </c>
      <c r="B2" s="37">
        <v>42735</v>
      </c>
      <c r="C2" s="37">
        <v>42974</v>
      </c>
      <c r="D2" s="38">
        <f>C2-B2+1</f>
        <v>240</v>
      </c>
      <c r="E2" s="38">
        <v>134880</v>
      </c>
      <c r="F2" s="38">
        <v>4.8060999999999998</v>
      </c>
      <c r="G2" s="38">
        <v>134741</v>
      </c>
      <c r="H2" s="39">
        <f>F2*G2</f>
        <v>647578.72009999992</v>
      </c>
      <c r="I2" s="38">
        <f>H2/D2</f>
        <v>2698.2446670833328</v>
      </c>
      <c r="J2" s="38">
        <f>E2/D2</f>
        <v>562</v>
      </c>
      <c r="K2" s="38">
        <f>G2/D2</f>
        <v>561.42083333333335</v>
      </c>
      <c r="L2" s="38">
        <f>K2*F2</f>
        <v>2698.2446670833333</v>
      </c>
      <c r="M2" s="35"/>
      <c r="N2" s="35"/>
      <c r="O2" s="35"/>
      <c r="P2" s="35"/>
      <c r="Q2" s="35"/>
      <c r="R2" s="35"/>
      <c r="S2" s="35"/>
      <c r="T2" s="35"/>
    </row>
    <row r="3" spans="1:21" x14ac:dyDescent="0.25">
      <c r="A3" s="40">
        <v>2</v>
      </c>
      <c r="B3" s="41">
        <f t="shared" ref="B3:B14" si="0">C2+1</f>
        <v>42975</v>
      </c>
      <c r="C3" s="41">
        <v>42991</v>
      </c>
      <c r="D3" s="42">
        <f t="shared" ref="D3:D66" si="1">C3-B3+1</f>
        <v>17</v>
      </c>
      <c r="E3" s="42">
        <v>8640</v>
      </c>
      <c r="F3" s="42">
        <f>F2</f>
        <v>4.8060999999999998</v>
      </c>
      <c r="G3" s="42">
        <v>8631</v>
      </c>
      <c r="H3" s="43">
        <f t="shared" ref="H3:H66" si="2">F3*G3</f>
        <v>41481.449099999998</v>
      </c>
      <c r="I3" s="42">
        <f t="shared" ref="I3:I66" si="3">H3/D3</f>
        <v>2440.0852411764704</v>
      </c>
      <c r="J3" s="44">
        <f>E3/D3</f>
        <v>508.23529411764707</v>
      </c>
      <c r="K3" s="44">
        <f>G3/D3</f>
        <v>507.70588235294116</v>
      </c>
      <c r="L3" s="44">
        <f>K3*F3</f>
        <v>2440.0852411764704</v>
      </c>
      <c r="M3" s="35"/>
      <c r="N3" s="35"/>
      <c r="O3" s="35"/>
      <c r="P3" s="35"/>
      <c r="Q3" s="35"/>
      <c r="R3" s="35"/>
      <c r="S3" s="35"/>
      <c r="T3" s="35"/>
      <c r="U3" s="35"/>
    </row>
    <row r="4" spans="1:21" x14ac:dyDescent="0.25">
      <c r="A4" s="45">
        <v>3</v>
      </c>
      <c r="B4" s="46">
        <f t="shared" si="0"/>
        <v>42992</v>
      </c>
      <c r="C4" s="46">
        <v>43024</v>
      </c>
      <c r="D4" s="47">
        <f t="shared" si="1"/>
        <v>33</v>
      </c>
      <c r="E4" s="47">
        <v>18960</v>
      </c>
      <c r="F4" s="47">
        <f>F2</f>
        <v>4.8060999999999998</v>
      </c>
      <c r="G4" s="47">
        <v>18941</v>
      </c>
      <c r="H4" s="48">
        <f t="shared" si="2"/>
        <v>91032.340100000001</v>
      </c>
      <c r="I4" s="47">
        <f t="shared" si="3"/>
        <v>2758.5557606060606</v>
      </c>
      <c r="J4" s="38">
        <f t="shared" ref="J4:J67" si="4">E4/D4</f>
        <v>574.5454545454545</v>
      </c>
      <c r="K4" s="38">
        <f t="shared" ref="K4:K67" si="5">G4/D4</f>
        <v>573.969696969697</v>
      </c>
      <c r="L4" s="38">
        <f t="shared" ref="L4:L67" si="6">K4*F4</f>
        <v>2758.5557606060606</v>
      </c>
      <c r="M4" s="35"/>
      <c r="N4" s="35"/>
      <c r="O4" s="35"/>
      <c r="P4" s="35"/>
      <c r="Q4" s="35"/>
      <c r="R4" s="35"/>
      <c r="S4" s="35"/>
      <c r="T4" s="35"/>
      <c r="U4" s="35"/>
    </row>
    <row r="5" spans="1:21" x14ac:dyDescent="0.25">
      <c r="A5" s="40">
        <v>4</v>
      </c>
      <c r="B5" s="41">
        <f t="shared" si="0"/>
        <v>43025</v>
      </c>
      <c r="C5" s="41">
        <v>43025</v>
      </c>
      <c r="D5" s="42">
        <f t="shared" si="1"/>
        <v>1</v>
      </c>
      <c r="E5" s="42">
        <v>560</v>
      </c>
      <c r="F5" s="42">
        <f t="shared" ref="F5" si="7">F4</f>
        <v>4.8060999999999998</v>
      </c>
      <c r="G5" s="42">
        <v>559</v>
      </c>
      <c r="H5" s="43">
        <f t="shared" si="2"/>
        <v>2686.6098999999999</v>
      </c>
      <c r="I5" s="42">
        <f t="shared" si="3"/>
        <v>2686.6098999999999</v>
      </c>
      <c r="J5" s="44">
        <f t="shared" si="4"/>
        <v>560</v>
      </c>
      <c r="K5" s="44">
        <f t="shared" si="5"/>
        <v>559</v>
      </c>
      <c r="L5" s="44">
        <f t="shared" si="6"/>
        <v>2686.6098999999999</v>
      </c>
      <c r="M5" s="49"/>
      <c r="N5" s="35"/>
      <c r="O5" s="35"/>
      <c r="P5" s="35"/>
      <c r="Q5" s="35"/>
      <c r="R5" s="35"/>
      <c r="S5" s="35"/>
      <c r="T5" s="35"/>
      <c r="U5" s="35"/>
    </row>
    <row r="6" spans="1:21" x14ac:dyDescent="0.25">
      <c r="A6" s="45">
        <v>5</v>
      </c>
      <c r="B6" s="46">
        <f t="shared" si="0"/>
        <v>43026</v>
      </c>
      <c r="C6" s="46">
        <v>43053</v>
      </c>
      <c r="D6" s="47">
        <f t="shared" si="1"/>
        <v>28</v>
      </c>
      <c r="E6" s="47">
        <v>14720</v>
      </c>
      <c r="F6" s="47">
        <f t="shared" ref="F6" si="8">F4</f>
        <v>4.8060999999999998</v>
      </c>
      <c r="G6" s="47">
        <v>14705</v>
      </c>
      <c r="H6" s="48">
        <f t="shared" si="2"/>
        <v>70673.700499999992</v>
      </c>
      <c r="I6" s="47">
        <f t="shared" si="3"/>
        <v>2524.060732142857</v>
      </c>
      <c r="J6" s="38">
        <f t="shared" si="4"/>
        <v>525.71428571428567</v>
      </c>
      <c r="K6" s="38">
        <f t="shared" si="5"/>
        <v>525.17857142857144</v>
      </c>
      <c r="L6" s="38">
        <f t="shared" si="6"/>
        <v>2524.060732142857</v>
      </c>
      <c r="M6" s="35"/>
      <c r="N6" s="35"/>
      <c r="O6" s="35"/>
      <c r="P6" s="35"/>
      <c r="Q6" s="35"/>
      <c r="R6" s="35"/>
      <c r="S6" s="35"/>
      <c r="T6" s="35"/>
      <c r="U6" s="35"/>
    </row>
    <row r="7" spans="1:21" x14ac:dyDescent="0.25">
      <c r="A7" s="40">
        <v>6</v>
      </c>
      <c r="B7" s="41">
        <f t="shared" si="0"/>
        <v>43054</v>
      </c>
      <c r="C7" s="41">
        <v>43083</v>
      </c>
      <c r="D7" s="42">
        <f t="shared" si="1"/>
        <v>30</v>
      </c>
      <c r="E7" s="42">
        <v>13680</v>
      </c>
      <c r="F7" s="42">
        <f t="shared" ref="F7" si="9">F6</f>
        <v>4.8060999999999998</v>
      </c>
      <c r="G7" s="42">
        <v>13666</v>
      </c>
      <c r="H7" s="43">
        <f t="shared" si="2"/>
        <v>65680.162599999996</v>
      </c>
      <c r="I7" s="42">
        <f t="shared" si="3"/>
        <v>2189.338753333333</v>
      </c>
      <c r="J7" s="44">
        <f t="shared" si="4"/>
        <v>456</v>
      </c>
      <c r="K7" s="44">
        <f t="shared" si="5"/>
        <v>455.53333333333336</v>
      </c>
      <c r="L7" s="44">
        <f t="shared" si="6"/>
        <v>2189.3387533333334</v>
      </c>
      <c r="M7" s="35"/>
      <c r="N7" s="35"/>
      <c r="O7" s="35"/>
      <c r="P7" s="35"/>
      <c r="Q7" s="35"/>
      <c r="R7" s="35"/>
      <c r="S7" s="35"/>
      <c r="T7" s="35"/>
      <c r="U7" s="35"/>
    </row>
    <row r="8" spans="1:21" x14ac:dyDescent="0.25">
      <c r="A8" s="45">
        <v>7</v>
      </c>
      <c r="B8" s="46">
        <f t="shared" si="0"/>
        <v>43084</v>
      </c>
      <c r="C8" s="46">
        <v>43115</v>
      </c>
      <c r="D8" s="47">
        <f t="shared" si="1"/>
        <v>32</v>
      </c>
      <c r="E8" s="47">
        <v>12080</v>
      </c>
      <c r="F8" s="47">
        <f t="shared" ref="F8" si="10">F6</f>
        <v>4.8060999999999998</v>
      </c>
      <c r="G8" s="47">
        <v>12068</v>
      </c>
      <c r="H8" s="48">
        <f t="shared" si="2"/>
        <v>58000.014799999997</v>
      </c>
      <c r="I8" s="47">
        <f t="shared" si="3"/>
        <v>1812.5004624999999</v>
      </c>
      <c r="J8" s="38">
        <f t="shared" si="4"/>
        <v>377.5</v>
      </c>
      <c r="K8" s="38">
        <f t="shared" si="5"/>
        <v>377.125</v>
      </c>
      <c r="L8" s="38">
        <f t="shared" si="6"/>
        <v>1812.5004624999999</v>
      </c>
      <c r="M8" s="35"/>
      <c r="N8" s="35"/>
      <c r="O8" s="35"/>
      <c r="P8" s="35"/>
      <c r="Q8" s="35"/>
      <c r="R8" s="35"/>
      <c r="S8" s="35"/>
      <c r="T8" s="35"/>
      <c r="U8" s="35"/>
    </row>
    <row r="9" spans="1:21" x14ac:dyDescent="0.25">
      <c r="A9" s="40">
        <v>8</v>
      </c>
      <c r="B9" s="41">
        <f t="shared" si="0"/>
        <v>43116</v>
      </c>
      <c r="C9" s="41">
        <v>43143</v>
      </c>
      <c r="D9" s="42">
        <f t="shared" si="1"/>
        <v>28</v>
      </c>
      <c r="E9" s="42">
        <v>11360</v>
      </c>
      <c r="F9" s="42">
        <f t="shared" ref="F9" si="11">F8</f>
        <v>4.8060999999999998</v>
      </c>
      <c r="G9" s="42">
        <v>11348</v>
      </c>
      <c r="H9" s="43">
        <f t="shared" si="2"/>
        <v>54539.622799999997</v>
      </c>
      <c r="I9" s="42">
        <f t="shared" si="3"/>
        <v>1947.8436714285713</v>
      </c>
      <c r="J9" s="44">
        <f t="shared" si="4"/>
        <v>405.71428571428572</v>
      </c>
      <c r="K9" s="44">
        <f t="shared" si="5"/>
        <v>405.28571428571428</v>
      </c>
      <c r="L9" s="44">
        <f t="shared" si="6"/>
        <v>1947.8436714285713</v>
      </c>
      <c r="M9" s="35"/>
      <c r="N9" s="35"/>
      <c r="O9" s="35"/>
      <c r="P9" s="35"/>
      <c r="Q9" s="35"/>
      <c r="R9" s="35"/>
      <c r="S9" s="35"/>
      <c r="T9" s="35"/>
      <c r="U9" s="35"/>
    </row>
    <row r="10" spans="1:21" x14ac:dyDescent="0.25">
      <c r="A10" s="45">
        <v>9</v>
      </c>
      <c r="B10" s="46">
        <f t="shared" si="0"/>
        <v>43144</v>
      </c>
      <c r="C10" s="46">
        <v>43174</v>
      </c>
      <c r="D10" s="47">
        <f t="shared" si="1"/>
        <v>31</v>
      </c>
      <c r="E10" s="47">
        <v>17840</v>
      </c>
      <c r="F10" s="47">
        <f t="shared" ref="F10" si="12">F8</f>
        <v>4.8060999999999998</v>
      </c>
      <c r="G10" s="47">
        <v>17822</v>
      </c>
      <c r="H10" s="48">
        <f t="shared" si="2"/>
        <v>85654.314199999993</v>
      </c>
      <c r="I10" s="47">
        <f t="shared" si="3"/>
        <v>2763.0423935483868</v>
      </c>
      <c r="J10" s="38">
        <f t="shared" si="4"/>
        <v>575.48387096774195</v>
      </c>
      <c r="K10" s="38">
        <f t="shared" si="5"/>
        <v>574.90322580645159</v>
      </c>
      <c r="L10" s="38">
        <f t="shared" si="6"/>
        <v>2763.0423935483868</v>
      </c>
      <c r="M10" s="35"/>
      <c r="N10" s="35"/>
      <c r="O10" s="35"/>
      <c r="P10" s="35"/>
      <c r="Q10" s="35"/>
      <c r="R10" s="35"/>
      <c r="S10" s="35"/>
      <c r="T10" s="35"/>
      <c r="U10" s="35"/>
    </row>
    <row r="11" spans="1:21" x14ac:dyDescent="0.25">
      <c r="A11" s="40">
        <v>10</v>
      </c>
      <c r="B11" s="41">
        <f t="shared" si="0"/>
        <v>43175</v>
      </c>
      <c r="C11" s="41">
        <v>43207</v>
      </c>
      <c r="D11" s="42">
        <f t="shared" si="1"/>
        <v>33</v>
      </c>
      <c r="E11" s="42">
        <v>21680</v>
      </c>
      <c r="F11" s="42">
        <f t="shared" ref="F11" si="13">F10</f>
        <v>4.8060999999999998</v>
      </c>
      <c r="G11" s="42">
        <v>21658</v>
      </c>
      <c r="H11" s="43">
        <f t="shared" si="2"/>
        <v>104090.5138</v>
      </c>
      <c r="I11" s="42">
        <f t="shared" si="3"/>
        <v>3154.2579939393941</v>
      </c>
      <c r="J11" s="44">
        <f t="shared" si="4"/>
        <v>656.969696969697</v>
      </c>
      <c r="K11" s="44">
        <f t="shared" si="5"/>
        <v>656.30303030303025</v>
      </c>
      <c r="L11" s="44">
        <f t="shared" si="6"/>
        <v>3154.2579939393936</v>
      </c>
      <c r="M11" s="35"/>
      <c r="N11" s="35"/>
      <c r="O11" s="35"/>
      <c r="P11" s="35"/>
      <c r="Q11" s="35"/>
      <c r="R11" s="35"/>
      <c r="S11" s="35"/>
      <c r="T11" s="35"/>
      <c r="U11" s="35"/>
    </row>
    <row r="12" spans="1:21" x14ac:dyDescent="0.25">
      <c r="A12" s="45">
        <v>11</v>
      </c>
      <c r="B12" s="46">
        <f t="shared" si="0"/>
        <v>43208</v>
      </c>
      <c r="C12" s="46">
        <v>43236</v>
      </c>
      <c r="D12" s="47">
        <f t="shared" si="1"/>
        <v>29</v>
      </c>
      <c r="E12" s="47">
        <v>18480</v>
      </c>
      <c r="F12" s="47">
        <f t="shared" ref="F12" si="14">F10</f>
        <v>4.8060999999999998</v>
      </c>
      <c r="G12" s="47">
        <v>18461</v>
      </c>
      <c r="H12" s="48">
        <f t="shared" si="2"/>
        <v>88725.412100000001</v>
      </c>
      <c r="I12" s="47">
        <f t="shared" si="3"/>
        <v>3059.4969689655172</v>
      </c>
      <c r="J12" s="38">
        <f t="shared" si="4"/>
        <v>637.24137931034488</v>
      </c>
      <c r="K12" s="38">
        <f t="shared" si="5"/>
        <v>636.58620689655174</v>
      </c>
      <c r="L12" s="38">
        <f t="shared" si="6"/>
        <v>3059.4969689655172</v>
      </c>
      <c r="M12" s="35"/>
      <c r="N12" s="35"/>
      <c r="O12" s="35"/>
      <c r="P12" s="35"/>
      <c r="Q12" s="35"/>
      <c r="R12" s="35"/>
      <c r="S12" s="35"/>
      <c r="T12" s="35"/>
      <c r="U12" s="35"/>
    </row>
    <row r="13" spans="1:21" x14ac:dyDescent="0.25">
      <c r="A13" s="40">
        <v>12</v>
      </c>
      <c r="B13" s="41">
        <f t="shared" si="0"/>
        <v>43237</v>
      </c>
      <c r="C13" s="41">
        <v>43265</v>
      </c>
      <c r="D13" s="42">
        <f t="shared" si="1"/>
        <v>29</v>
      </c>
      <c r="E13" s="42">
        <v>19360</v>
      </c>
      <c r="F13" s="42">
        <f t="shared" ref="F13" si="15">F12</f>
        <v>4.8060999999999998</v>
      </c>
      <c r="G13" s="42">
        <v>19340</v>
      </c>
      <c r="H13" s="43">
        <f t="shared" si="2"/>
        <v>92949.974000000002</v>
      </c>
      <c r="I13" s="42">
        <f t="shared" si="3"/>
        <v>3205.1715172413792</v>
      </c>
      <c r="J13" s="44">
        <f t="shared" si="4"/>
        <v>667.58620689655174</v>
      </c>
      <c r="K13" s="44">
        <f t="shared" si="5"/>
        <v>666.89655172413791</v>
      </c>
      <c r="L13" s="44">
        <f t="shared" si="6"/>
        <v>3205.1715172413792</v>
      </c>
      <c r="M13" s="35"/>
      <c r="N13" s="35"/>
      <c r="O13" s="35"/>
      <c r="P13" s="35"/>
      <c r="Q13" s="35"/>
      <c r="R13" s="35"/>
      <c r="S13" s="35"/>
      <c r="T13" s="35"/>
      <c r="U13" s="35"/>
    </row>
    <row r="14" spans="1:21" x14ac:dyDescent="0.25">
      <c r="A14" s="45">
        <v>13</v>
      </c>
      <c r="B14" s="46">
        <f t="shared" si="0"/>
        <v>43266</v>
      </c>
      <c r="C14" s="46">
        <v>43297</v>
      </c>
      <c r="D14" s="47">
        <f t="shared" si="1"/>
        <v>32</v>
      </c>
      <c r="E14" s="47">
        <v>18720</v>
      </c>
      <c r="F14" s="47">
        <f t="shared" ref="F14" si="16">F12</f>
        <v>4.8060999999999998</v>
      </c>
      <c r="G14" s="47">
        <v>18701</v>
      </c>
      <c r="H14" s="48">
        <f t="shared" si="2"/>
        <v>89878.876099999994</v>
      </c>
      <c r="I14" s="47">
        <f t="shared" si="3"/>
        <v>2808.7148781249998</v>
      </c>
      <c r="J14" s="38">
        <f t="shared" si="4"/>
        <v>585</v>
      </c>
      <c r="K14" s="38">
        <f t="shared" si="5"/>
        <v>584.40625</v>
      </c>
      <c r="L14" s="38">
        <f t="shared" si="6"/>
        <v>2808.7148781249998</v>
      </c>
      <c r="M14" s="35"/>
      <c r="N14" s="35"/>
      <c r="O14" s="35"/>
      <c r="P14" s="35"/>
      <c r="Q14" s="35"/>
      <c r="R14" s="35"/>
      <c r="S14" s="35"/>
      <c r="T14" s="35"/>
      <c r="U14" s="35"/>
    </row>
    <row r="15" spans="1:21" x14ac:dyDescent="0.25">
      <c r="A15" s="40">
        <v>14</v>
      </c>
      <c r="B15" s="41">
        <f>C14+1</f>
        <v>43298</v>
      </c>
      <c r="C15" s="41">
        <v>43327</v>
      </c>
      <c r="D15" s="42">
        <f t="shared" si="1"/>
        <v>30</v>
      </c>
      <c r="E15" s="42">
        <v>19520</v>
      </c>
      <c r="F15" s="42">
        <f t="shared" ref="F15" si="17">F14</f>
        <v>4.8060999999999998</v>
      </c>
      <c r="G15" s="42">
        <v>19500</v>
      </c>
      <c r="H15" s="43">
        <f t="shared" si="2"/>
        <v>93718.95</v>
      </c>
      <c r="I15" s="42">
        <f t="shared" si="3"/>
        <v>3123.9649999999997</v>
      </c>
      <c r="J15" s="44">
        <f t="shared" si="4"/>
        <v>650.66666666666663</v>
      </c>
      <c r="K15" s="44">
        <f t="shared" si="5"/>
        <v>650</v>
      </c>
      <c r="L15" s="44">
        <f t="shared" si="6"/>
        <v>3123.9649999999997</v>
      </c>
      <c r="M15" s="35"/>
      <c r="N15" s="35"/>
      <c r="O15" s="35"/>
      <c r="P15" s="35"/>
      <c r="Q15" s="35"/>
      <c r="R15" s="35"/>
      <c r="S15" s="35"/>
      <c r="T15" s="35"/>
      <c r="U15" s="35"/>
    </row>
    <row r="16" spans="1:21" x14ac:dyDescent="0.25">
      <c r="A16" s="45">
        <v>15</v>
      </c>
      <c r="B16" s="46">
        <f t="shared" ref="B16:B77" si="18">C15+1</f>
        <v>43328</v>
      </c>
      <c r="C16" s="46">
        <v>43359</v>
      </c>
      <c r="D16" s="47">
        <f t="shared" si="1"/>
        <v>32</v>
      </c>
      <c r="E16" s="47">
        <v>16560</v>
      </c>
      <c r="F16" s="47">
        <f t="shared" ref="F16" si="19">F14</f>
        <v>4.8060999999999998</v>
      </c>
      <c r="G16" s="47">
        <v>16543</v>
      </c>
      <c r="H16" s="48">
        <f t="shared" si="2"/>
        <v>79507.312299999991</v>
      </c>
      <c r="I16" s="47">
        <f t="shared" si="3"/>
        <v>2484.6035093749997</v>
      </c>
      <c r="J16" s="38">
        <f t="shared" si="4"/>
        <v>517.5</v>
      </c>
      <c r="K16" s="38">
        <f t="shared" si="5"/>
        <v>516.96875</v>
      </c>
      <c r="L16" s="38">
        <f t="shared" si="6"/>
        <v>2484.6035093749997</v>
      </c>
      <c r="M16" s="35"/>
      <c r="N16" s="35"/>
      <c r="O16" s="35"/>
      <c r="P16" s="35"/>
      <c r="Q16" s="35"/>
      <c r="R16" s="35"/>
      <c r="S16" s="35"/>
      <c r="T16" s="35"/>
      <c r="U16" s="35"/>
    </row>
    <row r="17" spans="1:21" x14ac:dyDescent="0.25">
      <c r="A17" s="40">
        <v>16</v>
      </c>
      <c r="B17" s="41">
        <f t="shared" si="18"/>
        <v>43360</v>
      </c>
      <c r="C17" s="41">
        <v>43389</v>
      </c>
      <c r="D17" s="42">
        <f t="shared" si="1"/>
        <v>30</v>
      </c>
      <c r="E17" s="42">
        <v>20080</v>
      </c>
      <c r="F17" s="42">
        <f t="shared" ref="F17" si="20">F16</f>
        <v>4.8060999999999998</v>
      </c>
      <c r="G17" s="42">
        <v>20059</v>
      </c>
      <c r="H17" s="43">
        <f t="shared" si="2"/>
        <v>96405.559899999993</v>
      </c>
      <c r="I17" s="42">
        <f t="shared" si="3"/>
        <v>3213.5186633333333</v>
      </c>
      <c r="J17" s="44">
        <f t="shared" si="4"/>
        <v>669.33333333333337</v>
      </c>
      <c r="K17" s="44">
        <f t="shared" si="5"/>
        <v>668.63333333333333</v>
      </c>
      <c r="L17" s="44">
        <f t="shared" si="6"/>
        <v>3213.5186633333333</v>
      </c>
      <c r="M17" s="35"/>
      <c r="N17" s="35"/>
      <c r="O17" s="35"/>
      <c r="P17" s="35"/>
      <c r="Q17" s="35"/>
      <c r="R17" s="35"/>
      <c r="S17" s="35"/>
      <c r="T17" s="35"/>
      <c r="U17" s="35"/>
    </row>
    <row r="18" spans="1:21" x14ac:dyDescent="0.25">
      <c r="A18" s="45">
        <v>17</v>
      </c>
      <c r="B18" s="46">
        <f t="shared" si="18"/>
        <v>43390</v>
      </c>
      <c r="C18" s="46">
        <v>43418</v>
      </c>
      <c r="D18" s="47">
        <f t="shared" si="1"/>
        <v>29</v>
      </c>
      <c r="E18" s="47">
        <v>16320</v>
      </c>
      <c r="F18" s="47">
        <f t="shared" ref="F18" si="21">F16</f>
        <v>4.8060999999999998</v>
      </c>
      <c r="G18" s="47">
        <v>16303</v>
      </c>
      <c r="H18" s="48">
        <f t="shared" si="2"/>
        <v>78353.848299999998</v>
      </c>
      <c r="I18" s="47">
        <f t="shared" si="3"/>
        <v>2701.8568379310345</v>
      </c>
      <c r="J18" s="38">
        <f t="shared" si="4"/>
        <v>562.75862068965512</v>
      </c>
      <c r="K18" s="38">
        <f t="shared" si="5"/>
        <v>562.17241379310349</v>
      </c>
      <c r="L18" s="38">
        <f t="shared" si="6"/>
        <v>2701.8568379310345</v>
      </c>
      <c r="M18" s="35"/>
      <c r="N18" s="35"/>
      <c r="O18" s="35"/>
      <c r="P18" s="35"/>
      <c r="Q18" s="35"/>
      <c r="R18" s="35"/>
      <c r="S18" s="35"/>
      <c r="T18" s="35"/>
      <c r="U18" s="35"/>
    </row>
    <row r="19" spans="1:21" x14ac:dyDescent="0.25">
      <c r="A19" s="40">
        <v>18</v>
      </c>
      <c r="B19" s="41">
        <f t="shared" si="18"/>
        <v>43419</v>
      </c>
      <c r="C19" s="41">
        <v>43450</v>
      </c>
      <c r="D19" s="42">
        <f t="shared" si="1"/>
        <v>32</v>
      </c>
      <c r="E19" s="42">
        <v>13280</v>
      </c>
      <c r="F19" s="42">
        <f t="shared" ref="F19" si="22">F18</f>
        <v>4.8060999999999998</v>
      </c>
      <c r="G19" s="42">
        <v>13266</v>
      </c>
      <c r="H19" s="43">
        <f t="shared" si="2"/>
        <v>63757.722600000001</v>
      </c>
      <c r="I19" s="42">
        <f t="shared" si="3"/>
        <v>1992.42883125</v>
      </c>
      <c r="J19" s="44">
        <f t="shared" si="4"/>
        <v>415</v>
      </c>
      <c r="K19" s="44">
        <f t="shared" si="5"/>
        <v>414.5625</v>
      </c>
      <c r="L19" s="44">
        <f t="shared" si="6"/>
        <v>1992.42883125</v>
      </c>
      <c r="M19" s="35"/>
      <c r="N19" s="35"/>
      <c r="O19" s="35"/>
      <c r="P19" s="35"/>
      <c r="Q19" s="35"/>
      <c r="R19" s="35"/>
      <c r="S19" s="35"/>
      <c r="T19" s="35"/>
      <c r="U19" s="35"/>
    </row>
    <row r="20" spans="1:21" x14ac:dyDescent="0.25">
      <c r="A20" s="45">
        <v>19</v>
      </c>
      <c r="B20" s="46">
        <f t="shared" si="18"/>
        <v>43451</v>
      </c>
      <c r="C20" s="46">
        <v>43480</v>
      </c>
      <c r="D20" s="47">
        <f t="shared" si="1"/>
        <v>30</v>
      </c>
      <c r="E20" s="47">
        <v>14240</v>
      </c>
      <c r="F20" s="47">
        <f t="shared" ref="F20" si="23">F18</f>
        <v>4.8060999999999998</v>
      </c>
      <c r="G20" s="47">
        <v>14225</v>
      </c>
      <c r="H20" s="48">
        <f t="shared" si="2"/>
        <v>68366.772499999992</v>
      </c>
      <c r="I20" s="47">
        <f t="shared" si="3"/>
        <v>2278.8924166666666</v>
      </c>
      <c r="J20" s="38">
        <f t="shared" si="4"/>
        <v>474.66666666666669</v>
      </c>
      <c r="K20" s="38">
        <f t="shared" si="5"/>
        <v>474.16666666666669</v>
      </c>
      <c r="L20" s="38">
        <f t="shared" si="6"/>
        <v>2278.8924166666666</v>
      </c>
      <c r="M20" s="35"/>
      <c r="N20" s="35"/>
      <c r="O20" s="35"/>
      <c r="P20" s="35"/>
      <c r="Q20" s="35"/>
      <c r="R20" s="35"/>
      <c r="S20" s="35"/>
      <c r="T20" s="35"/>
      <c r="U20" s="35"/>
    </row>
    <row r="21" spans="1:21" x14ac:dyDescent="0.25">
      <c r="A21" s="40">
        <v>20</v>
      </c>
      <c r="B21" s="41">
        <f t="shared" si="18"/>
        <v>43481</v>
      </c>
      <c r="C21" s="41">
        <v>43514</v>
      </c>
      <c r="D21" s="42">
        <f t="shared" si="1"/>
        <v>34</v>
      </c>
      <c r="E21" s="42">
        <v>17280</v>
      </c>
      <c r="F21" s="42">
        <f t="shared" ref="F21" si="24">F20</f>
        <v>4.8060999999999998</v>
      </c>
      <c r="G21" s="42">
        <v>17262</v>
      </c>
      <c r="H21" s="43">
        <f t="shared" si="2"/>
        <v>82962.898199999996</v>
      </c>
      <c r="I21" s="42">
        <f t="shared" si="3"/>
        <v>2440.0852411764704</v>
      </c>
      <c r="J21" s="44">
        <f t="shared" si="4"/>
        <v>508.23529411764707</v>
      </c>
      <c r="K21" s="44">
        <f t="shared" si="5"/>
        <v>507.70588235294116</v>
      </c>
      <c r="L21" s="44">
        <f t="shared" si="6"/>
        <v>2440.0852411764704</v>
      </c>
      <c r="M21" s="35"/>
      <c r="N21" s="35"/>
      <c r="O21" s="35"/>
      <c r="P21" s="35"/>
      <c r="Q21" s="35"/>
      <c r="R21" s="35"/>
      <c r="S21" s="35"/>
      <c r="T21" s="35"/>
      <c r="U21" s="35"/>
    </row>
    <row r="22" spans="1:21" x14ac:dyDescent="0.25">
      <c r="A22" s="45">
        <v>21</v>
      </c>
      <c r="B22" s="46">
        <f t="shared" si="18"/>
        <v>43515</v>
      </c>
      <c r="C22" s="46">
        <v>43541</v>
      </c>
      <c r="D22" s="47">
        <f t="shared" si="1"/>
        <v>27</v>
      </c>
      <c r="E22" s="47">
        <v>12960</v>
      </c>
      <c r="F22" s="47">
        <f t="shared" ref="F22" si="25">F20</f>
        <v>4.8060999999999998</v>
      </c>
      <c r="G22" s="47">
        <v>12947</v>
      </c>
      <c r="H22" s="48">
        <f t="shared" si="2"/>
        <v>62224.576699999998</v>
      </c>
      <c r="I22" s="47">
        <f t="shared" si="3"/>
        <v>2304.6139518518517</v>
      </c>
      <c r="J22" s="38">
        <f t="shared" si="4"/>
        <v>480</v>
      </c>
      <c r="K22" s="38">
        <f t="shared" si="5"/>
        <v>479.51851851851853</v>
      </c>
      <c r="L22" s="38">
        <f t="shared" si="6"/>
        <v>2304.6139518518517</v>
      </c>
      <c r="M22" s="35"/>
      <c r="N22" s="35"/>
      <c r="O22" s="35"/>
      <c r="P22" s="35"/>
      <c r="Q22" s="35"/>
      <c r="R22" s="35"/>
      <c r="S22" s="35"/>
      <c r="T22" s="35"/>
      <c r="U22" s="35"/>
    </row>
    <row r="23" spans="1:21" x14ac:dyDescent="0.25">
      <c r="A23" s="40">
        <v>22</v>
      </c>
      <c r="B23" s="41">
        <f t="shared" si="18"/>
        <v>43542</v>
      </c>
      <c r="C23" s="41"/>
      <c r="D23" s="42">
        <f t="shared" si="1"/>
        <v>-43541</v>
      </c>
      <c r="E23" s="42"/>
      <c r="F23" s="42">
        <f t="shared" ref="F23" si="26">F22</f>
        <v>4.8060999999999998</v>
      </c>
      <c r="G23" s="42"/>
      <c r="H23" s="43">
        <f t="shared" si="2"/>
        <v>0</v>
      </c>
      <c r="I23" s="42">
        <f t="shared" si="3"/>
        <v>0</v>
      </c>
      <c r="J23" s="44">
        <f t="shared" si="4"/>
        <v>0</v>
      </c>
      <c r="K23" s="44">
        <f t="shared" si="5"/>
        <v>0</v>
      </c>
      <c r="L23" s="44">
        <f t="shared" si="6"/>
        <v>0</v>
      </c>
      <c r="M23" s="35"/>
      <c r="N23" s="35"/>
      <c r="O23" s="35"/>
      <c r="P23" s="35"/>
      <c r="Q23" s="35"/>
      <c r="R23" s="35"/>
      <c r="S23" s="35"/>
      <c r="T23" s="35"/>
      <c r="U23" s="35"/>
    </row>
    <row r="24" spans="1:21" x14ac:dyDescent="0.25">
      <c r="A24" s="45">
        <v>23</v>
      </c>
      <c r="B24" s="46">
        <f t="shared" si="18"/>
        <v>1</v>
      </c>
      <c r="C24" s="46"/>
      <c r="D24" s="47">
        <f t="shared" si="1"/>
        <v>0</v>
      </c>
      <c r="E24" s="47"/>
      <c r="F24" s="47">
        <f t="shared" ref="F24" si="27">F22</f>
        <v>4.8060999999999998</v>
      </c>
      <c r="G24" s="47"/>
      <c r="H24" s="48">
        <f t="shared" si="2"/>
        <v>0</v>
      </c>
      <c r="I24" s="47" t="e">
        <f t="shared" si="3"/>
        <v>#DIV/0!</v>
      </c>
      <c r="J24" s="38" t="e">
        <f t="shared" si="4"/>
        <v>#DIV/0!</v>
      </c>
      <c r="K24" s="38" t="e">
        <f t="shared" si="5"/>
        <v>#DIV/0!</v>
      </c>
      <c r="L24" s="38" t="e">
        <f t="shared" si="6"/>
        <v>#DIV/0!</v>
      </c>
      <c r="M24" s="35"/>
      <c r="N24" s="35"/>
      <c r="O24" s="35"/>
      <c r="P24" s="35"/>
      <c r="Q24" s="35"/>
      <c r="R24" s="35"/>
      <c r="S24" s="35"/>
      <c r="T24" s="35"/>
      <c r="U24" s="35"/>
    </row>
    <row r="25" spans="1:21" x14ac:dyDescent="0.25">
      <c r="A25" s="40">
        <v>24</v>
      </c>
      <c r="B25" s="41">
        <f t="shared" si="18"/>
        <v>1</v>
      </c>
      <c r="C25" s="41"/>
      <c r="D25" s="42">
        <f t="shared" si="1"/>
        <v>0</v>
      </c>
      <c r="E25" s="42"/>
      <c r="F25" s="42">
        <f t="shared" ref="F25" si="28">F24</f>
        <v>4.8060999999999998</v>
      </c>
      <c r="G25" s="42"/>
      <c r="H25" s="43">
        <f t="shared" si="2"/>
        <v>0</v>
      </c>
      <c r="I25" s="42" t="e">
        <f t="shared" si="3"/>
        <v>#DIV/0!</v>
      </c>
      <c r="J25" s="44" t="e">
        <f t="shared" si="4"/>
        <v>#DIV/0!</v>
      </c>
      <c r="K25" s="44" t="e">
        <f t="shared" si="5"/>
        <v>#DIV/0!</v>
      </c>
      <c r="L25" s="44" t="e">
        <f t="shared" si="6"/>
        <v>#DIV/0!</v>
      </c>
      <c r="M25" s="35"/>
      <c r="N25" s="35"/>
      <c r="O25" s="35"/>
      <c r="P25" s="35"/>
      <c r="Q25" s="35"/>
      <c r="R25" s="35"/>
      <c r="S25" s="35"/>
      <c r="T25" s="35"/>
      <c r="U25" s="35"/>
    </row>
    <row r="26" spans="1:21" x14ac:dyDescent="0.25">
      <c r="A26" s="45">
        <v>25</v>
      </c>
      <c r="B26" s="46">
        <f t="shared" si="18"/>
        <v>1</v>
      </c>
      <c r="C26" s="46"/>
      <c r="D26" s="47">
        <f t="shared" si="1"/>
        <v>0</v>
      </c>
      <c r="E26" s="47"/>
      <c r="F26" s="47">
        <f t="shared" ref="F26" si="29">F24</f>
        <v>4.8060999999999998</v>
      </c>
      <c r="G26" s="47"/>
      <c r="H26" s="48">
        <f t="shared" si="2"/>
        <v>0</v>
      </c>
      <c r="I26" s="47" t="e">
        <f t="shared" si="3"/>
        <v>#DIV/0!</v>
      </c>
      <c r="J26" s="38" t="e">
        <f t="shared" si="4"/>
        <v>#DIV/0!</v>
      </c>
      <c r="K26" s="38" t="e">
        <f t="shared" si="5"/>
        <v>#DIV/0!</v>
      </c>
      <c r="L26" s="38" t="e">
        <f t="shared" si="6"/>
        <v>#DIV/0!</v>
      </c>
      <c r="M26" s="35"/>
      <c r="N26" s="35"/>
      <c r="O26" s="35"/>
      <c r="P26" s="35"/>
      <c r="Q26" s="35"/>
      <c r="R26" s="35"/>
      <c r="S26" s="35"/>
      <c r="T26" s="35"/>
      <c r="U26" s="35"/>
    </row>
    <row r="27" spans="1:21" x14ac:dyDescent="0.25">
      <c r="A27" s="40">
        <v>26</v>
      </c>
      <c r="B27" s="41">
        <f t="shared" si="18"/>
        <v>1</v>
      </c>
      <c r="C27" s="41"/>
      <c r="D27" s="42">
        <f t="shared" si="1"/>
        <v>0</v>
      </c>
      <c r="E27" s="42"/>
      <c r="F27" s="42">
        <f t="shared" ref="F27" si="30">F26</f>
        <v>4.8060999999999998</v>
      </c>
      <c r="G27" s="42"/>
      <c r="H27" s="43">
        <f t="shared" si="2"/>
        <v>0</v>
      </c>
      <c r="I27" s="42" t="e">
        <f t="shared" si="3"/>
        <v>#DIV/0!</v>
      </c>
      <c r="J27" s="44" t="e">
        <f t="shared" si="4"/>
        <v>#DIV/0!</v>
      </c>
      <c r="K27" s="44" t="e">
        <f t="shared" si="5"/>
        <v>#DIV/0!</v>
      </c>
      <c r="L27" s="44" t="e">
        <f t="shared" si="6"/>
        <v>#DIV/0!</v>
      </c>
      <c r="M27" s="35"/>
      <c r="N27" s="35"/>
      <c r="O27" s="35"/>
      <c r="P27" s="35"/>
      <c r="Q27" s="35"/>
      <c r="R27" s="35"/>
      <c r="S27" s="35"/>
      <c r="T27" s="35"/>
      <c r="U27" s="35"/>
    </row>
    <row r="28" spans="1:21" x14ac:dyDescent="0.25">
      <c r="A28" s="45">
        <v>27</v>
      </c>
      <c r="B28" s="46">
        <f t="shared" si="18"/>
        <v>1</v>
      </c>
      <c r="C28" s="46"/>
      <c r="D28" s="47">
        <f t="shared" si="1"/>
        <v>0</v>
      </c>
      <c r="E28" s="47"/>
      <c r="F28" s="47">
        <f t="shared" ref="F28" si="31">F26</f>
        <v>4.8060999999999998</v>
      </c>
      <c r="G28" s="47"/>
      <c r="H28" s="48">
        <f t="shared" si="2"/>
        <v>0</v>
      </c>
      <c r="I28" s="47" t="e">
        <f t="shared" si="3"/>
        <v>#DIV/0!</v>
      </c>
      <c r="J28" s="38" t="e">
        <f t="shared" si="4"/>
        <v>#DIV/0!</v>
      </c>
      <c r="K28" s="38" t="e">
        <f t="shared" si="5"/>
        <v>#DIV/0!</v>
      </c>
      <c r="L28" s="38" t="e">
        <f t="shared" si="6"/>
        <v>#DIV/0!</v>
      </c>
      <c r="M28" s="35"/>
      <c r="N28" s="35"/>
      <c r="O28" s="35"/>
      <c r="P28" s="35"/>
      <c r="Q28" s="35"/>
      <c r="R28" s="35"/>
      <c r="S28" s="35"/>
      <c r="T28" s="35"/>
      <c r="U28" s="35"/>
    </row>
    <row r="29" spans="1:21" x14ac:dyDescent="0.25">
      <c r="A29" s="40">
        <v>28</v>
      </c>
      <c r="B29" s="41">
        <f t="shared" si="18"/>
        <v>1</v>
      </c>
      <c r="C29" s="41"/>
      <c r="D29" s="42">
        <f t="shared" si="1"/>
        <v>0</v>
      </c>
      <c r="E29" s="42"/>
      <c r="F29" s="42">
        <f t="shared" ref="F29" si="32">F28</f>
        <v>4.8060999999999998</v>
      </c>
      <c r="G29" s="42"/>
      <c r="H29" s="43">
        <f t="shared" si="2"/>
        <v>0</v>
      </c>
      <c r="I29" s="42" t="e">
        <f t="shared" si="3"/>
        <v>#DIV/0!</v>
      </c>
      <c r="J29" s="44" t="e">
        <f t="shared" si="4"/>
        <v>#DIV/0!</v>
      </c>
      <c r="K29" s="44" t="e">
        <f t="shared" si="5"/>
        <v>#DIV/0!</v>
      </c>
      <c r="L29" s="44" t="e">
        <f t="shared" si="6"/>
        <v>#DIV/0!</v>
      </c>
      <c r="M29" s="35"/>
      <c r="N29" s="35"/>
      <c r="O29" s="35"/>
      <c r="P29" s="35"/>
      <c r="Q29" s="35"/>
      <c r="R29" s="35"/>
      <c r="S29" s="35"/>
      <c r="T29" s="35"/>
      <c r="U29" s="35"/>
    </row>
    <row r="30" spans="1:21" x14ac:dyDescent="0.25">
      <c r="A30" s="45">
        <v>29</v>
      </c>
      <c r="B30" s="46">
        <f t="shared" si="18"/>
        <v>1</v>
      </c>
      <c r="C30" s="46"/>
      <c r="D30" s="47">
        <f t="shared" si="1"/>
        <v>0</v>
      </c>
      <c r="E30" s="47"/>
      <c r="F30" s="47">
        <f t="shared" ref="F30" si="33">F28</f>
        <v>4.8060999999999998</v>
      </c>
      <c r="G30" s="47"/>
      <c r="H30" s="48">
        <f t="shared" si="2"/>
        <v>0</v>
      </c>
      <c r="I30" s="47" t="e">
        <f t="shared" si="3"/>
        <v>#DIV/0!</v>
      </c>
      <c r="J30" s="38" t="e">
        <f t="shared" si="4"/>
        <v>#DIV/0!</v>
      </c>
      <c r="K30" s="38" t="e">
        <f t="shared" si="5"/>
        <v>#DIV/0!</v>
      </c>
      <c r="L30" s="38" t="e">
        <f t="shared" si="6"/>
        <v>#DIV/0!</v>
      </c>
      <c r="M30" s="35"/>
      <c r="N30" s="35"/>
      <c r="O30" s="35"/>
      <c r="P30" s="35"/>
      <c r="Q30" s="35"/>
      <c r="R30" s="35"/>
      <c r="S30" s="35"/>
      <c r="T30" s="35"/>
      <c r="U30" s="35"/>
    </row>
    <row r="31" spans="1:21" x14ac:dyDescent="0.25">
      <c r="A31" s="40">
        <v>30</v>
      </c>
      <c r="B31" s="41">
        <f t="shared" si="18"/>
        <v>1</v>
      </c>
      <c r="C31" s="41"/>
      <c r="D31" s="42">
        <f t="shared" si="1"/>
        <v>0</v>
      </c>
      <c r="E31" s="42"/>
      <c r="F31" s="42">
        <f t="shared" ref="F31" si="34">F30</f>
        <v>4.8060999999999998</v>
      </c>
      <c r="G31" s="42"/>
      <c r="H31" s="43">
        <f t="shared" si="2"/>
        <v>0</v>
      </c>
      <c r="I31" s="42" t="e">
        <f t="shared" si="3"/>
        <v>#DIV/0!</v>
      </c>
      <c r="J31" s="44" t="e">
        <f t="shared" si="4"/>
        <v>#DIV/0!</v>
      </c>
      <c r="K31" s="44" t="e">
        <f t="shared" si="5"/>
        <v>#DIV/0!</v>
      </c>
      <c r="L31" s="44" t="e">
        <f t="shared" si="6"/>
        <v>#DIV/0!</v>
      </c>
      <c r="M31" s="35"/>
      <c r="N31" s="35"/>
      <c r="O31" s="35"/>
      <c r="P31" s="35"/>
      <c r="Q31" s="35"/>
      <c r="R31" s="35"/>
      <c r="S31" s="35"/>
      <c r="T31" s="35"/>
      <c r="U31" s="35"/>
    </row>
    <row r="32" spans="1:21" x14ac:dyDescent="0.25">
      <c r="A32" s="45">
        <v>31</v>
      </c>
      <c r="B32" s="46">
        <f t="shared" si="18"/>
        <v>1</v>
      </c>
      <c r="C32" s="46"/>
      <c r="D32" s="47">
        <f t="shared" si="1"/>
        <v>0</v>
      </c>
      <c r="E32" s="47"/>
      <c r="F32" s="47">
        <f t="shared" ref="F32" si="35">F30</f>
        <v>4.8060999999999998</v>
      </c>
      <c r="G32" s="47"/>
      <c r="H32" s="48">
        <f t="shared" si="2"/>
        <v>0</v>
      </c>
      <c r="I32" s="47" t="e">
        <f t="shared" si="3"/>
        <v>#DIV/0!</v>
      </c>
      <c r="J32" s="38" t="e">
        <f t="shared" si="4"/>
        <v>#DIV/0!</v>
      </c>
      <c r="K32" s="38" t="e">
        <f t="shared" si="5"/>
        <v>#DIV/0!</v>
      </c>
      <c r="L32" s="38" t="e">
        <f t="shared" si="6"/>
        <v>#DIV/0!</v>
      </c>
      <c r="M32" s="35"/>
      <c r="N32" s="35"/>
      <c r="O32" s="35"/>
      <c r="P32" s="35"/>
      <c r="Q32" s="35"/>
      <c r="R32" s="35"/>
      <c r="S32" s="35"/>
      <c r="T32" s="35"/>
      <c r="U32" s="35"/>
    </row>
    <row r="33" spans="1:21" x14ac:dyDescent="0.25">
      <c r="A33" s="40">
        <v>32</v>
      </c>
      <c r="B33" s="41">
        <f t="shared" si="18"/>
        <v>1</v>
      </c>
      <c r="C33" s="41"/>
      <c r="D33" s="42">
        <f t="shared" si="1"/>
        <v>0</v>
      </c>
      <c r="E33" s="42"/>
      <c r="F33" s="42">
        <f t="shared" ref="F33" si="36">F32</f>
        <v>4.8060999999999998</v>
      </c>
      <c r="G33" s="42"/>
      <c r="H33" s="43">
        <f t="shared" si="2"/>
        <v>0</v>
      </c>
      <c r="I33" s="42" t="e">
        <f t="shared" si="3"/>
        <v>#DIV/0!</v>
      </c>
      <c r="J33" s="44" t="e">
        <f t="shared" si="4"/>
        <v>#DIV/0!</v>
      </c>
      <c r="K33" s="44" t="e">
        <f t="shared" si="5"/>
        <v>#DIV/0!</v>
      </c>
      <c r="L33" s="44" t="e">
        <f t="shared" si="6"/>
        <v>#DIV/0!</v>
      </c>
      <c r="M33" s="35"/>
      <c r="N33" s="35"/>
      <c r="O33" s="35"/>
      <c r="P33" s="35"/>
      <c r="Q33" s="35"/>
      <c r="R33" s="35"/>
      <c r="S33" s="35"/>
      <c r="T33" s="35"/>
      <c r="U33" s="35"/>
    </row>
    <row r="34" spans="1:21" x14ac:dyDescent="0.25">
      <c r="A34" s="45">
        <v>33</v>
      </c>
      <c r="B34" s="46">
        <f t="shared" si="18"/>
        <v>1</v>
      </c>
      <c r="C34" s="46"/>
      <c r="D34" s="47">
        <f t="shared" si="1"/>
        <v>0</v>
      </c>
      <c r="E34" s="47"/>
      <c r="F34" s="47">
        <f t="shared" ref="F34" si="37">F32</f>
        <v>4.8060999999999998</v>
      </c>
      <c r="G34" s="47"/>
      <c r="H34" s="48">
        <f t="shared" si="2"/>
        <v>0</v>
      </c>
      <c r="I34" s="47" t="e">
        <f t="shared" si="3"/>
        <v>#DIV/0!</v>
      </c>
      <c r="J34" s="38" t="e">
        <f t="shared" si="4"/>
        <v>#DIV/0!</v>
      </c>
      <c r="K34" s="38" t="e">
        <f t="shared" si="5"/>
        <v>#DIV/0!</v>
      </c>
      <c r="L34" s="38" t="e">
        <f t="shared" si="6"/>
        <v>#DIV/0!</v>
      </c>
      <c r="M34" s="35"/>
      <c r="N34" s="35"/>
      <c r="O34" s="35"/>
      <c r="P34" s="35"/>
      <c r="Q34" s="35"/>
      <c r="R34" s="35"/>
      <c r="S34" s="35"/>
      <c r="T34" s="35"/>
      <c r="U34" s="35"/>
    </row>
    <row r="35" spans="1:21" x14ac:dyDescent="0.25">
      <c r="A35" s="40">
        <v>34</v>
      </c>
      <c r="B35" s="41">
        <f t="shared" si="18"/>
        <v>1</v>
      </c>
      <c r="C35" s="41"/>
      <c r="D35" s="42">
        <f t="shared" si="1"/>
        <v>0</v>
      </c>
      <c r="E35" s="42"/>
      <c r="F35" s="42">
        <f t="shared" ref="F35" si="38">F34</f>
        <v>4.8060999999999998</v>
      </c>
      <c r="G35" s="42"/>
      <c r="H35" s="43">
        <f t="shared" si="2"/>
        <v>0</v>
      </c>
      <c r="I35" s="42" t="e">
        <f t="shared" si="3"/>
        <v>#DIV/0!</v>
      </c>
      <c r="J35" s="44" t="e">
        <f t="shared" si="4"/>
        <v>#DIV/0!</v>
      </c>
      <c r="K35" s="44" t="e">
        <f t="shared" si="5"/>
        <v>#DIV/0!</v>
      </c>
      <c r="L35" s="44" t="e">
        <f t="shared" si="6"/>
        <v>#DIV/0!</v>
      </c>
      <c r="M35" s="35"/>
      <c r="N35" s="35"/>
      <c r="O35" s="35"/>
      <c r="P35" s="35"/>
      <c r="Q35" s="35"/>
      <c r="R35" s="35"/>
      <c r="S35" s="35"/>
      <c r="T35" s="35"/>
      <c r="U35" s="35"/>
    </row>
    <row r="36" spans="1:21" x14ac:dyDescent="0.25">
      <c r="A36" s="45">
        <v>35</v>
      </c>
      <c r="B36" s="46">
        <f t="shared" si="18"/>
        <v>1</v>
      </c>
      <c r="C36" s="46"/>
      <c r="D36" s="47">
        <f t="shared" si="1"/>
        <v>0</v>
      </c>
      <c r="E36" s="47"/>
      <c r="F36" s="47">
        <f t="shared" ref="F36" si="39">F34</f>
        <v>4.8060999999999998</v>
      </c>
      <c r="G36" s="47"/>
      <c r="H36" s="48">
        <f t="shared" si="2"/>
        <v>0</v>
      </c>
      <c r="I36" s="47" t="e">
        <f t="shared" si="3"/>
        <v>#DIV/0!</v>
      </c>
      <c r="J36" s="38" t="e">
        <f t="shared" si="4"/>
        <v>#DIV/0!</v>
      </c>
      <c r="K36" s="38" t="e">
        <f t="shared" si="5"/>
        <v>#DIV/0!</v>
      </c>
      <c r="L36" s="38" t="e">
        <f t="shared" si="6"/>
        <v>#DIV/0!</v>
      </c>
      <c r="M36" s="35"/>
      <c r="N36" s="35"/>
      <c r="O36" s="35"/>
      <c r="P36" s="35"/>
      <c r="Q36" s="35"/>
      <c r="R36" s="35"/>
      <c r="S36" s="35"/>
      <c r="T36" s="35"/>
      <c r="U36" s="35"/>
    </row>
    <row r="37" spans="1:21" x14ac:dyDescent="0.25">
      <c r="A37" s="40">
        <v>36</v>
      </c>
      <c r="B37" s="41">
        <f t="shared" si="18"/>
        <v>1</v>
      </c>
      <c r="C37" s="41"/>
      <c r="D37" s="42">
        <f t="shared" si="1"/>
        <v>0</v>
      </c>
      <c r="E37" s="42"/>
      <c r="F37" s="42">
        <f t="shared" ref="F37" si="40">F36</f>
        <v>4.8060999999999998</v>
      </c>
      <c r="G37" s="42"/>
      <c r="H37" s="43">
        <f t="shared" si="2"/>
        <v>0</v>
      </c>
      <c r="I37" s="42" t="e">
        <f t="shared" si="3"/>
        <v>#DIV/0!</v>
      </c>
      <c r="J37" s="44" t="e">
        <f t="shared" si="4"/>
        <v>#DIV/0!</v>
      </c>
      <c r="K37" s="44" t="e">
        <f t="shared" si="5"/>
        <v>#DIV/0!</v>
      </c>
      <c r="L37" s="44" t="e">
        <f t="shared" si="6"/>
        <v>#DIV/0!</v>
      </c>
      <c r="M37" s="35"/>
      <c r="N37" s="35"/>
      <c r="O37" s="35"/>
      <c r="P37" s="35"/>
      <c r="Q37" s="35"/>
      <c r="R37" s="35"/>
      <c r="S37" s="35"/>
      <c r="T37" s="35"/>
      <c r="U37" s="35"/>
    </row>
    <row r="38" spans="1:21" x14ac:dyDescent="0.25">
      <c r="A38" s="45">
        <v>37</v>
      </c>
      <c r="B38" s="46">
        <f t="shared" si="18"/>
        <v>1</v>
      </c>
      <c r="C38" s="46"/>
      <c r="D38" s="47">
        <f t="shared" si="1"/>
        <v>0</v>
      </c>
      <c r="E38" s="47"/>
      <c r="F38" s="47">
        <f t="shared" ref="F38" si="41">F36</f>
        <v>4.8060999999999998</v>
      </c>
      <c r="G38" s="47"/>
      <c r="H38" s="48">
        <f t="shared" si="2"/>
        <v>0</v>
      </c>
      <c r="I38" s="47" t="e">
        <f t="shared" si="3"/>
        <v>#DIV/0!</v>
      </c>
      <c r="J38" s="38" t="e">
        <f t="shared" si="4"/>
        <v>#DIV/0!</v>
      </c>
      <c r="K38" s="38" t="e">
        <f t="shared" si="5"/>
        <v>#DIV/0!</v>
      </c>
      <c r="L38" s="38" t="e">
        <f t="shared" si="6"/>
        <v>#DIV/0!</v>
      </c>
      <c r="M38" s="35"/>
      <c r="N38" s="35"/>
      <c r="O38" s="35"/>
      <c r="P38" s="35"/>
      <c r="Q38" s="35"/>
      <c r="R38" s="35"/>
      <c r="S38" s="35"/>
      <c r="T38" s="35"/>
      <c r="U38" s="35"/>
    </row>
    <row r="39" spans="1:21" x14ac:dyDescent="0.25">
      <c r="A39" s="40">
        <v>38</v>
      </c>
      <c r="B39" s="41">
        <f t="shared" si="18"/>
        <v>1</v>
      </c>
      <c r="C39" s="41"/>
      <c r="D39" s="42">
        <f t="shared" si="1"/>
        <v>0</v>
      </c>
      <c r="E39" s="42"/>
      <c r="F39" s="42">
        <f t="shared" ref="F39" si="42">F38</f>
        <v>4.8060999999999998</v>
      </c>
      <c r="G39" s="42"/>
      <c r="H39" s="43">
        <f t="shared" si="2"/>
        <v>0</v>
      </c>
      <c r="I39" s="42" t="e">
        <f t="shared" si="3"/>
        <v>#DIV/0!</v>
      </c>
      <c r="J39" s="44" t="e">
        <f t="shared" si="4"/>
        <v>#DIV/0!</v>
      </c>
      <c r="K39" s="44" t="e">
        <f t="shared" si="5"/>
        <v>#DIV/0!</v>
      </c>
      <c r="L39" s="44" t="e">
        <f t="shared" si="6"/>
        <v>#DIV/0!</v>
      </c>
      <c r="M39" s="35"/>
      <c r="N39" s="35"/>
      <c r="O39" s="35"/>
      <c r="P39" s="35"/>
      <c r="Q39" s="35"/>
      <c r="R39" s="35"/>
      <c r="S39" s="35"/>
      <c r="T39" s="35"/>
      <c r="U39" s="35"/>
    </row>
    <row r="40" spans="1:21" x14ac:dyDescent="0.25">
      <c r="A40" s="45">
        <v>39</v>
      </c>
      <c r="B40" s="46">
        <f t="shared" si="18"/>
        <v>1</v>
      </c>
      <c r="C40" s="46"/>
      <c r="D40" s="47">
        <f t="shared" si="1"/>
        <v>0</v>
      </c>
      <c r="E40" s="47"/>
      <c r="F40" s="47">
        <f t="shared" ref="F40" si="43">F38</f>
        <v>4.8060999999999998</v>
      </c>
      <c r="G40" s="47"/>
      <c r="H40" s="48">
        <f t="shared" si="2"/>
        <v>0</v>
      </c>
      <c r="I40" s="47" t="e">
        <f t="shared" si="3"/>
        <v>#DIV/0!</v>
      </c>
      <c r="J40" s="38" t="e">
        <f t="shared" si="4"/>
        <v>#DIV/0!</v>
      </c>
      <c r="K40" s="38" t="e">
        <f t="shared" si="5"/>
        <v>#DIV/0!</v>
      </c>
      <c r="L40" s="38" t="e">
        <f t="shared" si="6"/>
        <v>#DIV/0!</v>
      </c>
      <c r="M40" s="35"/>
      <c r="N40" s="35"/>
      <c r="O40" s="35"/>
      <c r="P40" s="35"/>
      <c r="Q40" s="35"/>
      <c r="R40" s="35"/>
      <c r="S40" s="35"/>
      <c r="T40" s="35"/>
      <c r="U40" s="35"/>
    </row>
    <row r="41" spans="1:21" x14ac:dyDescent="0.25">
      <c r="A41" s="40">
        <v>40</v>
      </c>
      <c r="B41" s="41">
        <f t="shared" si="18"/>
        <v>1</v>
      </c>
      <c r="C41" s="41"/>
      <c r="D41" s="42">
        <f t="shared" si="1"/>
        <v>0</v>
      </c>
      <c r="E41" s="42"/>
      <c r="F41" s="42">
        <f t="shared" ref="F41" si="44">F40</f>
        <v>4.8060999999999998</v>
      </c>
      <c r="G41" s="42"/>
      <c r="H41" s="43">
        <f t="shared" si="2"/>
        <v>0</v>
      </c>
      <c r="I41" s="42" t="e">
        <f t="shared" si="3"/>
        <v>#DIV/0!</v>
      </c>
      <c r="J41" s="44" t="e">
        <f t="shared" si="4"/>
        <v>#DIV/0!</v>
      </c>
      <c r="K41" s="44" t="e">
        <f t="shared" si="5"/>
        <v>#DIV/0!</v>
      </c>
      <c r="L41" s="44" t="e">
        <f t="shared" si="6"/>
        <v>#DIV/0!</v>
      </c>
      <c r="M41" s="35"/>
      <c r="N41" s="35"/>
      <c r="O41" s="35"/>
      <c r="P41" s="35"/>
      <c r="Q41" s="35"/>
      <c r="R41" s="35"/>
      <c r="S41" s="35"/>
      <c r="T41" s="35"/>
      <c r="U41" s="35"/>
    </row>
    <row r="42" spans="1:21" x14ac:dyDescent="0.25">
      <c r="A42" s="45">
        <v>41</v>
      </c>
      <c r="B42" s="46">
        <f t="shared" si="18"/>
        <v>1</v>
      </c>
      <c r="C42" s="46"/>
      <c r="D42" s="47">
        <f t="shared" si="1"/>
        <v>0</v>
      </c>
      <c r="E42" s="47"/>
      <c r="F42" s="47">
        <f t="shared" ref="F42" si="45">F40</f>
        <v>4.8060999999999998</v>
      </c>
      <c r="G42" s="47"/>
      <c r="H42" s="48">
        <f t="shared" si="2"/>
        <v>0</v>
      </c>
      <c r="I42" s="47" t="e">
        <f t="shared" si="3"/>
        <v>#DIV/0!</v>
      </c>
      <c r="J42" s="38" t="e">
        <f t="shared" si="4"/>
        <v>#DIV/0!</v>
      </c>
      <c r="K42" s="38" t="e">
        <f t="shared" si="5"/>
        <v>#DIV/0!</v>
      </c>
      <c r="L42" s="38" t="e">
        <f t="shared" si="6"/>
        <v>#DIV/0!</v>
      </c>
      <c r="M42" s="35"/>
      <c r="N42" s="35"/>
      <c r="O42" s="35"/>
      <c r="P42" s="35"/>
      <c r="Q42" s="35"/>
      <c r="R42" s="35"/>
      <c r="S42" s="35"/>
      <c r="T42" s="35"/>
      <c r="U42" s="35"/>
    </row>
    <row r="43" spans="1:21" x14ac:dyDescent="0.25">
      <c r="A43" s="40">
        <v>42</v>
      </c>
      <c r="B43" s="41">
        <f t="shared" si="18"/>
        <v>1</v>
      </c>
      <c r="C43" s="41"/>
      <c r="D43" s="42">
        <f t="shared" si="1"/>
        <v>0</v>
      </c>
      <c r="E43" s="42"/>
      <c r="F43" s="42">
        <f t="shared" ref="F43" si="46">F42</f>
        <v>4.8060999999999998</v>
      </c>
      <c r="G43" s="42"/>
      <c r="H43" s="43">
        <f t="shared" si="2"/>
        <v>0</v>
      </c>
      <c r="I43" s="42" t="e">
        <f t="shared" si="3"/>
        <v>#DIV/0!</v>
      </c>
      <c r="J43" s="44" t="e">
        <f t="shared" si="4"/>
        <v>#DIV/0!</v>
      </c>
      <c r="K43" s="44" t="e">
        <f t="shared" si="5"/>
        <v>#DIV/0!</v>
      </c>
      <c r="L43" s="44" t="e">
        <f t="shared" si="6"/>
        <v>#DIV/0!</v>
      </c>
      <c r="M43" s="35"/>
      <c r="N43" s="35"/>
      <c r="O43" s="35"/>
      <c r="P43" s="35"/>
      <c r="Q43" s="35"/>
      <c r="R43" s="35"/>
      <c r="S43" s="35"/>
      <c r="T43" s="35"/>
      <c r="U43" s="35"/>
    </row>
    <row r="44" spans="1:21" x14ac:dyDescent="0.25">
      <c r="A44" s="45">
        <v>43</v>
      </c>
      <c r="B44" s="46">
        <f t="shared" si="18"/>
        <v>1</v>
      </c>
      <c r="C44" s="46"/>
      <c r="D44" s="47">
        <f t="shared" si="1"/>
        <v>0</v>
      </c>
      <c r="E44" s="47"/>
      <c r="F44" s="47">
        <f t="shared" ref="F44" si="47">F42</f>
        <v>4.8060999999999998</v>
      </c>
      <c r="G44" s="47"/>
      <c r="H44" s="48">
        <f t="shared" si="2"/>
        <v>0</v>
      </c>
      <c r="I44" s="47" t="e">
        <f t="shared" si="3"/>
        <v>#DIV/0!</v>
      </c>
      <c r="J44" s="38" t="e">
        <f t="shared" si="4"/>
        <v>#DIV/0!</v>
      </c>
      <c r="K44" s="38" t="e">
        <f t="shared" si="5"/>
        <v>#DIV/0!</v>
      </c>
      <c r="L44" s="38" t="e">
        <f t="shared" si="6"/>
        <v>#DIV/0!</v>
      </c>
      <c r="M44" s="35"/>
      <c r="N44" s="35"/>
      <c r="O44" s="35"/>
      <c r="P44" s="35"/>
      <c r="Q44" s="35"/>
      <c r="R44" s="35"/>
      <c r="S44" s="35"/>
      <c r="T44" s="35"/>
      <c r="U44" s="35"/>
    </row>
    <row r="45" spans="1:21" x14ac:dyDescent="0.25">
      <c r="A45" s="40">
        <v>44</v>
      </c>
      <c r="B45" s="41">
        <f t="shared" si="18"/>
        <v>1</v>
      </c>
      <c r="C45" s="41"/>
      <c r="D45" s="42">
        <f t="shared" si="1"/>
        <v>0</v>
      </c>
      <c r="E45" s="42"/>
      <c r="F45" s="42">
        <f t="shared" ref="F45" si="48">F44</f>
        <v>4.8060999999999998</v>
      </c>
      <c r="G45" s="42"/>
      <c r="H45" s="43">
        <f t="shared" si="2"/>
        <v>0</v>
      </c>
      <c r="I45" s="42" t="e">
        <f t="shared" si="3"/>
        <v>#DIV/0!</v>
      </c>
      <c r="J45" s="44" t="e">
        <f t="shared" si="4"/>
        <v>#DIV/0!</v>
      </c>
      <c r="K45" s="44" t="e">
        <f t="shared" si="5"/>
        <v>#DIV/0!</v>
      </c>
      <c r="L45" s="44" t="e">
        <f t="shared" si="6"/>
        <v>#DIV/0!</v>
      </c>
      <c r="M45" s="35"/>
      <c r="N45" s="35"/>
      <c r="O45" s="35"/>
      <c r="P45" s="35"/>
      <c r="Q45" s="35"/>
      <c r="R45" s="35"/>
      <c r="S45" s="35"/>
      <c r="T45" s="35"/>
      <c r="U45" s="35"/>
    </row>
    <row r="46" spans="1:21" x14ac:dyDescent="0.25">
      <c r="A46" s="45">
        <v>45</v>
      </c>
      <c r="B46" s="46">
        <f t="shared" si="18"/>
        <v>1</v>
      </c>
      <c r="C46" s="46"/>
      <c r="D46" s="47">
        <f t="shared" si="1"/>
        <v>0</v>
      </c>
      <c r="E46" s="47"/>
      <c r="F46" s="47">
        <f t="shared" ref="F46" si="49">F44</f>
        <v>4.8060999999999998</v>
      </c>
      <c r="G46" s="47"/>
      <c r="H46" s="48">
        <f t="shared" si="2"/>
        <v>0</v>
      </c>
      <c r="I46" s="47" t="e">
        <f t="shared" si="3"/>
        <v>#DIV/0!</v>
      </c>
      <c r="J46" s="38" t="e">
        <f t="shared" si="4"/>
        <v>#DIV/0!</v>
      </c>
      <c r="K46" s="38" t="e">
        <f t="shared" si="5"/>
        <v>#DIV/0!</v>
      </c>
      <c r="L46" s="38" t="e">
        <f t="shared" si="6"/>
        <v>#DIV/0!</v>
      </c>
      <c r="M46" s="35"/>
      <c r="N46" s="35"/>
      <c r="O46" s="35"/>
      <c r="P46" s="35"/>
      <c r="Q46" s="35"/>
      <c r="R46" s="35"/>
      <c r="S46" s="35"/>
      <c r="T46" s="35"/>
      <c r="U46" s="35"/>
    </row>
    <row r="47" spans="1:21" x14ac:dyDescent="0.25">
      <c r="A47" s="40">
        <v>46</v>
      </c>
      <c r="B47" s="41">
        <f t="shared" si="18"/>
        <v>1</v>
      </c>
      <c r="C47" s="41"/>
      <c r="D47" s="42">
        <f t="shared" si="1"/>
        <v>0</v>
      </c>
      <c r="E47" s="42"/>
      <c r="F47" s="42">
        <f t="shared" ref="F47" si="50">F46</f>
        <v>4.8060999999999998</v>
      </c>
      <c r="G47" s="42"/>
      <c r="H47" s="43">
        <f t="shared" si="2"/>
        <v>0</v>
      </c>
      <c r="I47" s="42" t="e">
        <f t="shared" si="3"/>
        <v>#DIV/0!</v>
      </c>
      <c r="J47" s="44" t="e">
        <f t="shared" si="4"/>
        <v>#DIV/0!</v>
      </c>
      <c r="K47" s="44" t="e">
        <f t="shared" si="5"/>
        <v>#DIV/0!</v>
      </c>
      <c r="L47" s="44" t="e">
        <f t="shared" si="6"/>
        <v>#DIV/0!</v>
      </c>
      <c r="M47" s="35"/>
      <c r="N47" s="35"/>
      <c r="O47" s="35"/>
      <c r="P47" s="35"/>
      <c r="Q47" s="35"/>
      <c r="R47" s="35"/>
      <c r="S47" s="35"/>
      <c r="T47" s="35"/>
      <c r="U47" s="35"/>
    </row>
    <row r="48" spans="1:21" x14ac:dyDescent="0.25">
      <c r="A48" s="45">
        <v>47</v>
      </c>
      <c r="B48" s="46">
        <f t="shared" si="18"/>
        <v>1</v>
      </c>
      <c r="C48" s="46"/>
      <c r="D48" s="47">
        <f t="shared" si="1"/>
        <v>0</v>
      </c>
      <c r="E48" s="47"/>
      <c r="F48" s="47">
        <f t="shared" ref="F48" si="51">F46</f>
        <v>4.8060999999999998</v>
      </c>
      <c r="G48" s="47"/>
      <c r="H48" s="48">
        <f t="shared" si="2"/>
        <v>0</v>
      </c>
      <c r="I48" s="47" t="e">
        <f t="shared" si="3"/>
        <v>#DIV/0!</v>
      </c>
      <c r="J48" s="38" t="e">
        <f t="shared" si="4"/>
        <v>#DIV/0!</v>
      </c>
      <c r="K48" s="38" t="e">
        <f t="shared" si="5"/>
        <v>#DIV/0!</v>
      </c>
      <c r="L48" s="38" t="e">
        <f t="shared" si="6"/>
        <v>#DIV/0!</v>
      </c>
      <c r="M48" s="35"/>
      <c r="N48" s="35"/>
      <c r="O48" s="35"/>
      <c r="P48" s="35"/>
      <c r="Q48" s="35"/>
      <c r="R48" s="35"/>
      <c r="S48" s="35"/>
      <c r="T48" s="35"/>
      <c r="U48" s="35"/>
    </row>
    <row r="49" spans="1:21" x14ac:dyDescent="0.25">
      <c r="A49" s="40">
        <v>48</v>
      </c>
      <c r="B49" s="41">
        <f t="shared" si="18"/>
        <v>1</v>
      </c>
      <c r="C49" s="41"/>
      <c r="D49" s="42">
        <f t="shared" si="1"/>
        <v>0</v>
      </c>
      <c r="E49" s="42"/>
      <c r="F49" s="42">
        <f t="shared" ref="F49" si="52">F48</f>
        <v>4.8060999999999998</v>
      </c>
      <c r="G49" s="42"/>
      <c r="H49" s="43">
        <f t="shared" si="2"/>
        <v>0</v>
      </c>
      <c r="I49" s="42" t="e">
        <f t="shared" si="3"/>
        <v>#DIV/0!</v>
      </c>
      <c r="J49" s="44" t="e">
        <f t="shared" si="4"/>
        <v>#DIV/0!</v>
      </c>
      <c r="K49" s="44" t="e">
        <f t="shared" si="5"/>
        <v>#DIV/0!</v>
      </c>
      <c r="L49" s="44" t="e">
        <f t="shared" si="6"/>
        <v>#DIV/0!</v>
      </c>
      <c r="M49" s="35"/>
      <c r="N49" s="35"/>
      <c r="O49" s="35"/>
      <c r="P49" s="35"/>
      <c r="Q49" s="35"/>
      <c r="R49" s="35"/>
      <c r="S49" s="35"/>
      <c r="T49" s="35"/>
      <c r="U49" s="35"/>
    </row>
    <row r="50" spans="1:21" x14ac:dyDescent="0.25">
      <c r="A50" s="45">
        <v>49</v>
      </c>
      <c r="B50" s="46">
        <f t="shared" si="18"/>
        <v>1</v>
      </c>
      <c r="C50" s="46"/>
      <c r="D50" s="47">
        <f t="shared" si="1"/>
        <v>0</v>
      </c>
      <c r="E50" s="47"/>
      <c r="F50" s="47">
        <f t="shared" ref="F50" si="53">F48</f>
        <v>4.8060999999999998</v>
      </c>
      <c r="G50" s="47"/>
      <c r="H50" s="48">
        <f t="shared" si="2"/>
        <v>0</v>
      </c>
      <c r="I50" s="47" t="e">
        <f t="shared" si="3"/>
        <v>#DIV/0!</v>
      </c>
      <c r="J50" s="38" t="e">
        <f t="shared" si="4"/>
        <v>#DIV/0!</v>
      </c>
      <c r="K50" s="38" t="e">
        <f t="shared" si="5"/>
        <v>#DIV/0!</v>
      </c>
      <c r="L50" s="38" t="e">
        <f t="shared" si="6"/>
        <v>#DIV/0!</v>
      </c>
      <c r="M50" s="35"/>
      <c r="N50" s="35"/>
      <c r="O50" s="35"/>
      <c r="P50" s="35"/>
      <c r="Q50" s="35"/>
      <c r="R50" s="35"/>
      <c r="S50" s="35"/>
      <c r="T50" s="35"/>
      <c r="U50" s="35"/>
    </row>
    <row r="51" spans="1:21" x14ac:dyDescent="0.25">
      <c r="A51" s="40">
        <v>50</v>
      </c>
      <c r="B51" s="41">
        <f t="shared" si="18"/>
        <v>1</v>
      </c>
      <c r="C51" s="41"/>
      <c r="D51" s="42">
        <f t="shared" si="1"/>
        <v>0</v>
      </c>
      <c r="E51" s="42"/>
      <c r="F51" s="42">
        <f t="shared" ref="F51" si="54">F50</f>
        <v>4.8060999999999998</v>
      </c>
      <c r="G51" s="42"/>
      <c r="H51" s="43">
        <f t="shared" si="2"/>
        <v>0</v>
      </c>
      <c r="I51" s="42" t="e">
        <f t="shared" si="3"/>
        <v>#DIV/0!</v>
      </c>
      <c r="J51" s="44" t="e">
        <f t="shared" si="4"/>
        <v>#DIV/0!</v>
      </c>
      <c r="K51" s="44" t="e">
        <f t="shared" si="5"/>
        <v>#DIV/0!</v>
      </c>
      <c r="L51" s="44" t="e">
        <f t="shared" si="6"/>
        <v>#DIV/0!</v>
      </c>
      <c r="M51" s="35"/>
      <c r="N51" s="35"/>
      <c r="O51" s="35"/>
      <c r="P51" s="35"/>
      <c r="Q51" s="35"/>
      <c r="R51" s="35"/>
      <c r="S51" s="35"/>
      <c r="T51" s="35"/>
      <c r="U51" s="35"/>
    </row>
    <row r="52" spans="1:21" x14ac:dyDescent="0.25">
      <c r="A52" s="45">
        <v>51</v>
      </c>
      <c r="B52" s="46">
        <f t="shared" si="18"/>
        <v>1</v>
      </c>
      <c r="C52" s="46"/>
      <c r="D52" s="47">
        <f t="shared" si="1"/>
        <v>0</v>
      </c>
      <c r="E52" s="47"/>
      <c r="F52" s="47">
        <f t="shared" ref="F52" si="55">F50</f>
        <v>4.8060999999999998</v>
      </c>
      <c r="G52" s="47"/>
      <c r="H52" s="48">
        <f t="shared" si="2"/>
        <v>0</v>
      </c>
      <c r="I52" s="47" t="e">
        <f t="shared" si="3"/>
        <v>#DIV/0!</v>
      </c>
      <c r="J52" s="38" t="e">
        <f t="shared" si="4"/>
        <v>#DIV/0!</v>
      </c>
      <c r="K52" s="38" t="e">
        <f t="shared" si="5"/>
        <v>#DIV/0!</v>
      </c>
      <c r="L52" s="38" t="e">
        <f t="shared" si="6"/>
        <v>#DIV/0!</v>
      </c>
      <c r="M52" s="35"/>
      <c r="N52" s="35"/>
      <c r="O52" s="35"/>
      <c r="P52" s="35"/>
      <c r="Q52" s="35"/>
      <c r="R52" s="35"/>
      <c r="S52" s="35"/>
      <c r="T52" s="35"/>
      <c r="U52" s="35"/>
    </row>
    <row r="53" spans="1:21" x14ac:dyDescent="0.25">
      <c r="A53" s="40">
        <v>52</v>
      </c>
      <c r="B53" s="41">
        <f t="shared" si="18"/>
        <v>1</v>
      </c>
      <c r="C53" s="41"/>
      <c r="D53" s="42">
        <f t="shared" si="1"/>
        <v>0</v>
      </c>
      <c r="E53" s="42"/>
      <c r="F53" s="42">
        <f t="shared" ref="F53" si="56">F52</f>
        <v>4.8060999999999998</v>
      </c>
      <c r="G53" s="42"/>
      <c r="H53" s="43">
        <f t="shared" si="2"/>
        <v>0</v>
      </c>
      <c r="I53" s="42" t="e">
        <f t="shared" si="3"/>
        <v>#DIV/0!</v>
      </c>
      <c r="J53" s="44" t="e">
        <f t="shared" si="4"/>
        <v>#DIV/0!</v>
      </c>
      <c r="K53" s="44" t="e">
        <f t="shared" si="5"/>
        <v>#DIV/0!</v>
      </c>
      <c r="L53" s="44" t="e">
        <f t="shared" si="6"/>
        <v>#DIV/0!</v>
      </c>
      <c r="M53" s="35"/>
      <c r="N53" s="35"/>
      <c r="O53" s="35"/>
      <c r="P53" s="35"/>
      <c r="Q53" s="35"/>
      <c r="R53" s="35"/>
      <c r="S53" s="35"/>
      <c r="T53" s="35"/>
      <c r="U53" s="35"/>
    </row>
    <row r="54" spans="1:21" x14ac:dyDescent="0.25">
      <c r="A54" s="45">
        <v>53</v>
      </c>
      <c r="B54" s="46">
        <f t="shared" si="18"/>
        <v>1</v>
      </c>
      <c r="C54" s="46"/>
      <c r="D54" s="47">
        <f t="shared" si="1"/>
        <v>0</v>
      </c>
      <c r="E54" s="47"/>
      <c r="F54" s="47">
        <f t="shared" ref="F54" si="57">F52</f>
        <v>4.8060999999999998</v>
      </c>
      <c r="G54" s="47"/>
      <c r="H54" s="48">
        <f t="shared" si="2"/>
        <v>0</v>
      </c>
      <c r="I54" s="47" t="e">
        <f t="shared" si="3"/>
        <v>#DIV/0!</v>
      </c>
      <c r="J54" s="38" t="e">
        <f t="shared" si="4"/>
        <v>#DIV/0!</v>
      </c>
      <c r="K54" s="38" t="e">
        <f t="shared" si="5"/>
        <v>#DIV/0!</v>
      </c>
      <c r="L54" s="38" t="e">
        <f t="shared" si="6"/>
        <v>#DIV/0!</v>
      </c>
      <c r="M54" s="35"/>
      <c r="N54" s="35"/>
      <c r="O54" s="35"/>
      <c r="P54" s="35"/>
      <c r="Q54" s="35"/>
      <c r="R54" s="35"/>
      <c r="S54" s="35"/>
      <c r="T54" s="35"/>
      <c r="U54" s="35"/>
    </row>
    <row r="55" spans="1:21" x14ac:dyDescent="0.25">
      <c r="A55" s="40">
        <v>54</v>
      </c>
      <c r="B55" s="41">
        <f t="shared" si="18"/>
        <v>1</v>
      </c>
      <c r="C55" s="41"/>
      <c r="D55" s="42">
        <f t="shared" si="1"/>
        <v>0</v>
      </c>
      <c r="E55" s="42"/>
      <c r="F55" s="42">
        <f t="shared" ref="F55" si="58">F54</f>
        <v>4.8060999999999998</v>
      </c>
      <c r="G55" s="42"/>
      <c r="H55" s="43">
        <f t="shared" si="2"/>
        <v>0</v>
      </c>
      <c r="I55" s="42" t="e">
        <f t="shared" si="3"/>
        <v>#DIV/0!</v>
      </c>
      <c r="J55" s="44" t="e">
        <f t="shared" si="4"/>
        <v>#DIV/0!</v>
      </c>
      <c r="K55" s="44" t="e">
        <f t="shared" si="5"/>
        <v>#DIV/0!</v>
      </c>
      <c r="L55" s="44" t="e">
        <f t="shared" si="6"/>
        <v>#DIV/0!</v>
      </c>
      <c r="M55" s="35"/>
      <c r="N55" s="35"/>
      <c r="O55" s="35"/>
      <c r="P55" s="35"/>
      <c r="Q55" s="35"/>
      <c r="R55" s="35"/>
      <c r="S55" s="35"/>
      <c r="T55" s="35"/>
      <c r="U55" s="35"/>
    </row>
    <row r="56" spans="1:21" x14ac:dyDescent="0.25">
      <c r="A56" s="45">
        <v>55</v>
      </c>
      <c r="B56" s="46">
        <f t="shared" si="18"/>
        <v>1</v>
      </c>
      <c r="C56" s="46"/>
      <c r="D56" s="47">
        <f t="shared" si="1"/>
        <v>0</v>
      </c>
      <c r="E56" s="47"/>
      <c r="F56" s="47">
        <f t="shared" ref="F56" si="59">F54</f>
        <v>4.8060999999999998</v>
      </c>
      <c r="G56" s="47"/>
      <c r="H56" s="48">
        <f t="shared" si="2"/>
        <v>0</v>
      </c>
      <c r="I56" s="47" t="e">
        <f t="shared" si="3"/>
        <v>#DIV/0!</v>
      </c>
      <c r="J56" s="38" t="e">
        <f t="shared" si="4"/>
        <v>#DIV/0!</v>
      </c>
      <c r="K56" s="38" t="e">
        <f t="shared" si="5"/>
        <v>#DIV/0!</v>
      </c>
      <c r="L56" s="38" t="e">
        <f t="shared" si="6"/>
        <v>#DIV/0!</v>
      </c>
      <c r="M56" s="35"/>
      <c r="N56" s="35"/>
      <c r="O56" s="35"/>
      <c r="P56" s="35"/>
      <c r="Q56" s="35"/>
      <c r="R56" s="35"/>
      <c r="S56" s="35"/>
      <c r="T56" s="35"/>
      <c r="U56" s="35"/>
    </row>
    <row r="57" spans="1:21" x14ac:dyDescent="0.25">
      <c r="A57" s="40">
        <v>56</v>
      </c>
      <c r="B57" s="41">
        <f t="shared" si="18"/>
        <v>1</v>
      </c>
      <c r="C57" s="41"/>
      <c r="D57" s="42">
        <f t="shared" si="1"/>
        <v>0</v>
      </c>
      <c r="E57" s="42"/>
      <c r="F57" s="42">
        <f t="shared" ref="F57" si="60">F56</f>
        <v>4.8060999999999998</v>
      </c>
      <c r="G57" s="42"/>
      <c r="H57" s="43">
        <f t="shared" si="2"/>
        <v>0</v>
      </c>
      <c r="I57" s="42" t="e">
        <f t="shared" si="3"/>
        <v>#DIV/0!</v>
      </c>
      <c r="J57" s="44" t="e">
        <f t="shared" si="4"/>
        <v>#DIV/0!</v>
      </c>
      <c r="K57" s="44" t="e">
        <f t="shared" si="5"/>
        <v>#DIV/0!</v>
      </c>
      <c r="L57" s="44" t="e">
        <f t="shared" si="6"/>
        <v>#DIV/0!</v>
      </c>
      <c r="M57" s="35"/>
      <c r="N57" s="35"/>
      <c r="O57" s="35"/>
      <c r="P57" s="35"/>
      <c r="Q57" s="35"/>
      <c r="R57" s="35"/>
      <c r="S57" s="35"/>
      <c r="T57" s="35"/>
      <c r="U57" s="35"/>
    </row>
    <row r="58" spans="1:21" x14ac:dyDescent="0.25">
      <c r="A58" s="45">
        <v>57</v>
      </c>
      <c r="B58" s="46">
        <f t="shared" si="18"/>
        <v>1</v>
      </c>
      <c r="C58" s="46"/>
      <c r="D58" s="47">
        <f t="shared" si="1"/>
        <v>0</v>
      </c>
      <c r="E58" s="47"/>
      <c r="F58" s="47">
        <f t="shared" ref="F58" si="61">F56</f>
        <v>4.8060999999999998</v>
      </c>
      <c r="G58" s="47"/>
      <c r="H58" s="48">
        <f t="shared" si="2"/>
        <v>0</v>
      </c>
      <c r="I58" s="47" t="e">
        <f t="shared" si="3"/>
        <v>#DIV/0!</v>
      </c>
      <c r="J58" s="38" t="e">
        <f t="shared" si="4"/>
        <v>#DIV/0!</v>
      </c>
      <c r="K58" s="38" t="e">
        <f t="shared" si="5"/>
        <v>#DIV/0!</v>
      </c>
      <c r="L58" s="38" t="e">
        <f t="shared" si="6"/>
        <v>#DIV/0!</v>
      </c>
      <c r="M58" s="35"/>
      <c r="N58" s="35"/>
      <c r="O58" s="35"/>
      <c r="P58" s="35"/>
      <c r="Q58" s="35"/>
      <c r="R58" s="35"/>
      <c r="S58" s="35"/>
      <c r="T58" s="35"/>
      <c r="U58" s="35"/>
    </row>
    <row r="59" spans="1:21" x14ac:dyDescent="0.25">
      <c r="A59" s="40">
        <v>58</v>
      </c>
      <c r="B59" s="41">
        <f t="shared" si="18"/>
        <v>1</v>
      </c>
      <c r="C59" s="41"/>
      <c r="D59" s="42">
        <f t="shared" si="1"/>
        <v>0</v>
      </c>
      <c r="E59" s="42"/>
      <c r="F59" s="42">
        <f t="shared" ref="F59" si="62">F58</f>
        <v>4.8060999999999998</v>
      </c>
      <c r="G59" s="42"/>
      <c r="H59" s="43">
        <f t="shared" si="2"/>
        <v>0</v>
      </c>
      <c r="I59" s="42" t="e">
        <f t="shared" si="3"/>
        <v>#DIV/0!</v>
      </c>
      <c r="J59" s="44" t="e">
        <f t="shared" si="4"/>
        <v>#DIV/0!</v>
      </c>
      <c r="K59" s="44" t="e">
        <f t="shared" si="5"/>
        <v>#DIV/0!</v>
      </c>
      <c r="L59" s="44" t="e">
        <f t="shared" si="6"/>
        <v>#DIV/0!</v>
      </c>
      <c r="M59" s="35"/>
      <c r="N59" s="35"/>
      <c r="O59" s="35"/>
      <c r="P59" s="35"/>
      <c r="Q59" s="35"/>
      <c r="R59" s="35"/>
      <c r="S59" s="35"/>
      <c r="T59" s="35"/>
      <c r="U59" s="35"/>
    </row>
    <row r="60" spans="1:21" x14ac:dyDescent="0.25">
      <c r="A60" s="45">
        <v>59</v>
      </c>
      <c r="B60" s="46">
        <f t="shared" si="18"/>
        <v>1</v>
      </c>
      <c r="C60" s="46"/>
      <c r="D60" s="47">
        <f t="shared" si="1"/>
        <v>0</v>
      </c>
      <c r="E60" s="47"/>
      <c r="F60" s="47">
        <f t="shared" ref="F60" si="63">F58</f>
        <v>4.8060999999999998</v>
      </c>
      <c r="G60" s="47"/>
      <c r="H60" s="48">
        <f t="shared" si="2"/>
        <v>0</v>
      </c>
      <c r="I60" s="47" t="e">
        <f t="shared" si="3"/>
        <v>#DIV/0!</v>
      </c>
      <c r="J60" s="38" t="e">
        <f t="shared" si="4"/>
        <v>#DIV/0!</v>
      </c>
      <c r="K60" s="38" t="e">
        <f t="shared" si="5"/>
        <v>#DIV/0!</v>
      </c>
      <c r="L60" s="38" t="e">
        <f t="shared" si="6"/>
        <v>#DIV/0!</v>
      </c>
      <c r="M60" s="35"/>
      <c r="N60" s="35"/>
      <c r="O60" s="35"/>
      <c r="P60" s="35"/>
      <c r="Q60" s="35"/>
      <c r="R60" s="35"/>
      <c r="S60" s="35"/>
      <c r="T60" s="35"/>
      <c r="U60" s="35"/>
    </row>
    <row r="61" spans="1:21" x14ac:dyDescent="0.25">
      <c r="A61" s="40">
        <v>60</v>
      </c>
      <c r="B61" s="41">
        <f t="shared" si="18"/>
        <v>1</v>
      </c>
      <c r="C61" s="41"/>
      <c r="D61" s="42">
        <f t="shared" si="1"/>
        <v>0</v>
      </c>
      <c r="E61" s="42"/>
      <c r="F61" s="42">
        <f t="shared" ref="F61" si="64">F60</f>
        <v>4.8060999999999998</v>
      </c>
      <c r="G61" s="42"/>
      <c r="H61" s="43">
        <f t="shared" si="2"/>
        <v>0</v>
      </c>
      <c r="I61" s="42" t="e">
        <f t="shared" si="3"/>
        <v>#DIV/0!</v>
      </c>
      <c r="J61" s="44" t="e">
        <f t="shared" si="4"/>
        <v>#DIV/0!</v>
      </c>
      <c r="K61" s="44" t="e">
        <f t="shared" si="5"/>
        <v>#DIV/0!</v>
      </c>
      <c r="L61" s="44" t="e">
        <f t="shared" si="6"/>
        <v>#DIV/0!</v>
      </c>
      <c r="M61" s="35"/>
      <c r="N61" s="35"/>
      <c r="O61" s="35"/>
      <c r="P61" s="35"/>
      <c r="Q61" s="35"/>
      <c r="R61" s="35"/>
      <c r="S61" s="35"/>
      <c r="T61" s="35"/>
      <c r="U61" s="35"/>
    </row>
    <row r="62" spans="1:21" x14ac:dyDescent="0.25">
      <c r="A62" s="45">
        <v>61</v>
      </c>
      <c r="B62" s="46">
        <f t="shared" si="18"/>
        <v>1</v>
      </c>
      <c r="C62" s="46"/>
      <c r="D62" s="47">
        <f t="shared" si="1"/>
        <v>0</v>
      </c>
      <c r="E62" s="47"/>
      <c r="F62" s="47">
        <f t="shared" ref="F62" si="65">F60</f>
        <v>4.8060999999999998</v>
      </c>
      <c r="G62" s="47"/>
      <c r="H62" s="48">
        <f t="shared" si="2"/>
        <v>0</v>
      </c>
      <c r="I62" s="47" t="e">
        <f t="shared" si="3"/>
        <v>#DIV/0!</v>
      </c>
      <c r="J62" s="38" t="e">
        <f t="shared" si="4"/>
        <v>#DIV/0!</v>
      </c>
      <c r="K62" s="38" t="e">
        <f t="shared" si="5"/>
        <v>#DIV/0!</v>
      </c>
      <c r="L62" s="38" t="e">
        <f t="shared" si="6"/>
        <v>#DIV/0!</v>
      </c>
      <c r="M62" s="35"/>
      <c r="N62" s="35"/>
      <c r="O62" s="35"/>
      <c r="P62" s="35"/>
      <c r="Q62" s="35"/>
      <c r="R62" s="35"/>
      <c r="S62" s="35"/>
      <c r="T62" s="35"/>
      <c r="U62" s="35"/>
    </row>
    <row r="63" spans="1:21" x14ac:dyDescent="0.25">
      <c r="A63" s="40">
        <v>62</v>
      </c>
      <c r="B63" s="41">
        <f t="shared" si="18"/>
        <v>1</v>
      </c>
      <c r="C63" s="41"/>
      <c r="D63" s="42">
        <f t="shared" si="1"/>
        <v>0</v>
      </c>
      <c r="E63" s="42"/>
      <c r="F63" s="42">
        <f t="shared" ref="F63" si="66">F62</f>
        <v>4.8060999999999998</v>
      </c>
      <c r="G63" s="42"/>
      <c r="H63" s="43">
        <f t="shared" si="2"/>
        <v>0</v>
      </c>
      <c r="I63" s="42" t="e">
        <f t="shared" si="3"/>
        <v>#DIV/0!</v>
      </c>
      <c r="J63" s="44" t="e">
        <f t="shared" si="4"/>
        <v>#DIV/0!</v>
      </c>
      <c r="K63" s="44" t="e">
        <f t="shared" si="5"/>
        <v>#DIV/0!</v>
      </c>
      <c r="L63" s="44" t="e">
        <f t="shared" si="6"/>
        <v>#DIV/0!</v>
      </c>
      <c r="M63" s="35"/>
      <c r="N63" s="35"/>
      <c r="O63" s="35"/>
      <c r="P63" s="35"/>
      <c r="Q63" s="35"/>
      <c r="R63" s="35"/>
      <c r="S63" s="35"/>
      <c r="T63" s="35"/>
      <c r="U63" s="35"/>
    </row>
    <row r="64" spans="1:21" x14ac:dyDescent="0.25">
      <c r="A64" s="45">
        <v>63</v>
      </c>
      <c r="B64" s="46">
        <f t="shared" si="18"/>
        <v>1</v>
      </c>
      <c r="C64" s="46"/>
      <c r="D64" s="47">
        <f t="shared" si="1"/>
        <v>0</v>
      </c>
      <c r="E64" s="47"/>
      <c r="F64" s="47">
        <f t="shared" ref="F64" si="67">F62</f>
        <v>4.8060999999999998</v>
      </c>
      <c r="G64" s="47"/>
      <c r="H64" s="48">
        <f t="shared" si="2"/>
        <v>0</v>
      </c>
      <c r="I64" s="47" t="e">
        <f t="shared" si="3"/>
        <v>#DIV/0!</v>
      </c>
      <c r="J64" s="38" t="e">
        <f t="shared" si="4"/>
        <v>#DIV/0!</v>
      </c>
      <c r="K64" s="38" t="e">
        <f t="shared" si="5"/>
        <v>#DIV/0!</v>
      </c>
      <c r="L64" s="38" t="e">
        <f t="shared" si="6"/>
        <v>#DIV/0!</v>
      </c>
      <c r="M64" s="35"/>
      <c r="N64" s="35"/>
      <c r="O64" s="35"/>
      <c r="P64" s="35"/>
      <c r="Q64" s="35"/>
      <c r="R64" s="35"/>
      <c r="S64" s="35"/>
      <c r="T64" s="35"/>
      <c r="U64" s="35"/>
    </row>
    <row r="65" spans="1:21" x14ac:dyDescent="0.25">
      <c r="A65" s="40">
        <v>64</v>
      </c>
      <c r="B65" s="41">
        <f t="shared" si="18"/>
        <v>1</v>
      </c>
      <c r="C65" s="41"/>
      <c r="D65" s="42">
        <f t="shared" si="1"/>
        <v>0</v>
      </c>
      <c r="E65" s="42"/>
      <c r="F65" s="42">
        <f t="shared" ref="F65" si="68">F64</f>
        <v>4.8060999999999998</v>
      </c>
      <c r="G65" s="42"/>
      <c r="H65" s="43">
        <f t="shared" si="2"/>
        <v>0</v>
      </c>
      <c r="I65" s="42" t="e">
        <f t="shared" si="3"/>
        <v>#DIV/0!</v>
      </c>
      <c r="J65" s="44" t="e">
        <f t="shared" si="4"/>
        <v>#DIV/0!</v>
      </c>
      <c r="K65" s="44" t="e">
        <f t="shared" si="5"/>
        <v>#DIV/0!</v>
      </c>
      <c r="L65" s="44" t="e">
        <f t="shared" si="6"/>
        <v>#DIV/0!</v>
      </c>
      <c r="M65" s="35"/>
      <c r="N65" s="35"/>
      <c r="O65" s="35"/>
      <c r="P65" s="35"/>
      <c r="Q65" s="35"/>
      <c r="R65" s="35"/>
      <c r="S65" s="35"/>
      <c r="T65" s="35"/>
      <c r="U65" s="35"/>
    </row>
    <row r="66" spans="1:21" x14ac:dyDescent="0.25">
      <c r="A66" s="45">
        <v>65</v>
      </c>
      <c r="B66" s="46">
        <f t="shared" si="18"/>
        <v>1</v>
      </c>
      <c r="C66" s="46"/>
      <c r="D66" s="47">
        <f t="shared" si="1"/>
        <v>0</v>
      </c>
      <c r="E66" s="47"/>
      <c r="F66" s="47">
        <f t="shared" ref="F66" si="69">F64</f>
        <v>4.8060999999999998</v>
      </c>
      <c r="G66" s="47"/>
      <c r="H66" s="48">
        <f t="shared" si="2"/>
        <v>0</v>
      </c>
      <c r="I66" s="47" t="e">
        <f t="shared" si="3"/>
        <v>#DIV/0!</v>
      </c>
      <c r="J66" s="38" t="e">
        <f t="shared" si="4"/>
        <v>#DIV/0!</v>
      </c>
      <c r="K66" s="38" t="e">
        <f t="shared" si="5"/>
        <v>#DIV/0!</v>
      </c>
      <c r="L66" s="38" t="e">
        <f t="shared" si="6"/>
        <v>#DIV/0!</v>
      </c>
      <c r="M66" s="35"/>
      <c r="N66" s="35"/>
      <c r="O66" s="35"/>
      <c r="P66" s="35"/>
      <c r="Q66" s="35"/>
      <c r="R66" s="35"/>
      <c r="S66" s="35"/>
      <c r="T66" s="35"/>
      <c r="U66" s="35"/>
    </row>
    <row r="67" spans="1:21" x14ac:dyDescent="0.25">
      <c r="A67" s="40">
        <v>66</v>
      </c>
      <c r="B67" s="41">
        <f t="shared" si="18"/>
        <v>1</v>
      </c>
      <c r="C67" s="41"/>
      <c r="D67" s="42">
        <f t="shared" ref="D67:D77" si="70">C67-B67+1</f>
        <v>0</v>
      </c>
      <c r="E67" s="42"/>
      <c r="F67" s="42">
        <f t="shared" ref="F67" si="71">F66</f>
        <v>4.8060999999999998</v>
      </c>
      <c r="G67" s="42"/>
      <c r="H67" s="43">
        <f t="shared" ref="H67:H77" si="72">F67*G67</f>
        <v>0</v>
      </c>
      <c r="I67" s="42" t="e">
        <f t="shared" ref="I67:I77" si="73">H67/D67</f>
        <v>#DIV/0!</v>
      </c>
      <c r="J67" s="44" t="e">
        <f t="shared" si="4"/>
        <v>#DIV/0!</v>
      </c>
      <c r="K67" s="44" t="e">
        <f t="shared" si="5"/>
        <v>#DIV/0!</v>
      </c>
      <c r="L67" s="44" t="e">
        <f t="shared" si="6"/>
        <v>#DIV/0!</v>
      </c>
      <c r="M67" s="35"/>
      <c r="N67" s="35"/>
      <c r="O67" s="35"/>
      <c r="P67" s="35"/>
      <c r="Q67" s="35"/>
      <c r="R67" s="35"/>
      <c r="S67" s="35"/>
      <c r="T67" s="35"/>
      <c r="U67" s="35"/>
    </row>
    <row r="68" spans="1:21" x14ac:dyDescent="0.25">
      <c r="A68" s="45">
        <v>67</v>
      </c>
      <c r="B68" s="46">
        <f t="shared" si="18"/>
        <v>1</v>
      </c>
      <c r="C68" s="46"/>
      <c r="D68" s="47">
        <f t="shared" si="70"/>
        <v>0</v>
      </c>
      <c r="E68" s="47"/>
      <c r="F68" s="47">
        <f t="shared" ref="F68" si="74">F66</f>
        <v>4.8060999999999998</v>
      </c>
      <c r="G68" s="47"/>
      <c r="H68" s="48">
        <f t="shared" si="72"/>
        <v>0</v>
      </c>
      <c r="I68" s="47" t="e">
        <f t="shared" si="73"/>
        <v>#DIV/0!</v>
      </c>
      <c r="J68" s="38" t="e">
        <f t="shared" ref="J68:J77" si="75">E68/D68</f>
        <v>#DIV/0!</v>
      </c>
      <c r="K68" s="38" t="e">
        <f t="shared" ref="K68:K77" si="76">G68/D68</f>
        <v>#DIV/0!</v>
      </c>
      <c r="L68" s="38" t="e">
        <f t="shared" ref="L68:L77" si="77">K68*F68</f>
        <v>#DIV/0!</v>
      </c>
      <c r="M68" s="35"/>
      <c r="N68" s="35"/>
      <c r="O68" s="35"/>
      <c r="P68" s="35"/>
      <c r="Q68" s="35"/>
      <c r="R68" s="35"/>
      <c r="S68" s="35"/>
      <c r="T68" s="35"/>
      <c r="U68" s="35"/>
    </row>
    <row r="69" spans="1:21" x14ac:dyDescent="0.25">
      <c r="A69" s="40">
        <v>68</v>
      </c>
      <c r="B69" s="41">
        <f t="shared" si="18"/>
        <v>1</v>
      </c>
      <c r="C69" s="41"/>
      <c r="D69" s="42">
        <f t="shared" si="70"/>
        <v>0</v>
      </c>
      <c r="E69" s="42"/>
      <c r="F69" s="42">
        <f t="shared" ref="F69" si="78">F68</f>
        <v>4.8060999999999998</v>
      </c>
      <c r="G69" s="42"/>
      <c r="H69" s="43">
        <f t="shared" si="72"/>
        <v>0</v>
      </c>
      <c r="I69" s="42" t="e">
        <f t="shared" si="73"/>
        <v>#DIV/0!</v>
      </c>
      <c r="J69" s="44" t="e">
        <f t="shared" si="75"/>
        <v>#DIV/0!</v>
      </c>
      <c r="K69" s="44" t="e">
        <f t="shared" si="76"/>
        <v>#DIV/0!</v>
      </c>
      <c r="L69" s="44" t="e">
        <f t="shared" si="77"/>
        <v>#DIV/0!</v>
      </c>
      <c r="M69" s="35"/>
      <c r="N69" s="35"/>
      <c r="O69" s="35"/>
      <c r="P69" s="35"/>
      <c r="Q69" s="35"/>
      <c r="R69" s="35"/>
      <c r="S69" s="35"/>
      <c r="T69" s="35"/>
      <c r="U69" s="35"/>
    </row>
    <row r="70" spans="1:21" x14ac:dyDescent="0.25">
      <c r="A70" s="45">
        <v>69</v>
      </c>
      <c r="B70" s="46">
        <f t="shared" si="18"/>
        <v>1</v>
      </c>
      <c r="C70" s="46"/>
      <c r="D70" s="47">
        <f t="shared" si="70"/>
        <v>0</v>
      </c>
      <c r="E70" s="47"/>
      <c r="F70" s="47">
        <f t="shared" ref="F70" si="79">F68</f>
        <v>4.8060999999999998</v>
      </c>
      <c r="G70" s="47"/>
      <c r="H70" s="48">
        <f t="shared" si="72"/>
        <v>0</v>
      </c>
      <c r="I70" s="47" t="e">
        <f t="shared" si="73"/>
        <v>#DIV/0!</v>
      </c>
      <c r="J70" s="38" t="e">
        <f t="shared" si="75"/>
        <v>#DIV/0!</v>
      </c>
      <c r="K70" s="38" t="e">
        <f t="shared" si="76"/>
        <v>#DIV/0!</v>
      </c>
      <c r="L70" s="38" t="e">
        <f t="shared" si="77"/>
        <v>#DIV/0!</v>
      </c>
      <c r="M70" s="35"/>
      <c r="N70" s="35"/>
      <c r="O70" s="35"/>
      <c r="P70" s="35"/>
      <c r="Q70" s="35"/>
      <c r="R70" s="35"/>
      <c r="S70" s="35"/>
      <c r="T70" s="35"/>
      <c r="U70" s="35"/>
    </row>
    <row r="71" spans="1:21" x14ac:dyDescent="0.25">
      <c r="A71" s="40">
        <v>70</v>
      </c>
      <c r="B71" s="41">
        <f t="shared" si="18"/>
        <v>1</v>
      </c>
      <c r="C71" s="41"/>
      <c r="D71" s="42">
        <f t="shared" si="70"/>
        <v>0</v>
      </c>
      <c r="E71" s="42"/>
      <c r="F71" s="42">
        <f t="shared" ref="F71" si="80">F70</f>
        <v>4.8060999999999998</v>
      </c>
      <c r="G71" s="42"/>
      <c r="H71" s="43">
        <f t="shared" si="72"/>
        <v>0</v>
      </c>
      <c r="I71" s="42" t="e">
        <f t="shared" si="73"/>
        <v>#DIV/0!</v>
      </c>
      <c r="J71" s="44" t="e">
        <f t="shared" si="75"/>
        <v>#DIV/0!</v>
      </c>
      <c r="K71" s="44" t="e">
        <f t="shared" si="76"/>
        <v>#DIV/0!</v>
      </c>
      <c r="L71" s="44" t="e">
        <f t="shared" si="77"/>
        <v>#DIV/0!</v>
      </c>
      <c r="M71" s="35"/>
      <c r="N71" s="35"/>
      <c r="O71" s="35"/>
      <c r="P71" s="35"/>
      <c r="Q71" s="35"/>
      <c r="R71" s="35"/>
      <c r="S71" s="35"/>
      <c r="T71" s="35"/>
      <c r="U71" s="35"/>
    </row>
    <row r="72" spans="1:21" x14ac:dyDescent="0.25">
      <c r="A72" s="45">
        <v>71</v>
      </c>
      <c r="B72" s="46">
        <f t="shared" si="18"/>
        <v>1</v>
      </c>
      <c r="C72" s="46"/>
      <c r="D72" s="47">
        <f t="shared" si="70"/>
        <v>0</v>
      </c>
      <c r="E72" s="47"/>
      <c r="F72" s="47">
        <f t="shared" ref="F72" si="81">F70</f>
        <v>4.8060999999999998</v>
      </c>
      <c r="G72" s="47"/>
      <c r="H72" s="48">
        <f t="shared" si="72"/>
        <v>0</v>
      </c>
      <c r="I72" s="47" t="e">
        <f t="shared" si="73"/>
        <v>#DIV/0!</v>
      </c>
      <c r="J72" s="38" t="e">
        <f t="shared" si="75"/>
        <v>#DIV/0!</v>
      </c>
      <c r="K72" s="38" t="e">
        <f t="shared" si="76"/>
        <v>#DIV/0!</v>
      </c>
      <c r="L72" s="38" t="e">
        <f t="shared" si="77"/>
        <v>#DIV/0!</v>
      </c>
      <c r="M72" s="35"/>
      <c r="N72" s="35"/>
      <c r="O72" s="35"/>
      <c r="P72" s="35"/>
      <c r="Q72" s="35"/>
      <c r="R72" s="35"/>
      <c r="S72" s="35"/>
      <c r="T72" s="35"/>
      <c r="U72" s="35"/>
    </row>
    <row r="73" spans="1:21" x14ac:dyDescent="0.25">
      <c r="A73" s="40">
        <v>72</v>
      </c>
      <c r="B73" s="41">
        <f t="shared" si="18"/>
        <v>1</v>
      </c>
      <c r="C73" s="41"/>
      <c r="D73" s="42">
        <f t="shared" si="70"/>
        <v>0</v>
      </c>
      <c r="E73" s="42"/>
      <c r="F73" s="42">
        <f t="shared" ref="F73" si="82">F72</f>
        <v>4.8060999999999998</v>
      </c>
      <c r="G73" s="42"/>
      <c r="H73" s="43">
        <f t="shared" si="72"/>
        <v>0</v>
      </c>
      <c r="I73" s="42" t="e">
        <f t="shared" si="73"/>
        <v>#DIV/0!</v>
      </c>
      <c r="J73" s="44" t="e">
        <f t="shared" si="75"/>
        <v>#DIV/0!</v>
      </c>
      <c r="K73" s="44" t="e">
        <f t="shared" si="76"/>
        <v>#DIV/0!</v>
      </c>
      <c r="L73" s="44" t="e">
        <f t="shared" si="77"/>
        <v>#DIV/0!</v>
      </c>
      <c r="M73" s="35"/>
      <c r="N73" s="35"/>
      <c r="O73" s="35"/>
      <c r="P73" s="35"/>
      <c r="Q73" s="35"/>
      <c r="R73" s="35"/>
      <c r="S73" s="35"/>
      <c r="T73" s="35"/>
      <c r="U73" s="35"/>
    </row>
    <row r="74" spans="1:21" x14ac:dyDescent="0.25">
      <c r="A74" s="45">
        <v>73</v>
      </c>
      <c r="B74" s="46">
        <f t="shared" si="18"/>
        <v>1</v>
      </c>
      <c r="C74" s="46"/>
      <c r="D74" s="47">
        <f t="shared" si="70"/>
        <v>0</v>
      </c>
      <c r="E74" s="47"/>
      <c r="F74" s="47">
        <f t="shared" ref="F74" si="83">F72</f>
        <v>4.8060999999999998</v>
      </c>
      <c r="G74" s="47"/>
      <c r="H74" s="48">
        <f t="shared" si="72"/>
        <v>0</v>
      </c>
      <c r="I74" s="47" t="e">
        <f t="shared" si="73"/>
        <v>#DIV/0!</v>
      </c>
      <c r="J74" s="38" t="e">
        <f t="shared" si="75"/>
        <v>#DIV/0!</v>
      </c>
      <c r="K74" s="38" t="e">
        <f t="shared" si="76"/>
        <v>#DIV/0!</v>
      </c>
      <c r="L74" s="38" t="e">
        <f t="shared" si="77"/>
        <v>#DIV/0!</v>
      </c>
      <c r="M74" s="35"/>
      <c r="N74" s="35"/>
      <c r="O74" s="35"/>
      <c r="P74" s="35"/>
      <c r="Q74" s="35"/>
      <c r="R74" s="35"/>
      <c r="S74" s="35"/>
      <c r="T74" s="35"/>
      <c r="U74" s="35"/>
    </row>
    <row r="75" spans="1:21" x14ac:dyDescent="0.25">
      <c r="A75" s="40">
        <v>74</v>
      </c>
      <c r="B75" s="41">
        <f t="shared" si="18"/>
        <v>1</v>
      </c>
      <c r="C75" s="41"/>
      <c r="D75" s="42">
        <f t="shared" si="70"/>
        <v>0</v>
      </c>
      <c r="E75" s="42"/>
      <c r="F75" s="42">
        <f t="shared" ref="F75" si="84">F74</f>
        <v>4.8060999999999998</v>
      </c>
      <c r="G75" s="42"/>
      <c r="H75" s="43">
        <f t="shared" si="72"/>
        <v>0</v>
      </c>
      <c r="I75" s="42" t="e">
        <f t="shared" si="73"/>
        <v>#DIV/0!</v>
      </c>
      <c r="J75" s="44" t="e">
        <f t="shared" si="75"/>
        <v>#DIV/0!</v>
      </c>
      <c r="K75" s="44" t="e">
        <f t="shared" si="76"/>
        <v>#DIV/0!</v>
      </c>
      <c r="L75" s="44" t="e">
        <f t="shared" si="77"/>
        <v>#DIV/0!</v>
      </c>
      <c r="M75" s="35"/>
      <c r="N75" s="35"/>
      <c r="O75" s="35"/>
      <c r="P75" s="35"/>
      <c r="Q75" s="35"/>
      <c r="R75" s="35"/>
      <c r="S75" s="35"/>
      <c r="T75" s="35"/>
      <c r="U75" s="35"/>
    </row>
    <row r="76" spans="1:21" x14ac:dyDescent="0.25">
      <c r="A76" s="45">
        <v>75</v>
      </c>
      <c r="B76" s="46">
        <f t="shared" si="18"/>
        <v>1</v>
      </c>
      <c r="C76" s="46"/>
      <c r="D76" s="47">
        <f t="shared" si="70"/>
        <v>0</v>
      </c>
      <c r="E76" s="47"/>
      <c r="F76" s="47">
        <f t="shared" ref="F76" si="85">F74</f>
        <v>4.8060999999999998</v>
      </c>
      <c r="G76" s="47"/>
      <c r="H76" s="48">
        <f t="shared" si="72"/>
        <v>0</v>
      </c>
      <c r="I76" s="47" t="e">
        <f t="shared" si="73"/>
        <v>#DIV/0!</v>
      </c>
      <c r="J76" s="38" t="e">
        <f t="shared" si="75"/>
        <v>#DIV/0!</v>
      </c>
      <c r="K76" s="38" t="e">
        <f t="shared" si="76"/>
        <v>#DIV/0!</v>
      </c>
      <c r="L76" s="38" t="e">
        <f t="shared" si="77"/>
        <v>#DIV/0!</v>
      </c>
      <c r="M76" s="35"/>
      <c r="N76" s="35"/>
      <c r="O76" s="35"/>
      <c r="P76" s="35"/>
      <c r="Q76" s="35"/>
      <c r="R76" s="35"/>
      <c r="S76" s="35"/>
      <c r="T76" s="35"/>
      <c r="U76" s="35"/>
    </row>
    <row r="77" spans="1:21" x14ac:dyDescent="0.25">
      <c r="A77" s="40">
        <v>76</v>
      </c>
      <c r="B77" s="41">
        <f t="shared" si="18"/>
        <v>1</v>
      </c>
      <c r="C77" s="41"/>
      <c r="D77" s="42">
        <f t="shared" si="70"/>
        <v>0</v>
      </c>
      <c r="E77" s="42"/>
      <c r="F77" s="42">
        <f t="shared" ref="F77" si="86">F76</f>
        <v>4.8060999999999998</v>
      </c>
      <c r="G77" s="42"/>
      <c r="H77" s="43">
        <f t="shared" si="72"/>
        <v>0</v>
      </c>
      <c r="I77" s="42" t="e">
        <f t="shared" si="73"/>
        <v>#DIV/0!</v>
      </c>
      <c r="J77" s="44" t="e">
        <f t="shared" si="75"/>
        <v>#DIV/0!</v>
      </c>
      <c r="K77" s="44" t="e">
        <f t="shared" si="76"/>
        <v>#DIV/0!</v>
      </c>
      <c r="L77" s="44" t="e">
        <f t="shared" si="77"/>
        <v>#DIV/0!</v>
      </c>
      <c r="M77" s="35"/>
      <c r="N77" s="35"/>
      <c r="O77" s="35"/>
      <c r="P77" s="35"/>
      <c r="Q77" s="35"/>
      <c r="R77" s="35"/>
      <c r="S77" s="35"/>
      <c r="T77" s="35"/>
      <c r="U77" s="35"/>
    </row>
    <row r="78" spans="1:21" x14ac:dyDescent="0.25"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35"/>
      <c r="N78" s="35"/>
      <c r="O78" s="35"/>
      <c r="P78" s="35"/>
      <c r="Q78" s="35"/>
      <c r="R78" s="35"/>
      <c r="S78" s="35"/>
      <c r="T78" s="35"/>
      <c r="U78" s="35"/>
    </row>
    <row r="79" spans="1:21" x14ac:dyDescent="0.25"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35"/>
      <c r="N79" s="35"/>
      <c r="O79" s="35"/>
      <c r="P79" s="35"/>
      <c r="Q79" s="35"/>
      <c r="R79" s="35"/>
      <c r="S79" s="35"/>
      <c r="T79" s="35"/>
      <c r="U79" s="35"/>
    </row>
    <row r="80" spans="1:21" x14ac:dyDescent="0.25"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35"/>
      <c r="N80" s="35"/>
      <c r="O80" s="35"/>
      <c r="P80" s="35"/>
      <c r="Q80" s="35"/>
      <c r="R80" s="35"/>
      <c r="S80" s="35"/>
      <c r="T80" s="35"/>
      <c r="U80" s="35"/>
    </row>
    <row r="81" spans="2:21" x14ac:dyDescent="0.25"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35"/>
      <c r="N81" s="35"/>
      <c r="O81" s="35"/>
      <c r="P81" s="35"/>
      <c r="Q81" s="35"/>
      <c r="R81" s="35"/>
      <c r="S81" s="35"/>
      <c r="T81" s="35"/>
      <c r="U81" s="35"/>
    </row>
    <row r="82" spans="2:21" x14ac:dyDescent="0.25"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35"/>
      <c r="N82" s="35"/>
      <c r="O82" s="35"/>
      <c r="P82" s="35"/>
      <c r="Q82" s="35"/>
      <c r="R82" s="35"/>
      <c r="S82" s="35"/>
      <c r="T82" s="35"/>
      <c r="U82" s="35"/>
    </row>
    <row r="83" spans="2:21" x14ac:dyDescent="0.25"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35"/>
      <c r="N83" s="35"/>
      <c r="O83" s="35"/>
      <c r="P83" s="35"/>
      <c r="Q83" s="35"/>
      <c r="R83" s="35"/>
      <c r="S83" s="35"/>
      <c r="T83" s="35"/>
      <c r="U83" s="35"/>
    </row>
    <row r="84" spans="2:21" x14ac:dyDescent="0.25"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35"/>
      <c r="N84" s="35"/>
      <c r="O84" s="35"/>
      <c r="P84" s="35"/>
      <c r="Q84" s="35"/>
      <c r="R84" s="35"/>
      <c r="S84" s="35"/>
      <c r="T84" s="35"/>
      <c r="U84" s="35"/>
    </row>
    <row r="85" spans="2:21" x14ac:dyDescent="0.25"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35"/>
      <c r="N85" s="35"/>
      <c r="O85" s="35"/>
      <c r="P85" s="35"/>
      <c r="Q85" s="35"/>
      <c r="R85" s="35"/>
      <c r="S85" s="35"/>
      <c r="T85" s="35"/>
      <c r="U85" s="35"/>
    </row>
    <row r="86" spans="2:21" x14ac:dyDescent="0.25"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35"/>
      <c r="N86" s="35"/>
      <c r="O86" s="35"/>
      <c r="P86" s="35"/>
      <c r="Q86" s="35"/>
      <c r="R86" s="35"/>
      <c r="S86" s="35"/>
      <c r="T86" s="35"/>
      <c r="U86" s="35"/>
    </row>
    <row r="87" spans="2:21" x14ac:dyDescent="0.25"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35"/>
      <c r="N87" s="35"/>
      <c r="O87" s="35"/>
      <c r="P87" s="35"/>
      <c r="Q87" s="35"/>
      <c r="R87" s="35"/>
      <c r="S87" s="35"/>
      <c r="T87" s="35"/>
      <c r="U87" s="35"/>
    </row>
    <row r="88" spans="2:21" x14ac:dyDescent="0.25"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35"/>
      <c r="N88" s="35"/>
      <c r="O88" s="35"/>
      <c r="P88" s="35"/>
      <c r="Q88" s="35"/>
      <c r="R88" s="35"/>
      <c r="S88" s="35"/>
      <c r="T88" s="35"/>
      <c r="U88" s="35"/>
    </row>
    <row r="89" spans="2:21" x14ac:dyDescent="0.25"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35"/>
      <c r="N89" s="35"/>
      <c r="O89" s="35"/>
      <c r="P89" s="35"/>
      <c r="Q89" s="35"/>
      <c r="R89" s="35"/>
      <c r="S89" s="35"/>
      <c r="T89" s="35"/>
      <c r="U89" s="35"/>
    </row>
    <row r="90" spans="2:21" x14ac:dyDescent="0.25"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35"/>
      <c r="N90" s="35"/>
      <c r="O90" s="35"/>
      <c r="P90" s="35"/>
      <c r="Q90" s="35"/>
      <c r="R90" s="35"/>
      <c r="S90" s="35"/>
      <c r="T90" s="35"/>
      <c r="U90" s="35"/>
    </row>
    <row r="91" spans="2:21" x14ac:dyDescent="0.25"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35"/>
      <c r="N91" s="35"/>
      <c r="O91" s="35"/>
      <c r="P91" s="35"/>
      <c r="Q91" s="35"/>
      <c r="R91" s="35"/>
      <c r="S91" s="35"/>
      <c r="T91" s="35"/>
      <c r="U91" s="35"/>
    </row>
    <row r="92" spans="2:21" x14ac:dyDescent="0.25"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35"/>
      <c r="N92" s="35"/>
      <c r="O92" s="35"/>
      <c r="P92" s="35"/>
      <c r="Q92" s="35"/>
      <c r="R92" s="35"/>
      <c r="S92" s="35"/>
      <c r="T92" s="35"/>
      <c r="U92" s="35"/>
    </row>
    <row r="93" spans="2:21" x14ac:dyDescent="0.25"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35"/>
      <c r="N93" s="35"/>
      <c r="O93" s="35"/>
      <c r="P93" s="35"/>
      <c r="Q93" s="35"/>
      <c r="R93" s="35"/>
      <c r="S93" s="35"/>
      <c r="T93" s="35"/>
      <c r="U93" s="35"/>
    </row>
    <row r="94" spans="2:21" x14ac:dyDescent="0.25"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35"/>
      <c r="N94" s="35"/>
      <c r="O94" s="35"/>
      <c r="P94" s="35"/>
      <c r="Q94" s="35"/>
      <c r="R94" s="35"/>
      <c r="S94" s="35"/>
      <c r="T94" s="35"/>
      <c r="U94" s="35"/>
    </row>
    <row r="95" spans="2:21" x14ac:dyDescent="0.25"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35"/>
      <c r="N95" s="35"/>
      <c r="O95" s="35"/>
      <c r="P95" s="35"/>
      <c r="Q95" s="35"/>
      <c r="R95" s="35"/>
      <c r="S95" s="35"/>
      <c r="T95" s="35"/>
      <c r="U95" s="35"/>
    </row>
    <row r="96" spans="2:21" x14ac:dyDescent="0.25"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35"/>
      <c r="N96" s="35"/>
      <c r="O96" s="35"/>
      <c r="P96" s="35"/>
      <c r="Q96" s="35"/>
      <c r="R96" s="35"/>
      <c r="S96" s="35"/>
      <c r="T96" s="35"/>
      <c r="U96" s="35"/>
    </row>
    <row r="97" spans="2:21" x14ac:dyDescent="0.25"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35"/>
      <c r="N97" s="35"/>
      <c r="O97" s="35"/>
      <c r="P97" s="35"/>
      <c r="Q97" s="35"/>
      <c r="R97" s="35"/>
      <c r="S97" s="35"/>
      <c r="T97" s="35"/>
      <c r="U97" s="35"/>
    </row>
    <row r="98" spans="2:21" x14ac:dyDescent="0.25"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35"/>
      <c r="N98" s="35"/>
      <c r="O98" s="35"/>
      <c r="P98" s="35"/>
      <c r="Q98" s="35"/>
      <c r="R98" s="35"/>
      <c r="S98" s="35"/>
      <c r="T98" s="35"/>
      <c r="U98" s="35"/>
    </row>
    <row r="99" spans="2:21" x14ac:dyDescent="0.25"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35"/>
      <c r="N99" s="35"/>
      <c r="O99" s="35"/>
      <c r="P99" s="35"/>
      <c r="Q99" s="35"/>
      <c r="R99" s="35"/>
      <c r="S99" s="35"/>
      <c r="T99" s="35"/>
      <c r="U99" s="35"/>
    </row>
    <row r="100" spans="2:21" x14ac:dyDescent="0.25"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35"/>
      <c r="N100" s="35"/>
      <c r="O100" s="35"/>
      <c r="P100" s="35"/>
      <c r="Q100" s="35"/>
      <c r="R100" s="35"/>
      <c r="S100" s="35"/>
      <c r="T100" s="35"/>
      <c r="U100" s="35"/>
    </row>
    <row r="101" spans="2:21" x14ac:dyDescent="0.25"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35"/>
      <c r="N101" s="35"/>
      <c r="O101" s="35"/>
      <c r="P101" s="35"/>
      <c r="Q101" s="35"/>
      <c r="R101" s="35"/>
      <c r="S101" s="35"/>
      <c r="T101" s="35"/>
      <c r="U101" s="35"/>
    </row>
    <row r="102" spans="2:21" x14ac:dyDescent="0.25"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35"/>
      <c r="N102" s="35"/>
      <c r="O102" s="35"/>
      <c r="P102" s="35"/>
      <c r="Q102" s="35"/>
      <c r="R102" s="35"/>
      <c r="S102" s="35"/>
      <c r="T102" s="35"/>
      <c r="U102" s="35"/>
    </row>
    <row r="103" spans="2:21" x14ac:dyDescent="0.25"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35"/>
      <c r="N103" s="35"/>
      <c r="O103" s="35"/>
      <c r="P103" s="35"/>
      <c r="Q103" s="35"/>
      <c r="R103" s="35"/>
      <c r="S103" s="35"/>
      <c r="T103" s="35"/>
      <c r="U103" s="35"/>
    </row>
    <row r="104" spans="2:21" x14ac:dyDescent="0.25"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35"/>
      <c r="N104" s="35"/>
      <c r="O104" s="35"/>
      <c r="P104" s="35"/>
      <c r="Q104" s="35"/>
      <c r="R104" s="35"/>
      <c r="S104" s="35"/>
      <c r="T104" s="35"/>
      <c r="U104" s="35"/>
    </row>
    <row r="105" spans="2:21" x14ac:dyDescent="0.25"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35"/>
      <c r="N105" s="35"/>
      <c r="O105" s="35"/>
      <c r="P105" s="35"/>
      <c r="Q105" s="35"/>
      <c r="R105" s="35"/>
      <c r="S105" s="35"/>
      <c r="T105" s="35"/>
      <c r="U105" s="35"/>
    </row>
    <row r="106" spans="2:21" x14ac:dyDescent="0.25"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35"/>
      <c r="N106" s="35"/>
      <c r="O106" s="35"/>
      <c r="P106" s="35"/>
      <c r="Q106" s="35"/>
      <c r="R106" s="35"/>
      <c r="S106" s="35"/>
      <c r="T106" s="35"/>
      <c r="U106" s="35"/>
    </row>
    <row r="107" spans="2:21" x14ac:dyDescent="0.25"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35"/>
      <c r="N107" s="35"/>
      <c r="O107" s="35"/>
      <c r="P107" s="35"/>
      <c r="Q107" s="35"/>
      <c r="R107" s="35"/>
      <c r="S107" s="35"/>
      <c r="T107" s="35"/>
      <c r="U107" s="35"/>
    </row>
    <row r="108" spans="2:21" x14ac:dyDescent="0.25"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35"/>
      <c r="N108" s="35"/>
      <c r="O108" s="35"/>
      <c r="P108" s="35"/>
      <c r="Q108" s="35"/>
      <c r="R108" s="35"/>
      <c r="S108" s="35"/>
      <c r="T108" s="35"/>
      <c r="U108" s="35"/>
    </row>
    <row r="109" spans="2:21" x14ac:dyDescent="0.25"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35"/>
      <c r="N109" s="35"/>
      <c r="O109" s="35"/>
      <c r="P109" s="35"/>
      <c r="Q109" s="35"/>
      <c r="R109" s="35"/>
      <c r="S109" s="35"/>
      <c r="T109" s="35"/>
      <c r="U109" s="35"/>
    </row>
    <row r="110" spans="2:21" x14ac:dyDescent="0.25"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35"/>
      <c r="N110" s="35"/>
      <c r="O110" s="35"/>
      <c r="P110" s="35"/>
      <c r="Q110" s="35"/>
      <c r="R110" s="35"/>
      <c r="S110" s="35"/>
      <c r="T110" s="35"/>
      <c r="U110" s="35"/>
    </row>
    <row r="111" spans="2:21" x14ac:dyDescent="0.25"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35"/>
      <c r="N111" s="35"/>
      <c r="O111" s="35"/>
      <c r="P111" s="35"/>
      <c r="Q111" s="35"/>
      <c r="R111" s="35"/>
      <c r="S111" s="35"/>
      <c r="T111" s="35"/>
      <c r="U111" s="35"/>
    </row>
    <row r="112" spans="2:21" x14ac:dyDescent="0.25"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35"/>
      <c r="N112" s="35"/>
      <c r="O112" s="35"/>
      <c r="P112" s="35"/>
      <c r="Q112" s="35"/>
      <c r="R112" s="35"/>
      <c r="S112" s="35"/>
      <c r="T112" s="35"/>
      <c r="U112" s="35"/>
    </row>
    <row r="113" spans="2:21" x14ac:dyDescent="0.25"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35"/>
      <c r="N113" s="35"/>
      <c r="O113" s="35"/>
      <c r="P113" s="35"/>
      <c r="Q113" s="35"/>
      <c r="R113" s="35"/>
      <c r="S113" s="35"/>
      <c r="T113" s="35"/>
      <c r="U113" s="35"/>
    </row>
    <row r="114" spans="2:21" x14ac:dyDescent="0.25"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35"/>
      <c r="N114" s="35"/>
      <c r="O114" s="35"/>
      <c r="P114" s="35"/>
      <c r="Q114" s="35"/>
      <c r="R114" s="35"/>
      <c r="S114" s="35"/>
      <c r="T114" s="35"/>
      <c r="U114" s="35"/>
    </row>
    <row r="115" spans="2:21" x14ac:dyDescent="0.25"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35"/>
      <c r="N115" s="35"/>
      <c r="O115" s="35"/>
      <c r="P115" s="35"/>
      <c r="Q115" s="35"/>
      <c r="R115" s="35"/>
      <c r="S115" s="35"/>
      <c r="T115" s="35"/>
      <c r="U115" s="35"/>
    </row>
    <row r="116" spans="2:21" x14ac:dyDescent="0.25"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35"/>
      <c r="N116" s="35"/>
      <c r="O116" s="35"/>
      <c r="P116" s="35"/>
      <c r="Q116" s="35"/>
      <c r="R116" s="35"/>
      <c r="S116" s="35"/>
      <c r="T116" s="35"/>
      <c r="U116" s="35"/>
    </row>
    <row r="117" spans="2:21" x14ac:dyDescent="0.25"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35"/>
      <c r="N117" s="35"/>
      <c r="O117" s="35"/>
      <c r="P117" s="35"/>
      <c r="Q117" s="35"/>
      <c r="R117" s="35"/>
      <c r="S117" s="35"/>
      <c r="T117" s="35"/>
      <c r="U117" s="35"/>
    </row>
    <row r="118" spans="2:21" x14ac:dyDescent="0.25"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35"/>
      <c r="N118" s="35"/>
      <c r="O118" s="35"/>
      <c r="P118" s="35"/>
      <c r="Q118" s="35"/>
      <c r="R118" s="35"/>
      <c r="S118" s="35"/>
      <c r="T118" s="35"/>
      <c r="U118" s="35"/>
    </row>
    <row r="119" spans="2:21" x14ac:dyDescent="0.25"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35"/>
      <c r="N119" s="35"/>
      <c r="O119" s="35"/>
      <c r="P119" s="35"/>
      <c r="Q119" s="35"/>
      <c r="R119" s="35"/>
      <c r="S119" s="35"/>
      <c r="T119" s="35"/>
      <c r="U119" s="35"/>
    </row>
    <row r="120" spans="2:21" x14ac:dyDescent="0.25"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35"/>
      <c r="N120" s="35"/>
      <c r="O120" s="35"/>
      <c r="P120" s="35"/>
      <c r="Q120" s="35"/>
      <c r="R120" s="35"/>
      <c r="S120" s="35"/>
      <c r="T120" s="35"/>
      <c r="U120" s="35"/>
    </row>
    <row r="121" spans="2:21" x14ac:dyDescent="0.25"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35"/>
      <c r="N121" s="35"/>
      <c r="O121" s="35"/>
      <c r="P121" s="35"/>
      <c r="Q121" s="35"/>
      <c r="R121" s="35"/>
      <c r="S121" s="35"/>
      <c r="T121" s="35"/>
      <c r="U121" s="35"/>
    </row>
    <row r="122" spans="2:21" x14ac:dyDescent="0.25"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35"/>
      <c r="N122" s="35"/>
      <c r="O122" s="35"/>
      <c r="P122" s="35"/>
      <c r="Q122" s="35"/>
      <c r="R122" s="35"/>
      <c r="S122" s="35"/>
      <c r="T122" s="35"/>
      <c r="U122" s="35"/>
    </row>
    <row r="123" spans="2:21" x14ac:dyDescent="0.25"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35"/>
      <c r="N123" s="35"/>
      <c r="O123" s="35"/>
      <c r="P123" s="35"/>
      <c r="Q123" s="35"/>
      <c r="R123" s="35"/>
      <c r="S123" s="35"/>
      <c r="T123" s="35"/>
      <c r="U123" s="35"/>
    </row>
    <row r="124" spans="2:21" x14ac:dyDescent="0.25"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35"/>
      <c r="N124" s="35"/>
      <c r="O124" s="35"/>
      <c r="P124" s="35"/>
      <c r="Q124" s="35"/>
      <c r="R124" s="35"/>
      <c r="S124" s="35"/>
      <c r="T124" s="35"/>
      <c r="U124" s="35"/>
    </row>
    <row r="125" spans="2:21" x14ac:dyDescent="0.25"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35"/>
      <c r="N125" s="35"/>
      <c r="O125" s="35"/>
      <c r="P125" s="35"/>
      <c r="Q125" s="35"/>
      <c r="R125" s="35"/>
      <c r="S125" s="35"/>
      <c r="T125" s="35"/>
      <c r="U125" s="35"/>
    </row>
    <row r="126" spans="2:21" x14ac:dyDescent="0.25"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35"/>
      <c r="N126" s="35"/>
      <c r="O126" s="35"/>
      <c r="P126" s="35"/>
      <c r="Q126" s="35"/>
      <c r="R126" s="35"/>
      <c r="S126" s="35"/>
      <c r="T126" s="35"/>
      <c r="U126" s="35"/>
    </row>
    <row r="127" spans="2:21" x14ac:dyDescent="0.25"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35"/>
      <c r="N127" s="35"/>
      <c r="O127" s="35"/>
      <c r="P127" s="35"/>
      <c r="Q127" s="35"/>
      <c r="R127" s="35"/>
      <c r="S127" s="35"/>
      <c r="T127" s="35"/>
      <c r="U127" s="35"/>
    </row>
    <row r="128" spans="2:21" x14ac:dyDescent="0.25"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35"/>
      <c r="N128" s="35"/>
      <c r="O128" s="35"/>
      <c r="P128" s="35"/>
      <c r="Q128" s="35"/>
      <c r="R128" s="35"/>
      <c r="S128" s="35"/>
      <c r="T128" s="35"/>
      <c r="U128" s="35"/>
    </row>
    <row r="129" spans="2:21" x14ac:dyDescent="0.25"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35"/>
      <c r="N129" s="35"/>
      <c r="O129" s="35"/>
      <c r="P129" s="35"/>
      <c r="Q129" s="35"/>
      <c r="R129" s="35"/>
      <c r="S129" s="35"/>
      <c r="T129" s="35"/>
      <c r="U129" s="35"/>
    </row>
    <row r="130" spans="2:21" x14ac:dyDescent="0.25"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35"/>
      <c r="N130" s="35"/>
      <c r="O130" s="35"/>
      <c r="P130" s="35"/>
      <c r="Q130" s="35"/>
      <c r="R130" s="35"/>
      <c r="S130" s="35"/>
      <c r="T130" s="35"/>
      <c r="U130" s="35"/>
    </row>
    <row r="131" spans="2:21" x14ac:dyDescent="0.25"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35"/>
      <c r="N131" s="35"/>
      <c r="O131" s="35"/>
      <c r="P131" s="35"/>
      <c r="Q131" s="35"/>
      <c r="R131" s="35"/>
      <c r="S131" s="35"/>
      <c r="T131" s="35"/>
      <c r="U131" s="35"/>
    </row>
    <row r="132" spans="2:21" x14ac:dyDescent="0.25"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35"/>
      <c r="N132" s="35"/>
      <c r="O132" s="35"/>
      <c r="P132" s="35"/>
      <c r="Q132" s="35"/>
      <c r="R132" s="35"/>
      <c r="S132" s="35"/>
      <c r="T132" s="35"/>
      <c r="U132" s="35"/>
    </row>
    <row r="133" spans="2:21" x14ac:dyDescent="0.25"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35"/>
      <c r="N133" s="35"/>
      <c r="O133" s="35"/>
      <c r="P133" s="35"/>
      <c r="Q133" s="35"/>
      <c r="R133" s="35"/>
      <c r="S133" s="35"/>
      <c r="T133" s="35"/>
      <c r="U133" s="35"/>
    </row>
    <row r="134" spans="2:21" x14ac:dyDescent="0.25"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35"/>
      <c r="N134" s="35"/>
      <c r="O134" s="35"/>
      <c r="P134" s="35"/>
      <c r="Q134" s="35"/>
      <c r="R134" s="35"/>
      <c r="S134" s="35"/>
      <c r="T134" s="35"/>
      <c r="U134" s="35"/>
    </row>
    <row r="135" spans="2:21" x14ac:dyDescent="0.25"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35"/>
      <c r="N135" s="35"/>
      <c r="O135" s="35"/>
      <c r="P135" s="35"/>
      <c r="Q135" s="35"/>
      <c r="R135" s="35"/>
      <c r="S135" s="35"/>
      <c r="T135" s="35"/>
      <c r="U135" s="35"/>
    </row>
    <row r="136" spans="2:21" x14ac:dyDescent="0.25"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35"/>
      <c r="N136" s="35"/>
      <c r="O136" s="35"/>
      <c r="P136" s="35"/>
      <c r="Q136" s="35"/>
      <c r="R136" s="35"/>
      <c r="S136" s="35"/>
      <c r="T136" s="35"/>
      <c r="U136" s="35"/>
    </row>
    <row r="137" spans="2:21" x14ac:dyDescent="0.25"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35"/>
      <c r="N137" s="35"/>
      <c r="O137" s="35"/>
      <c r="P137" s="35"/>
      <c r="Q137" s="35"/>
      <c r="R137" s="35"/>
      <c r="S137" s="35"/>
      <c r="T137" s="35"/>
      <c r="U137" s="35"/>
    </row>
    <row r="138" spans="2:21" x14ac:dyDescent="0.25"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35"/>
      <c r="N138" s="35"/>
      <c r="O138" s="35"/>
      <c r="P138" s="35"/>
      <c r="Q138" s="35"/>
      <c r="R138" s="35"/>
      <c r="S138" s="35"/>
      <c r="T138" s="35"/>
      <c r="U138" s="35"/>
    </row>
    <row r="139" spans="2:21" x14ac:dyDescent="0.25"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35"/>
      <c r="N139" s="35"/>
      <c r="O139" s="35"/>
      <c r="P139" s="35"/>
      <c r="Q139" s="35"/>
      <c r="R139" s="35"/>
      <c r="S139" s="35"/>
      <c r="T139" s="35"/>
      <c r="U139" s="35"/>
    </row>
    <row r="140" spans="2:21" x14ac:dyDescent="0.25"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35"/>
      <c r="N140" s="35"/>
      <c r="O140" s="35"/>
      <c r="P140" s="35"/>
      <c r="Q140" s="35"/>
      <c r="R140" s="35"/>
      <c r="S140" s="35"/>
      <c r="T140" s="35"/>
      <c r="U140" s="35"/>
    </row>
    <row r="141" spans="2:21" x14ac:dyDescent="0.25"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35"/>
      <c r="N141" s="35"/>
      <c r="O141" s="35"/>
      <c r="P141" s="35"/>
      <c r="Q141" s="35"/>
      <c r="R141" s="35"/>
      <c r="S141" s="35"/>
      <c r="T141" s="35"/>
      <c r="U141" s="35"/>
    </row>
    <row r="142" spans="2:21" x14ac:dyDescent="0.25"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35"/>
      <c r="N142" s="35"/>
      <c r="O142" s="35"/>
      <c r="P142" s="35"/>
      <c r="Q142" s="35"/>
      <c r="R142" s="35"/>
      <c r="S142" s="35"/>
      <c r="T142" s="35"/>
      <c r="U142" s="35"/>
    </row>
    <row r="143" spans="2:21" x14ac:dyDescent="0.25"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35"/>
      <c r="N143" s="35"/>
      <c r="O143" s="35"/>
      <c r="P143" s="35"/>
      <c r="Q143" s="35"/>
      <c r="R143" s="35"/>
      <c r="S143" s="35"/>
      <c r="T143" s="35"/>
      <c r="U143" s="35"/>
    </row>
    <row r="144" spans="2:21" x14ac:dyDescent="0.25"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35"/>
      <c r="N144" s="35"/>
      <c r="O144" s="35"/>
      <c r="P144" s="35"/>
      <c r="Q144" s="35"/>
      <c r="R144" s="35"/>
      <c r="S144" s="35"/>
      <c r="T144" s="35"/>
      <c r="U144" s="35"/>
    </row>
    <row r="145" spans="2:21" x14ac:dyDescent="0.25"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35"/>
      <c r="N145" s="35"/>
      <c r="O145" s="35"/>
      <c r="P145" s="35"/>
      <c r="Q145" s="35"/>
      <c r="R145" s="35"/>
      <c r="S145" s="35"/>
      <c r="T145" s="35"/>
      <c r="U145" s="35"/>
    </row>
    <row r="146" spans="2:21" x14ac:dyDescent="0.25"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35"/>
      <c r="N146" s="35"/>
      <c r="O146" s="35"/>
      <c r="P146" s="35"/>
      <c r="Q146" s="35"/>
      <c r="R146" s="35"/>
      <c r="S146" s="35"/>
      <c r="T146" s="35"/>
      <c r="U146" s="35"/>
    </row>
    <row r="147" spans="2:21" x14ac:dyDescent="0.25"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35"/>
      <c r="N147" s="35"/>
      <c r="O147" s="35"/>
      <c r="P147" s="35"/>
      <c r="Q147" s="35"/>
      <c r="R147" s="35"/>
      <c r="S147" s="35"/>
      <c r="T147" s="35"/>
      <c r="U147" s="35"/>
    </row>
    <row r="148" spans="2:21" x14ac:dyDescent="0.25"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35"/>
      <c r="N148" s="35"/>
      <c r="O148" s="35"/>
      <c r="P148" s="35"/>
      <c r="Q148" s="35"/>
      <c r="R148" s="35"/>
      <c r="S148" s="35"/>
      <c r="T148" s="35"/>
      <c r="U148" s="35"/>
    </row>
    <row r="149" spans="2:21" x14ac:dyDescent="0.25"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35"/>
      <c r="N149" s="35"/>
      <c r="O149" s="35"/>
      <c r="P149" s="35"/>
      <c r="Q149" s="35"/>
      <c r="R149" s="35"/>
      <c r="S149" s="35"/>
      <c r="T149" s="35"/>
      <c r="U149" s="35"/>
    </row>
    <row r="150" spans="2:21" x14ac:dyDescent="0.25"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35"/>
      <c r="N150" s="35"/>
      <c r="O150" s="35"/>
      <c r="P150" s="35"/>
      <c r="Q150" s="35"/>
      <c r="R150" s="35"/>
      <c r="S150" s="35"/>
      <c r="T150" s="35"/>
      <c r="U150" s="35"/>
    </row>
    <row r="151" spans="2:21" x14ac:dyDescent="0.25"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35"/>
      <c r="N151" s="35"/>
      <c r="O151" s="35"/>
      <c r="P151" s="35"/>
      <c r="Q151" s="35"/>
      <c r="R151" s="35"/>
      <c r="S151" s="35"/>
      <c r="T151" s="35"/>
      <c r="U151" s="35"/>
    </row>
    <row r="152" spans="2:21" x14ac:dyDescent="0.25"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35"/>
      <c r="N152" s="35"/>
      <c r="O152" s="35"/>
      <c r="P152" s="35"/>
      <c r="Q152" s="35"/>
      <c r="R152" s="35"/>
      <c r="S152" s="35"/>
      <c r="T152" s="35"/>
      <c r="U152" s="35"/>
    </row>
    <row r="153" spans="2:21" x14ac:dyDescent="0.25"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35"/>
      <c r="N153" s="35"/>
      <c r="O153" s="35"/>
      <c r="P153" s="35"/>
      <c r="Q153" s="35"/>
      <c r="R153" s="35"/>
      <c r="S153" s="35"/>
      <c r="T153" s="35"/>
      <c r="U153" s="35"/>
    </row>
    <row r="154" spans="2:21" x14ac:dyDescent="0.25"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35"/>
      <c r="N154" s="35"/>
      <c r="O154" s="35"/>
      <c r="P154" s="35"/>
      <c r="Q154" s="35"/>
      <c r="R154" s="35"/>
      <c r="S154" s="35"/>
      <c r="T154" s="35"/>
      <c r="U154" s="35"/>
    </row>
    <row r="155" spans="2:21" x14ac:dyDescent="0.25"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35"/>
      <c r="N155" s="35"/>
      <c r="O155" s="35"/>
      <c r="P155" s="35"/>
      <c r="Q155" s="35"/>
      <c r="R155" s="35"/>
      <c r="S155" s="35"/>
      <c r="T155" s="35"/>
      <c r="U155" s="35"/>
    </row>
    <row r="156" spans="2:21" x14ac:dyDescent="0.25"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35"/>
      <c r="N156" s="35"/>
      <c r="O156" s="35"/>
      <c r="P156" s="35"/>
      <c r="Q156" s="35"/>
      <c r="R156" s="35"/>
      <c r="S156" s="35"/>
      <c r="T156" s="35"/>
      <c r="U156" s="35"/>
    </row>
    <row r="157" spans="2:21" x14ac:dyDescent="0.25"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35"/>
      <c r="N157" s="35"/>
      <c r="O157" s="35"/>
      <c r="P157" s="35"/>
      <c r="Q157" s="35"/>
      <c r="R157" s="35"/>
      <c r="S157" s="35"/>
      <c r="T157" s="35"/>
      <c r="U157" s="35"/>
    </row>
    <row r="158" spans="2:21" x14ac:dyDescent="0.25"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35"/>
      <c r="N158" s="35"/>
      <c r="O158" s="35"/>
      <c r="P158" s="35"/>
      <c r="Q158" s="35"/>
      <c r="R158" s="35"/>
      <c r="S158" s="35"/>
      <c r="T158" s="35"/>
      <c r="U158" s="35"/>
    </row>
    <row r="159" spans="2:21" x14ac:dyDescent="0.25"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35"/>
      <c r="N159" s="35"/>
      <c r="O159" s="35"/>
      <c r="P159" s="35"/>
      <c r="Q159" s="35"/>
      <c r="R159" s="35"/>
      <c r="S159" s="35"/>
      <c r="T159" s="35"/>
      <c r="U159" s="35"/>
    </row>
    <row r="160" spans="2:21" x14ac:dyDescent="0.25"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35"/>
      <c r="N160" s="35"/>
      <c r="O160" s="35"/>
      <c r="P160" s="35"/>
      <c r="Q160" s="35"/>
      <c r="R160" s="35"/>
      <c r="S160" s="35"/>
      <c r="T160" s="35"/>
      <c r="U160" s="35"/>
    </row>
    <row r="161" spans="2:21" x14ac:dyDescent="0.25"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35"/>
      <c r="N161" s="35"/>
      <c r="O161" s="35"/>
      <c r="P161" s="35"/>
      <c r="Q161" s="35"/>
      <c r="R161" s="35"/>
      <c r="S161" s="35"/>
      <c r="T161" s="35"/>
      <c r="U161" s="35"/>
    </row>
    <row r="162" spans="2:21" x14ac:dyDescent="0.25"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35"/>
      <c r="N162" s="35"/>
      <c r="O162" s="35"/>
      <c r="P162" s="35"/>
      <c r="Q162" s="35"/>
      <c r="R162" s="35"/>
      <c r="S162" s="35"/>
      <c r="T162" s="35"/>
      <c r="U162" s="35"/>
    </row>
    <row r="163" spans="2:21" x14ac:dyDescent="0.25"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35"/>
      <c r="N163" s="35"/>
      <c r="O163" s="35"/>
      <c r="P163" s="35"/>
      <c r="Q163" s="35"/>
      <c r="R163" s="35"/>
      <c r="S163" s="35"/>
      <c r="T163" s="35"/>
      <c r="U163" s="35"/>
    </row>
    <row r="164" spans="2:21" x14ac:dyDescent="0.25"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35"/>
      <c r="N164" s="35"/>
      <c r="O164" s="35"/>
      <c r="P164" s="35"/>
      <c r="Q164" s="35"/>
      <c r="R164" s="35"/>
      <c r="S164" s="35"/>
      <c r="T164" s="35"/>
      <c r="U164" s="35"/>
    </row>
    <row r="165" spans="2:21" x14ac:dyDescent="0.25"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35"/>
      <c r="N165" s="35"/>
      <c r="O165" s="35"/>
      <c r="P165" s="35"/>
      <c r="Q165" s="35"/>
      <c r="R165" s="35"/>
      <c r="S165" s="35"/>
      <c r="T165" s="35"/>
      <c r="U165" s="35"/>
    </row>
    <row r="166" spans="2:21" x14ac:dyDescent="0.25"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35"/>
      <c r="N166" s="35"/>
      <c r="O166" s="35"/>
      <c r="P166" s="35"/>
      <c r="Q166" s="35"/>
      <c r="R166" s="35"/>
      <c r="S166" s="35"/>
      <c r="T166" s="35"/>
      <c r="U166" s="35"/>
    </row>
    <row r="167" spans="2:21" x14ac:dyDescent="0.25"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35"/>
      <c r="N167" s="35"/>
      <c r="O167" s="35"/>
      <c r="P167" s="35"/>
      <c r="Q167" s="35"/>
      <c r="R167" s="35"/>
      <c r="S167" s="35"/>
      <c r="T167" s="35"/>
      <c r="U167" s="35"/>
    </row>
    <row r="168" spans="2:21" x14ac:dyDescent="0.25"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35"/>
      <c r="N168" s="35"/>
      <c r="O168" s="35"/>
      <c r="P168" s="35"/>
      <c r="Q168" s="35"/>
      <c r="R168" s="35"/>
      <c r="S168" s="35"/>
      <c r="T168" s="35"/>
      <c r="U168" s="35"/>
    </row>
    <row r="169" spans="2:21" x14ac:dyDescent="0.25"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35"/>
      <c r="N169" s="35"/>
      <c r="O169" s="35"/>
      <c r="P169" s="35"/>
      <c r="Q169" s="35"/>
      <c r="R169" s="35"/>
      <c r="S169" s="35"/>
      <c r="T169" s="35"/>
      <c r="U169" s="35"/>
    </row>
    <row r="170" spans="2:21" x14ac:dyDescent="0.25"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35"/>
      <c r="N170" s="35"/>
      <c r="O170" s="35"/>
      <c r="P170" s="35"/>
      <c r="Q170" s="35"/>
      <c r="R170" s="35"/>
      <c r="S170" s="35"/>
      <c r="T170" s="35"/>
      <c r="U170" s="35"/>
    </row>
    <row r="171" spans="2:21" x14ac:dyDescent="0.25"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35"/>
      <c r="N171" s="35"/>
      <c r="O171" s="35"/>
      <c r="P171" s="35"/>
      <c r="Q171" s="35"/>
      <c r="R171" s="35"/>
      <c r="S171" s="35"/>
      <c r="T171" s="35"/>
      <c r="U171" s="35"/>
    </row>
    <row r="172" spans="2:21" x14ac:dyDescent="0.25"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35"/>
      <c r="N172" s="35"/>
      <c r="O172" s="35"/>
      <c r="P172" s="35"/>
      <c r="Q172" s="35"/>
      <c r="R172" s="35"/>
      <c r="S172" s="35"/>
      <c r="T172" s="35"/>
      <c r="U172" s="35"/>
    </row>
    <row r="173" spans="2:21" x14ac:dyDescent="0.25"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35"/>
      <c r="N173" s="35"/>
      <c r="O173" s="35"/>
      <c r="P173" s="35"/>
      <c r="Q173" s="35"/>
      <c r="R173" s="35"/>
      <c r="S173" s="35"/>
      <c r="T173" s="35"/>
      <c r="U173" s="35"/>
    </row>
    <row r="174" spans="2:21" x14ac:dyDescent="0.25"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35"/>
      <c r="N174" s="35"/>
      <c r="O174" s="35"/>
      <c r="P174" s="35"/>
      <c r="Q174" s="35"/>
      <c r="R174" s="35"/>
      <c r="S174" s="35"/>
      <c r="T174" s="35"/>
      <c r="U174" s="35"/>
    </row>
    <row r="175" spans="2:21" x14ac:dyDescent="0.25"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35"/>
      <c r="N175" s="35"/>
      <c r="O175" s="35"/>
      <c r="P175" s="35"/>
      <c r="Q175" s="35"/>
      <c r="R175" s="35"/>
      <c r="S175" s="35"/>
      <c r="T175" s="35"/>
      <c r="U175" s="35"/>
    </row>
    <row r="176" spans="2:21" x14ac:dyDescent="0.25"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35"/>
      <c r="N176" s="35"/>
      <c r="O176" s="35"/>
      <c r="P176" s="35"/>
      <c r="Q176" s="35"/>
      <c r="R176" s="35"/>
      <c r="S176" s="35"/>
      <c r="T176" s="35"/>
      <c r="U176" s="35"/>
    </row>
    <row r="177" spans="2:21" x14ac:dyDescent="0.25"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35"/>
      <c r="N177" s="35"/>
      <c r="O177" s="35"/>
      <c r="P177" s="35"/>
      <c r="Q177" s="35"/>
      <c r="R177" s="35"/>
      <c r="S177" s="35"/>
      <c r="T177" s="35"/>
      <c r="U177" s="35"/>
    </row>
    <row r="178" spans="2:21" x14ac:dyDescent="0.25"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35"/>
      <c r="N178" s="35"/>
      <c r="O178" s="35"/>
      <c r="P178" s="35"/>
      <c r="Q178" s="35"/>
      <c r="R178" s="35"/>
      <c r="S178" s="35"/>
      <c r="T178" s="35"/>
      <c r="U178" s="35"/>
    </row>
    <row r="179" spans="2:21" x14ac:dyDescent="0.25"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35"/>
      <c r="N179" s="35"/>
      <c r="O179" s="35"/>
      <c r="P179" s="35"/>
      <c r="Q179" s="35"/>
      <c r="R179" s="35"/>
      <c r="S179" s="35"/>
      <c r="T179" s="35"/>
      <c r="U179" s="35"/>
    </row>
    <row r="180" spans="2:21" x14ac:dyDescent="0.25"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35"/>
      <c r="N180" s="35"/>
      <c r="O180" s="35"/>
      <c r="P180" s="35"/>
      <c r="Q180" s="35"/>
      <c r="R180" s="35"/>
      <c r="S180" s="35"/>
      <c r="T180" s="35"/>
      <c r="U180" s="35"/>
    </row>
    <row r="181" spans="2:21" x14ac:dyDescent="0.25"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35"/>
      <c r="N181" s="35"/>
      <c r="O181" s="35"/>
      <c r="P181" s="35"/>
      <c r="Q181" s="35"/>
      <c r="R181" s="35"/>
      <c r="S181" s="35"/>
      <c r="T181" s="35"/>
      <c r="U181" s="35"/>
    </row>
    <row r="182" spans="2:21" x14ac:dyDescent="0.25"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35"/>
      <c r="N182" s="35"/>
      <c r="O182" s="35"/>
      <c r="P182" s="35"/>
      <c r="Q182" s="35"/>
      <c r="R182" s="35"/>
      <c r="S182" s="35"/>
      <c r="T182" s="35"/>
      <c r="U182" s="35"/>
    </row>
    <row r="183" spans="2:21" x14ac:dyDescent="0.25"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35"/>
      <c r="N183" s="35"/>
      <c r="O183" s="35"/>
      <c r="P183" s="35"/>
      <c r="Q183" s="35"/>
      <c r="R183" s="35"/>
      <c r="S183" s="35"/>
      <c r="T183" s="35"/>
      <c r="U183" s="35"/>
    </row>
    <row r="184" spans="2:21" x14ac:dyDescent="0.25"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35"/>
      <c r="N184" s="35"/>
      <c r="O184" s="35"/>
      <c r="P184" s="35"/>
      <c r="Q184" s="35"/>
      <c r="R184" s="35"/>
      <c r="S184" s="35"/>
      <c r="T184" s="35"/>
      <c r="U184" s="35"/>
    </row>
    <row r="185" spans="2:21" x14ac:dyDescent="0.25"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35"/>
      <c r="N185" s="35"/>
      <c r="O185" s="35"/>
      <c r="P185" s="35"/>
      <c r="Q185" s="35"/>
      <c r="R185" s="35"/>
      <c r="S185" s="35"/>
      <c r="T185" s="35"/>
      <c r="U185" s="35"/>
    </row>
    <row r="186" spans="2:21" x14ac:dyDescent="0.25"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35"/>
      <c r="N186" s="35"/>
      <c r="O186" s="35"/>
      <c r="P186" s="35"/>
      <c r="Q186" s="35"/>
      <c r="R186" s="35"/>
      <c r="S186" s="35"/>
      <c r="T186" s="35"/>
      <c r="U186" s="35"/>
    </row>
    <row r="187" spans="2:21" x14ac:dyDescent="0.25"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35"/>
      <c r="N187" s="35"/>
      <c r="O187" s="35"/>
      <c r="P187" s="35"/>
      <c r="Q187" s="35"/>
      <c r="R187" s="35"/>
      <c r="S187" s="35"/>
      <c r="T187" s="35"/>
      <c r="U187" s="35"/>
    </row>
    <row r="188" spans="2:21" x14ac:dyDescent="0.25"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35"/>
      <c r="N188" s="35"/>
      <c r="O188" s="35"/>
      <c r="P188" s="35"/>
      <c r="Q188" s="35"/>
      <c r="R188" s="35"/>
      <c r="S188" s="35"/>
      <c r="T188" s="35"/>
      <c r="U188" s="35"/>
    </row>
    <row r="189" spans="2:21" x14ac:dyDescent="0.25"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35"/>
      <c r="N189" s="35"/>
      <c r="O189" s="35"/>
      <c r="P189" s="35"/>
      <c r="Q189" s="35"/>
      <c r="R189" s="35"/>
      <c r="S189" s="35"/>
      <c r="T189" s="35"/>
      <c r="U189" s="35"/>
    </row>
    <row r="190" spans="2:21" x14ac:dyDescent="0.25"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35"/>
      <c r="N190" s="35"/>
      <c r="O190" s="35"/>
      <c r="P190" s="35"/>
      <c r="Q190" s="35"/>
      <c r="R190" s="35"/>
      <c r="S190" s="35"/>
      <c r="T190" s="35"/>
      <c r="U190" s="35"/>
    </row>
    <row r="191" spans="2:21" x14ac:dyDescent="0.25"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35"/>
      <c r="N191" s="35"/>
      <c r="O191" s="35"/>
      <c r="P191" s="35"/>
      <c r="Q191" s="35"/>
      <c r="R191" s="35"/>
      <c r="S191" s="35"/>
      <c r="T191" s="35"/>
      <c r="U191" s="35"/>
    </row>
    <row r="192" spans="2:21" x14ac:dyDescent="0.25"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35"/>
      <c r="N192" s="35"/>
      <c r="O192" s="35"/>
      <c r="P192" s="35"/>
      <c r="Q192" s="35"/>
      <c r="R192" s="35"/>
      <c r="S192" s="35"/>
      <c r="T192" s="35"/>
      <c r="U192" s="35"/>
    </row>
    <row r="193" spans="2:21" x14ac:dyDescent="0.25"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35"/>
      <c r="N193" s="35"/>
      <c r="O193" s="35"/>
      <c r="P193" s="35"/>
      <c r="Q193" s="35"/>
      <c r="R193" s="35"/>
      <c r="S193" s="35"/>
      <c r="T193" s="35"/>
      <c r="U193" s="35"/>
    </row>
    <row r="194" spans="2:21" x14ac:dyDescent="0.25"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35"/>
      <c r="N194" s="35"/>
      <c r="O194" s="35"/>
      <c r="P194" s="35"/>
      <c r="Q194" s="35"/>
      <c r="R194" s="35"/>
      <c r="S194" s="35"/>
      <c r="T194" s="35"/>
      <c r="U194" s="35"/>
    </row>
    <row r="195" spans="2:21" x14ac:dyDescent="0.25"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35"/>
      <c r="N195" s="35"/>
      <c r="O195" s="35"/>
      <c r="P195" s="35"/>
      <c r="Q195" s="35"/>
      <c r="R195" s="35"/>
      <c r="S195" s="35"/>
      <c r="T195" s="35"/>
      <c r="U195" s="35"/>
    </row>
    <row r="196" spans="2:21" x14ac:dyDescent="0.25"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35"/>
      <c r="N196" s="35"/>
      <c r="O196" s="35"/>
      <c r="P196" s="35"/>
      <c r="Q196" s="35"/>
      <c r="R196" s="35"/>
      <c r="S196" s="35"/>
      <c r="T196" s="35"/>
      <c r="U196" s="35"/>
    </row>
    <row r="197" spans="2:21" x14ac:dyDescent="0.25"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35"/>
      <c r="N197" s="35"/>
      <c r="O197" s="35"/>
      <c r="P197" s="35"/>
      <c r="Q197" s="35"/>
      <c r="R197" s="35"/>
      <c r="S197" s="35"/>
      <c r="T197" s="35"/>
      <c r="U197" s="35"/>
    </row>
    <row r="198" spans="2:21" x14ac:dyDescent="0.25"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35"/>
      <c r="N198" s="35"/>
      <c r="O198" s="35"/>
      <c r="P198" s="35"/>
      <c r="Q198" s="35"/>
      <c r="R198" s="35"/>
      <c r="S198" s="35"/>
      <c r="T198" s="35"/>
      <c r="U198" s="35"/>
    </row>
    <row r="199" spans="2:21" x14ac:dyDescent="0.25"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35"/>
      <c r="N199" s="35"/>
      <c r="O199" s="35"/>
      <c r="P199" s="35"/>
      <c r="Q199" s="35"/>
      <c r="R199" s="35"/>
      <c r="S199" s="35"/>
      <c r="T199" s="35"/>
      <c r="U199" s="35"/>
    </row>
    <row r="200" spans="2:21" x14ac:dyDescent="0.25"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35"/>
      <c r="N200" s="35"/>
      <c r="O200" s="35"/>
      <c r="P200" s="35"/>
      <c r="Q200" s="35"/>
      <c r="R200" s="35"/>
      <c r="S200" s="35"/>
      <c r="T200" s="35"/>
      <c r="U200" s="35"/>
    </row>
    <row r="201" spans="2:21" x14ac:dyDescent="0.25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35"/>
      <c r="N201" s="35"/>
      <c r="O201" s="35"/>
      <c r="P201" s="35"/>
      <c r="Q201" s="35"/>
      <c r="R201" s="35"/>
      <c r="S201" s="35"/>
      <c r="T201" s="35"/>
      <c r="U201" s="35"/>
    </row>
    <row r="202" spans="2:21" x14ac:dyDescent="0.25"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35"/>
      <c r="N202" s="35"/>
      <c r="O202" s="35"/>
      <c r="P202" s="35"/>
      <c r="Q202" s="35"/>
      <c r="R202" s="35"/>
      <c r="S202" s="35"/>
      <c r="T202" s="35"/>
      <c r="U202" s="35"/>
    </row>
    <row r="203" spans="2:21" x14ac:dyDescent="0.25"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35"/>
      <c r="N203" s="35"/>
      <c r="O203" s="35"/>
      <c r="P203" s="35"/>
      <c r="Q203" s="35"/>
      <c r="R203" s="35"/>
      <c r="S203" s="35"/>
      <c r="T203" s="35"/>
      <c r="U203" s="35"/>
    </row>
    <row r="204" spans="2:21" x14ac:dyDescent="0.25"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35"/>
      <c r="N204" s="35"/>
      <c r="O204" s="35"/>
      <c r="P204" s="35"/>
      <c r="Q204" s="35"/>
      <c r="R204" s="35"/>
      <c r="S204" s="35"/>
      <c r="T204" s="35"/>
      <c r="U204" s="35"/>
    </row>
    <row r="205" spans="2:21" x14ac:dyDescent="0.25"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35"/>
      <c r="N205" s="35"/>
      <c r="O205" s="35"/>
      <c r="P205" s="35"/>
      <c r="Q205" s="35"/>
      <c r="R205" s="35"/>
      <c r="S205" s="35"/>
      <c r="T205" s="35"/>
      <c r="U205" s="35"/>
    </row>
    <row r="206" spans="2:21" x14ac:dyDescent="0.25"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35"/>
      <c r="N206" s="35"/>
      <c r="O206" s="35"/>
      <c r="P206" s="35"/>
      <c r="Q206" s="35"/>
      <c r="R206" s="35"/>
      <c r="S206" s="35"/>
      <c r="T206" s="35"/>
      <c r="U206" s="35"/>
    </row>
    <row r="207" spans="2:21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35"/>
      <c r="N207" s="35"/>
      <c r="O207" s="35"/>
      <c r="P207" s="35"/>
      <c r="Q207" s="35"/>
      <c r="R207" s="35"/>
      <c r="S207" s="35"/>
      <c r="T207" s="35"/>
      <c r="U207" s="35"/>
    </row>
    <row r="208" spans="2:21" x14ac:dyDescent="0.25"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35"/>
      <c r="N208" s="35"/>
      <c r="O208" s="35"/>
      <c r="P208" s="35"/>
      <c r="Q208" s="35"/>
      <c r="R208" s="35"/>
      <c r="S208" s="35"/>
      <c r="T208" s="35"/>
      <c r="U208" s="35"/>
    </row>
    <row r="209" spans="2:21" x14ac:dyDescent="0.25"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35"/>
      <c r="N209" s="35"/>
      <c r="O209" s="35"/>
      <c r="P209" s="35"/>
      <c r="Q209" s="35"/>
      <c r="R209" s="35"/>
      <c r="S209" s="35"/>
      <c r="T209" s="35"/>
      <c r="U209" s="35"/>
    </row>
    <row r="210" spans="2:21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35"/>
      <c r="N210" s="35"/>
      <c r="O210" s="35"/>
      <c r="P210" s="35"/>
      <c r="Q210" s="35"/>
      <c r="R210" s="35"/>
      <c r="S210" s="35"/>
      <c r="T210" s="35"/>
      <c r="U210" s="35"/>
    </row>
    <row r="211" spans="2:21" x14ac:dyDescent="0.25"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35"/>
      <c r="N211" s="35"/>
      <c r="O211" s="35"/>
      <c r="P211" s="35"/>
      <c r="Q211" s="35"/>
      <c r="R211" s="35"/>
      <c r="S211" s="35"/>
      <c r="T211" s="35"/>
      <c r="U211" s="35"/>
    </row>
    <row r="212" spans="2:21" x14ac:dyDescent="0.25"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35"/>
      <c r="N212" s="35"/>
      <c r="O212" s="35"/>
      <c r="P212" s="35"/>
      <c r="Q212" s="35"/>
      <c r="R212" s="35"/>
      <c r="S212" s="35"/>
      <c r="T212" s="35"/>
      <c r="U212" s="35"/>
    </row>
    <row r="213" spans="2:21" x14ac:dyDescent="0.25"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35"/>
      <c r="N213" s="35"/>
      <c r="O213" s="35"/>
      <c r="P213" s="35"/>
      <c r="Q213" s="35"/>
      <c r="R213" s="35"/>
      <c r="S213" s="35"/>
      <c r="T213" s="35"/>
      <c r="U213" s="35"/>
    </row>
    <row r="214" spans="2:21" x14ac:dyDescent="0.25"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35"/>
      <c r="N214" s="35"/>
      <c r="O214" s="35"/>
      <c r="P214" s="35"/>
      <c r="Q214" s="35"/>
      <c r="R214" s="35"/>
      <c r="S214" s="35"/>
      <c r="T214" s="35"/>
      <c r="U214" s="35"/>
    </row>
    <row r="215" spans="2:21" x14ac:dyDescent="0.25"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35"/>
      <c r="N215" s="35"/>
      <c r="O215" s="35"/>
      <c r="P215" s="35"/>
      <c r="Q215" s="35"/>
      <c r="R215" s="35"/>
      <c r="S215" s="35"/>
      <c r="T215" s="35"/>
      <c r="U215" s="35"/>
    </row>
    <row r="216" spans="2:21" x14ac:dyDescent="0.25"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35"/>
      <c r="N216" s="35"/>
      <c r="O216" s="35"/>
      <c r="P216" s="35"/>
      <c r="Q216" s="35"/>
      <c r="R216" s="35"/>
      <c r="S216" s="35"/>
      <c r="T216" s="35"/>
      <c r="U216" s="35"/>
    </row>
    <row r="217" spans="2:21" x14ac:dyDescent="0.25"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35"/>
      <c r="N217" s="35"/>
      <c r="O217" s="35"/>
      <c r="P217" s="35"/>
      <c r="Q217" s="35"/>
      <c r="R217" s="35"/>
      <c r="S217" s="35"/>
      <c r="T217" s="35"/>
      <c r="U217" s="35"/>
    </row>
    <row r="218" spans="2:21" x14ac:dyDescent="0.25"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35"/>
      <c r="N218" s="35"/>
      <c r="O218" s="35"/>
      <c r="P218" s="35"/>
      <c r="Q218" s="35"/>
      <c r="R218" s="35"/>
      <c r="S218" s="35"/>
      <c r="T218" s="35"/>
      <c r="U218" s="35"/>
    </row>
    <row r="219" spans="2:21" x14ac:dyDescent="0.25"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35"/>
      <c r="N219" s="35"/>
      <c r="O219" s="35"/>
      <c r="P219" s="35"/>
      <c r="Q219" s="35"/>
      <c r="R219" s="35"/>
      <c r="S219" s="35"/>
      <c r="T219" s="35"/>
      <c r="U219" s="35"/>
    </row>
    <row r="220" spans="2:21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35"/>
      <c r="N220" s="35"/>
      <c r="O220" s="35"/>
      <c r="P220" s="35"/>
      <c r="Q220" s="35"/>
      <c r="R220" s="35"/>
      <c r="S220" s="35"/>
      <c r="T220" s="35"/>
      <c r="U220" s="35"/>
    </row>
    <row r="221" spans="2:21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35"/>
      <c r="N221" s="35"/>
      <c r="O221" s="35"/>
      <c r="P221" s="35"/>
      <c r="Q221" s="35"/>
      <c r="R221" s="35"/>
      <c r="S221" s="35"/>
      <c r="T221" s="35"/>
      <c r="U221" s="35"/>
    </row>
    <row r="222" spans="2:21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35"/>
      <c r="N222" s="35"/>
      <c r="O222" s="35"/>
      <c r="P222" s="35"/>
      <c r="Q222" s="35"/>
      <c r="R222" s="35"/>
      <c r="S222" s="35"/>
      <c r="T222" s="35"/>
      <c r="U222" s="35"/>
    </row>
    <row r="223" spans="2:21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35"/>
      <c r="N223" s="35"/>
      <c r="O223" s="35"/>
      <c r="P223" s="35"/>
      <c r="Q223" s="35"/>
      <c r="R223" s="35"/>
      <c r="S223" s="35"/>
      <c r="T223" s="35"/>
      <c r="U223" s="35"/>
    </row>
    <row r="224" spans="2:21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35"/>
      <c r="N224" s="35"/>
      <c r="O224" s="35"/>
      <c r="P224" s="35"/>
      <c r="Q224" s="35"/>
      <c r="R224" s="35"/>
      <c r="S224" s="35"/>
      <c r="T224" s="35"/>
      <c r="U224" s="35"/>
    </row>
    <row r="225" spans="2:21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35"/>
      <c r="N225" s="35"/>
      <c r="O225" s="35"/>
      <c r="P225" s="35"/>
      <c r="Q225" s="35"/>
      <c r="R225" s="35"/>
      <c r="S225" s="35"/>
      <c r="T225" s="35"/>
      <c r="U225" s="35"/>
    </row>
    <row r="226" spans="2:21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35"/>
      <c r="N226" s="35"/>
      <c r="O226" s="35"/>
      <c r="P226" s="35"/>
      <c r="Q226" s="35"/>
      <c r="R226" s="35"/>
      <c r="S226" s="35"/>
      <c r="T226" s="35"/>
      <c r="U226" s="35"/>
    </row>
    <row r="227" spans="2:21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35"/>
      <c r="N227" s="35"/>
      <c r="O227" s="35"/>
      <c r="P227" s="35"/>
      <c r="Q227" s="35"/>
      <c r="R227" s="35"/>
      <c r="S227" s="35"/>
      <c r="T227" s="35"/>
      <c r="U227" s="35"/>
    </row>
    <row r="228" spans="2:21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35"/>
      <c r="N228" s="35"/>
      <c r="O228" s="35"/>
      <c r="P228" s="35"/>
      <c r="Q228" s="35"/>
      <c r="R228" s="35"/>
      <c r="S228" s="35"/>
      <c r="T228" s="35"/>
      <c r="U228" s="35"/>
    </row>
    <row r="229" spans="2:21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35"/>
      <c r="N229" s="35"/>
      <c r="O229" s="35"/>
      <c r="P229" s="35"/>
      <c r="Q229" s="35"/>
      <c r="R229" s="35"/>
      <c r="S229" s="35"/>
      <c r="T229" s="35"/>
      <c r="U229" s="35"/>
    </row>
    <row r="230" spans="2:21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35"/>
      <c r="N230" s="35"/>
      <c r="O230" s="35"/>
      <c r="P230" s="35"/>
      <c r="Q230" s="35"/>
      <c r="R230" s="35"/>
      <c r="S230" s="35"/>
      <c r="T230" s="35"/>
      <c r="U230" s="35"/>
    </row>
    <row r="231" spans="2:21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35"/>
      <c r="N231" s="35"/>
      <c r="O231" s="35"/>
      <c r="P231" s="35"/>
      <c r="Q231" s="35"/>
      <c r="R231" s="35"/>
      <c r="S231" s="35"/>
      <c r="T231" s="35"/>
      <c r="U231" s="35"/>
    </row>
    <row r="232" spans="2:21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35"/>
      <c r="N232" s="35"/>
      <c r="O232" s="35"/>
      <c r="P232" s="35"/>
      <c r="Q232" s="35"/>
      <c r="R232" s="35"/>
      <c r="S232" s="35"/>
      <c r="T232" s="35"/>
      <c r="U232" s="35"/>
    </row>
    <row r="233" spans="2:21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35"/>
      <c r="N233" s="35"/>
      <c r="O233" s="35"/>
      <c r="P233" s="35"/>
      <c r="Q233" s="35"/>
      <c r="R233" s="35"/>
      <c r="S233" s="35"/>
      <c r="T233" s="35"/>
      <c r="U233" s="35"/>
    </row>
    <row r="234" spans="2:21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35"/>
      <c r="N234" s="35"/>
      <c r="O234" s="35"/>
      <c r="P234" s="35"/>
      <c r="Q234" s="35"/>
      <c r="R234" s="35"/>
      <c r="S234" s="35"/>
      <c r="T234" s="35"/>
      <c r="U234" s="35"/>
    </row>
    <row r="235" spans="2:21" x14ac:dyDescent="0.25"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35"/>
      <c r="N235" s="35"/>
      <c r="O235" s="35"/>
      <c r="P235" s="35"/>
      <c r="Q235" s="35"/>
      <c r="R235" s="35"/>
      <c r="S235" s="35"/>
      <c r="T235" s="35"/>
      <c r="U235" s="35"/>
    </row>
    <row r="236" spans="2:21" x14ac:dyDescent="0.25"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35"/>
      <c r="N236" s="35"/>
      <c r="O236" s="35"/>
      <c r="P236" s="35"/>
      <c r="Q236" s="35"/>
      <c r="R236" s="35"/>
      <c r="S236" s="35"/>
      <c r="T236" s="35"/>
      <c r="U236" s="35"/>
    </row>
    <row r="237" spans="2:21" x14ac:dyDescent="0.25"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35"/>
      <c r="N237" s="35"/>
      <c r="O237" s="35"/>
      <c r="P237" s="35"/>
      <c r="Q237" s="35"/>
      <c r="R237" s="35"/>
      <c r="S237" s="35"/>
      <c r="T237" s="35"/>
      <c r="U237" s="35"/>
    </row>
    <row r="238" spans="2:21" x14ac:dyDescent="0.25"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35"/>
      <c r="N238" s="35"/>
      <c r="O238" s="35"/>
      <c r="P238" s="35"/>
      <c r="Q238" s="35"/>
      <c r="R238" s="35"/>
      <c r="S238" s="35"/>
      <c r="T238" s="35"/>
      <c r="U238" s="35"/>
    </row>
    <row r="239" spans="2:21" x14ac:dyDescent="0.25"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35"/>
      <c r="N239" s="35"/>
      <c r="O239" s="35"/>
      <c r="P239" s="35"/>
      <c r="Q239" s="35"/>
      <c r="R239" s="35"/>
      <c r="S239" s="35"/>
      <c r="T239" s="35"/>
      <c r="U239" s="35"/>
    </row>
    <row r="240" spans="2:21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35"/>
      <c r="N240" s="35"/>
      <c r="O240" s="35"/>
      <c r="P240" s="35"/>
      <c r="Q240" s="35"/>
      <c r="R240" s="35"/>
      <c r="S240" s="35"/>
      <c r="T240" s="35"/>
      <c r="U240" s="35"/>
    </row>
    <row r="241" spans="2:21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35"/>
      <c r="N241" s="35"/>
      <c r="O241" s="35"/>
      <c r="P241" s="35"/>
      <c r="Q241" s="35"/>
      <c r="R241" s="35"/>
      <c r="S241" s="35"/>
      <c r="T241" s="35"/>
      <c r="U241" s="35"/>
    </row>
    <row r="242" spans="2:21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35"/>
      <c r="N242" s="35"/>
      <c r="O242" s="35"/>
      <c r="P242" s="35"/>
      <c r="Q242" s="35"/>
      <c r="R242" s="35"/>
      <c r="S242" s="35"/>
      <c r="T242" s="35"/>
      <c r="U242" s="35"/>
    </row>
    <row r="243" spans="2:21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35"/>
      <c r="N243" s="35"/>
      <c r="O243" s="35"/>
      <c r="P243" s="35"/>
      <c r="Q243" s="35"/>
      <c r="R243" s="35"/>
      <c r="S243" s="35"/>
      <c r="T243" s="35"/>
      <c r="U243" s="35"/>
    </row>
    <row r="244" spans="2:21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35"/>
      <c r="N244" s="35"/>
      <c r="O244" s="35"/>
      <c r="P244" s="35"/>
      <c r="Q244" s="35"/>
      <c r="R244" s="35"/>
      <c r="S244" s="35"/>
      <c r="T244" s="35"/>
      <c r="U244" s="35"/>
    </row>
    <row r="245" spans="2:21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35"/>
      <c r="N245" s="35"/>
      <c r="O245" s="35"/>
      <c r="P245" s="35"/>
      <c r="Q245" s="35"/>
      <c r="R245" s="35"/>
      <c r="S245" s="35"/>
      <c r="T245" s="35"/>
      <c r="U245" s="35"/>
    </row>
    <row r="246" spans="2:21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35"/>
      <c r="N246" s="35"/>
      <c r="O246" s="35"/>
      <c r="P246" s="35"/>
      <c r="Q246" s="35"/>
      <c r="R246" s="35"/>
      <c r="S246" s="35"/>
      <c r="T246" s="35"/>
      <c r="U246" s="35"/>
    </row>
    <row r="247" spans="2:21" x14ac:dyDescent="0.25"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35"/>
      <c r="N247" s="35"/>
      <c r="O247" s="35"/>
      <c r="P247" s="35"/>
      <c r="Q247" s="35"/>
      <c r="R247" s="35"/>
      <c r="S247" s="35"/>
      <c r="T247" s="35"/>
      <c r="U247" s="35"/>
    </row>
    <row r="248" spans="2:21" x14ac:dyDescent="0.25"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35"/>
      <c r="N248" s="35"/>
      <c r="O248" s="35"/>
      <c r="P248" s="35"/>
      <c r="Q248" s="35"/>
      <c r="R248" s="35"/>
      <c r="S248" s="35"/>
      <c r="T248" s="35"/>
      <c r="U248" s="35"/>
    </row>
    <row r="249" spans="2:21" x14ac:dyDescent="0.25"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35"/>
      <c r="N249" s="35"/>
      <c r="O249" s="35"/>
      <c r="P249" s="35"/>
      <c r="Q249" s="35"/>
      <c r="R249" s="35"/>
      <c r="S249" s="35"/>
      <c r="T249" s="35"/>
      <c r="U249" s="35"/>
    </row>
    <row r="250" spans="2:21" x14ac:dyDescent="0.25"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35"/>
      <c r="N250" s="35"/>
      <c r="O250" s="35"/>
      <c r="P250" s="35"/>
      <c r="Q250" s="35"/>
      <c r="R250" s="35"/>
      <c r="S250" s="35"/>
      <c r="T250" s="35"/>
      <c r="U250" s="35"/>
    </row>
    <row r="251" spans="2:21" x14ac:dyDescent="0.25"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35"/>
      <c r="N251" s="35"/>
      <c r="O251" s="35"/>
      <c r="P251" s="35"/>
      <c r="Q251" s="35"/>
      <c r="R251" s="35"/>
      <c r="S251" s="35"/>
      <c r="T251" s="35"/>
      <c r="U251" s="35"/>
    </row>
    <row r="252" spans="2:21" x14ac:dyDescent="0.25"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35"/>
      <c r="N252" s="35"/>
      <c r="O252" s="35"/>
      <c r="P252" s="35"/>
      <c r="Q252" s="35"/>
      <c r="R252" s="35"/>
      <c r="S252" s="35"/>
      <c r="T252" s="35"/>
      <c r="U252" s="35"/>
    </row>
    <row r="253" spans="2:21" x14ac:dyDescent="0.25"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35"/>
      <c r="N253" s="35"/>
      <c r="O253" s="35"/>
      <c r="P253" s="35"/>
      <c r="Q253" s="35"/>
      <c r="R253" s="35"/>
      <c r="S253" s="35"/>
      <c r="T253" s="35"/>
      <c r="U253" s="35"/>
    </row>
    <row r="254" spans="2:21" x14ac:dyDescent="0.25"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35"/>
      <c r="N254" s="35"/>
      <c r="O254" s="35"/>
      <c r="P254" s="35"/>
      <c r="Q254" s="35"/>
      <c r="R254" s="35"/>
      <c r="S254" s="35"/>
      <c r="T254" s="35"/>
      <c r="U254" s="35"/>
    </row>
    <row r="255" spans="2:21" x14ac:dyDescent="0.25"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35"/>
      <c r="N255" s="35"/>
      <c r="O255" s="35"/>
      <c r="P255" s="35"/>
      <c r="Q255" s="35"/>
      <c r="R255" s="35"/>
      <c r="S255" s="35"/>
      <c r="T255" s="35"/>
      <c r="U255" s="35"/>
    </row>
    <row r="256" spans="2:21" x14ac:dyDescent="0.25"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35"/>
      <c r="N256" s="35"/>
      <c r="O256" s="35"/>
      <c r="P256" s="35"/>
      <c r="Q256" s="35"/>
      <c r="R256" s="35"/>
      <c r="S256" s="35"/>
      <c r="T256" s="35"/>
      <c r="U256" s="35"/>
    </row>
    <row r="257" spans="2:21" x14ac:dyDescent="0.25"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35"/>
      <c r="N257" s="35"/>
      <c r="O257" s="35"/>
      <c r="P257" s="35"/>
      <c r="Q257" s="35"/>
      <c r="R257" s="35"/>
      <c r="S257" s="35"/>
      <c r="T257" s="35"/>
      <c r="U257" s="35"/>
    </row>
    <row r="258" spans="2:21" x14ac:dyDescent="0.25"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35"/>
      <c r="N258" s="35"/>
      <c r="O258" s="35"/>
      <c r="P258" s="35"/>
      <c r="Q258" s="35"/>
      <c r="R258" s="35"/>
      <c r="S258" s="35"/>
      <c r="T258" s="35"/>
      <c r="U258" s="35"/>
    </row>
    <row r="259" spans="2:21" x14ac:dyDescent="0.25"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35"/>
      <c r="N259" s="35"/>
      <c r="O259" s="35"/>
      <c r="P259" s="35"/>
      <c r="Q259" s="35"/>
      <c r="R259" s="35"/>
      <c r="S259" s="35"/>
      <c r="T259" s="35"/>
      <c r="U259" s="35"/>
    </row>
    <row r="260" spans="2:21" x14ac:dyDescent="0.25"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35"/>
      <c r="N260" s="35"/>
      <c r="O260" s="35"/>
      <c r="P260" s="35"/>
      <c r="Q260" s="35"/>
      <c r="R260" s="35"/>
      <c r="S260" s="35"/>
      <c r="T260" s="35"/>
      <c r="U260" s="35"/>
    </row>
    <row r="261" spans="2:21" x14ac:dyDescent="0.25"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35"/>
      <c r="N261" s="35"/>
      <c r="O261" s="35"/>
      <c r="P261" s="35"/>
      <c r="Q261" s="35"/>
      <c r="R261" s="35"/>
      <c r="S261" s="35"/>
      <c r="T261" s="35"/>
      <c r="U261" s="35"/>
    </row>
    <row r="262" spans="2:21" x14ac:dyDescent="0.25"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35"/>
      <c r="N262" s="35"/>
      <c r="O262" s="35"/>
      <c r="P262" s="35"/>
      <c r="Q262" s="35"/>
      <c r="R262" s="35"/>
      <c r="S262" s="35"/>
      <c r="T262" s="35"/>
      <c r="U262" s="35"/>
    </row>
    <row r="263" spans="2:21" x14ac:dyDescent="0.25"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35"/>
      <c r="N263" s="35"/>
      <c r="O263" s="35"/>
      <c r="P263" s="35"/>
      <c r="Q263" s="35"/>
      <c r="R263" s="35"/>
      <c r="S263" s="35"/>
      <c r="T263" s="35"/>
      <c r="U263" s="35"/>
    </row>
    <row r="264" spans="2:21" x14ac:dyDescent="0.25"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35"/>
      <c r="N264" s="35"/>
      <c r="O264" s="35"/>
      <c r="P264" s="35"/>
      <c r="Q264" s="35"/>
      <c r="R264" s="35"/>
      <c r="S264" s="35"/>
      <c r="T264" s="35"/>
      <c r="U264" s="35"/>
    </row>
    <row r="265" spans="2:21" x14ac:dyDescent="0.25"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35"/>
      <c r="N265" s="35"/>
      <c r="O265" s="35"/>
      <c r="P265" s="35"/>
      <c r="Q265" s="35"/>
      <c r="R265" s="35"/>
      <c r="S265" s="35"/>
      <c r="T265" s="35"/>
      <c r="U265" s="35"/>
    </row>
    <row r="266" spans="2:21" x14ac:dyDescent="0.25"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35"/>
      <c r="N266" s="35"/>
      <c r="O266" s="35"/>
      <c r="P266" s="35"/>
      <c r="Q266" s="35"/>
      <c r="R266" s="35"/>
      <c r="S266" s="35"/>
      <c r="T266" s="35"/>
      <c r="U266" s="35"/>
    </row>
    <row r="267" spans="2:21" x14ac:dyDescent="0.25"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35"/>
      <c r="N267" s="35"/>
      <c r="O267" s="35"/>
      <c r="P267" s="35"/>
      <c r="Q267" s="35"/>
      <c r="R267" s="35"/>
      <c r="S267" s="35"/>
      <c r="T267" s="35"/>
      <c r="U267" s="35"/>
    </row>
    <row r="268" spans="2:21" x14ac:dyDescent="0.25"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35"/>
      <c r="N268" s="35"/>
      <c r="O268" s="35"/>
      <c r="P268" s="35"/>
      <c r="Q268" s="35"/>
      <c r="R268" s="35"/>
      <c r="S268" s="35"/>
      <c r="T268" s="35"/>
      <c r="U268" s="35"/>
    </row>
    <row r="269" spans="2:21" x14ac:dyDescent="0.25"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35"/>
      <c r="N269" s="35"/>
      <c r="O269" s="35"/>
      <c r="P269" s="35"/>
      <c r="Q269" s="35"/>
      <c r="R269" s="35"/>
      <c r="S269" s="35"/>
      <c r="T269" s="35"/>
      <c r="U269" s="35"/>
    </row>
    <row r="270" spans="2:21" x14ac:dyDescent="0.25"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35"/>
      <c r="N270" s="35"/>
      <c r="O270" s="35"/>
      <c r="P270" s="35"/>
      <c r="Q270" s="35"/>
      <c r="R270" s="35"/>
      <c r="S270" s="35"/>
      <c r="T270" s="35"/>
      <c r="U270" s="35"/>
    </row>
    <row r="271" spans="2:21" x14ac:dyDescent="0.25"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35"/>
      <c r="N271" s="35"/>
      <c r="O271" s="35"/>
      <c r="P271" s="35"/>
      <c r="Q271" s="35"/>
      <c r="R271" s="35"/>
      <c r="S271" s="35"/>
      <c r="T271" s="35"/>
      <c r="U271" s="35"/>
    </row>
    <row r="272" spans="2:21" x14ac:dyDescent="0.25"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35"/>
      <c r="N272" s="35"/>
      <c r="O272" s="35"/>
      <c r="P272" s="35"/>
      <c r="Q272" s="35"/>
      <c r="R272" s="35"/>
      <c r="S272" s="35"/>
      <c r="T272" s="35"/>
      <c r="U272" s="35"/>
    </row>
    <row r="273" spans="2:21" x14ac:dyDescent="0.25"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35"/>
      <c r="N273" s="35"/>
      <c r="O273" s="35"/>
      <c r="P273" s="35"/>
      <c r="Q273" s="35"/>
      <c r="R273" s="35"/>
      <c r="S273" s="35"/>
      <c r="T273" s="35"/>
      <c r="U273" s="35"/>
    </row>
    <row r="274" spans="2:21" x14ac:dyDescent="0.25"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35"/>
      <c r="N274" s="35"/>
      <c r="O274" s="35"/>
      <c r="P274" s="35"/>
      <c r="Q274" s="35"/>
      <c r="R274" s="35"/>
      <c r="S274" s="35"/>
      <c r="T274" s="35"/>
      <c r="U274" s="35"/>
    </row>
    <row r="275" spans="2:21" x14ac:dyDescent="0.25"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35"/>
      <c r="N275" s="35"/>
      <c r="O275" s="35"/>
      <c r="P275" s="35"/>
      <c r="Q275" s="35"/>
      <c r="R275" s="35"/>
      <c r="S275" s="35"/>
      <c r="T275" s="35"/>
      <c r="U275" s="35"/>
    </row>
    <row r="276" spans="2:21" x14ac:dyDescent="0.25"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35"/>
      <c r="N276" s="35"/>
      <c r="O276" s="35"/>
      <c r="P276" s="35"/>
      <c r="Q276" s="35"/>
      <c r="R276" s="35"/>
      <c r="S276" s="35"/>
      <c r="T276" s="35"/>
      <c r="U276" s="35"/>
    </row>
    <row r="277" spans="2:21" x14ac:dyDescent="0.25"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35"/>
      <c r="N277" s="35"/>
      <c r="O277" s="35"/>
      <c r="P277" s="35"/>
      <c r="Q277" s="35"/>
      <c r="R277" s="35"/>
      <c r="S277" s="35"/>
      <c r="T277" s="35"/>
      <c r="U277" s="35"/>
    </row>
    <row r="278" spans="2:21" x14ac:dyDescent="0.25"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35"/>
      <c r="N278" s="35"/>
      <c r="O278" s="35"/>
      <c r="P278" s="35"/>
      <c r="Q278" s="35"/>
      <c r="R278" s="35"/>
      <c r="S278" s="35"/>
      <c r="T278" s="35"/>
      <c r="U278" s="35"/>
    </row>
    <row r="279" spans="2:21" x14ac:dyDescent="0.25"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35"/>
      <c r="N279" s="35"/>
      <c r="O279" s="35"/>
      <c r="P279" s="35"/>
      <c r="Q279" s="35"/>
      <c r="R279" s="35"/>
      <c r="S279" s="35"/>
      <c r="T279" s="35"/>
      <c r="U279" s="35"/>
    </row>
    <row r="280" spans="2:21" x14ac:dyDescent="0.25"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35"/>
      <c r="N280" s="35"/>
      <c r="O280" s="35"/>
      <c r="P280" s="35"/>
      <c r="Q280" s="35"/>
      <c r="R280" s="35"/>
      <c r="S280" s="35"/>
      <c r="T280" s="35"/>
      <c r="U280" s="35"/>
    </row>
    <row r="281" spans="2:21" x14ac:dyDescent="0.25"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35"/>
      <c r="N281" s="35"/>
      <c r="O281" s="35"/>
      <c r="P281" s="35"/>
      <c r="Q281" s="35"/>
      <c r="R281" s="35"/>
      <c r="S281" s="35"/>
      <c r="T281" s="35"/>
      <c r="U281" s="35"/>
    </row>
    <row r="282" spans="2:21" x14ac:dyDescent="0.25"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35"/>
      <c r="N282" s="35"/>
      <c r="O282" s="35"/>
      <c r="P282" s="35"/>
      <c r="Q282" s="35"/>
      <c r="R282" s="35"/>
      <c r="S282" s="35"/>
      <c r="T282" s="35"/>
      <c r="U282" s="35"/>
    </row>
    <row r="283" spans="2:21" x14ac:dyDescent="0.25"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35"/>
      <c r="N283" s="35"/>
      <c r="O283" s="35"/>
      <c r="P283" s="35"/>
      <c r="Q283" s="35"/>
      <c r="R283" s="35"/>
      <c r="S283" s="35"/>
      <c r="T283" s="35"/>
      <c r="U283" s="35"/>
    </row>
    <row r="284" spans="2:21" x14ac:dyDescent="0.25"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35"/>
      <c r="N284" s="35"/>
      <c r="O284" s="35"/>
      <c r="P284" s="35"/>
      <c r="Q284" s="35"/>
      <c r="R284" s="35"/>
      <c r="S284" s="35"/>
      <c r="T284" s="35"/>
      <c r="U284" s="35"/>
    </row>
    <row r="285" spans="2:21" x14ac:dyDescent="0.25"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35"/>
      <c r="N285" s="35"/>
      <c r="O285" s="35"/>
      <c r="P285" s="35"/>
      <c r="Q285" s="35"/>
      <c r="R285" s="35"/>
      <c r="S285" s="35"/>
      <c r="T285" s="35"/>
      <c r="U285" s="35"/>
    </row>
    <row r="286" spans="2:21" x14ac:dyDescent="0.25"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35"/>
      <c r="N286" s="35"/>
      <c r="O286" s="35"/>
      <c r="P286" s="35"/>
      <c r="Q286" s="35"/>
      <c r="R286" s="35"/>
      <c r="S286" s="35"/>
      <c r="T286" s="35"/>
      <c r="U286" s="35"/>
    </row>
    <row r="287" spans="2:21" x14ac:dyDescent="0.25"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35"/>
      <c r="N287" s="35"/>
      <c r="O287" s="35"/>
      <c r="P287" s="35"/>
      <c r="Q287" s="35"/>
      <c r="R287" s="35"/>
      <c r="S287" s="35"/>
      <c r="T287" s="35"/>
      <c r="U287" s="35"/>
    </row>
    <row r="288" spans="2:21" x14ac:dyDescent="0.25"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35"/>
      <c r="N288" s="35"/>
      <c r="O288" s="35"/>
      <c r="P288" s="35"/>
      <c r="Q288" s="35"/>
      <c r="R288" s="35"/>
      <c r="S288" s="35"/>
      <c r="T288" s="35"/>
      <c r="U288" s="35"/>
    </row>
    <row r="289" spans="2:21" x14ac:dyDescent="0.25"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35"/>
      <c r="N289" s="35"/>
      <c r="O289" s="35"/>
      <c r="P289" s="35"/>
      <c r="Q289" s="35"/>
      <c r="R289" s="35"/>
      <c r="S289" s="35"/>
      <c r="T289" s="35"/>
      <c r="U289" s="35"/>
    </row>
    <row r="290" spans="2:21" x14ac:dyDescent="0.25"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35"/>
      <c r="N290" s="35"/>
      <c r="O290" s="35"/>
      <c r="P290" s="35"/>
      <c r="Q290" s="35"/>
      <c r="R290" s="35"/>
      <c r="S290" s="35"/>
      <c r="T290" s="35"/>
      <c r="U290" s="35"/>
    </row>
    <row r="291" spans="2:21" x14ac:dyDescent="0.25"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35"/>
      <c r="N291" s="35"/>
      <c r="O291" s="35"/>
      <c r="P291" s="35"/>
      <c r="Q291" s="35"/>
      <c r="R291" s="35"/>
      <c r="S291" s="35"/>
      <c r="T291" s="35"/>
      <c r="U291" s="35"/>
    </row>
    <row r="292" spans="2:21" x14ac:dyDescent="0.25"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35"/>
      <c r="N292" s="35"/>
      <c r="O292" s="35"/>
      <c r="P292" s="35"/>
      <c r="Q292" s="35"/>
      <c r="R292" s="35"/>
      <c r="S292" s="35"/>
      <c r="T292" s="35"/>
      <c r="U292" s="35"/>
    </row>
    <row r="293" spans="2:21" x14ac:dyDescent="0.25"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35"/>
      <c r="N293" s="35"/>
      <c r="O293" s="35"/>
      <c r="P293" s="35"/>
      <c r="Q293" s="35"/>
      <c r="R293" s="35"/>
      <c r="S293" s="35"/>
      <c r="T293" s="35"/>
      <c r="U293" s="35"/>
    </row>
    <row r="294" spans="2:21" x14ac:dyDescent="0.25"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35"/>
      <c r="N294" s="35"/>
      <c r="O294" s="35"/>
      <c r="P294" s="35"/>
      <c r="Q294" s="35"/>
      <c r="R294" s="35"/>
      <c r="S294" s="35"/>
      <c r="T294" s="35"/>
      <c r="U294" s="35"/>
    </row>
    <row r="295" spans="2:21" x14ac:dyDescent="0.25"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35"/>
      <c r="N295" s="35"/>
      <c r="O295" s="35"/>
      <c r="P295" s="35"/>
      <c r="Q295" s="35"/>
      <c r="R295" s="35"/>
      <c r="S295" s="35"/>
      <c r="T295" s="35"/>
      <c r="U295" s="35"/>
    </row>
  </sheetData>
  <phoneticPr fontId="2" type="noConversion"/>
  <hyperlinks>
    <hyperlink ref="M1" location="電費單總表!A1" display="回電費總表" xr:uid="{90D93973-CF26-4670-9DDD-1F6EB4F413E3}"/>
    <hyperlink ref="A1" r:id="rId1" display="電費單\AN16003801-黃治勳.pdf" xr:uid="{058CA7D5-F5C8-4C67-B981-8C221FB14FBB}"/>
    <hyperlink ref="N1" r:id="rId2" xr:uid="{CF643000-8347-443D-A4BF-79A6183C41BA}"/>
    <hyperlink ref="O1" r:id="rId3" xr:uid="{F969F00F-8905-4A7B-9A45-7B728CBCE109}"/>
  </hyperlinks>
  <pageMargins left="0.7" right="0.7" top="0.75" bottom="0.75" header="0.3" footer="0.3"/>
  <pageSetup paperSize="9" orientation="portrait"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D24-6822-4A64-8DAB-F583F05C41E8}">
  <sheetPr>
    <tabColor rgb="FF7030A0"/>
  </sheetPr>
  <dimension ref="A1:U295"/>
  <sheetViews>
    <sheetView workbookViewId="0">
      <pane ySplit="1" topLeftCell="A2" activePane="bottomLeft" state="frozen"/>
      <selection activeCell="N28" sqref="N28"/>
      <selection pane="bottomLeft" activeCell="N28" sqref="N28"/>
    </sheetView>
  </sheetViews>
  <sheetFormatPr defaultRowHeight="16.5" x14ac:dyDescent="0.25"/>
  <cols>
    <col min="1" max="1" width="9.75" style="50" bestFit="1" customWidth="1"/>
    <col min="2" max="3" width="13.25" style="51" bestFit="1" customWidth="1"/>
    <col min="4" max="4" width="13.25" style="51" customWidth="1"/>
    <col min="5" max="5" width="15.125" style="50" bestFit="1" customWidth="1"/>
    <col min="6" max="7" width="9" style="50"/>
    <col min="8" max="8" width="16.375" style="50" bestFit="1" customWidth="1"/>
    <col min="9" max="12" width="9" style="50"/>
    <col min="13" max="13" width="11.875" bestFit="1" customWidth="1"/>
  </cols>
  <sheetData>
    <row r="1" spans="1:21" ht="32.25" thickBot="1" x14ac:dyDescent="0.3">
      <c r="A1" s="52" t="s">
        <v>541</v>
      </c>
      <c r="B1" s="28" t="s">
        <v>525</v>
      </c>
      <c r="C1" s="29" t="s">
        <v>526</v>
      </c>
      <c r="D1" s="29" t="s">
        <v>527</v>
      </c>
      <c r="E1" s="30" t="s">
        <v>528</v>
      </c>
      <c r="F1" s="30" t="s">
        <v>529</v>
      </c>
      <c r="G1" s="30" t="s">
        <v>530</v>
      </c>
      <c r="H1" s="30" t="s">
        <v>531</v>
      </c>
      <c r="I1" s="30" t="s">
        <v>532</v>
      </c>
      <c r="J1" s="30" t="s">
        <v>533</v>
      </c>
      <c r="K1" s="30" t="s">
        <v>534</v>
      </c>
      <c r="L1" s="31" t="s">
        <v>535</v>
      </c>
      <c r="M1" s="32" t="s">
        <v>536</v>
      </c>
      <c r="N1" s="33" t="s">
        <v>537</v>
      </c>
      <c r="O1" s="34" t="s">
        <v>538</v>
      </c>
      <c r="P1" s="35"/>
      <c r="Q1" s="35"/>
      <c r="R1" s="35"/>
    </row>
    <row r="2" spans="1:21" x14ac:dyDescent="0.25">
      <c r="A2" s="36">
        <v>1</v>
      </c>
      <c r="B2" s="37">
        <v>42907</v>
      </c>
      <c r="C2" s="37">
        <v>43089</v>
      </c>
      <c r="D2" s="38">
        <f>C2-B2+1</f>
        <v>183</v>
      </c>
      <c r="E2" s="38">
        <v>123360</v>
      </c>
      <c r="F2" s="38">
        <v>4.8110999999999997</v>
      </c>
      <c r="G2" s="38">
        <v>123278</v>
      </c>
      <c r="H2" s="39">
        <f>F2*G2</f>
        <v>593102.78579999995</v>
      </c>
      <c r="I2" s="38">
        <f>H2/D2</f>
        <v>3240.9988295081966</v>
      </c>
      <c r="J2" s="38">
        <f>E2/D2</f>
        <v>674.09836065573768</v>
      </c>
      <c r="K2" s="38">
        <f>G2/D2</f>
        <v>673.65027322404376</v>
      </c>
      <c r="L2" s="38">
        <f>K2*F2</f>
        <v>3240.9988295081966</v>
      </c>
      <c r="M2" s="35"/>
      <c r="N2" s="35"/>
      <c r="O2" s="35"/>
      <c r="P2" s="35"/>
      <c r="Q2" s="35"/>
      <c r="R2" s="35"/>
      <c r="S2" s="35"/>
      <c r="T2" s="35"/>
    </row>
    <row r="3" spans="1:21" x14ac:dyDescent="0.25">
      <c r="A3" s="40">
        <v>2</v>
      </c>
      <c r="B3" s="41">
        <f t="shared" ref="B3:B14" si="0">C2+1</f>
        <v>43090</v>
      </c>
      <c r="C3" s="41">
        <v>43102</v>
      </c>
      <c r="D3" s="42">
        <f t="shared" ref="D3:D66" si="1">C3-B3+1</f>
        <v>13</v>
      </c>
      <c r="E3" s="42">
        <v>6800</v>
      </c>
      <c r="F3" s="42">
        <f>F2</f>
        <v>4.8110999999999997</v>
      </c>
      <c r="G3" s="42">
        <v>6795</v>
      </c>
      <c r="H3" s="43">
        <f t="shared" ref="H3:H66" si="2">F3*G3</f>
        <v>32691.424499999997</v>
      </c>
      <c r="I3" s="42">
        <f t="shared" ref="I3:I66" si="3">H3/D3</f>
        <v>2514.7249615384612</v>
      </c>
      <c r="J3" s="44">
        <f>E3/D3</f>
        <v>523.07692307692309</v>
      </c>
      <c r="K3" s="44">
        <f>G3/D3</f>
        <v>522.69230769230774</v>
      </c>
      <c r="L3" s="44">
        <f>K3*F3</f>
        <v>2514.7249615384617</v>
      </c>
      <c r="M3" s="35"/>
      <c r="N3" s="35"/>
      <c r="O3" s="35"/>
      <c r="P3" s="35"/>
      <c r="Q3" s="35"/>
      <c r="R3" s="35"/>
      <c r="S3" s="35"/>
      <c r="T3" s="35"/>
      <c r="U3" s="35"/>
    </row>
    <row r="4" spans="1:21" x14ac:dyDescent="0.25">
      <c r="A4" s="45">
        <v>3</v>
      </c>
      <c r="B4" s="46">
        <f t="shared" si="0"/>
        <v>43103</v>
      </c>
      <c r="C4" s="46">
        <v>43129</v>
      </c>
      <c r="D4" s="47">
        <f t="shared" si="1"/>
        <v>27</v>
      </c>
      <c r="E4" s="47">
        <v>12240</v>
      </c>
      <c r="F4" s="47">
        <f>F2</f>
        <v>4.8110999999999997</v>
      </c>
      <c r="G4" s="47">
        <v>12232</v>
      </c>
      <c r="H4" s="48">
        <f t="shared" si="2"/>
        <v>58849.375199999995</v>
      </c>
      <c r="I4" s="47">
        <f t="shared" si="3"/>
        <v>2179.6064888888886</v>
      </c>
      <c r="J4" s="38">
        <f t="shared" ref="J4:J67" si="4">E4/D4</f>
        <v>453.33333333333331</v>
      </c>
      <c r="K4" s="38">
        <f t="shared" ref="K4:K67" si="5">G4/D4</f>
        <v>453.03703703703701</v>
      </c>
      <c r="L4" s="38">
        <f t="shared" ref="L4:L67" si="6">K4*F4</f>
        <v>2179.6064888888886</v>
      </c>
      <c r="M4" s="35"/>
      <c r="N4" s="35"/>
      <c r="O4" s="35"/>
      <c r="P4" s="35"/>
      <c r="Q4" s="35"/>
      <c r="R4" s="35"/>
      <c r="S4" s="35"/>
      <c r="T4" s="35"/>
      <c r="U4" s="35"/>
    </row>
    <row r="5" spans="1:21" x14ac:dyDescent="0.25">
      <c r="A5" s="40">
        <v>4</v>
      </c>
      <c r="B5" s="41">
        <f t="shared" si="0"/>
        <v>43130</v>
      </c>
      <c r="C5" s="41">
        <v>43163</v>
      </c>
      <c r="D5" s="42">
        <f t="shared" si="1"/>
        <v>34</v>
      </c>
      <c r="E5" s="42">
        <v>27440</v>
      </c>
      <c r="F5" s="42">
        <f t="shared" ref="F5" si="7">F4</f>
        <v>4.8110999999999997</v>
      </c>
      <c r="G5" s="42">
        <v>27422</v>
      </c>
      <c r="H5" s="43">
        <f t="shared" si="2"/>
        <v>131929.98420000001</v>
      </c>
      <c r="I5" s="42">
        <f t="shared" si="3"/>
        <v>3880.2936529411768</v>
      </c>
      <c r="J5" s="44">
        <f t="shared" si="4"/>
        <v>807.05882352941171</v>
      </c>
      <c r="K5" s="44">
        <f t="shared" si="5"/>
        <v>806.52941176470586</v>
      </c>
      <c r="L5" s="44">
        <f t="shared" si="6"/>
        <v>3880.2936529411763</v>
      </c>
      <c r="M5" s="49"/>
      <c r="N5" s="35"/>
      <c r="O5" s="35"/>
      <c r="P5" s="35"/>
      <c r="Q5" s="35"/>
      <c r="R5" s="35"/>
      <c r="S5" s="35"/>
      <c r="T5" s="35"/>
      <c r="U5" s="35"/>
    </row>
    <row r="6" spans="1:21" x14ac:dyDescent="0.25">
      <c r="A6" s="45">
        <v>5</v>
      </c>
      <c r="B6" s="46">
        <f t="shared" si="0"/>
        <v>43164</v>
      </c>
      <c r="C6" s="46">
        <v>43191</v>
      </c>
      <c r="D6" s="47">
        <f t="shared" si="1"/>
        <v>28</v>
      </c>
      <c r="E6" s="47">
        <v>14960</v>
      </c>
      <c r="F6" s="47">
        <f t="shared" ref="F6" si="8">F4</f>
        <v>4.8110999999999997</v>
      </c>
      <c r="G6" s="47">
        <v>14950</v>
      </c>
      <c r="H6" s="48">
        <f t="shared" si="2"/>
        <v>71925.944999999992</v>
      </c>
      <c r="I6" s="47">
        <f t="shared" si="3"/>
        <v>2568.7837499999996</v>
      </c>
      <c r="J6" s="38">
        <f t="shared" si="4"/>
        <v>534.28571428571433</v>
      </c>
      <c r="K6" s="38">
        <f t="shared" si="5"/>
        <v>533.92857142857144</v>
      </c>
      <c r="L6" s="38">
        <f t="shared" si="6"/>
        <v>2568.7837500000001</v>
      </c>
      <c r="M6" s="35"/>
      <c r="N6" s="35"/>
      <c r="O6" s="35"/>
      <c r="P6" s="35"/>
      <c r="Q6" s="35"/>
      <c r="R6" s="35"/>
      <c r="S6" s="35"/>
      <c r="T6" s="35"/>
      <c r="U6" s="35"/>
    </row>
    <row r="7" spans="1:21" x14ac:dyDescent="0.25">
      <c r="A7" s="40">
        <v>6</v>
      </c>
      <c r="B7" s="41">
        <f t="shared" si="0"/>
        <v>43192</v>
      </c>
      <c r="C7" s="41">
        <v>43223</v>
      </c>
      <c r="D7" s="42">
        <f t="shared" si="1"/>
        <v>32</v>
      </c>
      <c r="E7" s="42">
        <v>25920</v>
      </c>
      <c r="F7" s="42">
        <f t="shared" ref="F7" si="9">F6</f>
        <v>4.8110999999999997</v>
      </c>
      <c r="G7" s="42">
        <v>25903</v>
      </c>
      <c r="H7" s="43">
        <f t="shared" si="2"/>
        <v>124621.92329999999</v>
      </c>
      <c r="I7" s="42">
        <f t="shared" si="3"/>
        <v>3894.4351031249998</v>
      </c>
      <c r="J7" s="44">
        <f t="shared" si="4"/>
        <v>810</v>
      </c>
      <c r="K7" s="44">
        <f t="shared" si="5"/>
        <v>809.46875</v>
      </c>
      <c r="L7" s="44">
        <f t="shared" si="6"/>
        <v>3894.4351031249998</v>
      </c>
      <c r="M7" s="35"/>
      <c r="N7" s="35"/>
      <c r="O7" s="35"/>
      <c r="P7" s="35"/>
      <c r="Q7" s="35"/>
      <c r="R7" s="35"/>
      <c r="S7" s="35"/>
      <c r="T7" s="35"/>
      <c r="U7" s="35"/>
    </row>
    <row r="8" spans="1:21" x14ac:dyDescent="0.25">
      <c r="A8" s="45">
        <v>7</v>
      </c>
      <c r="B8" s="46">
        <f t="shared" si="0"/>
        <v>43224</v>
      </c>
      <c r="C8" s="46">
        <v>43233</v>
      </c>
      <c r="D8" s="47">
        <f t="shared" si="1"/>
        <v>10</v>
      </c>
      <c r="E8" s="47">
        <v>7840</v>
      </c>
      <c r="F8" s="47">
        <f t="shared" ref="F8" si="10">F6</f>
        <v>4.8110999999999997</v>
      </c>
      <c r="G8" s="47">
        <v>7835</v>
      </c>
      <c r="H8" s="48">
        <f t="shared" si="2"/>
        <v>37694.968499999995</v>
      </c>
      <c r="I8" s="47">
        <f t="shared" si="3"/>
        <v>3769.4968499999995</v>
      </c>
      <c r="J8" s="38">
        <f t="shared" si="4"/>
        <v>784</v>
      </c>
      <c r="K8" s="38">
        <f t="shared" si="5"/>
        <v>783.5</v>
      </c>
      <c r="L8" s="38">
        <f t="shared" si="6"/>
        <v>3769.49685</v>
      </c>
      <c r="M8" s="35"/>
      <c r="N8" s="35"/>
      <c r="O8" s="35"/>
      <c r="P8" s="35"/>
      <c r="Q8" s="35"/>
      <c r="R8" s="35"/>
      <c r="S8" s="35"/>
      <c r="T8" s="35"/>
      <c r="U8" s="35"/>
    </row>
    <row r="9" spans="1:21" x14ac:dyDescent="0.25">
      <c r="A9" s="40">
        <v>8</v>
      </c>
      <c r="B9" s="41">
        <f t="shared" si="0"/>
        <v>43234</v>
      </c>
      <c r="C9" s="41">
        <v>43254</v>
      </c>
      <c r="D9" s="42">
        <f t="shared" si="1"/>
        <v>21</v>
      </c>
      <c r="E9" s="42">
        <v>16640</v>
      </c>
      <c r="F9" s="42">
        <f t="shared" ref="F9" si="11">F8</f>
        <v>4.8110999999999997</v>
      </c>
      <c r="G9" s="42">
        <v>16629</v>
      </c>
      <c r="H9" s="43">
        <f t="shared" si="2"/>
        <v>80003.781900000002</v>
      </c>
      <c r="I9" s="42">
        <f t="shared" si="3"/>
        <v>3809.7039</v>
      </c>
      <c r="J9" s="44">
        <f t="shared" si="4"/>
        <v>792.38095238095241</v>
      </c>
      <c r="K9" s="44">
        <f t="shared" si="5"/>
        <v>791.85714285714289</v>
      </c>
      <c r="L9" s="44">
        <f t="shared" si="6"/>
        <v>3809.7039</v>
      </c>
      <c r="M9" s="35"/>
      <c r="N9" s="35"/>
      <c r="O9" s="35"/>
      <c r="P9" s="35"/>
      <c r="Q9" s="35"/>
      <c r="R9" s="35"/>
      <c r="S9" s="35"/>
      <c r="T9" s="35"/>
      <c r="U9" s="35"/>
    </row>
    <row r="10" spans="1:21" x14ac:dyDescent="0.25">
      <c r="A10" s="45">
        <v>9</v>
      </c>
      <c r="B10" s="46">
        <f t="shared" si="0"/>
        <v>43255</v>
      </c>
      <c r="C10" s="46">
        <v>43284</v>
      </c>
      <c r="D10" s="47">
        <f t="shared" si="1"/>
        <v>30</v>
      </c>
      <c r="E10" s="47">
        <v>21280</v>
      </c>
      <c r="F10" s="47">
        <f t="shared" ref="F10" si="12">F8</f>
        <v>4.8110999999999997</v>
      </c>
      <c r="G10" s="47">
        <v>21266</v>
      </c>
      <c r="H10" s="48">
        <f t="shared" si="2"/>
        <v>102312.8526</v>
      </c>
      <c r="I10" s="47">
        <f t="shared" si="3"/>
        <v>3410.4284199999997</v>
      </c>
      <c r="J10" s="38">
        <f t="shared" si="4"/>
        <v>709.33333333333337</v>
      </c>
      <c r="K10" s="38">
        <f t="shared" si="5"/>
        <v>708.86666666666667</v>
      </c>
      <c r="L10" s="38">
        <f t="shared" si="6"/>
        <v>3410.4284199999997</v>
      </c>
      <c r="M10" s="35"/>
      <c r="N10" s="35"/>
      <c r="O10" s="35"/>
      <c r="P10" s="35"/>
      <c r="Q10" s="35"/>
      <c r="R10" s="35"/>
      <c r="S10" s="35"/>
      <c r="T10" s="35"/>
      <c r="U10" s="35"/>
    </row>
    <row r="11" spans="1:21" x14ac:dyDescent="0.25">
      <c r="A11" s="40">
        <v>10</v>
      </c>
      <c r="B11" s="41">
        <f t="shared" si="0"/>
        <v>43285</v>
      </c>
      <c r="C11" s="41"/>
      <c r="D11" s="42">
        <f t="shared" si="1"/>
        <v>-43284</v>
      </c>
      <c r="E11" s="42"/>
      <c r="F11" s="42">
        <f t="shared" ref="F11" si="13">F10</f>
        <v>4.8110999999999997</v>
      </c>
      <c r="G11" s="42"/>
      <c r="H11" s="43">
        <f t="shared" si="2"/>
        <v>0</v>
      </c>
      <c r="I11" s="42">
        <f t="shared" si="3"/>
        <v>0</v>
      </c>
      <c r="J11" s="44">
        <f t="shared" si="4"/>
        <v>0</v>
      </c>
      <c r="K11" s="44">
        <f t="shared" si="5"/>
        <v>0</v>
      </c>
      <c r="L11" s="44">
        <f t="shared" si="6"/>
        <v>0</v>
      </c>
      <c r="M11" s="35"/>
      <c r="N11" s="35"/>
      <c r="O11" s="35"/>
      <c r="P11" s="35"/>
      <c r="Q11" s="35"/>
      <c r="R11" s="35"/>
      <c r="S11" s="35"/>
      <c r="T11" s="35"/>
      <c r="U11" s="35"/>
    </row>
    <row r="12" spans="1:21" x14ac:dyDescent="0.25">
      <c r="A12" s="45">
        <v>11</v>
      </c>
      <c r="B12" s="46">
        <f t="shared" si="0"/>
        <v>1</v>
      </c>
      <c r="C12" s="46"/>
      <c r="D12" s="47">
        <f t="shared" si="1"/>
        <v>0</v>
      </c>
      <c r="E12" s="47"/>
      <c r="F12" s="47">
        <f t="shared" ref="F12" si="14">F10</f>
        <v>4.8110999999999997</v>
      </c>
      <c r="G12" s="47"/>
      <c r="H12" s="48">
        <f t="shared" si="2"/>
        <v>0</v>
      </c>
      <c r="I12" s="47" t="e">
        <f t="shared" si="3"/>
        <v>#DIV/0!</v>
      </c>
      <c r="J12" s="38" t="e">
        <f t="shared" si="4"/>
        <v>#DIV/0!</v>
      </c>
      <c r="K12" s="38" t="e">
        <f t="shared" si="5"/>
        <v>#DIV/0!</v>
      </c>
      <c r="L12" s="38" t="e">
        <f t="shared" si="6"/>
        <v>#DIV/0!</v>
      </c>
      <c r="M12" s="35"/>
      <c r="N12" s="35"/>
      <c r="O12" s="35"/>
      <c r="P12" s="35"/>
      <c r="Q12" s="35"/>
      <c r="R12" s="35"/>
      <c r="S12" s="35"/>
      <c r="T12" s="35"/>
      <c r="U12" s="35"/>
    </row>
    <row r="13" spans="1:21" x14ac:dyDescent="0.25">
      <c r="A13" s="40">
        <v>12</v>
      </c>
      <c r="B13" s="41">
        <f t="shared" si="0"/>
        <v>1</v>
      </c>
      <c r="C13" s="41"/>
      <c r="D13" s="42">
        <f t="shared" si="1"/>
        <v>0</v>
      </c>
      <c r="E13" s="42"/>
      <c r="F13" s="42">
        <f t="shared" ref="F13" si="15">F12</f>
        <v>4.8110999999999997</v>
      </c>
      <c r="G13" s="42"/>
      <c r="H13" s="43">
        <f t="shared" si="2"/>
        <v>0</v>
      </c>
      <c r="I13" s="42" t="e">
        <f t="shared" si="3"/>
        <v>#DIV/0!</v>
      </c>
      <c r="J13" s="44" t="e">
        <f t="shared" si="4"/>
        <v>#DIV/0!</v>
      </c>
      <c r="K13" s="44" t="e">
        <f t="shared" si="5"/>
        <v>#DIV/0!</v>
      </c>
      <c r="L13" s="44" t="e">
        <f t="shared" si="6"/>
        <v>#DIV/0!</v>
      </c>
      <c r="M13" s="35"/>
      <c r="N13" s="35"/>
      <c r="O13" s="35"/>
      <c r="P13" s="35"/>
      <c r="Q13" s="35"/>
      <c r="R13" s="35"/>
      <c r="S13" s="35"/>
      <c r="T13" s="35"/>
      <c r="U13" s="35"/>
    </row>
    <row r="14" spans="1:21" x14ac:dyDescent="0.25">
      <c r="A14" s="45">
        <v>13</v>
      </c>
      <c r="B14" s="46">
        <f t="shared" si="0"/>
        <v>1</v>
      </c>
      <c r="C14" s="46"/>
      <c r="D14" s="47">
        <f t="shared" si="1"/>
        <v>0</v>
      </c>
      <c r="E14" s="47"/>
      <c r="F14" s="47">
        <f t="shared" ref="F14" si="16">F12</f>
        <v>4.8110999999999997</v>
      </c>
      <c r="G14" s="47"/>
      <c r="H14" s="48">
        <f t="shared" si="2"/>
        <v>0</v>
      </c>
      <c r="I14" s="47" t="e">
        <f t="shared" si="3"/>
        <v>#DIV/0!</v>
      </c>
      <c r="J14" s="38" t="e">
        <f t="shared" si="4"/>
        <v>#DIV/0!</v>
      </c>
      <c r="K14" s="38" t="e">
        <f t="shared" si="5"/>
        <v>#DIV/0!</v>
      </c>
      <c r="L14" s="38" t="e">
        <f t="shared" si="6"/>
        <v>#DIV/0!</v>
      </c>
      <c r="M14" s="35"/>
      <c r="N14" s="35"/>
      <c r="O14" s="35"/>
      <c r="P14" s="35"/>
      <c r="Q14" s="35"/>
      <c r="R14" s="35"/>
      <c r="S14" s="35"/>
      <c r="T14" s="35"/>
      <c r="U14" s="35"/>
    </row>
    <row r="15" spans="1:21" x14ac:dyDescent="0.25">
      <c r="A15" s="40">
        <v>14</v>
      </c>
      <c r="B15" s="41">
        <f>C14+1</f>
        <v>1</v>
      </c>
      <c r="C15" s="41"/>
      <c r="D15" s="42">
        <f t="shared" si="1"/>
        <v>0</v>
      </c>
      <c r="E15" s="42"/>
      <c r="F15" s="42">
        <f t="shared" ref="F15" si="17">F14</f>
        <v>4.8110999999999997</v>
      </c>
      <c r="G15" s="42"/>
      <c r="H15" s="43">
        <f t="shared" si="2"/>
        <v>0</v>
      </c>
      <c r="I15" s="42" t="e">
        <f t="shared" si="3"/>
        <v>#DIV/0!</v>
      </c>
      <c r="J15" s="44" t="e">
        <f t="shared" si="4"/>
        <v>#DIV/0!</v>
      </c>
      <c r="K15" s="44" t="e">
        <f t="shared" si="5"/>
        <v>#DIV/0!</v>
      </c>
      <c r="L15" s="44" t="e">
        <f t="shared" si="6"/>
        <v>#DIV/0!</v>
      </c>
      <c r="M15" s="35"/>
      <c r="N15" s="35"/>
      <c r="O15" s="35"/>
      <c r="P15" s="35"/>
      <c r="Q15" s="35"/>
      <c r="R15" s="35"/>
      <c r="S15" s="35"/>
      <c r="T15" s="35"/>
      <c r="U15" s="35"/>
    </row>
    <row r="16" spans="1:21" x14ac:dyDescent="0.25">
      <c r="A16" s="45">
        <v>15</v>
      </c>
      <c r="B16" s="46">
        <f t="shared" ref="B16:B77" si="18">C15+1</f>
        <v>1</v>
      </c>
      <c r="C16" s="46"/>
      <c r="D16" s="47">
        <f t="shared" si="1"/>
        <v>0</v>
      </c>
      <c r="E16" s="47"/>
      <c r="F16" s="47">
        <f t="shared" ref="F16" si="19">F14</f>
        <v>4.8110999999999997</v>
      </c>
      <c r="G16" s="47"/>
      <c r="H16" s="48">
        <f t="shared" si="2"/>
        <v>0</v>
      </c>
      <c r="I16" s="47" t="e">
        <f t="shared" si="3"/>
        <v>#DIV/0!</v>
      </c>
      <c r="J16" s="38" t="e">
        <f t="shared" si="4"/>
        <v>#DIV/0!</v>
      </c>
      <c r="K16" s="38" t="e">
        <f t="shared" si="5"/>
        <v>#DIV/0!</v>
      </c>
      <c r="L16" s="38" t="e">
        <f t="shared" si="6"/>
        <v>#DIV/0!</v>
      </c>
      <c r="M16" s="35"/>
      <c r="N16" s="35"/>
      <c r="O16" s="35"/>
      <c r="P16" s="35"/>
      <c r="Q16" s="35"/>
      <c r="R16" s="35"/>
      <c r="S16" s="35"/>
      <c r="T16" s="35"/>
      <c r="U16" s="35"/>
    </row>
    <row r="17" spans="1:21" x14ac:dyDescent="0.25">
      <c r="A17" s="40">
        <v>16</v>
      </c>
      <c r="B17" s="41">
        <f t="shared" si="18"/>
        <v>1</v>
      </c>
      <c r="C17" s="41"/>
      <c r="D17" s="42">
        <f t="shared" si="1"/>
        <v>0</v>
      </c>
      <c r="E17" s="42"/>
      <c r="F17" s="42">
        <f t="shared" ref="F17" si="20">F16</f>
        <v>4.8110999999999997</v>
      </c>
      <c r="G17" s="42"/>
      <c r="H17" s="43">
        <f t="shared" si="2"/>
        <v>0</v>
      </c>
      <c r="I17" s="42" t="e">
        <f t="shared" si="3"/>
        <v>#DIV/0!</v>
      </c>
      <c r="J17" s="44" t="e">
        <f t="shared" si="4"/>
        <v>#DIV/0!</v>
      </c>
      <c r="K17" s="44" t="e">
        <f t="shared" si="5"/>
        <v>#DIV/0!</v>
      </c>
      <c r="L17" s="44" t="e">
        <f t="shared" si="6"/>
        <v>#DIV/0!</v>
      </c>
      <c r="M17" s="35"/>
      <c r="N17" s="35"/>
      <c r="O17" s="35"/>
      <c r="P17" s="35"/>
      <c r="Q17" s="35"/>
      <c r="R17" s="35"/>
      <c r="S17" s="35"/>
      <c r="T17" s="35"/>
      <c r="U17" s="35"/>
    </row>
    <row r="18" spans="1:21" x14ac:dyDescent="0.25">
      <c r="A18" s="45">
        <v>17</v>
      </c>
      <c r="B18" s="46">
        <f t="shared" si="18"/>
        <v>1</v>
      </c>
      <c r="C18" s="46"/>
      <c r="D18" s="47">
        <f t="shared" si="1"/>
        <v>0</v>
      </c>
      <c r="E18" s="47"/>
      <c r="F18" s="47">
        <f t="shared" ref="F18" si="21">F16</f>
        <v>4.8110999999999997</v>
      </c>
      <c r="G18" s="47"/>
      <c r="H18" s="48">
        <f t="shared" si="2"/>
        <v>0</v>
      </c>
      <c r="I18" s="47" t="e">
        <f t="shared" si="3"/>
        <v>#DIV/0!</v>
      </c>
      <c r="J18" s="38" t="e">
        <f t="shared" si="4"/>
        <v>#DIV/0!</v>
      </c>
      <c r="K18" s="38" t="e">
        <f t="shared" si="5"/>
        <v>#DIV/0!</v>
      </c>
      <c r="L18" s="38" t="e">
        <f t="shared" si="6"/>
        <v>#DIV/0!</v>
      </c>
      <c r="M18" s="35"/>
      <c r="N18" s="35"/>
      <c r="O18" s="35"/>
      <c r="P18" s="35"/>
      <c r="Q18" s="35"/>
      <c r="R18" s="35"/>
      <c r="S18" s="35"/>
      <c r="T18" s="35"/>
      <c r="U18" s="35"/>
    </row>
    <row r="19" spans="1:21" x14ac:dyDescent="0.25">
      <c r="A19" s="40">
        <v>18</v>
      </c>
      <c r="B19" s="41">
        <f t="shared" si="18"/>
        <v>1</v>
      </c>
      <c r="C19" s="41"/>
      <c r="D19" s="42">
        <f t="shared" si="1"/>
        <v>0</v>
      </c>
      <c r="E19" s="42"/>
      <c r="F19" s="42">
        <f t="shared" ref="F19" si="22">F18</f>
        <v>4.8110999999999997</v>
      </c>
      <c r="G19" s="42"/>
      <c r="H19" s="43">
        <f t="shared" si="2"/>
        <v>0</v>
      </c>
      <c r="I19" s="42" t="e">
        <f t="shared" si="3"/>
        <v>#DIV/0!</v>
      </c>
      <c r="J19" s="44" t="e">
        <f t="shared" si="4"/>
        <v>#DIV/0!</v>
      </c>
      <c r="K19" s="44" t="e">
        <f t="shared" si="5"/>
        <v>#DIV/0!</v>
      </c>
      <c r="L19" s="44" t="e">
        <f t="shared" si="6"/>
        <v>#DIV/0!</v>
      </c>
      <c r="M19" s="35"/>
      <c r="N19" s="35"/>
      <c r="O19" s="35"/>
      <c r="P19" s="35"/>
      <c r="Q19" s="35"/>
      <c r="R19" s="35"/>
      <c r="S19" s="35"/>
      <c r="T19" s="35"/>
      <c r="U19" s="35"/>
    </row>
    <row r="20" spans="1:21" x14ac:dyDescent="0.25">
      <c r="A20" s="45">
        <v>19</v>
      </c>
      <c r="B20" s="46">
        <f t="shared" si="18"/>
        <v>1</v>
      </c>
      <c r="C20" s="46"/>
      <c r="D20" s="47">
        <f t="shared" si="1"/>
        <v>0</v>
      </c>
      <c r="E20" s="47"/>
      <c r="F20" s="47">
        <f t="shared" ref="F20" si="23">F18</f>
        <v>4.8110999999999997</v>
      </c>
      <c r="G20" s="47"/>
      <c r="H20" s="48">
        <f t="shared" si="2"/>
        <v>0</v>
      </c>
      <c r="I20" s="47" t="e">
        <f t="shared" si="3"/>
        <v>#DIV/0!</v>
      </c>
      <c r="J20" s="38" t="e">
        <f t="shared" si="4"/>
        <v>#DIV/0!</v>
      </c>
      <c r="K20" s="38" t="e">
        <f t="shared" si="5"/>
        <v>#DIV/0!</v>
      </c>
      <c r="L20" s="38" t="e">
        <f t="shared" si="6"/>
        <v>#DIV/0!</v>
      </c>
      <c r="M20" s="35"/>
      <c r="N20" s="35"/>
      <c r="O20" s="35"/>
      <c r="P20" s="35"/>
      <c r="Q20" s="35"/>
      <c r="R20" s="35"/>
      <c r="S20" s="35"/>
      <c r="T20" s="35"/>
      <c r="U20" s="35"/>
    </row>
    <row r="21" spans="1:21" x14ac:dyDescent="0.25">
      <c r="A21" s="40">
        <v>20</v>
      </c>
      <c r="B21" s="41">
        <f t="shared" si="18"/>
        <v>1</v>
      </c>
      <c r="C21" s="41"/>
      <c r="D21" s="42">
        <f t="shared" si="1"/>
        <v>0</v>
      </c>
      <c r="E21" s="42"/>
      <c r="F21" s="42">
        <f t="shared" ref="F21" si="24">F20</f>
        <v>4.8110999999999997</v>
      </c>
      <c r="G21" s="42"/>
      <c r="H21" s="43">
        <f t="shared" si="2"/>
        <v>0</v>
      </c>
      <c r="I21" s="42" t="e">
        <f t="shared" si="3"/>
        <v>#DIV/0!</v>
      </c>
      <c r="J21" s="44" t="e">
        <f t="shared" si="4"/>
        <v>#DIV/0!</v>
      </c>
      <c r="K21" s="44" t="e">
        <f t="shared" si="5"/>
        <v>#DIV/0!</v>
      </c>
      <c r="L21" s="44" t="e">
        <f t="shared" si="6"/>
        <v>#DIV/0!</v>
      </c>
      <c r="M21" s="35"/>
      <c r="N21" s="35"/>
      <c r="O21" s="35"/>
      <c r="P21" s="35"/>
      <c r="Q21" s="35"/>
      <c r="R21" s="35"/>
      <c r="S21" s="35"/>
      <c r="T21" s="35"/>
      <c r="U21" s="35"/>
    </row>
    <row r="22" spans="1:21" x14ac:dyDescent="0.25">
      <c r="A22" s="45">
        <v>21</v>
      </c>
      <c r="B22" s="46">
        <f t="shared" si="18"/>
        <v>1</v>
      </c>
      <c r="C22" s="46"/>
      <c r="D22" s="47">
        <f t="shared" si="1"/>
        <v>0</v>
      </c>
      <c r="E22" s="47"/>
      <c r="F22" s="47">
        <f t="shared" ref="F22" si="25">F20</f>
        <v>4.8110999999999997</v>
      </c>
      <c r="G22" s="47"/>
      <c r="H22" s="48">
        <f t="shared" si="2"/>
        <v>0</v>
      </c>
      <c r="I22" s="47" t="e">
        <f t="shared" si="3"/>
        <v>#DIV/0!</v>
      </c>
      <c r="J22" s="38" t="e">
        <f t="shared" si="4"/>
        <v>#DIV/0!</v>
      </c>
      <c r="K22" s="38" t="e">
        <f t="shared" si="5"/>
        <v>#DIV/0!</v>
      </c>
      <c r="L22" s="38" t="e">
        <f t="shared" si="6"/>
        <v>#DIV/0!</v>
      </c>
      <c r="M22" s="35"/>
      <c r="N22" s="35"/>
      <c r="O22" s="35"/>
      <c r="P22" s="35"/>
      <c r="Q22" s="35"/>
      <c r="R22" s="35"/>
      <c r="S22" s="35"/>
      <c r="T22" s="35"/>
      <c r="U22" s="35"/>
    </row>
    <row r="23" spans="1:21" x14ac:dyDescent="0.25">
      <c r="A23" s="40">
        <v>22</v>
      </c>
      <c r="B23" s="41">
        <f t="shared" si="18"/>
        <v>1</v>
      </c>
      <c r="C23" s="41"/>
      <c r="D23" s="42">
        <f t="shared" si="1"/>
        <v>0</v>
      </c>
      <c r="E23" s="42"/>
      <c r="F23" s="42">
        <f t="shared" ref="F23" si="26">F22</f>
        <v>4.8110999999999997</v>
      </c>
      <c r="G23" s="42"/>
      <c r="H23" s="43">
        <f t="shared" si="2"/>
        <v>0</v>
      </c>
      <c r="I23" s="42" t="e">
        <f t="shared" si="3"/>
        <v>#DIV/0!</v>
      </c>
      <c r="J23" s="44" t="e">
        <f t="shared" si="4"/>
        <v>#DIV/0!</v>
      </c>
      <c r="K23" s="44" t="e">
        <f t="shared" si="5"/>
        <v>#DIV/0!</v>
      </c>
      <c r="L23" s="44" t="e">
        <f t="shared" si="6"/>
        <v>#DIV/0!</v>
      </c>
      <c r="M23" s="35"/>
      <c r="N23" s="35"/>
      <c r="O23" s="35"/>
      <c r="P23" s="35"/>
      <c r="Q23" s="35"/>
      <c r="R23" s="35"/>
      <c r="S23" s="35"/>
      <c r="T23" s="35"/>
      <c r="U23" s="35"/>
    </row>
    <row r="24" spans="1:21" x14ac:dyDescent="0.25">
      <c r="A24" s="45">
        <v>23</v>
      </c>
      <c r="B24" s="46">
        <f t="shared" si="18"/>
        <v>1</v>
      </c>
      <c r="C24" s="46"/>
      <c r="D24" s="47">
        <f t="shared" si="1"/>
        <v>0</v>
      </c>
      <c r="E24" s="47"/>
      <c r="F24" s="47">
        <f t="shared" ref="F24" si="27">F22</f>
        <v>4.8110999999999997</v>
      </c>
      <c r="G24" s="47"/>
      <c r="H24" s="48">
        <f t="shared" si="2"/>
        <v>0</v>
      </c>
      <c r="I24" s="47" t="e">
        <f t="shared" si="3"/>
        <v>#DIV/0!</v>
      </c>
      <c r="J24" s="38" t="e">
        <f t="shared" si="4"/>
        <v>#DIV/0!</v>
      </c>
      <c r="K24" s="38" t="e">
        <f t="shared" si="5"/>
        <v>#DIV/0!</v>
      </c>
      <c r="L24" s="38" t="e">
        <f t="shared" si="6"/>
        <v>#DIV/0!</v>
      </c>
      <c r="M24" s="35"/>
      <c r="N24" s="35"/>
      <c r="O24" s="35"/>
      <c r="P24" s="35"/>
      <c r="Q24" s="35"/>
      <c r="R24" s="35"/>
      <c r="S24" s="35"/>
      <c r="T24" s="35"/>
      <c r="U24" s="35"/>
    </row>
    <row r="25" spans="1:21" x14ac:dyDescent="0.25">
      <c r="A25" s="40">
        <v>24</v>
      </c>
      <c r="B25" s="41">
        <f t="shared" si="18"/>
        <v>1</v>
      </c>
      <c r="C25" s="41"/>
      <c r="D25" s="42">
        <f t="shared" si="1"/>
        <v>0</v>
      </c>
      <c r="E25" s="42"/>
      <c r="F25" s="42">
        <f t="shared" ref="F25" si="28">F24</f>
        <v>4.8110999999999997</v>
      </c>
      <c r="G25" s="42"/>
      <c r="H25" s="43">
        <f t="shared" si="2"/>
        <v>0</v>
      </c>
      <c r="I25" s="42" t="e">
        <f t="shared" si="3"/>
        <v>#DIV/0!</v>
      </c>
      <c r="J25" s="44" t="e">
        <f t="shared" si="4"/>
        <v>#DIV/0!</v>
      </c>
      <c r="K25" s="44" t="e">
        <f t="shared" si="5"/>
        <v>#DIV/0!</v>
      </c>
      <c r="L25" s="44" t="e">
        <f t="shared" si="6"/>
        <v>#DIV/0!</v>
      </c>
      <c r="M25" s="35"/>
      <c r="N25" s="35"/>
      <c r="O25" s="35"/>
      <c r="P25" s="35"/>
      <c r="Q25" s="35"/>
      <c r="R25" s="35"/>
      <c r="S25" s="35"/>
      <c r="T25" s="35"/>
      <c r="U25" s="35"/>
    </row>
    <row r="26" spans="1:21" x14ac:dyDescent="0.25">
      <c r="A26" s="45">
        <v>25</v>
      </c>
      <c r="B26" s="46">
        <f t="shared" si="18"/>
        <v>1</v>
      </c>
      <c r="C26" s="46"/>
      <c r="D26" s="47">
        <f t="shared" si="1"/>
        <v>0</v>
      </c>
      <c r="E26" s="47"/>
      <c r="F26" s="47">
        <f t="shared" ref="F26" si="29">F24</f>
        <v>4.8110999999999997</v>
      </c>
      <c r="G26" s="47"/>
      <c r="H26" s="48">
        <f t="shared" si="2"/>
        <v>0</v>
      </c>
      <c r="I26" s="47" t="e">
        <f t="shared" si="3"/>
        <v>#DIV/0!</v>
      </c>
      <c r="J26" s="38" t="e">
        <f t="shared" si="4"/>
        <v>#DIV/0!</v>
      </c>
      <c r="K26" s="38" t="e">
        <f t="shared" si="5"/>
        <v>#DIV/0!</v>
      </c>
      <c r="L26" s="38" t="e">
        <f t="shared" si="6"/>
        <v>#DIV/0!</v>
      </c>
      <c r="M26" s="35"/>
      <c r="N26" s="35"/>
      <c r="O26" s="35"/>
      <c r="P26" s="35"/>
      <c r="Q26" s="35"/>
      <c r="R26" s="35"/>
      <c r="S26" s="35"/>
      <c r="T26" s="35"/>
      <c r="U26" s="35"/>
    </row>
    <row r="27" spans="1:21" x14ac:dyDescent="0.25">
      <c r="A27" s="40">
        <v>26</v>
      </c>
      <c r="B27" s="41">
        <f t="shared" si="18"/>
        <v>1</v>
      </c>
      <c r="C27" s="41"/>
      <c r="D27" s="42">
        <f t="shared" si="1"/>
        <v>0</v>
      </c>
      <c r="E27" s="42"/>
      <c r="F27" s="42">
        <f t="shared" ref="F27" si="30">F26</f>
        <v>4.8110999999999997</v>
      </c>
      <c r="G27" s="42"/>
      <c r="H27" s="43">
        <f t="shared" si="2"/>
        <v>0</v>
      </c>
      <c r="I27" s="42" t="e">
        <f t="shared" si="3"/>
        <v>#DIV/0!</v>
      </c>
      <c r="J27" s="44" t="e">
        <f t="shared" si="4"/>
        <v>#DIV/0!</v>
      </c>
      <c r="K27" s="44" t="e">
        <f t="shared" si="5"/>
        <v>#DIV/0!</v>
      </c>
      <c r="L27" s="44" t="e">
        <f t="shared" si="6"/>
        <v>#DIV/0!</v>
      </c>
      <c r="M27" s="35"/>
      <c r="N27" s="35"/>
      <c r="O27" s="35"/>
      <c r="P27" s="35"/>
      <c r="Q27" s="35"/>
      <c r="R27" s="35"/>
      <c r="S27" s="35"/>
      <c r="T27" s="35"/>
      <c r="U27" s="35"/>
    </row>
    <row r="28" spans="1:21" x14ac:dyDescent="0.25">
      <c r="A28" s="45">
        <v>27</v>
      </c>
      <c r="B28" s="46">
        <f t="shared" si="18"/>
        <v>1</v>
      </c>
      <c r="C28" s="46"/>
      <c r="D28" s="47">
        <f t="shared" si="1"/>
        <v>0</v>
      </c>
      <c r="E28" s="47"/>
      <c r="F28" s="47">
        <f t="shared" ref="F28" si="31">F26</f>
        <v>4.8110999999999997</v>
      </c>
      <c r="G28" s="47"/>
      <c r="H28" s="48">
        <f t="shared" si="2"/>
        <v>0</v>
      </c>
      <c r="I28" s="47" t="e">
        <f t="shared" si="3"/>
        <v>#DIV/0!</v>
      </c>
      <c r="J28" s="38" t="e">
        <f t="shared" si="4"/>
        <v>#DIV/0!</v>
      </c>
      <c r="K28" s="38" t="e">
        <f t="shared" si="5"/>
        <v>#DIV/0!</v>
      </c>
      <c r="L28" s="38" t="e">
        <f t="shared" si="6"/>
        <v>#DIV/0!</v>
      </c>
      <c r="M28" s="35"/>
      <c r="N28" s="35"/>
      <c r="O28" s="35"/>
      <c r="P28" s="35"/>
      <c r="Q28" s="35"/>
      <c r="R28" s="35"/>
      <c r="S28" s="35"/>
      <c r="T28" s="35"/>
      <c r="U28" s="35"/>
    </row>
    <row r="29" spans="1:21" x14ac:dyDescent="0.25">
      <c r="A29" s="40">
        <v>28</v>
      </c>
      <c r="B29" s="41">
        <f t="shared" si="18"/>
        <v>1</v>
      </c>
      <c r="C29" s="41"/>
      <c r="D29" s="42">
        <f t="shared" si="1"/>
        <v>0</v>
      </c>
      <c r="E29" s="42"/>
      <c r="F29" s="42">
        <f t="shared" ref="F29" si="32">F28</f>
        <v>4.8110999999999997</v>
      </c>
      <c r="G29" s="42"/>
      <c r="H29" s="43">
        <f t="shared" si="2"/>
        <v>0</v>
      </c>
      <c r="I29" s="42" t="e">
        <f t="shared" si="3"/>
        <v>#DIV/0!</v>
      </c>
      <c r="J29" s="44" t="e">
        <f t="shared" si="4"/>
        <v>#DIV/0!</v>
      </c>
      <c r="K29" s="44" t="e">
        <f t="shared" si="5"/>
        <v>#DIV/0!</v>
      </c>
      <c r="L29" s="44" t="e">
        <f t="shared" si="6"/>
        <v>#DIV/0!</v>
      </c>
      <c r="M29" s="35"/>
      <c r="N29" s="35"/>
      <c r="O29" s="35"/>
      <c r="P29" s="35"/>
      <c r="Q29" s="35"/>
      <c r="R29" s="35"/>
      <c r="S29" s="35"/>
      <c r="T29" s="35"/>
      <c r="U29" s="35"/>
    </row>
    <row r="30" spans="1:21" x14ac:dyDescent="0.25">
      <c r="A30" s="45">
        <v>29</v>
      </c>
      <c r="B30" s="46">
        <f t="shared" si="18"/>
        <v>1</v>
      </c>
      <c r="C30" s="46"/>
      <c r="D30" s="47">
        <f t="shared" si="1"/>
        <v>0</v>
      </c>
      <c r="E30" s="47"/>
      <c r="F30" s="47">
        <f t="shared" ref="F30" si="33">F28</f>
        <v>4.8110999999999997</v>
      </c>
      <c r="G30" s="47"/>
      <c r="H30" s="48">
        <f t="shared" si="2"/>
        <v>0</v>
      </c>
      <c r="I30" s="47" t="e">
        <f t="shared" si="3"/>
        <v>#DIV/0!</v>
      </c>
      <c r="J30" s="38" t="e">
        <f t="shared" si="4"/>
        <v>#DIV/0!</v>
      </c>
      <c r="K30" s="38" t="e">
        <f t="shared" si="5"/>
        <v>#DIV/0!</v>
      </c>
      <c r="L30" s="38" t="e">
        <f t="shared" si="6"/>
        <v>#DIV/0!</v>
      </c>
      <c r="M30" s="35"/>
      <c r="N30" s="35"/>
      <c r="O30" s="35"/>
      <c r="P30" s="35"/>
      <c r="Q30" s="35"/>
      <c r="R30" s="35"/>
      <c r="S30" s="35"/>
      <c r="T30" s="35"/>
      <c r="U30" s="35"/>
    </row>
    <row r="31" spans="1:21" x14ac:dyDescent="0.25">
      <c r="A31" s="40">
        <v>30</v>
      </c>
      <c r="B31" s="41">
        <f t="shared" si="18"/>
        <v>1</v>
      </c>
      <c r="C31" s="41"/>
      <c r="D31" s="42">
        <f t="shared" si="1"/>
        <v>0</v>
      </c>
      <c r="E31" s="42"/>
      <c r="F31" s="42">
        <f t="shared" ref="F31" si="34">F30</f>
        <v>4.8110999999999997</v>
      </c>
      <c r="G31" s="42"/>
      <c r="H31" s="43">
        <f t="shared" si="2"/>
        <v>0</v>
      </c>
      <c r="I31" s="42" t="e">
        <f t="shared" si="3"/>
        <v>#DIV/0!</v>
      </c>
      <c r="J31" s="44" t="e">
        <f t="shared" si="4"/>
        <v>#DIV/0!</v>
      </c>
      <c r="K31" s="44" t="e">
        <f t="shared" si="5"/>
        <v>#DIV/0!</v>
      </c>
      <c r="L31" s="44" t="e">
        <f t="shared" si="6"/>
        <v>#DIV/0!</v>
      </c>
      <c r="M31" s="35"/>
      <c r="N31" s="35"/>
      <c r="O31" s="35"/>
      <c r="P31" s="35"/>
      <c r="Q31" s="35"/>
      <c r="R31" s="35"/>
      <c r="S31" s="35"/>
      <c r="T31" s="35"/>
      <c r="U31" s="35"/>
    </row>
    <row r="32" spans="1:21" x14ac:dyDescent="0.25">
      <c r="A32" s="45">
        <v>31</v>
      </c>
      <c r="B32" s="46">
        <f t="shared" si="18"/>
        <v>1</v>
      </c>
      <c r="C32" s="46"/>
      <c r="D32" s="47">
        <f t="shared" si="1"/>
        <v>0</v>
      </c>
      <c r="E32" s="47"/>
      <c r="F32" s="47">
        <f t="shared" ref="F32" si="35">F30</f>
        <v>4.8110999999999997</v>
      </c>
      <c r="G32" s="47"/>
      <c r="H32" s="48">
        <f t="shared" si="2"/>
        <v>0</v>
      </c>
      <c r="I32" s="47" t="e">
        <f t="shared" si="3"/>
        <v>#DIV/0!</v>
      </c>
      <c r="J32" s="38" t="e">
        <f t="shared" si="4"/>
        <v>#DIV/0!</v>
      </c>
      <c r="K32" s="38" t="e">
        <f t="shared" si="5"/>
        <v>#DIV/0!</v>
      </c>
      <c r="L32" s="38" t="e">
        <f t="shared" si="6"/>
        <v>#DIV/0!</v>
      </c>
      <c r="M32" s="35"/>
      <c r="N32" s="35"/>
      <c r="O32" s="35"/>
      <c r="P32" s="35"/>
      <c r="Q32" s="35"/>
      <c r="R32" s="35"/>
      <c r="S32" s="35"/>
      <c r="T32" s="35"/>
      <c r="U32" s="35"/>
    </row>
    <row r="33" spans="1:21" x14ac:dyDescent="0.25">
      <c r="A33" s="40">
        <v>32</v>
      </c>
      <c r="B33" s="41">
        <f t="shared" si="18"/>
        <v>1</v>
      </c>
      <c r="C33" s="41"/>
      <c r="D33" s="42">
        <f t="shared" si="1"/>
        <v>0</v>
      </c>
      <c r="E33" s="42"/>
      <c r="F33" s="42">
        <f t="shared" ref="F33" si="36">F32</f>
        <v>4.8110999999999997</v>
      </c>
      <c r="G33" s="42"/>
      <c r="H33" s="43">
        <f t="shared" si="2"/>
        <v>0</v>
      </c>
      <c r="I33" s="42" t="e">
        <f t="shared" si="3"/>
        <v>#DIV/0!</v>
      </c>
      <c r="J33" s="44" t="e">
        <f t="shared" si="4"/>
        <v>#DIV/0!</v>
      </c>
      <c r="K33" s="44" t="e">
        <f t="shared" si="5"/>
        <v>#DIV/0!</v>
      </c>
      <c r="L33" s="44" t="e">
        <f t="shared" si="6"/>
        <v>#DIV/0!</v>
      </c>
      <c r="M33" s="35"/>
      <c r="N33" s="35"/>
      <c r="O33" s="35"/>
      <c r="P33" s="35"/>
      <c r="Q33" s="35"/>
      <c r="R33" s="35"/>
      <c r="S33" s="35"/>
      <c r="T33" s="35"/>
      <c r="U33" s="35"/>
    </row>
    <row r="34" spans="1:21" x14ac:dyDescent="0.25">
      <c r="A34" s="45">
        <v>33</v>
      </c>
      <c r="B34" s="46">
        <f t="shared" si="18"/>
        <v>1</v>
      </c>
      <c r="C34" s="46"/>
      <c r="D34" s="47">
        <f t="shared" si="1"/>
        <v>0</v>
      </c>
      <c r="E34" s="47"/>
      <c r="F34" s="47">
        <f t="shared" ref="F34" si="37">F32</f>
        <v>4.8110999999999997</v>
      </c>
      <c r="G34" s="47"/>
      <c r="H34" s="48">
        <f t="shared" si="2"/>
        <v>0</v>
      </c>
      <c r="I34" s="47" t="e">
        <f t="shared" si="3"/>
        <v>#DIV/0!</v>
      </c>
      <c r="J34" s="38" t="e">
        <f t="shared" si="4"/>
        <v>#DIV/0!</v>
      </c>
      <c r="K34" s="38" t="e">
        <f t="shared" si="5"/>
        <v>#DIV/0!</v>
      </c>
      <c r="L34" s="38" t="e">
        <f t="shared" si="6"/>
        <v>#DIV/0!</v>
      </c>
      <c r="M34" s="35"/>
      <c r="N34" s="35"/>
      <c r="O34" s="35"/>
      <c r="P34" s="35"/>
      <c r="Q34" s="35"/>
      <c r="R34" s="35"/>
      <c r="S34" s="35"/>
      <c r="T34" s="35"/>
      <c r="U34" s="35"/>
    </row>
    <row r="35" spans="1:21" x14ac:dyDescent="0.25">
      <c r="A35" s="40">
        <v>34</v>
      </c>
      <c r="B35" s="41">
        <f t="shared" si="18"/>
        <v>1</v>
      </c>
      <c r="C35" s="41"/>
      <c r="D35" s="42">
        <f t="shared" si="1"/>
        <v>0</v>
      </c>
      <c r="E35" s="42"/>
      <c r="F35" s="42">
        <f t="shared" ref="F35" si="38">F34</f>
        <v>4.8110999999999997</v>
      </c>
      <c r="G35" s="42"/>
      <c r="H35" s="43">
        <f t="shared" si="2"/>
        <v>0</v>
      </c>
      <c r="I35" s="42" t="e">
        <f t="shared" si="3"/>
        <v>#DIV/0!</v>
      </c>
      <c r="J35" s="44" t="e">
        <f t="shared" si="4"/>
        <v>#DIV/0!</v>
      </c>
      <c r="K35" s="44" t="e">
        <f t="shared" si="5"/>
        <v>#DIV/0!</v>
      </c>
      <c r="L35" s="44" t="e">
        <f t="shared" si="6"/>
        <v>#DIV/0!</v>
      </c>
      <c r="M35" s="35"/>
      <c r="N35" s="35"/>
      <c r="O35" s="35"/>
      <c r="P35" s="35"/>
      <c r="Q35" s="35"/>
      <c r="R35" s="35"/>
      <c r="S35" s="35"/>
      <c r="T35" s="35"/>
      <c r="U35" s="35"/>
    </row>
    <row r="36" spans="1:21" x14ac:dyDescent="0.25">
      <c r="A36" s="45">
        <v>35</v>
      </c>
      <c r="B36" s="46">
        <f t="shared" si="18"/>
        <v>1</v>
      </c>
      <c r="C36" s="46"/>
      <c r="D36" s="47">
        <f t="shared" si="1"/>
        <v>0</v>
      </c>
      <c r="E36" s="47"/>
      <c r="F36" s="47">
        <f t="shared" ref="F36" si="39">F34</f>
        <v>4.8110999999999997</v>
      </c>
      <c r="G36" s="47"/>
      <c r="H36" s="48">
        <f t="shared" si="2"/>
        <v>0</v>
      </c>
      <c r="I36" s="47" t="e">
        <f t="shared" si="3"/>
        <v>#DIV/0!</v>
      </c>
      <c r="J36" s="38" t="e">
        <f t="shared" si="4"/>
        <v>#DIV/0!</v>
      </c>
      <c r="K36" s="38" t="e">
        <f t="shared" si="5"/>
        <v>#DIV/0!</v>
      </c>
      <c r="L36" s="38" t="e">
        <f t="shared" si="6"/>
        <v>#DIV/0!</v>
      </c>
      <c r="M36" s="35"/>
      <c r="N36" s="35"/>
      <c r="O36" s="35"/>
      <c r="P36" s="35"/>
      <c r="Q36" s="35"/>
      <c r="R36" s="35"/>
      <c r="S36" s="35"/>
      <c r="T36" s="35"/>
      <c r="U36" s="35"/>
    </row>
    <row r="37" spans="1:21" x14ac:dyDescent="0.25">
      <c r="A37" s="40">
        <v>36</v>
      </c>
      <c r="B37" s="41">
        <f t="shared" si="18"/>
        <v>1</v>
      </c>
      <c r="C37" s="41"/>
      <c r="D37" s="42">
        <f t="shared" si="1"/>
        <v>0</v>
      </c>
      <c r="E37" s="42"/>
      <c r="F37" s="42">
        <f t="shared" ref="F37" si="40">F36</f>
        <v>4.8110999999999997</v>
      </c>
      <c r="G37" s="42"/>
      <c r="H37" s="43">
        <f t="shared" si="2"/>
        <v>0</v>
      </c>
      <c r="I37" s="42" t="e">
        <f t="shared" si="3"/>
        <v>#DIV/0!</v>
      </c>
      <c r="J37" s="44" t="e">
        <f t="shared" si="4"/>
        <v>#DIV/0!</v>
      </c>
      <c r="K37" s="44" t="e">
        <f t="shared" si="5"/>
        <v>#DIV/0!</v>
      </c>
      <c r="L37" s="44" t="e">
        <f t="shared" si="6"/>
        <v>#DIV/0!</v>
      </c>
      <c r="M37" s="35"/>
      <c r="N37" s="35"/>
      <c r="O37" s="35"/>
      <c r="P37" s="35"/>
      <c r="Q37" s="35"/>
      <c r="R37" s="35"/>
      <c r="S37" s="35"/>
      <c r="T37" s="35"/>
      <c r="U37" s="35"/>
    </row>
    <row r="38" spans="1:21" x14ac:dyDescent="0.25">
      <c r="A38" s="45">
        <v>37</v>
      </c>
      <c r="B38" s="46">
        <f t="shared" si="18"/>
        <v>1</v>
      </c>
      <c r="C38" s="46"/>
      <c r="D38" s="47">
        <f t="shared" si="1"/>
        <v>0</v>
      </c>
      <c r="E38" s="47"/>
      <c r="F38" s="47">
        <f t="shared" ref="F38" si="41">F36</f>
        <v>4.8110999999999997</v>
      </c>
      <c r="G38" s="47"/>
      <c r="H38" s="48">
        <f t="shared" si="2"/>
        <v>0</v>
      </c>
      <c r="I38" s="47" t="e">
        <f t="shared" si="3"/>
        <v>#DIV/0!</v>
      </c>
      <c r="J38" s="38" t="e">
        <f t="shared" si="4"/>
        <v>#DIV/0!</v>
      </c>
      <c r="K38" s="38" t="e">
        <f t="shared" si="5"/>
        <v>#DIV/0!</v>
      </c>
      <c r="L38" s="38" t="e">
        <f t="shared" si="6"/>
        <v>#DIV/0!</v>
      </c>
      <c r="M38" s="35"/>
      <c r="N38" s="35"/>
      <c r="O38" s="35"/>
      <c r="P38" s="35"/>
      <c r="Q38" s="35"/>
      <c r="R38" s="35"/>
      <c r="S38" s="35"/>
      <c r="T38" s="35"/>
      <c r="U38" s="35"/>
    </row>
    <row r="39" spans="1:21" x14ac:dyDescent="0.25">
      <c r="A39" s="40">
        <v>38</v>
      </c>
      <c r="B39" s="41">
        <f t="shared" si="18"/>
        <v>1</v>
      </c>
      <c r="C39" s="41"/>
      <c r="D39" s="42">
        <f t="shared" si="1"/>
        <v>0</v>
      </c>
      <c r="E39" s="42"/>
      <c r="F39" s="42">
        <f t="shared" ref="F39" si="42">F38</f>
        <v>4.8110999999999997</v>
      </c>
      <c r="G39" s="42"/>
      <c r="H39" s="43">
        <f t="shared" si="2"/>
        <v>0</v>
      </c>
      <c r="I39" s="42" t="e">
        <f t="shared" si="3"/>
        <v>#DIV/0!</v>
      </c>
      <c r="J39" s="44" t="e">
        <f t="shared" si="4"/>
        <v>#DIV/0!</v>
      </c>
      <c r="K39" s="44" t="e">
        <f t="shared" si="5"/>
        <v>#DIV/0!</v>
      </c>
      <c r="L39" s="44" t="e">
        <f t="shared" si="6"/>
        <v>#DIV/0!</v>
      </c>
      <c r="M39" s="35"/>
      <c r="N39" s="35"/>
      <c r="O39" s="35"/>
      <c r="P39" s="35"/>
      <c r="Q39" s="35"/>
      <c r="R39" s="35"/>
      <c r="S39" s="35"/>
      <c r="T39" s="35"/>
      <c r="U39" s="35"/>
    </row>
    <row r="40" spans="1:21" x14ac:dyDescent="0.25">
      <c r="A40" s="45">
        <v>39</v>
      </c>
      <c r="B40" s="46">
        <f t="shared" si="18"/>
        <v>1</v>
      </c>
      <c r="C40" s="46"/>
      <c r="D40" s="47">
        <f t="shared" si="1"/>
        <v>0</v>
      </c>
      <c r="E40" s="47"/>
      <c r="F40" s="47">
        <f t="shared" ref="F40" si="43">F38</f>
        <v>4.8110999999999997</v>
      </c>
      <c r="G40" s="47"/>
      <c r="H40" s="48">
        <f t="shared" si="2"/>
        <v>0</v>
      </c>
      <c r="I40" s="47" t="e">
        <f t="shared" si="3"/>
        <v>#DIV/0!</v>
      </c>
      <c r="J40" s="38" t="e">
        <f t="shared" si="4"/>
        <v>#DIV/0!</v>
      </c>
      <c r="K40" s="38" t="e">
        <f t="shared" si="5"/>
        <v>#DIV/0!</v>
      </c>
      <c r="L40" s="38" t="e">
        <f t="shared" si="6"/>
        <v>#DIV/0!</v>
      </c>
      <c r="M40" s="35"/>
      <c r="N40" s="35"/>
      <c r="O40" s="35"/>
      <c r="P40" s="35"/>
      <c r="Q40" s="35"/>
      <c r="R40" s="35"/>
      <c r="S40" s="35"/>
      <c r="T40" s="35"/>
      <c r="U40" s="35"/>
    </row>
    <row r="41" spans="1:21" x14ac:dyDescent="0.25">
      <c r="A41" s="40">
        <v>40</v>
      </c>
      <c r="B41" s="41">
        <f t="shared" si="18"/>
        <v>1</v>
      </c>
      <c r="C41" s="41"/>
      <c r="D41" s="42">
        <f t="shared" si="1"/>
        <v>0</v>
      </c>
      <c r="E41" s="42"/>
      <c r="F41" s="42">
        <f t="shared" ref="F41" si="44">F40</f>
        <v>4.8110999999999997</v>
      </c>
      <c r="G41" s="42"/>
      <c r="H41" s="43">
        <f t="shared" si="2"/>
        <v>0</v>
      </c>
      <c r="I41" s="42" t="e">
        <f t="shared" si="3"/>
        <v>#DIV/0!</v>
      </c>
      <c r="J41" s="44" t="e">
        <f t="shared" si="4"/>
        <v>#DIV/0!</v>
      </c>
      <c r="K41" s="44" t="e">
        <f t="shared" si="5"/>
        <v>#DIV/0!</v>
      </c>
      <c r="L41" s="44" t="e">
        <f t="shared" si="6"/>
        <v>#DIV/0!</v>
      </c>
      <c r="M41" s="35"/>
      <c r="N41" s="35"/>
      <c r="O41" s="35"/>
      <c r="P41" s="35"/>
      <c r="Q41" s="35"/>
      <c r="R41" s="35"/>
      <c r="S41" s="35"/>
      <c r="T41" s="35"/>
      <c r="U41" s="35"/>
    </row>
    <row r="42" spans="1:21" x14ac:dyDescent="0.25">
      <c r="A42" s="45">
        <v>41</v>
      </c>
      <c r="B42" s="46">
        <f t="shared" si="18"/>
        <v>1</v>
      </c>
      <c r="C42" s="46"/>
      <c r="D42" s="47">
        <f t="shared" si="1"/>
        <v>0</v>
      </c>
      <c r="E42" s="47"/>
      <c r="F42" s="47">
        <f t="shared" ref="F42" si="45">F40</f>
        <v>4.8110999999999997</v>
      </c>
      <c r="G42" s="47"/>
      <c r="H42" s="48">
        <f t="shared" si="2"/>
        <v>0</v>
      </c>
      <c r="I42" s="47" t="e">
        <f t="shared" si="3"/>
        <v>#DIV/0!</v>
      </c>
      <c r="J42" s="38" t="e">
        <f t="shared" si="4"/>
        <v>#DIV/0!</v>
      </c>
      <c r="K42" s="38" t="e">
        <f t="shared" si="5"/>
        <v>#DIV/0!</v>
      </c>
      <c r="L42" s="38" t="e">
        <f t="shared" si="6"/>
        <v>#DIV/0!</v>
      </c>
      <c r="M42" s="35"/>
      <c r="N42" s="35"/>
      <c r="O42" s="35"/>
      <c r="P42" s="35"/>
      <c r="Q42" s="35"/>
      <c r="R42" s="35"/>
      <c r="S42" s="35"/>
      <c r="T42" s="35"/>
      <c r="U42" s="35"/>
    </row>
    <row r="43" spans="1:21" x14ac:dyDescent="0.25">
      <c r="A43" s="40">
        <v>42</v>
      </c>
      <c r="B43" s="41">
        <f t="shared" si="18"/>
        <v>1</v>
      </c>
      <c r="C43" s="41"/>
      <c r="D43" s="42">
        <f t="shared" si="1"/>
        <v>0</v>
      </c>
      <c r="E43" s="42"/>
      <c r="F43" s="42">
        <f t="shared" ref="F43" si="46">F42</f>
        <v>4.8110999999999997</v>
      </c>
      <c r="G43" s="42"/>
      <c r="H43" s="43">
        <f t="shared" si="2"/>
        <v>0</v>
      </c>
      <c r="I43" s="42" t="e">
        <f t="shared" si="3"/>
        <v>#DIV/0!</v>
      </c>
      <c r="J43" s="44" t="e">
        <f t="shared" si="4"/>
        <v>#DIV/0!</v>
      </c>
      <c r="K43" s="44" t="e">
        <f t="shared" si="5"/>
        <v>#DIV/0!</v>
      </c>
      <c r="L43" s="44" t="e">
        <f t="shared" si="6"/>
        <v>#DIV/0!</v>
      </c>
      <c r="M43" s="35"/>
      <c r="N43" s="35"/>
      <c r="O43" s="35"/>
      <c r="P43" s="35"/>
      <c r="Q43" s="35"/>
      <c r="R43" s="35"/>
      <c r="S43" s="35"/>
      <c r="T43" s="35"/>
      <c r="U43" s="35"/>
    </row>
    <row r="44" spans="1:21" x14ac:dyDescent="0.25">
      <c r="A44" s="45">
        <v>43</v>
      </c>
      <c r="B44" s="46">
        <f t="shared" si="18"/>
        <v>1</v>
      </c>
      <c r="C44" s="46"/>
      <c r="D44" s="47">
        <f t="shared" si="1"/>
        <v>0</v>
      </c>
      <c r="E44" s="47"/>
      <c r="F44" s="47">
        <f t="shared" ref="F44" si="47">F42</f>
        <v>4.8110999999999997</v>
      </c>
      <c r="G44" s="47"/>
      <c r="H44" s="48">
        <f t="shared" si="2"/>
        <v>0</v>
      </c>
      <c r="I44" s="47" t="e">
        <f t="shared" si="3"/>
        <v>#DIV/0!</v>
      </c>
      <c r="J44" s="38" t="e">
        <f t="shared" si="4"/>
        <v>#DIV/0!</v>
      </c>
      <c r="K44" s="38" t="e">
        <f t="shared" si="5"/>
        <v>#DIV/0!</v>
      </c>
      <c r="L44" s="38" t="e">
        <f t="shared" si="6"/>
        <v>#DIV/0!</v>
      </c>
      <c r="M44" s="35"/>
      <c r="N44" s="35"/>
      <c r="O44" s="35"/>
      <c r="P44" s="35"/>
      <c r="Q44" s="35"/>
      <c r="R44" s="35"/>
      <c r="S44" s="35"/>
      <c r="T44" s="35"/>
      <c r="U44" s="35"/>
    </row>
    <row r="45" spans="1:21" x14ac:dyDescent="0.25">
      <c r="A45" s="40">
        <v>44</v>
      </c>
      <c r="B45" s="41">
        <f t="shared" si="18"/>
        <v>1</v>
      </c>
      <c r="C45" s="41"/>
      <c r="D45" s="42">
        <f t="shared" si="1"/>
        <v>0</v>
      </c>
      <c r="E45" s="42"/>
      <c r="F45" s="42">
        <f t="shared" ref="F45" si="48">F44</f>
        <v>4.8110999999999997</v>
      </c>
      <c r="G45" s="42"/>
      <c r="H45" s="43">
        <f t="shared" si="2"/>
        <v>0</v>
      </c>
      <c r="I45" s="42" t="e">
        <f t="shared" si="3"/>
        <v>#DIV/0!</v>
      </c>
      <c r="J45" s="44" t="e">
        <f t="shared" si="4"/>
        <v>#DIV/0!</v>
      </c>
      <c r="K45" s="44" t="e">
        <f t="shared" si="5"/>
        <v>#DIV/0!</v>
      </c>
      <c r="L45" s="44" t="e">
        <f t="shared" si="6"/>
        <v>#DIV/0!</v>
      </c>
      <c r="M45" s="35"/>
      <c r="N45" s="35"/>
      <c r="O45" s="35"/>
      <c r="P45" s="35"/>
      <c r="Q45" s="35"/>
      <c r="R45" s="35"/>
      <c r="S45" s="35"/>
      <c r="T45" s="35"/>
      <c r="U45" s="35"/>
    </row>
    <row r="46" spans="1:21" x14ac:dyDescent="0.25">
      <c r="A46" s="45">
        <v>45</v>
      </c>
      <c r="B46" s="46">
        <f t="shared" si="18"/>
        <v>1</v>
      </c>
      <c r="C46" s="46"/>
      <c r="D46" s="47">
        <f t="shared" si="1"/>
        <v>0</v>
      </c>
      <c r="E46" s="47"/>
      <c r="F46" s="47">
        <f t="shared" ref="F46" si="49">F44</f>
        <v>4.8110999999999997</v>
      </c>
      <c r="G46" s="47"/>
      <c r="H46" s="48">
        <f t="shared" si="2"/>
        <v>0</v>
      </c>
      <c r="I46" s="47" t="e">
        <f t="shared" si="3"/>
        <v>#DIV/0!</v>
      </c>
      <c r="J46" s="38" t="e">
        <f t="shared" si="4"/>
        <v>#DIV/0!</v>
      </c>
      <c r="K46" s="38" t="e">
        <f t="shared" si="5"/>
        <v>#DIV/0!</v>
      </c>
      <c r="L46" s="38" t="e">
        <f t="shared" si="6"/>
        <v>#DIV/0!</v>
      </c>
      <c r="M46" s="35"/>
      <c r="N46" s="35"/>
      <c r="O46" s="35"/>
      <c r="P46" s="35"/>
      <c r="Q46" s="35"/>
      <c r="R46" s="35"/>
      <c r="S46" s="35"/>
      <c r="T46" s="35"/>
      <c r="U46" s="35"/>
    </row>
    <row r="47" spans="1:21" x14ac:dyDescent="0.25">
      <c r="A47" s="40">
        <v>46</v>
      </c>
      <c r="B47" s="41">
        <f t="shared" si="18"/>
        <v>1</v>
      </c>
      <c r="C47" s="41"/>
      <c r="D47" s="42">
        <f t="shared" si="1"/>
        <v>0</v>
      </c>
      <c r="E47" s="42"/>
      <c r="F47" s="42">
        <f t="shared" ref="F47" si="50">F46</f>
        <v>4.8110999999999997</v>
      </c>
      <c r="G47" s="42"/>
      <c r="H47" s="43">
        <f t="shared" si="2"/>
        <v>0</v>
      </c>
      <c r="I47" s="42" t="e">
        <f t="shared" si="3"/>
        <v>#DIV/0!</v>
      </c>
      <c r="J47" s="44" t="e">
        <f t="shared" si="4"/>
        <v>#DIV/0!</v>
      </c>
      <c r="K47" s="44" t="e">
        <f t="shared" si="5"/>
        <v>#DIV/0!</v>
      </c>
      <c r="L47" s="44" t="e">
        <f t="shared" si="6"/>
        <v>#DIV/0!</v>
      </c>
      <c r="M47" s="35"/>
      <c r="N47" s="35"/>
      <c r="O47" s="35"/>
      <c r="P47" s="35"/>
      <c r="Q47" s="35"/>
      <c r="R47" s="35"/>
      <c r="S47" s="35"/>
      <c r="T47" s="35"/>
      <c r="U47" s="35"/>
    </row>
    <row r="48" spans="1:21" x14ac:dyDescent="0.25">
      <c r="A48" s="45">
        <v>47</v>
      </c>
      <c r="B48" s="46">
        <f t="shared" si="18"/>
        <v>1</v>
      </c>
      <c r="C48" s="46"/>
      <c r="D48" s="47">
        <f t="shared" si="1"/>
        <v>0</v>
      </c>
      <c r="E48" s="47"/>
      <c r="F48" s="47">
        <f t="shared" ref="F48" si="51">F46</f>
        <v>4.8110999999999997</v>
      </c>
      <c r="G48" s="47"/>
      <c r="H48" s="48">
        <f t="shared" si="2"/>
        <v>0</v>
      </c>
      <c r="I48" s="47" t="e">
        <f t="shared" si="3"/>
        <v>#DIV/0!</v>
      </c>
      <c r="J48" s="38" t="e">
        <f t="shared" si="4"/>
        <v>#DIV/0!</v>
      </c>
      <c r="K48" s="38" t="e">
        <f t="shared" si="5"/>
        <v>#DIV/0!</v>
      </c>
      <c r="L48" s="38" t="e">
        <f t="shared" si="6"/>
        <v>#DIV/0!</v>
      </c>
      <c r="M48" s="35"/>
      <c r="N48" s="35"/>
      <c r="O48" s="35"/>
      <c r="P48" s="35"/>
      <c r="Q48" s="35"/>
      <c r="R48" s="35"/>
      <c r="S48" s="35"/>
      <c r="T48" s="35"/>
      <c r="U48" s="35"/>
    </row>
    <row r="49" spans="1:21" x14ac:dyDescent="0.25">
      <c r="A49" s="40">
        <v>48</v>
      </c>
      <c r="B49" s="41">
        <f t="shared" si="18"/>
        <v>1</v>
      </c>
      <c r="C49" s="41"/>
      <c r="D49" s="42">
        <f t="shared" si="1"/>
        <v>0</v>
      </c>
      <c r="E49" s="42"/>
      <c r="F49" s="42">
        <f t="shared" ref="F49" si="52">F48</f>
        <v>4.8110999999999997</v>
      </c>
      <c r="G49" s="42"/>
      <c r="H49" s="43">
        <f t="shared" si="2"/>
        <v>0</v>
      </c>
      <c r="I49" s="42" t="e">
        <f t="shared" si="3"/>
        <v>#DIV/0!</v>
      </c>
      <c r="J49" s="44" t="e">
        <f t="shared" si="4"/>
        <v>#DIV/0!</v>
      </c>
      <c r="K49" s="44" t="e">
        <f t="shared" si="5"/>
        <v>#DIV/0!</v>
      </c>
      <c r="L49" s="44" t="e">
        <f t="shared" si="6"/>
        <v>#DIV/0!</v>
      </c>
      <c r="M49" s="35"/>
      <c r="N49" s="35"/>
      <c r="O49" s="35"/>
      <c r="P49" s="35"/>
      <c r="Q49" s="35"/>
      <c r="R49" s="35"/>
      <c r="S49" s="35"/>
      <c r="T49" s="35"/>
      <c r="U49" s="35"/>
    </row>
    <row r="50" spans="1:21" x14ac:dyDescent="0.25">
      <c r="A50" s="45">
        <v>49</v>
      </c>
      <c r="B50" s="46">
        <f t="shared" si="18"/>
        <v>1</v>
      </c>
      <c r="C50" s="46"/>
      <c r="D50" s="47">
        <f t="shared" si="1"/>
        <v>0</v>
      </c>
      <c r="E50" s="47"/>
      <c r="F50" s="47">
        <f t="shared" ref="F50" si="53">F48</f>
        <v>4.8110999999999997</v>
      </c>
      <c r="G50" s="47"/>
      <c r="H50" s="48">
        <f t="shared" si="2"/>
        <v>0</v>
      </c>
      <c r="I50" s="47" t="e">
        <f t="shared" si="3"/>
        <v>#DIV/0!</v>
      </c>
      <c r="J50" s="38" t="e">
        <f t="shared" si="4"/>
        <v>#DIV/0!</v>
      </c>
      <c r="K50" s="38" t="e">
        <f t="shared" si="5"/>
        <v>#DIV/0!</v>
      </c>
      <c r="L50" s="38" t="e">
        <f t="shared" si="6"/>
        <v>#DIV/0!</v>
      </c>
      <c r="M50" s="35"/>
      <c r="N50" s="35"/>
      <c r="O50" s="35"/>
      <c r="P50" s="35"/>
      <c r="Q50" s="35"/>
      <c r="R50" s="35"/>
      <c r="S50" s="35"/>
      <c r="T50" s="35"/>
      <c r="U50" s="35"/>
    </row>
    <row r="51" spans="1:21" x14ac:dyDescent="0.25">
      <c r="A51" s="40">
        <v>50</v>
      </c>
      <c r="B51" s="41">
        <f t="shared" si="18"/>
        <v>1</v>
      </c>
      <c r="C51" s="41"/>
      <c r="D51" s="42">
        <f t="shared" si="1"/>
        <v>0</v>
      </c>
      <c r="E51" s="42"/>
      <c r="F51" s="42">
        <f t="shared" ref="F51" si="54">F50</f>
        <v>4.8110999999999997</v>
      </c>
      <c r="G51" s="42"/>
      <c r="H51" s="43">
        <f t="shared" si="2"/>
        <v>0</v>
      </c>
      <c r="I51" s="42" t="e">
        <f t="shared" si="3"/>
        <v>#DIV/0!</v>
      </c>
      <c r="J51" s="44" t="e">
        <f t="shared" si="4"/>
        <v>#DIV/0!</v>
      </c>
      <c r="K51" s="44" t="e">
        <f t="shared" si="5"/>
        <v>#DIV/0!</v>
      </c>
      <c r="L51" s="44" t="e">
        <f t="shared" si="6"/>
        <v>#DIV/0!</v>
      </c>
      <c r="M51" s="35"/>
      <c r="N51" s="35"/>
      <c r="O51" s="35"/>
      <c r="P51" s="35"/>
      <c r="Q51" s="35"/>
      <c r="R51" s="35"/>
      <c r="S51" s="35"/>
      <c r="T51" s="35"/>
      <c r="U51" s="35"/>
    </row>
    <row r="52" spans="1:21" x14ac:dyDescent="0.25">
      <c r="A52" s="45">
        <v>51</v>
      </c>
      <c r="B52" s="46">
        <f t="shared" si="18"/>
        <v>1</v>
      </c>
      <c r="C52" s="46"/>
      <c r="D52" s="47">
        <f t="shared" si="1"/>
        <v>0</v>
      </c>
      <c r="E52" s="47"/>
      <c r="F52" s="47">
        <f t="shared" ref="F52" si="55">F50</f>
        <v>4.8110999999999997</v>
      </c>
      <c r="G52" s="47"/>
      <c r="H52" s="48">
        <f t="shared" si="2"/>
        <v>0</v>
      </c>
      <c r="I52" s="47" t="e">
        <f t="shared" si="3"/>
        <v>#DIV/0!</v>
      </c>
      <c r="J52" s="38" t="e">
        <f t="shared" si="4"/>
        <v>#DIV/0!</v>
      </c>
      <c r="K52" s="38" t="e">
        <f t="shared" si="5"/>
        <v>#DIV/0!</v>
      </c>
      <c r="L52" s="38" t="e">
        <f t="shared" si="6"/>
        <v>#DIV/0!</v>
      </c>
      <c r="M52" s="35"/>
      <c r="N52" s="35"/>
      <c r="O52" s="35"/>
      <c r="P52" s="35"/>
      <c r="Q52" s="35"/>
      <c r="R52" s="35"/>
      <c r="S52" s="35"/>
      <c r="T52" s="35"/>
      <c r="U52" s="35"/>
    </row>
    <row r="53" spans="1:21" x14ac:dyDescent="0.25">
      <c r="A53" s="40">
        <v>52</v>
      </c>
      <c r="B53" s="41">
        <f t="shared" si="18"/>
        <v>1</v>
      </c>
      <c r="C53" s="41"/>
      <c r="D53" s="42">
        <f t="shared" si="1"/>
        <v>0</v>
      </c>
      <c r="E53" s="42"/>
      <c r="F53" s="42">
        <f t="shared" ref="F53" si="56">F52</f>
        <v>4.8110999999999997</v>
      </c>
      <c r="G53" s="42"/>
      <c r="H53" s="43">
        <f t="shared" si="2"/>
        <v>0</v>
      </c>
      <c r="I53" s="42" t="e">
        <f t="shared" si="3"/>
        <v>#DIV/0!</v>
      </c>
      <c r="J53" s="44" t="e">
        <f t="shared" si="4"/>
        <v>#DIV/0!</v>
      </c>
      <c r="K53" s="44" t="e">
        <f t="shared" si="5"/>
        <v>#DIV/0!</v>
      </c>
      <c r="L53" s="44" t="e">
        <f t="shared" si="6"/>
        <v>#DIV/0!</v>
      </c>
      <c r="M53" s="35"/>
      <c r="N53" s="35"/>
      <c r="O53" s="35"/>
      <c r="P53" s="35"/>
      <c r="Q53" s="35"/>
      <c r="R53" s="35"/>
      <c r="S53" s="35"/>
      <c r="T53" s="35"/>
      <c r="U53" s="35"/>
    </row>
    <row r="54" spans="1:21" x14ac:dyDescent="0.25">
      <c r="A54" s="45">
        <v>53</v>
      </c>
      <c r="B54" s="46">
        <f t="shared" si="18"/>
        <v>1</v>
      </c>
      <c r="C54" s="46"/>
      <c r="D54" s="47">
        <f t="shared" si="1"/>
        <v>0</v>
      </c>
      <c r="E54" s="47"/>
      <c r="F54" s="47">
        <f t="shared" ref="F54" si="57">F52</f>
        <v>4.8110999999999997</v>
      </c>
      <c r="G54" s="47"/>
      <c r="H54" s="48">
        <f t="shared" si="2"/>
        <v>0</v>
      </c>
      <c r="I54" s="47" t="e">
        <f t="shared" si="3"/>
        <v>#DIV/0!</v>
      </c>
      <c r="J54" s="38" t="e">
        <f t="shared" si="4"/>
        <v>#DIV/0!</v>
      </c>
      <c r="K54" s="38" t="e">
        <f t="shared" si="5"/>
        <v>#DIV/0!</v>
      </c>
      <c r="L54" s="38" t="e">
        <f t="shared" si="6"/>
        <v>#DIV/0!</v>
      </c>
      <c r="M54" s="35"/>
      <c r="N54" s="35"/>
      <c r="O54" s="35"/>
      <c r="P54" s="35"/>
      <c r="Q54" s="35"/>
      <c r="R54" s="35"/>
      <c r="S54" s="35"/>
      <c r="T54" s="35"/>
      <c r="U54" s="35"/>
    </row>
    <row r="55" spans="1:21" x14ac:dyDescent="0.25">
      <c r="A55" s="40">
        <v>54</v>
      </c>
      <c r="B55" s="41">
        <f t="shared" si="18"/>
        <v>1</v>
      </c>
      <c r="C55" s="41"/>
      <c r="D55" s="42">
        <f t="shared" si="1"/>
        <v>0</v>
      </c>
      <c r="E55" s="42"/>
      <c r="F55" s="42">
        <f t="shared" ref="F55" si="58">F54</f>
        <v>4.8110999999999997</v>
      </c>
      <c r="G55" s="42"/>
      <c r="H55" s="43">
        <f t="shared" si="2"/>
        <v>0</v>
      </c>
      <c r="I55" s="42" t="e">
        <f t="shared" si="3"/>
        <v>#DIV/0!</v>
      </c>
      <c r="J55" s="44" t="e">
        <f t="shared" si="4"/>
        <v>#DIV/0!</v>
      </c>
      <c r="K55" s="44" t="e">
        <f t="shared" si="5"/>
        <v>#DIV/0!</v>
      </c>
      <c r="L55" s="44" t="e">
        <f t="shared" si="6"/>
        <v>#DIV/0!</v>
      </c>
      <c r="M55" s="35"/>
      <c r="N55" s="35"/>
      <c r="O55" s="35"/>
      <c r="P55" s="35"/>
      <c r="Q55" s="35"/>
      <c r="R55" s="35"/>
      <c r="S55" s="35"/>
      <c r="T55" s="35"/>
      <c r="U55" s="35"/>
    </row>
    <row r="56" spans="1:21" x14ac:dyDescent="0.25">
      <c r="A56" s="45">
        <v>55</v>
      </c>
      <c r="B56" s="46">
        <f t="shared" si="18"/>
        <v>1</v>
      </c>
      <c r="C56" s="46"/>
      <c r="D56" s="47">
        <f t="shared" si="1"/>
        <v>0</v>
      </c>
      <c r="E56" s="47"/>
      <c r="F56" s="47">
        <f t="shared" ref="F56" si="59">F54</f>
        <v>4.8110999999999997</v>
      </c>
      <c r="G56" s="47"/>
      <c r="H56" s="48">
        <f t="shared" si="2"/>
        <v>0</v>
      </c>
      <c r="I56" s="47" t="e">
        <f t="shared" si="3"/>
        <v>#DIV/0!</v>
      </c>
      <c r="J56" s="38" t="e">
        <f t="shared" si="4"/>
        <v>#DIV/0!</v>
      </c>
      <c r="K56" s="38" t="e">
        <f t="shared" si="5"/>
        <v>#DIV/0!</v>
      </c>
      <c r="L56" s="38" t="e">
        <f t="shared" si="6"/>
        <v>#DIV/0!</v>
      </c>
      <c r="M56" s="35"/>
      <c r="N56" s="35"/>
      <c r="O56" s="35"/>
      <c r="P56" s="35"/>
      <c r="Q56" s="35"/>
      <c r="R56" s="35"/>
      <c r="S56" s="35"/>
      <c r="T56" s="35"/>
      <c r="U56" s="35"/>
    </row>
    <row r="57" spans="1:21" x14ac:dyDescent="0.25">
      <c r="A57" s="40">
        <v>56</v>
      </c>
      <c r="B57" s="41">
        <f t="shared" si="18"/>
        <v>1</v>
      </c>
      <c r="C57" s="41"/>
      <c r="D57" s="42">
        <f t="shared" si="1"/>
        <v>0</v>
      </c>
      <c r="E57" s="42"/>
      <c r="F57" s="42">
        <f t="shared" ref="F57" si="60">F56</f>
        <v>4.8110999999999997</v>
      </c>
      <c r="G57" s="42"/>
      <c r="H57" s="43">
        <f t="shared" si="2"/>
        <v>0</v>
      </c>
      <c r="I57" s="42" t="e">
        <f t="shared" si="3"/>
        <v>#DIV/0!</v>
      </c>
      <c r="J57" s="44" t="e">
        <f t="shared" si="4"/>
        <v>#DIV/0!</v>
      </c>
      <c r="K57" s="44" t="e">
        <f t="shared" si="5"/>
        <v>#DIV/0!</v>
      </c>
      <c r="L57" s="44" t="e">
        <f t="shared" si="6"/>
        <v>#DIV/0!</v>
      </c>
      <c r="M57" s="35"/>
      <c r="N57" s="35"/>
      <c r="O57" s="35"/>
      <c r="P57" s="35"/>
      <c r="Q57" s="35"/>
      <c r="R57" s="35"/>
      <c r="S57" s="35"/>
      <c r="T57" s="35"/>
      <c r="U57" s="35"/>
    </row>
    <row r="58" spans="1:21" x14ac:dyDescent="0.25">
      <c r="A58" s="45">
        <v>57</v>
      </c>
      <c r="B58" s="46">
        <f t="shared" si="18"/>
        <v>1</v>
      </c>
      <c r="C58" s="46"/>
      <c r="D58" s="47">
        <f t="shared" si="1"/>
        <v>0</v>
      </c>
      <c r="E58" s="47"/>
      <c r="F58" s="47">
        <f t="shared" ref="F58" si="61">F56</f>
        <v>4.8110999999999997</v>
      </c>
      <c r="G58" s="47"/>
      <c r="H58" s="48">
        <f t="shared" si="2"/>
        <v>0</v>
      </c>
      <c r="I58" s="47" t="e">
        <f t="shared" si="3"/>
        <v>#DIV/0!</v>
      </c>
      <c r="J58" s="38" t="e">
        <f t="shared" si="4"/>
        <v>#DIV/0!</v>
      </c>
      <c r="K58" s="38" t="e">
        <f t="shared" si="5"/>
        <v>#DIV/0!</v>
      </c>
      <c r="L58" s="38" t="e">
        <f t="shared" si="6"/>
        <v>#DIV/0!</v>
      </c>
      <c r="M58" s="35"/>
      <c r="N58" s="35"/>
      <c r="O58" s="35"/>
      <c r="P58" s="35"/>
      <c r="Q58" s="35"/>
      <c r="R58" s="35"/>
      <c r="S58" s="35"/>
      <c r="T58" s="35"/>
      <c r="U58" s="35"/>
    </row>
    <row r="59" spans="1:21" x14ac:dyDescent="0.25">
      <c r="A59" s="40">
        <v>58</v>
      </c>
      <c r="B59" s="41">
        <f t="shared" si="18"/>
        <v>1</v>
      </c>
      <c r="C59" s="41"/>
      <c r="D59" s="42">
        <f t="shared" si="1"/>
        <v>0</v>
      </c>
      <c r="E59" s="42"/>
      <c r="F59" s="42">
        <f t="shared" ref="F59" si="62">F58</f>
        <v>4.8110999999999997</v>
      </c>
      <c r="G59" s="42"/>
      <c r="H59" s="43">
        <f t="shared" si="2"/>
        <v>0</v>
      </c>
      <c r="I59" s="42" t="e">
        <f t="shared" si="3"/>
        <v>#DIV/0!</v>
      </c>
      <c r="J59" s="44" t="e">
        <f t="shared" si="4"/>
        <v>#DIV/0!</v>
      </c>
      <c r="K59" s="44" t="e">
        <f t="shared" si="5"/>
        <v>#DIV/0!</v>
      </c>
      <c r="L59" s="44" t="e">
        <f t="shared" si="6"/>
        <v>#DIV/0!</v>
      </c>
      <c r="M59" s="35"/>
      <c r="N59" s="35"/>
      <c r="O59" s="35"/>
      <c r="P59" s="35"/>
      <c r="Q59" s="35"/>
      <c r="R59" s="35"/>
      <c r="S59" s="35"/>
      <c r="T59" s="35"/>
      <c r="U59" s="35"/>
    </row>
    <row r="60" spans="1:21" x14ac:dyDescent="0.25">
      <c r="A60" s="45">
        <v>59</v>
      </c>
      <c r="B60" s="46">
        <f t="shared" si="18"/>
        <v>1</v>
      </c>
      <c r="C60" s="46"/>
      <c r="D60" s="47">
        <f t="shared" si="1"/>
        <v>0</v>
      </c>
      <c r="E60" s="47"/>
      <c r="F60" s="47">
        <f t="shared" ref="F60" si="63">F58</f>
        <v>4.8110999999999997</v>
      </c>
      <c r="G60" s="47"/>
      <c r="H60" s="48">
        <f t="shared" si="2"/>
        <v>0</v>
      </c>
      <c r="I60" s="47" t="e">
        <f t="shared" si="3"/>
        <v>#DIV/0!</v>
      </c>
      <c r="J60" s="38" t="e">
        <f t="shared" si="4"/>
        <v>#DIV/0!</v>
      </c>
      <c r="K60" s="38" t="e">
        <f t="shared" si="5"/>
        <v>#DIV/0!</v>
      </c>
      <c r="L60" s="38" t="e">
        <f t="shared" si="6"/>
        <v>#DIV/0!</v>
      </c>
      <c r="M60" s="35"/>
      <c r="N60" s="35"/>
      <c r="O60" s="35"/>
      <c r="P60" s="35"/>
      <c r="Q60" s="35"/>
      <c r="R60" s="35"/>
      <c r="S60" s="35"/>
      <c r="T60" s="35"/>
      <c r="U60" s="35"/>
    </row>
    <row r="61" spans="1:21" x14ac:dyDescent="0.25">
      <c r="A61" s="40">
        <v>60</v>
      </c>
      <c r="B61" s="41">
        <f t="shared" si="18"/>
        <v>1</v>
      </c>
      <c r="C61" s="41"/>
      <c r="D61" s="42">
        <f t="shared" si="1"/>
        <v>0</v>
      </c>
      <c r="E61" s="42"/>
      <c r="F61" s="42">
        <f t="shared" ref="F61" si="64">F60</f>
        <v>4.8110999999999997</v>
      </c>
      <c r="G61" s="42"/>
      <c r="H61" s="43">
        <f t="shared" si="2"/>
        <v>0</v>
      </c>
      <c r="I61" s="42" t="e">
        <f t="shared" si="3"/>
        <v>#DIV/0!</v>
      </c>
      <c r="J61" s="44" t="e">
        <f t="shared" si="4"/>
        <v>#DIV/0!</v>
      </c>
      <c r="K61" s="44" t="e">
        <f t="shared" si="5"/>
        <v>#DIV/0!</v>
      </c>
      <c r="L61" s="44" t="e">
        <f t="shared" si="6"/>
        <v>#DIV/0!</v>
      </c>
      <c r="M61" s="35"/>
      <c r="N61" s="35"/>
      <c r="O61" s="35"/>
      <c r="P61" s="35"/>
      <c r="Q61" s="35"/>
      <c r="R61" s="35"/>
      <c r="S61" s="35"/>
      <c r="T61" s="35"/>
      <c r="U61" s="35"/>
    </row>
    <row r="62" spans="1:21" x14ac:dyDescent="0.25">
      <c r="A62" s="45">
        <v>61</v>
      </c>
      <c r="B62" s="46">
        <f t="shared" si="18"/>
        <v>1</v>
      </c>
      <c r="C62" s="46"/>
      <c r="D62" s="47">
        <f t="shared" si="1"/>
        <v>0</v>
      </c>
      <c r="E62" s="47"/>
      <c r="F62" s="47">
        <f t="shared" ref="F62" si="65">F60</f>
        <v>4.8110999999999997</v>
      </c>
      <c r="G62" s="47"/>
      <c r="H62" s="48">
        <f t="shared" si="2"/>
        <v>0</v>
      </c>
      <c r="I62" s="47" t="e">
        <f t="shared" si="3"/>
        <v>#DIV/0!</v>
      </c>
      <c r="J62" s="38" t="e">
        <f t="shared" si="4"/>
        <v>#DIV/0!</v>
      </c>
      <c r="K62" s="38" t="e">
        <f t="shared" si="5"/>
        <v>#DIV/0!</v>
      </c>
      <c r="L62" s="38" t="e">
        <f t="shared" si="6"/>
        <v>#DIV/0!</v>
      </c>
      <c r="M62" s="35"/>
      <c r="N62" s="35"/>
      <c r="O62" s="35"/>
      <c r="P62" s="35"/>
      <c r="Q62" s="35"/>
      <c r="R62" s="35"/>
      <c r="S62" s="35"/>
      <c r="T62" s="35"/>
      <c r="U62" s="35"/>
    </row>
    <row r="63" spans="1:21" x14ac:dyDescent="0.25">
      <c r="A63" s="40">
        <v>62</v>
      </c>
      <c r="B63" s="41">
        <f t="shared" si="18"/>
        <v>1</v>
      </c>
      <c r="C63" s="41"/>
      <c r="D63" s="42">
        <f t="shared" si="1"/>
        <v>0</v>
      </c>
      <c r="E63" s="42"/>
      <c r="F63" s="42">
        <f t="shared" ref="F63" si="66">F62</f>
        <v>4.8110999999999997</v>
      </c>
      <c r="G63" s="42"/>
      <c r="H63" s="43">
        <f t="shared" si="2"/>
        <v>0</v>
      </c>
      <c r="I63" s="42" t="e">
        <f t="shared" si="3"/>
        <v>#DIV/0!</v>
      </c>
      <c r="J63" s="44" t="e">
        <f t="shared" si="4"/>
        <v>#DIV/0!</v>
      </c>
      <c r="K63" s="44" t="e">
        <f t="shared" si="5"/>
        <v>#DIV/0!</v>
      </c>
      <c r="L63" s="44" t="e">
        <f t="shared" si="6"/>
        <v>#DIV/0!</v>
      </c>
      <c r="M63" s="35"/>
      <c r="N63" s="35"/>
      <c r="O63" s="35"/>
      <c r="P63" s="35"/>
      <c r="Q63" s="35"/>
      <c r="R63" s="35"/>
      <c r="S63" s="35"/>
      <c r="T63" s="35"/>
      <c r="U63" s="35"/>
    </row>
    <row r="64" spans="1:21" x14ac:dyDescent="0.25">
      <c r="A64" s="45">
        <v>63</v>
      </c>
      <c r="B64" s="46">
        <f t="shared" si="18"/>
        <v>1</v>
      </c>
      <c r="C64" s="46"/>
      <c r="D64" s="47">
        <f t="shared" si="1"/>
        <v>0</v>
      </c>
      <c r="E64" s="47"/>
      <c r="F64" s="47">
        <f t="shared" ref="F64" si="67">F62</f>
        <v>4.8110999999999997</v>
      </c>
      <c r="G64" s="47"/>
      <c r="H64" s="48">
        <f t="shared" si="2"/>
        <v>0</v>
      </c>
      <c r="I64" s="47" t="e">
        <f t="shared" si="3"/>
        <v>#DIV/0!</v>
      </c>
      <c r="J64" s="38" t="e">
        <f t="shared" si="4"/>
        <v>#DIV/0!</v>
      </c>
      <c r="K64" s="38" t="e">
        <f t="shared" si="5"/>
        <v>#DIV/0!</v>
      </c>
      <c r="L64" s="38" t="e">
        <f t="shared" si="6"/>
        <v>#DIV/0!</v>
      </c>
      <c r="M64" s="35"/>
      <c r="N64" s="35"/>
      <c r="O64" s="35"/>
      <c r="P64" s="35"/>
      <c r="Q64" s="35"/>
      <c r="R64" s="35"/>
      <c r="S64" s="35"/>
      <c r="T64" s="35"/>
      <c r="U64" s="35"/>
    </row>
    <row r="65" spans="1:21" x14ac:dyDescent="0.25">
      <c r="A65" s="40">
        <v>64</v>
      </c>
      <c r="B65" s="41">
        <f t="shared" si="18"/>
        <v>1</v>
      </c>
      <c r="C65" s="41"/>
      <c r="D65" s="42">
        <f t="shared" si="1"/>
        <v>0</v>
      </c>
      <c r="E65" s="42"/>
      <c r="F65" s="42">
        <f t="shared" ref="F65" si="68">F64</f>
        <v>4.8110999999999997</v>
      </c>
      <c r="G65" s="42"/>
      <c r="H65" s="43">
        <f t="shared" si="2"/>
        <v>0</v>
      </c>
      <c r="I65" s="42" t="e">
        <f t="shared" si="3"/>
        <v>#DIV/0!</v>
      </c>
      <c r="J65" s="44" t="e">
        <f t="shared" si="4"/>
        <v>#DIV/0!</v>
      </c>
      <c r="K65" s="44" t="e">
        <f t="shared" si="5"/>
        <v>#DIV/0!</v>
      </c>
      <c r="L65" s="44" t="e">
        <f t="shared" si="6"/>
        <v>#DIV/0!</v>
      </c>
      <c r="M65" s="35"/>
      <c r="N65" s="35"/>
      <c r="O65" s="35"/>
      <c r="P65" s="35"/>
      <c r="Q65" s="35"/>
      <c r="R65" s="35"/>
      <c r="S65" s="35"/>
      <c r="T65" s="35"/>
      <c r="U65" s="35"/>
    </row>
    <row r="66" spans="1:21" x14ac:dyDescent="0.25">
      <c r="A66" s="45">
        <v>65</v>
      </c>
      <c r="B66" s="46">
        <f t="shared" si="18"/>
        <v>1</v>
      </c>
      <c r="C66" s="46"/>
      <c r="D66" s="47">
        <f t="shared" si="1"/>
        <v>0</v>
      </c>
      <c r="E66" s="47"/>
      <c r="F66" s="47">
        <f t="shared" ref="F66" si="69">F64</f>
        <v>4.8110999999999997</v>
      </c>
      <c r="G66" s="47"/>
      <c r="H66" s="48">
        <f t="shared" si="2"/>
        <v>0</v>
      </c>
      <c r="I66" s="47" t="e">
        <f t="shared" si="3"/>
        <v>#DIV/0!</v>
      </c>
      <c r="J66" s="38" t="e">
        <f t="shared" si="4"/>
        <v>#DIV/0!</v>
      </c>
      <c r="K66" s="38" t="e">
        <f t="shared" si="5"/>
        <v>#DIV/0!</v>
      </c>
      <c r="L66" s="38" t="e">
        <f t="shared" si="6"/>
        <v>#DIV/0!</v>
      </c>
      <c r="M66" s="35"/>
      <c r="N66" s="35"/>
      <c r="O66" s="35"/>
      <c r="P66" s="35"/>
      <c r="Q66" s="35"/>
      <c r="R66" s="35"/>
      <c r="S66" s="35"/>
      <c r="T66" s="35"/>
      <c r="U66" s="35"/>
    </row>
    <row r="67" spans="1:21" x14ac:dyDescent="0.25">
      <c r="A67" s="40">
        <v>66</v>
      </c>
      <c r="B67" s="41">
        <f t="shared" si="18"/>
        <v>1</v>
      </c>
      <c r="C67" s="41"/>
      <c r="D67" s="42">
        <f t="shared" ref="D67:D85" si="70">C67-B67+1</f>
        <v>0</v>
      </c>
      <c r="E67" s="42"/>
      <c r="F67" s="42">
        <f t="shared" ref="F67" si="71">F66</f>
        <v>4.8110999999999997</v>
      </c>
      <c r="G67" s="42"/>
      <c r="H67" s="43">
        <f t="shared" ref="H67:H85" si="72">F67*G67</f>
        <v>0</v>
      </c>
      <c r="I67" s="42" t="e">
        <f t="shared" ref="I67:I85" si="73">H67/D67</f>
        <v>#DIV/0!</v>
      </c>
      <c r="J67" s="44" t="e">
        <f t="shared" si="4"/>
        <v>#DIV/0!</v>
      </c>
      <c r="K67" s="44" t="e">
        <f t="shared" si="5"/>
        <v>#DIV/0!</v>
      </c>
      <c r="L67" s="44" t="e">
        <f t="shared" si="6"/>
        <v>#DIV/0!</v>
      </c>
      <c r="M67" s="35"/>
      <c r="N67" s="35"/>
      <c r="O67" s="35"/>
      <c r="P67" s="35"/>
      <c r="Q67" s="35"/>
      <c r="R67" s="35"/>
      <c r="S67" s="35"/>
      <c r="T67" s="35"/>
      <c r="U67" s="35"/>
    </row>
    <row r="68" spans="1:21" x14ac:dyDescent="0.25">
      <c r="A68" s="45">
        <v>67</v>
      </c>
      <c r="B68" s="46">
        <f t="shared" si="18"/>
        <v>1</v>
      </c>
      <c r="C68" s="46"/>
      <c r="D68" s="47">
        <f t="shared" si="70"/>
        <v>0</v>
      </c>
      <c r="E68" s="47"/>
      <c r="F68" s="47">
        <f t="shared" ref="F68" si="74">F66</f>
        <v>4.8110999999999997</v>
      </c>
      <c r="G68" s="47"/>
      <c r="H68" s="48">
        <f t="shared" si="72"/>
        <v>0</v>
      </c>
      <c r="I68" s="47" t="e">
        <f t="shared" si="73"/>
        <v>#DIV/0!</v>
      </c>
      <c r="J68" s="38" t="e">
        <f t="shared" ref="J68:J77" si="75">E68/D68</f>
        <v>#DIV/0!</v>
      </c>
      <c r="K68" s="38" t="e">
        <f t="shared" ref="K68:K77" si="76">G68/D68</f>
        <v>#DIV/0!</v>
      </c>
      <c r="L68" s="38" t="e">
        <f t="shared" ref="L68:L77" si="77">K68*F68</f>
        <v>#DIV/0!</v>
      </c>
      <c r="M68" s="35"/>
      <c r="N68" s="35"/>
      <c r="O68" s="35"/>
      <c r="P68" s="35"/>
      <c r="Q68" s="35"/>
      <c r="R68" s="35"/>
      <c r="S68" s="35"/>
      <c r="T68" s="35"/>
      <c r="U68" s="35"/>
    </row>
    <row r="69" spans="1:21" x14ac:dyDescent="0.25">
      <c r="A69" s="40">
        <v>68</v>
      </c>
      <c r="B69" s="41">
        <f t="shared" si="18"/>
        <v>1</v>
      </c>
      <c r="C69" s="41"/>
      <c r="D69" s="42">
        <f t="shared" si="70"/>
        <v>0</v>
      </c>
      <c r="E69" s="42"/>
      <c r="F69" s="42">
        <f t="shared" ref="F69" si="78">F68</f>
        <v>4.8110999999999997</v>
      </c>
      <c r="G69" s="42"/>
      <c r="H69" s="43">
        <f t="shared" si="72"/>
        <v>0</v>
      </c>
      <c r="I69" s="42" t="e">
        <f t="shared" si="73"/>
        <v>#DIV/0!</v>
      </c>
      <c r="J69" s="44" t="e">
        <f t="shared" si="75"/>
        <v>#DIV/0!</v>
      </c>
      <c r="K69" s="44" t="e">
        <f t="shared" si="76"/>
        <v>#DIV/0!</v>
      </c>
      <c r="L69" s="44" t="e">
        <f t="shared" si="77"/>
        <v>#DIV/0!</v>
      </c>
      <c r="M69" s="35"/>
      <c r="N69" s="35"/>
      <c r="O69" s="35"/>
      <c r="P69" s="35"/>
      <c r="Q69" s="35"/>
      <c r="R69" s="35"/>
      <c r="S69" s="35"/>
      <c r="T69" s="35"/>
      <c r="U69" s="35"/>
    </row>
    <row r="70" spans="1:21" x14ac:dyDescent="0.25">
      <c r="A70" s="45">
        <v>69</v>
      </c>
      <c r="B70" s="46">
        <f t="shared" si="18"/>
        <v>1</v>
      </c>
      <c r="C70" s="46"/>
      <c r="D70" s="47">
        <f t="shared" si="70"/>
        <v>0</v>
      </c>
      <c r="E70" s="47"/>
      <c r="F70" s="47">
        <f t="shared" ref="F70" si="79">F68</f>
        <v>4.8110999999999997</v>
      </c>
      <c r="G70" s="47"/>
      <c r="H70" s="48">
        <f t="shared" si="72"/>
        <v>0</v>
      </c>
      <c r="I70" s="47" t="e">
        <f t="shared" si="73"/>
        <v>#DIV/0!</v>
      </c>
      <c r="J70" s="38" t="e">
        <f t="shared" si="75"/>
        <v>#DIV/0!</v>
      </c>
      <c r="K70" s="38" t="e">
        <f t="shared" si="76"/>
        <v>#DIV/0!</v>
      </c>
      <c r="L70" s="38" t="e">
        <f t="shared" si="77"/>
        <v>#DIV/0!</v>
      </c>
      <c r="M70" s="35"/>
      <c r="N70" s="35"/>
      <c r="O70" s="35"/>
      <c r="P70" s="35"/>
      <c r="Q70" s="35"/>
      <c r="R70" s="35"/>
      <c r="S70" s="35"/>
      <c r="T70" s="35"/>
      <c r="U70" s="35"/>
    </row>
    <row r="71" spans="1:21" x14ac:dyDescent="0.25">
      <c r="A71" s="40">
        <v>70</v>
      </c>
      <c r="B71" s="41">
        <f t="shared" si="18"/>
        <v>1</v>
      </c>
      <c r="C71" s="41"/>
      <c r="D71" s="42">
        <f t="shared" si="70"/>
        <v>0</v>
      </c>
      <c r="E71" s="42"/>
      <c r="F71" s="42">
        <f t="shared" ref="F71" si="80">F70</f>
        <v>4.8110999999999997</v>
      </c>
      <c r="G71" s="42"/>
      <c r="H71" s="43">
        <f t="shared" si="72"/>
        <v>0</v>
      </c>
      <c r="I71" s="42" t="e">
        <f t="shared" si="73"/>
        <v>#DIV/0!</v>
      </c>
      <c r="J71" s="44" t="e">
        <f t="shared" si="75"/>
        <v>#DIV/0!</v>
      </c>
      <c r="K71" s="44" t="e">
        <f t="shared" si="76"/>
        <v>#DIV/0!</v>
      </c>
      <c r="L71" s="44" t="e">
        <f t="shared" si="77"/>
        <v>#DIV/0!</v>
      </c>
      <c r="M71" s="35"/>
      <c r="N71" s="35"/>
      <c r="O71" s="35"/>
      <c r="P71" s="35"/>
      <c r="Q71" s="35"/>
      <c r="R71" s="35"/>
      <c r="S71" s="35"/>
      <c r="T71" s="35"/>
      <c r="U71" s="35"/>
    </row>
    <row r="72" spans="1:21" x14ac:dyDescent="0.25">
      <c r="A72" s="45">
        <v>71</v>
      </c>
      <c r="B72" s="46">
        <f t="shared" si="18"/>
        <v>1</v>
      </c>
      <c r="C72" s="46"/>
      <c r="D72" s="47">
        <f t="shared" si="70"/>
        <v>0</v>
      </c>
      <c r="E72" s="47"/>
      <c r="F72" s="47">
        <f t="shared" ref="F72" si="81">F70</f>
        <v>4.8110999999999997</v>
      </c>
      <c r="G72" s="47"/>
      <c r="H72" s="48">
        <f t="shared" si="72"/>
        <v>0</v>
      </c>
      <c r="I72" s="47" t="e">
        <f t="shared" si="73"/>
        <v>#DIV/0!</v>
      </c>
      <c r="J72" s="38" t="e">
        <f t="shared" si="75"/>
        <v>#DIV/0!</v>
      </c>
      <c r="K72" s="38" t="e">
        <f t="shared" si="76"/>
        <v>#DIV/0!</v>
      </c>
      <c r="L72" s="38" t="e">
        <f t="shared" si="77"/>
        <v>#DIV/0!</v>
      </c>
      <c r="M72" s="35"/>
      <c r="N72" s="35"/>
      <c r="O72" s="35"/>
      <c r="P72" s="35"/>
      <c r="Q72" s="35"/>
      <c r="R72" s="35"/>
      <c r="S72" s="35"/>
      <c r="T72" s="35"/>
      <c r="U72" s="35"/>
    </row>
    <row r="73" spans="1:21" x14ac:dyDescent="0.25">
      <c r="A73" s="40">
        <v>72</v>
      </c>
      <c r="B73" s="41">
        <f t="shared" si="18"/>
        <v>1</v>
      </c>
      <c r="C73" s="41"/>
      <c r="D73" s="42">
        <f t="shared" si="70"/>
        <v>0</v>
      </c>
      <c r="E73" s="42"/>
      <c r="F73" s="42">
        <f t="shared" ref="F73" si="82">F72</f>
        <v>4.8110999999999997</v>
      </c>
      <c r="G73" s="42"/>
      <c r="H73" s="43">
        <f t="shared" si="72"/>
        <v>0</v>
      </c>
      <c r="I73" s="42" t="e">
        <f t="shared" si="73"/>
        <v>#DIV/0!</v>
      </c>
      <c r="J73" s="44" t="e">
        <f t="shared" si="75"/>
        <v>#DIV/0!</v>
      </c>
      <c r="K73" s="44" t="e">
        <f t="shared" si="76"/>
        <v>#DIV/0!</v>
      </c>
      <c r="L73" s="44" t="e">
        <f t="shared" si="77"/>
        <v>#DIV/0!</v>
      </c>
      <c r="M73" s="35"/>
      <c r="N73" s="35"/>
      <c r="O73" s="35"/>
      <c r="P73" s="35"/>
      <c r="Q73" s="35"/>
      <c r="R73" s="35"/>
      <c r="S73" s="35"/>
      <c r="T73" s="35"/>
      <c r="U73" s="35"/>
    </row>
    <row r="74" spans="1:21" x14ac:dyDescent="0.25">
      <c r="A74" s="45">
        <v>73</v>
      </c>
      <c r="B74" s="46">
        <f t="shared" si="18"/>
        <v>1</v>
      </c>
      <c r="C74" s="46"/>
      <c r="D74" s="47">
        <f t="shared" si="70"/>
        <v>0</v>
      </c>
      <c r="E74" s="47"/>
      <c r="F74" s="47">
        <f t="shared" ref="F74" si="83">F72</f>
        <v>4.8110999999999997</v>
      </c>
      <c r="G74" s="47"/>
      <c r="H74" s="48">
        <f t="shared" si="72"/>
        <v>0</v>
      </c>
      <c r="I74" s="47" t="e">
        <f t="shared" si="73"/>
        <v>#DIV/0!</v>
      </c>
      <c r="J74" s="38" t="e">
        <f t="shared" si="75"/>
        <v>#DIV/0!</v>
      </c>
      <c r="K74" s="38" t="e">
        <f t="shared" si="76"/>
        <v>#DIV/0!</v>
      </c>
      <c r="L74" s="38" t="e">
        <f t="shared" si="77"/>
        <v>#DIV/0!</v>
      </c>
      <c r="M74" s="35"/>
      <c r="N74" s="35"/>
      <c r="O74" s="35"/>
      <c r="P74" s="35"/>
      <c r="Q74" s="35"/>
      <c r="R74" s="35"/>
      <c r="S74" s="35"/>
      <c r="T74" s="35"/>
      <c r="U74" s="35"/>
    </row>
    <row r="75" spans="1:21" x14ac:dyDescent="0.25">
      <c r="A75" s="40">
        <v>74</v>
      </c>
      <c r="B75" s="41">
        <f t="shared" si="18"/>
        <v>1</v>
      </c>
      <c r="C75" s="41"/>
      <c r="D75" s="42">
        <f t="shared" si="70"/>
        <v>0</v>
      </c>
      <c r="E75" s="42"/>
      <c r="F75" s="42">
        <f t="shared" ref="F75" si="84">F74</f>
        <v>4.8110999999999997</v>
      </c>
      <c r="G75" s="42"/>
      <c r="H75" s="43">
        <f t="shared" si="72"/>
        <v>0</v>
      </c>
      <c r="I75" s="42" t="e">
        <f t="shared" si="73"/>
        <v>#DIV/0!</v>
      </c>
      <c r="J75" s="44" t="e">
        <f t="shared" si="75"/>
        <v>#DIV/0!</v>
      </c>
      <c r="K75" s="44" t="e">
        <f t="shared" si="76"/>
        <v>#DIV/0!</v>
      </c>
      <c r="L75" s="44" t="e">
        <f t="shared" si="77"/>
        <v>#DIV/0!</v>
      </c>
      <c r="M75" s="35"/>
      <c r="N75" s="35"/>
      <c r="O75" s="35"/>
      <c r="P75" s="35"/>
      <c r="Q75" s="35"/>
      <c r="R75" s="35"/>
      <c r="S75" s="35"/>
      <c r="T75" s="35"/>
      <c r="U75" s="35"/>
    </row>
    <row r="76" spans="1:21" x14ac:dyDescent="0.25">
      <c r="A76" s="45">
        <v>75</v>
      </c>
      <c r="B76" s="46">
        <f t="shared" si="18"/>
        <v>1</v>
      </c>
      <c r="C76" s="46"/>
      <c r="D76" s="47">
        <f t="shared" si="70"/>
        <v>0</v>
      </c>
      <c r="E76" s="47"/>
      <c r="F76" s="47">
        <f t="shared" ref="F76" si="85">F74</f>
        <v>4.8110999999999997</v>
      </c>
      <c r="G76" s="47"/>
      <c r="H76" s="48">
        <f t="shared" si="72"/>
        <v>0</v>
      </c>
      <c r="I76" s="47" t="e">
        <f t="shared" si="73"/>
        <v>#DIV/0!</v>
      </c>
      <c r="J76" s="38" t="e">
        <f t="shared" si="75"/>
        <v>#DIV/0!</v>
      </c>
      <c r="K76" s="38" t="e">
        <f t="shared" si="76"/>
        <v>#DIV/0!</v>
      </c>
      <c r="L76" s="38" t="e">
        <f t="shared" si="77"/>
        <v>#DIV/0!</v>
      </c>
      <c r="M76" s="35"/>
      <c r="N76" s="35"/>
      <c r="O76" s="35"/>
      <c r="P76" s="35"/>
      <c r="Q76" s="35"/>
      <c r="R76" s="35"/>
      <c r="S76" s="35"/>
      <c r="T76" s="35"/>
      <c r="U76" s="35"/>
    </row>
    <row r="77" spans="1:21" x14ac:dyDescent="0.25">
      <c r="A77" s="40">
        <v>76</v>
      </c>
      <c r="B77" s="41">
        <f t="shared" si="18"/>
        <v>1</v>
      </c>
      <c r="C77" s="41"/>
      <c r="D77" s="42">
        <f t="shared" si="70"/>
        <v>0</v>
      </c>
      <c r="E77" s="42"/>
      <c r="F77" s="42">
        <f t="shared" ref="F77" si="86">F76</f>
        <v>4.8110999999999997</v>
      </c>
      <c r="G77" s="42"/>
      <c r="H77" s="43">
        <f t="shared" si="72"/>
        <v>0</v>
      </c>
      <c r="I77" s="42" t="e">
        <f t="shared" si="73"/>
        <v>#DIV/0!</v>
      </c>
      <c r="J77" s="44" t="e">
        <f t="shared" si="75"/>
        <v>#DIV/0!</v>
      </c>
      <c r="K77" s="44" t="e">
        <f t="shared" si="76"/>
        <v>#DIV/0!</v>
      </c>
      <c r="L77" s="44" t="e">
        <f t="shared" si="77"/>
        <v>#DIV/0!</v>
      </c>
      <c r="M77" s="35"/>
      <c r="N77" s="35"/>
      <c r="O77" s="35"/>
      <c r="P77" s="35"/>
      <c r="Q77" s="35"/>
      <c r="R77" s="35"/>
      <c r="S77" s="35"/>
      <c r="T77" s="35"/>
      <c r="U77" s="35"/>
    </row>
    <row r="78" spans="1:21" x14ac:dyDescent="0.25"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35"/>
      <c r="N78" s="35"/>
      <c r="O78" s="35"/>
      <c r="P78" s="35"/>
      <c r="Q78" s="35"/>
      <c r="R78" s="35"/>
      <c r="S78" s="35"/>
      <c r="T78" s="35"/>
      <c r="U78" s="35"/>
    </row>
    <row r="79" spans="1:21" x14ac:dyDescent="0.25"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35"/>
      <c r="N79" s="35"/>
      <c r="O79" s="35"/>
      <c r="P79" s="35"/>
      <c r="Q79" s="35"/>
      <c r="R79" s="35"/>
      <c r="S79" s="35"/>
      <c r="T79" s="35"/>
      <c r="U79" s="35"/>
    </row>
    <row r="80" spans="1:21" x14ac:dyDescent="0.25"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35"/>
      <c r="N80" s="35"/>
      <c r="O80" s="35"/>
      <c r="P80" s="35"/>
      <c r="Q80" s="35"/>
      <c r="R80" s="35"/>
      <c r="S80" s="35"/>
      <c r="T80" s="35"/>
      <c r="U80" s="35"/>
    </row>
    <row r="81" spans="2:21" x14ac:dyDescent="0.25"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35"/>
      <c r="N81" s="35"/>
      <c r="O81" s="35"/>
      <c r="P81" s="35"/>
      <c r="Q81" s="35"/>
      <c r="R81" s="35"/>
      <c r="S81" s="35"/>
      <c r="T81" s="35"/>
      <c r="U81" s="35"/>
    </row>
    <row r="82" spans="2:21" x14ac:dyDescent="0.25"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35"/>
      <c r="N82" s="35"/>
      <c r="O82" s="35"/>
      <c r="P82" s="35"/>
      <c r="Q82" s="35"/>
      <c r="R82" s="35"/>
      <c r="S82" s="35"/>
      <c r="T82" s="35"/>
      <c r="U82" s="35"/>
    </row>
    <row r="83" spans="2:21" x14ac:dyDescent="0.25"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35"/>
      <c r="N83" s="35"/>
      <c r="O83" s="35"/>
      <c r="P83" s="35"/>
      <c r="Q83" s="35"/>
      <c r="R83" s="35"/>
      <c r="S83" s="35"/>
      <c r="T83" s="35"/>
      <c r="U83" s="35"/>
    </row>
    <row r="84" spans="2:21" x14ac:dyDescent="0.25"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35"/>
      <c r="N84" s="35"/>
      <c r="O84" s="35"/>
      <c r="P84" s="35"/>
      <c r="Q84" s="35"/>
      <c r="R84" s="35"/>
      <c r="S84" s="35"/>
      <c r="T84" s="35"/>
      <c r="U84" s="35"/>
    </row>
    <row r="85" spans="2:21" x14ac:dyDescent="0.25"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35"/>
      <c r="N85" s="35"/>
      <c r="O85" s="35"/>
      <c r="P85" s="35"/>
      <c r="Q85" s="35"/>
      <c r="R85" s="35"/>
      <c r="S85" s="35"/>
      <c r="T85" s="35"/>
      <c r="U85" s="35"/>
    </row>
    <row r="86" spans="2:21" x14ac:dyDescent="0.25"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35"/>
      <c r="N86" s="35"/>
      <c r="O86" s="35"/>
      <c r="P86" s="35"/>
      <c r="Q86" s="35"/>
      <c r="R86" s="35"/>
      <c r="S86" s="35"/>
      <c r="T86" s="35"/>
      <c r="U86" s="35"/>
    </row>
    <row r="87" spans="2:21" x14ac:dyDescent="0.25"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35"/>
      <c r="N87" s="35"/>
      <c r="O87" s="35"/>
      <c r="P87" s="35"/>
      <c r="Q87" s="35"/>
      <c r="R87" s="35"/>
      <c r="S87" s="35"/>
      <c r="T87" s="35"/>
      <c r="U87" s="35"/>
    </row>
    <row r="88" spans="2:21" x14ac:dyDescent="0.25"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35"/>
      <c r="N88" s="35"/>
      <c r="O88" s="35"/>
      <c r="P88" s="35"/>
      <c r="Q88" s="35"/>
      <c r="R88" s="35"/>
      <c r="S88" s="35"/>
      <c r="T88" s="35"/>
      <c r="U88" s="35"/>
    </row>
    <row r="89" spans="2:21" x14ac:dyDescent="0.25"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35"/>
      <c r="N89" s="35"/>
      <c r="O89" s="35"/>
      <c r="P89" s="35"/>
      <c r="Q89" s="35"/>
      <c r="R89" s="35"/>
      <c r="S89" s="35"/>
      <c r="T89" s="35"/>
      <c r="U89" s="35"/>
    </row>
    <row r="90" spans="2:21" x14ac:dyDescent="0.25"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35"/>
      <c r="N90" s="35"/>
      <c r="O90" s="35"/>
      <c r="P90" s="35"/>
      <c r="Q90" s="35"/>
      <c r="R90" s="35"/>
      <c r="S90" s="35"/>
      <c r="T90" s="35"/>
      <c r="U90" s="35"/>
    </row>
    <row r="91" spans="2:21" x14ac:dyDescent="0.25"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35"/>
      <c r="N91" s="35"/>
      <c r="O91" s="35"/>
      <c r="P91" s="35"/>
      <c r="Q91" s="35"/>
      <c r="R91" s="35"/>
      <c r="S91" s="35"/>
      <c r="T91" s="35"/>
      <c r="U91" s="35"/>
    </row>
    <row r="92" spans="2:21" x14ac:dyDescent="0.25"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35"/>
      <c r="N92" s="35"/>
      <c r="O92" s="35"/>
      <c r="P92" s="35"/>
      <c r="Q92" s="35"/>
      <c r="R92" s="35"/>
      <c r="S92" s="35"/>
      <c r="T92" s="35"/>
      <c r="U92" s="35"/>
    </row>
    <row r="93" spans="2:21" x14ac:dyDescent="0.25"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35"/>
      <c r="N93" s="35"/>
      <c r="O93" s="35"/>
      <c r="P93" s="35"/>
      <c r="Q93" s="35"/>
      <c r="R93" s="35"/>
      <c r="S93" s="35"/>
      <c r="T93" s="35"/>
      <c r="U93" s="35"/>
    </row>
    <row r="94" spans="2:21" x14ac:dyDescent="0.25"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35"/>
      <c r="N94" s="35"/>
      <c r="O94" s="35"/>
      <c r="P94" s="35"/>
      <c r="Q94" s="35"/>
      <c r="R94" s="35"/>
      <c r="S94" s="35"/>
      <c r="T94" s="35"/>
      <c r="U94" s="35"/>
    </row>
    <row r="95" spans="2:21" x14ac:dyDescent="0.25"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35"/>
      <c r="N95" s="35"/>
      <c r="O95" s="35"/>
      <c r="P95" s="35"/>
      <c r="Q95" s="35"/>
      <c r="R95" s="35"/>
      <c r="S95" s="35"/>
      <c r="T95" s="35"/>
      <c r="U95" s="35"/>
    </row>
    <row r="96" spans="2:21" x14ac:dyDescent="0.25"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35"/>
      <c r="N96" s="35"/>
      <c r="O96" s="35"/>
      <c r="P96" s="35"/>
      <c r="Q96" s="35"/>
      <c r="R96" s="35"/>
      <c r="S96" s="35"/>
      <c r="T96" s="35"/>
      <c r="U96" s="35"/>
    </row>
    <row r="97" spans="2:21" x14ac:dyDescent="0.25"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35"/>
      <c r="N97" s="35"/>
      <c r="O97" s="35"/>
      <c r="P97" s="35"/>
      <c r="Q97" s="35"/>
      <c r="R97" s="35"/>
      <c r="S97" s="35"/>
      <c r="T97" s="35"/>
      <c r="U97" s="35"/>
    </row>
    <row r="98" spans="2:21" x14ac:dyDescent="0.25"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35"/>
      <c r="N98" s="35"/>
      <c r="O98" s="35"/>
      <c r="P98" s="35"/>
      <c r="Q98" s="35"/>
      <c r="R98" s="35"/>
      <c r="S98" s="35"/>
      <c r="T98" s="35"/>
      <c r="U98" s="35"/>
    </row>
    <row r="99" spans="2:21" x14ac:dyDescent="0.25"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35"/>
      <c r="N99" s="35"/>
      <c r="O99" s="35"/>
      <c r="P99" s="35"/>
      <c r="Q99" s="35"/>
      <c r="R99" s="35"/>
      <c r="S99" s="35"/>
      <c r="T99" s="35"/>
      <c r="U99" s="35"/>
    </row>
    <row r="100" spans="2:21" x14ac:dyDescent="0.25"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35"/>
      <c r="N100" s="35"/>
      <c r="O100" s="35"/>
      <c r="P100" s="35"/>
      <c r="Q100" s="35"/>
      <c r="R100" s="35"/>
      <c r="S100" s="35"/>
      <c r="T100" s="35"/>
      <c r="U100" s="35"/>
    </row>
    <row r="101" spans="2:21" x14ac:dyDescent="0.25"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35"/>
      <c r="N101" s="35"/>
      <c r="O101" s="35"/>
      <c r="P101" s="35"/>
      <c r="Q101" s="35"/>
      <c r="R101" s="35"/>
      <c r="S101" s="35"/>
      <c r="T101" s="35"/>
      <c r="U101" s="35"/>
    </row>
    <row r="102" spans="2:21" x14ac:dyDescent="0.25"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35"/>
      <c r="N102" s="35"/>
      <c r="O102" s="35"/>
      <c r="P102" s="35"/>
      <c r="Q102" s="35"/>
      <c r="R102" s="35"/>
      <c r="S102" s="35"/>
      <c r="T102" s="35"/>
      <c r="U102" s="35"/>
    </row>
    <row r="103" spans="2:21" x14ac:dyDescent="0.25"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35"/>
      <c r="N103" s="35"/>
      <c r="O103" s="35"/>
      <c r="P103" s="35"/>
      <c r="Q103" s="35"/>
      <c r="R103" s="35"/>
      <c r="S103" s="35"/>
      <c r="T103" s="35"/>
      <c r="U103" s="35"/>
    </row>
    <row r="104" spans="2:21" x14ac:dyDescent="0.25"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35"/>
      <c r="N104" s="35"/>
      <c r="O104" s="35"/>
      <c r="P104" s="35"/>
      <c r="Q104" s="35"/>
      <c r="R104" s="35"/>
      <c r="S104" s="35"/>
      <c r="T104" s="35"/>
      <c r="U104" s="35"/>
    </row>
    <row r="105" spans="2:21" x14ac:dyDescent="0.25"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35"/>
      <c r="N105" s="35"/>
      <c r="O105" s="35"/>
      <c r="P105" s="35"/>
      <c r="Q105" s="35"/>
      <c r="R105" s="35"/>
      <c r="S105" s="35"/>
      <c r="T105" s="35"/>
      <c r="U105" s="35"/>
    </row>
    <row r="106" spans="2:21" x14ac:dyDescent="0.25"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35"/>
      <c r="N106" s="35"/>
      <c r="O106" s="35"/>
      <c r="P106" s="35"/>
      <c r="Q106" s="35"/>
      <c r="R106" s="35"/>
      <c r="S106" s="35"/>
      <c r="T106" s="35"/>
      <c r="U106" s="35"/>
    </row>
    <row r="107" spans="2:21" x14ac:dyDescent="0.25"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35"/>
      <c r="N107" s="35"/>
      <c r="O107" s="35"/>
      <c r="P107" s="35"/>
      <c r="Q107" s="35"/>
      <c r="R107" s="35"/>
      <c r="S107" s="35"/>
      <c r="T107" s="35"/>
      <c r="U107" s="35"/>
    </row>
    <row r="108" spans="2:21" x14ac:dyDescent="0.25"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35"/>
      <c r="N108" s="35"/>
      <c r="O108" s="35"/>
      <c r="P108" s="35"/>
      <c r="Q108" s="35"/>
      <c r="R108" s="35"/>
      <c r="S108" s="35"/>
      <c r="T108" s="35"/>
      <c r="U108" s="35"/>
    </row>
    <row r="109" spans="2:21" x14ac:dyDescent="0.25"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35"/>
      <c r="N109" s="35"/>
      <c r="O109" s="35"/>
      <c r="P109" s="35"/>
      <c r="Q109" s="35"/>
      <c r="R109" s="35"/>
      <c r="S109" s="35"/>
      <c r="T109" s="35"/>
      <c r="U109" s="35"/>
    </row>
    <row r="110" spans="2:21" x14ac:dyDescent="0.25"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35"/>
      <c r="N110" s="35"/>
      <c r="O110" s="35"/>
      <c r="P110" s="35"/>
      <c r="Q110" s="35"/>
      <c r="R110" s="35"/>
      <c r="S110" s="35"/>
      <c r="T110" s="35"/>
      <c r="U110" s="35"/>
    </row>
    <row r="111" spans="2:21" x14ac:dyDescent="0.25"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35"/>
      <c r="N111" s="35"/>
      <c r="O111" s="35"/>
      <c r="P111" s="35"/>
      <c r="Q111" s="35"/>
      <c r="R111" s="35"/>
      <c r="S111" s="35"/>
      <c r="T111" s="35"/>
      <c r="U111" s="35"/>
    </row>
    <row r="112" spans="2:21" x14ac:dyDescent="0.25"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35"/>
      <c r="N112" s="35"/>
      <c r="O112" s="35"/>
      <c r="P112" s="35"/>
      <c r="Q112" s="35"/>
      <c r="R112" s="35"/>
      <c r="S112" s="35"/>
      <c r="T112" s="35"/>
      <c r="U112" s="35"/>
    </row>
    <row r="113" spans="2:21" x14ac:dyDescent="0.25"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35"/>
      <c r="N113" s="35"/>
      <c r="O113" s="35"/>
      <c r="P113" s="35"/>
      <c r="Q113" s="35"/>
      <c r="R113" s="35"/>
      <c r="S113" s="35"/>
      <c r="T113" s="35"/>
      <c r="U113" s="35"/>
    </row>
    <row r="114" spans="2:21" x14ac:dyDescent="0.25"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35"/>
      <c r="N114" s="35"/>
      <c r="O114" s="35"/>
      <c r="P114" s="35"/>
      <c r="Q114" s="35"/>
      <c r="R114" s="35"/>
      <c r="S114" s="35"/>
      <c r="T114" s="35"/>
      <c r="U114" s="35"/>
    </row>
    <row r="115" spans="2:21" x14ac:dyDescent="0.25"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35"/>
      <c r="N115" s="35"/>
      <c r="O115" s="35"/>
      <c r="P115" s="35"/>
      <c r="Q115" s="35"/>
      <c r="R115" s="35"/>
      <c r="S115" s="35"/>
      <c r="T115" s="35"/>
      <c r="U115" s="35"/>
    </row>
    <row r="116" spans="2:21" x14ac:dyDescent="0.25"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35"/>
      <c r="N116" s="35"/>
      <c r="O116" s="35"/>
      <c r="P116" s="35"/>
      <c r="Q116" s="35"/>
      <c r="R116" s="35"/>
      <c r="S116" s="35"/>
      <c r="T116" s="35"/>
      <c r="U116" s="35"/>
    </row>
    <row r="117" spans="2:21" x14ac:dyDescent="0.25"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35"/>
      <c r="N117" s="35"/>
      <c r="O117" s="35"/>
      <c r="P117" s="35"/>
      <c r="Q117" s="35"/>
      <c r="R117" s="35"/>
      <c r="S117" s="35"/>
      <c r="T117" s="35"/>
      <c r="U117" s="35"/>
    </row>
    <row r="118" spans="2:21" x14ac:dyDescent="0.25"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35"/>
      <c r="N118" s="35"/>
      <c r="O118" s="35"/>
      <c r="P118" s="35"/>
      <c r="Q118" s="35"/>
      <c r="R118" s="35"/>
      <c r="S118" s="35"/>
      <c r="T118" s="35"/>
      <c r="U118" s="35"/>
    </row>
    <row r="119" spans="2:21" x14ac:dyDescent="0.25"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35"/>
      <c r="N119" s="35"/>
      <c r="O119" s="35"/>
      <c r="P119" s="35"/>
      <c r="Q119" s="35"/>
      <c r="R119" s="35"/>
      <c r="S119" s="35"/>
      <c r="T119" s="35"/>
      <c r="U119" s="35"/>
    </row>
    <row r="120" spans="2:21" x14ac:dyDescent="0.25"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35"/>
      <c r="N120" s="35"/>
      <c r="O120" s="35"/>
      <c r="P120" s="35"/>
      <c r="Q120" s="35"/>
      <c r="R120" s="35"/>
      <c r="S120" s="35"/>
      <c r="T120" s="35"/>
      <c r="U120" s="35"/>
    </row>
    <row r="121" spans="2:21" x14ac:dyDescent="0.25"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35"/>
      <c r="N121" s="35"/>
      <c r="O121" s="35"/>
      <c r="P121" s="35"/>
      <c r="Q121" s="35"/>
      <c r="R121" s="35"/>
      <c r="S121" s="35"/>
      <c r="T121" s="35"/>
      <c r="U121" s="35"/>
    </row>
    <row r="122" spans="2:21" x14ac:dyDescent="0.25"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35"/>
      <c r="N122" s="35"/>
      <c r="O122" s="35"/>
      <c r="P122" s="35"/>
      <c r="Q122" s="35"/>
      <c r="R122" s="35"/>
      <c r="S122" s="35"/>
      <c r="T122" s="35"/>
      <c r="U122" s="35"/>
    </row>
    <row r="123" spans="2:21" x14ac:dyDescent="0.25"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35"/>
      <c r="N123" s="35"/>
      <c r="O123" s="35"/>
      <c r="P123" s="35"/>
      <c r="Q123" s="35"/>
      <c r="R123" s="35"/>
      <c r="S123" s="35"/>
      <c r="T123" s="35"/>
      <c r="U123" s="35"/>
    </row>
    <row r="124" spans="2:21" x14ac:dyDescent="0.25"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35"/>
      <c r="N124" s="35"/>
      <c r="O124" s="35"/>
      <c r="P124" s="35"/>
      <c r="Q124" s="35"/>
      <c r="R124" s="35"/>
      <c r="S124" s="35"/>
      <c r="T124" s="35"/>
      <c r="U124" s="35"/>
    </row>
    <row r="125" spans="2:21" x14ac:dyDescent="0.25"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35"/>
      <c r="N125" s="35"/>
      <c r="O125" s="35"/>
      <c r="P125" s="35"/>
      <c r="Q125" s="35"/>
      <c r="R125" s="35"/>
      <c r="S125" s="35"/>
      <c r="T125" s="35"/>
      <c r="U125" s="35"/>
    </row>
    <row r="126" spans="2:21" x14ac:dyDescent="0.25"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35"/>
      <c r="N126" s="35"/>
      <c r="O126" s="35"/>
      <c r="P126" s="35"/>
      <c r="Q126" s="35"/>
      <c r="R126" s="35"/>
      <c r="S126" s="35"/>
      <c r="T126" s="35"/>
      <c r="U126" s="35"/>
    </row>
    <row r="127" spans="2:21" x14ac:dyDescent="0.25"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35"/>
      <c r="N127" s="35"/>
      <c r="O127" s="35"/>
      <c r="P127" s="35"/>
      <c r="Q127" s="35"/>
      <c r="R127" s="35"/>
      <c r="S127" s="35"/>
      <c r="T127" s="35"/>
      <c r="U127" s="35"/>
    </row>
    <row r="128" spans="2:21" x14ac:dyDescent="0.25"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35"/>
      <c r="N128" s="35"/>
      <c r="O128" s="35"/>
      <c r="P128" s="35"/>
      <c r="Q128" s="35"/>
      <c r="R128" s="35"/>
      <c r="S128" s="35"/>
      <c r="T128" s="35"/>
      <c r="U128" s="35"/>
    </row>
    <row r="129" spans="2:21" x14ac:dyDescent="0.25"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35"/>
      <c r="N129" s="35"/>
      <c r="O129" s="35"/>
      <c r="P129" s="35"/>
      <c r="Q129" s="35"/>
      <c r="R129" s="35"/>
      <c r="S129" s="35"/>
      <c r="T129" s="35"/>
      <c r="U129" s="35"/>
    </row>
    <row r="130" spans="2:21" x14ac:dyDescent="0.25"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35"/>
      <c r="N130" s="35"/>
      <c r="O130" s="35"/>
      <c r="P130" s="35"/>
      <c r="Q130" s="35"/>
      <c r="R130" s="35"/>
      <c r="S130" s="35"/>
      <c r="T130" s="35"/>
      <c r="U130" s="35"/>
    </row>
    <row r="131" spans="2:21" x14ac:dyDescent="0.25"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35"/>
      <c r="N131" s="35"/>
      <c r="O131" s="35"/>
      <c r="P131" s="35"/>
      <c r="Q131" s="35"/>
      <c r="R131" s="35"/>
      <c r="S131" s="35"/>
      <c r="T131" s="35"/>
      <c r="U131" s="35"/>
    </row>
    <row r="132" spans="2:21" x14ac:dyDescent="0.25"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35"/>
      <c r="N132" s="35"/>
      <c r="O132" s="35"/>
      <c r="P132" s="35"/>
      <c r="Q132" s="35"/>
      <c r="R132" s="35"/>
      <c r="S132" s="35"/>
      <c r="T132" s="35"/>
      <c r="U132" s="35"/>
    </row>
    <row r="133" spans="2:21" x14ac:dyDescent="0.25"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35"/>
      <c r="N133" s="35"/>
      <c r="O133" s="35"/>
      <c r="P133" s="35"/>
      <c r="Q133" s="35"/>
      <c r="R133" s="35"/>
      <c r="S133" s="35"/>
      <c r="T133" s="35"/>
      <c r="U133" s="35"/>
    </row>
    <row r="134" spans="2:21" x14ac:dyDescent="0.25"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35"/>
      <c r="N134" s="35"/>
      <c r="O134" s="35"/>
      <c r="P134" s="35"/>
      <c r="Q134" s="35"/>
      <c r="R134" s="35"/>
      <c r="S134" s="35"/>
      <c r="T134" s="35"/>
      <c r="U134" s="35"/>
    </row>
    <row r="135" spans="2:21" x14ac:dyDescent="0.25"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35"/>
      <c r="N135" s="35"/>
      <c r="O135" s="35"/>
      <c r="P135" s="35"/>
      <c r="Q135" s="35"/>
      <c r="R135" s="35"/>
      <c r="S135" s="35"/>
      <c r="T135" s="35"/>
      <c r="U135" s="35"/>
    </row>
    <row r="136" spans="2:21" x14ac:dyDescent="0.25"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35"/>
      <c r="N136" s="35"/>
      <c r="O136" s="35"/>
      <c r="P136" s="35"/>
      <c r="Q136" s="35"/>
      <c r="R136" s="35"/>
      <c r="S136" s="35"/>
      <c r="T136" s="35"/>
      <c r="U136" s="35"/>
    </row>
    <row r="137" spans="2:21" x14ac:dyDescent="0.25"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35"/>
      <c r="N137" s="35"/>
      <c r="O137" s="35"/>
      <c r="P137" s="35"/>
      <c r="Q137" s="35"/>
      <c r="R137" s="35"/>
      <c r="S137" s="35"/>
      <c r="T137" s="35"/>
      <c r="U137" s="35"/>
    </row>
    <row r="138" spans="2:21" x14ac:dyDescent="0.25"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35"/>
      <c r="N138" s="35"/>
      <c r="O138" s="35"/>
      <c r="P138" s="35"/>
      <c r="Q138" s="35"/>
      <c r="R138" s="35"/>
      <c r="S138" s="35"/>
      <c r="T138" s="35"/>
      <c r="U138" s="35"/>
    </row>
    <row r="139" spans="2:21" x14ac:dyDescent="0.25"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35"/>
      <c r="N139" s="35"/>
      <c r="O139" s="35"/>
      <c r="P139" s="35"/>
      <c r="Q139" s="35"/>
      <c r="R139" s="35"/>
      <c r="S139" s="35"/>
      <c r="T139" s="35"/>
      <c r="U139" s="35"/>
    </row>
    <row r="140" spans="2:21" x14ac:dyDescent="0.25"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35"/>
      <c r="N140" s="35"/>
      <c r="O140" s="35"/>
      <c r="P140" s="35"/>
      <c r="Q140" s="35"/>
      <c r="R140" s="35"/>
      <c r="S140" s="35"/>
      <c r="T140" s="35"/>
      <c r="U140" s="35"/>
    </row>
    <row r="141" spans="2:21" x14ac:dyDescent="0.25"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35"/>
      <c r="N141" s="35"/>
      <c r="O141" s="35"/>
      <c r="P141" s="35"/>
      <c r="Q141" s="35"/>
      <c r="R141" s="35"/>
      <c r="S141" s="35"/>
      <c r="T141" s="35"/>
      <c r="U141" s="35"/>
    </row>
    <row r="142" spans="2:21" x14ac:dyDescent="0.25"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35"/>
      <c r="N142" s="35"/>
      <c r="O142" s="35"/>
      <c r="P142" s="35"/>
      <c r="Q142" s="35"/>
      <c r="R142" s="35"/>
      <c r="S142" s="35"/>
      <c r="T142" s="35"/>
      <c r="U142" s="35"/>
    </row>
    <row r="143" spans="2:21" x14ac:dyDescent="0.25"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35"/>
      <c r="N143" s="35"/>
      <c r="O143" s="35"/>
      <c r="P143" s="35"/>
      <c r="Q143" s="35"/>
      <c r="R143" s="35"/>
      <c r="S143" s="35"/>
      <c r="T143" s="35"/>
      <c r="U143" s="35"/>
    </row>
    <row r="144" spans="2:21" x14ac:dyDescent="0.25"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35"/>
      <c r="N144" s="35"/>
      <c r="O144" s="35"/>
      <c r="P144" s="35"/>
      <c r="Q144" s="35"/>
      <c r="R144" s="35"/>
      <c r="S144" s="35"/>
      <c r="T144" s="35"/>
      <c r="U144" s="35"/>
    </row>
    <row r="145" spans="2:21" x14ac:dyDescent="0.25"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35"/>
      <c r="N145" s="35"/>
      <c r="O145" s="35"/>
      <c r="P145" s="35"/>
      <c r="Q145" s="35"/>
      <c r="R145" s="35"/>
      <c r="S145" s="35"/>
      <c r="T145" s="35"/>
      <c r="U145" s="35"/>
    </row>
    <row r="146" spans="2:21" x14ac:dyDescent="0.25"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35"/>
      <c r="N146" s="35"/>
      <c r="O146" s="35"/>
      <c r="P146" s="35"/>
      <c r="Q146" s="35"/>
      <c r="R146" s="35"/>
      <c r="S146" s="35"/>
      <c r="T146" s="35"/>
      <c r="U146" s="35"/>
    </row>
    <row r="147" spans="2:21" x14ac:dyDescent="0.25"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35"/>
      <c r="N147" s="35"/>
      <c r="O147" s="35"/>
      <c r="P147" s="35"/>
      <c r="Q147" s="35"/>
      <c r="R147" s="35"/>
      <c r="S147" s="35"/>
      <c r="T147" s="35"/>
      <c r="U147" s="35"/>
    </row>
    <row r="148" spans="2:21" x14ac:dyDescent="0.25"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35"/>
      <c r="N148" s="35"/>
      <c r="O148" s="35"/>
      <c r="P148" s="35"/>
      <c r="Q148" s="35"/>
      <c r="R148" s="35"/>
      <c r="S148" s="35"/>
      <c r="T148" s="35"/>
      <c r="U148" s="35"/>
    </row>
    <row r="149" spans="2:21" x14ac:dyDescent="0.25"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35"/>
      <c r="N149" s="35"/>
      <c r="O149" s="35"/>
      <c r="P149" s="35"/>
      <c r="Q149" s="35"/>
      <c r="R149" s="35"/>
      <c r="S149" s="35"/>
      <c r="T149" s="35"/>
      <c r="U149" s="35"/>
    </row>
    <row r="150" spans="2:21" x14ac:dyDescent="0.25"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35"/>
      <c r="N150" s="35"/>
      <c r="O150" s="35"/>
      <c r="P150" s="35"/>
      <c r="Q150" s="35"/>
      <c r="R150" s="35"/>
      <c r="S150" s="35"/>
      <c r="T150" s="35"/>
      <c r="U150" s="35"/>
    </row>
    <row r="151" spans="2:21" x14ac:dyDescent="0.25"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35"/>
      <c r="N151" s="35"/>
      <c r="O151" s="35"/>
      <c r="P151" s="35"/>
      <c r="Q151" s="35"/>
      <c r="R151" s="35"/>
      <c r="S151" s="35"/>
      <c r="T151" s="35"/>
      <c r="U151" s="35"/>
    </row>
    <row r="152" spans="2:21" x14ac:dyDescent="0.25"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35"/>
      <c r="N152" s="35"/>
      <c r="O152" s="35"/>
      <c r="P152" s="35"/>
      <c r="Q152" s="35"/>
      <c r="R152" s="35"/>
      <c r="S152" s="35"/>
      <c r="T152" s="35"/>
      <c r="U152" s="35"/>
    </row>
    <row r="153" spans="2:21" x14ac:dyDescent="0.25"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35"/>
      <c r="N153" s="35"/>
      <c r="O153" s="35"/>
      <c r="P153" s="35"/>
      <c r="Q153" s="35"/>
      <c r="R153" s="35"/>
      <c r="S153" s="35"/>
      <c r="T153" s="35"/>
      <c r="U153" s="35"/>
    </row>
    <row r="154" spans="2:21" x14ac:dyDescent="0.25"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35"/>
      <c r="N154" s="35"/>
      <c r="O154" s="35"/>
      <c r="P154" s="35"/>
      <c r="Q154" s="35"/>
      <c r="R154" s="35"/>
      <c r="S154" s="35"/>
      <c r="T154" s="35"/>
      <c r="U154" s="35"/>
    </row>
    <row r="155" spans="2:21" x14ac:dyDescent="0.25"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35"/>
      <c r="N155" s="35"/>
      <c r="O155" s="35"/>
      <c r="P155" s="35"/>
      <c r="Q155" s="35"/>
      <c r="R155" s="35"/>
      <c r="S155" s="35"/>
      <c r="T155" s="35"/>
      <c r="U155" s="35"/>
    </row>
    <row r="156" spans="2:21" x14ac:dyDescent="0.25"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35"/>
      <c r="N156" s="35"/>
      <c r="O156" s="35"/>
      <c r="P156" s="35"/>
      <c r="Q156" s="35"/>
      <c r="R156" s="35"/>
      <c r="S156" s="35"/>
      <c r="T156" s="35"/>
      <c r="U156" s="35"/>
    </row>
    <row r="157" spans="2:21" x14ac:dyDescent="0.25"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35"/>
      <c r="N157" s="35"/>
      <c r="O157" s="35"/>
      <c r="P157" s="35"/>
      <c r="Q157" s="35"/>
      <c r="R157" s="35"/>
      <c r="S157" s="35"/>
      <c r="T157" s="35"/>
      <c r="U157" s="35"/>
    </row>
    <row r="158" spans="2:21" x14ac:dyDescent="0.25"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35"/>
      <c r="N158" s="35"/>
      <c r="O158" s="35"/>
      <c r="P158" s="35"/>
      <c r="Q158" s="35"/>
      <c r="R158" s="35"/>
      <c r="S158" s="35"/>
      <c r="T158" s="35"/>
      <c r="U158" s="35"/>
    </row>
    <row r="159" spans="2:21" x14ac:dyDescent="0.25"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35"/>
      <c r="N159" s="35"/>
      <c r="O159" s="35"/>
      <c r="P159" s="35"/>
      <c r="Q159" s="35"/>
      <c r="R159" s="35"/>
      <c r="S159" s="35"/>
      <c r="T159" s="35"/>
      <c r="U159" s="35"/>
    </row>
    <row r="160" spans="2:21" x14ac:dyDescent="0.25"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35"/>
      <c r="N160" s="35"/>
      <c r="O160" s="35"/>
      <c r="P160" s="35"/>
      <c r="Q160" s="35"/>
      <c r="R160" s="35"/>
      <c r="S160" s="35"/>
      <c r="T160" s="35"/>
      <c r="U160" s="35"/>
    </row>
    <row r="161" spans="2:21" x14ac:dyDescent="0.25"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35"/>
      <c r="N161" s="35"/>
      <c r="O161" s="35"/>
      <c r="P161" s="35"/>
      <c r="Q161" s="35"/>
      <c r="R161" s="35"/>
      <c r="S161" s="35"/>
      <c r="T161" s="35"/>
      <c r="U161" s="35"/>
    </row>
    <row r="162" spans="2:21" x14ac:dyDescent="0.25"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35"/>
      <c r="N162" s="35"/>
      <c r="O162" s="35"/>
      <c r="P162" s="35"/>
      <c r="Q162" s="35"/>
      <c r="R162" s="35"/>
      <c r="S162" s="35"/>
      <c r="T162" s="35"/>
      <c r="U162" s="35"/>
    </row>
    <row r="163" spans="2:21" x14ac:dyDescent="0.25"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35"/>
      <c r="N163" s="35"/>
      <c r="O163" s="35"/>
      <c r="P163" s="35"/>
      <c r="Q163" s="35"/>
      <c r="R163" s="35"/>
      <c r="S163" s="35"/>
      <c r="T163" s="35"/>
      <c r="U163" s="35"/>
    </row>
    <row r="164" spans="2:21" x14ac:dyDescent="0.25"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35"/>
      <c r="N164" s="35"/>
      <c r="O164" s="35"/>
      <c r="P164" s="35"/>
      <c r="Q164" s="35"/>
      <c r="R164" s="35"/>
      <c r="S164" s="35"/>
      <c r="T164" s="35"/>
      <c r="U164" s="35"/>
    </row>
    <row r="165" spans="2:21" x14ac:dyDescent="0.25"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35"/>
      <c r="N165" s="35"/>
      <c r="O165" s="35"/>
      <c r="P165" s="35"/>
      <c r="Q165" s="35"/>
      <c r="R165" s="35"/>
      <c r="S165" s="35"/>
      <c r="T165" s="35"/>
      <c r="U165" s="35"/>
    </row>
    <row r="166" spans="2:21" x14ac:dyDescent="0.25"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35"/>
      <c r="N166" s="35"/>
      <c r="O166" s="35"/>
      <c r="P166" s="35"/>
      <c r="Q166" s="35"/>
      <c r="R166" s="35"/>
      <c r="S166" s="35"/>
      <c r="T166" s="35"/>
      <c r="U166" s="35"/>
    </row>
    <row r="167" spans="2:21" x14ac:dyDescent="0.25"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35"/>
      <c r="N167" s="35"/>
      <c r="O167" s="35"/>
      <c r="P167" s="35"/>
      <c r="Q167" s="35"/>
      <c r="R167" s="35"/>
      <c r="S167" s="35"/>
      <c r="T167" s="35"/>
      <c r="U167" s="35"/>
    </row>
    <row r="168" spans="2:21" x14ac:dyDescent="0.25"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35"/>
      <c r="N168" s="35"/>
      <c r="O168" s="35"/>
      <c r="P168" s="35"/>
      <c r="Q168" s="35"/>
      <c r="R168" s="35"/>
      <c r="S168" s="35"/>
      <c r="T168" s="35"/>
      <c r="U168" s="35"/>
    </row>
    <row r="169" spans="2:21" x14ac:dyDescent="0.25"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35"/>
      <c r="N169" s="35"/>
      <c r="O169" s="35"/>
      <c r="P169" s="35"/>
      <c r="Q169" s="35"/>
      <c r="R169" s="35"/>
      <c r="S169" s="35"/>
      <c r="T169" s="35"/>
      <c r="U169" s="35"/>
    </row>
    <row r="170" spans="2:21" x14ac:dyDescent="0.25"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35"/>
      <c r="N170" s="35"/>
      <c r="O170" s="35"/>
      <c r="P170" s="35"/>
      <c r="Q170" s="35"/>
      <c r="R170" s="35"/>
      <c r="S170" s="35"/>
      <c r="T170" s="35"/>
      <c r="U170" s="35"/>
    </row>
    <row r="171" spans="2:21" x14ac:dyDescent="0.25"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35"/>
      <c r="N171" s="35"/>
      <c r="O171" s="35"/>
      <c r="P171" s="35"/>
      <c r="Q171" s="35"/>
      <c r="R171" s="35"/>
      <c r="S171" s="35"/>
      <c r="T171" s="35"/>
      <c r="U171" s="35"/>
    </row>
    <row r="172" spans="2:21" x14ac:dyDescent="0.25"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35"/>
      <c r="N172" s="35"/>
      <c r="O172" s="35"/>
      <c r="P172" s="35"/>
      <c r="Q172" s="35"/>
      <c r="R172" s="35"/>
      <c r="S172" s="35"/>
      <c r="T172" s="35"/>
      <c r="U172" s="35"/>
    </row>
    <row r="173" spans="2:21" x14ac:dyDescent="0.25"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35"/>
      <c r="N173" s="35"/>
      <c r="O173" s="35"/>
      <c r="P173" s="35"/>
      <c r="Q173" s="35"/>
      <c r="R173" s="35"/>
      <c r="S173" s="35"/>
      <c r="T173" s="35"/>
      <c r="U173" s="35"/>
    </row>
    <row r="174" spans="2:21" x14ac:dyDescent="0.25"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35"/>
      <c r="N174" s="35"/>
      <c r="O174" s="35"/>
      <c r="P174" s="35"/>
      <c r="Q174" s="35"/>
      <c r="R174" s="35"/>
      <c r="S174" s="35"/>
      <c r="T174" s="35"/>
      <c r="U174" s="35"/>
    </row>
    <row r="175" spans="2:21" x14ac:dyDescent="0.25"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35"/>
      <c r="N175" s="35"/>
      <c r="O175" s="35"/>
      <c r="P175" s="35"/>
      <c r="Q175" s="35"/>
      <c r="R175" s="35"/>
      <c r="S175" s="35"/>
      <c r="T175" s="35"/>
      <c r="U175" s="35"/>
    </row>
    <row r="176" spans="2:21" x14ac:dyDescent="0.25"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35"/>
      <c r="N176" s="35"/>
      <c r="O176" s="35"/>
      <c r="P176" s="35"/>
      <c r="Q176" s="35"/>
      <c r="R176" s="35"/>
      <c r="S176" s="35"/>
      <c r="T176" s="35"/>
      <c r="U176" s="35"/>
    </row>
    <row r="177" spans="2:21" x14ac:dyDescent="0.25"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35"/>
      <c r="N177" s="35"/>
      <c r="O177" s="35"/>
      <c r="P177" s="35"/>
      <c r="Q177" s="35"/>
      <c r="R177" s="35"/>
      <c r="S177" s="35"/>
      <c r="T177" s="35"/>
      <c r="U177" s="35"/>
    </row>
    <row r="178" spans="2:21" x14ac:dyDescent="0.25"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35"/>
      <c r="N178" s="35"/>
      <c r="O178" s="35"/>
      <c r="P178" s="35"/>
      <c r="Q178" s="35"/>
      <c r="R178" s="35"/>
      <c r="S178" s="35"/>
      <c r="T178" s="35"/>
      <c r="U178" s="35"/>
    </row>
    <row r="179" spans="2:21" x14ac:dyDescent="0.25"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35"/>
      <c r="N179" s="35"/>
      <c r="O179" s="35"/>
      <c r="P179" s="35"/>
      <c r="Q179" s="35"/>
      <c r="R179" s="35"/>
      <c r="S179" s="35"/>
      <c r="T179" s="35"/>
      <c r="U179" s="35"/>
    </row>
    <row r="180" spans="2:21" x14ac:dyDescent="0.25"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35"/>
      <c r="N180" s="35"/>
      <c r="O180" s="35"/>
      <c r="P180" s="35"/>
      <c r="Q180" s="35"/>
      <c r="R180" s="35"/>
      <c r="S180" s="35"/>
      <c r="T180" s="35"/>
      <c r="U180" s="35"/>
    </row>
    <row r="181" spans="2:21" x14ac:dyDescent="0.25"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35"/>
      <c r="N181" s="35"/>
      <c r="O181" s="35"/>
      <c r="P181" s="35"/>
      <c r="Q181" s="35"/>
      <c r="R181" s="35"/>
      <c r="S181" s="35"/>
      <c r="T181" s="35"/>
      <c r="U181" s="35"/>
    </row>
    <row r="182" spans="2:21" x14ac:dyDescent="0.25"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35"/>
      <c r="N182" s="35"/>
      <c r="O182" s="35"/>
      <c r="P182" s="35"/>
      <c r="Q182" s="35"/>
      <c r="R182" s="35"/>
      <c r="S182" s="35"/>
      <c r="T182" s="35"/>
      <c r="U182" s="35"/>
    </row>
    <row r="183" spans="2:21" x14ac:dyDescent="0.25"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35"/>
      <c r="N183" s="35"/>
      <c r="O183" s="35"/>
      <c r="P183" s="35"/>
      <c r="Q183" s="35"/>
      <c r="R183" s="35"/>
      <c r="S183" s="35"/>
      <c r="T183" s="35"/>
      <c r="U183" s="35"/>
    </row>
    <row r="184" spans="2:21" x14ac:dyDescent="0.25"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35"/>
      <c r="N184" s="35"/>
      <c r="O184" s="35"/>
      <c r="P184" s="35"/>
      <c r="Q184" s="35"/>
      <c r="R184" s="35"/>
      <c r="S184" s="35"/>
      <c r="T184" s="35"/>
      <c r="U184" s="35"/>
    </row>
    <row r="185" spans="2:21" x14ac:dyDescent="0.25"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35"/>
      <c r="N185" s="35"/>
      <c r="O185" s="35"/>
      <c r="P185" s="35"/>
      <c r="Q185" s="35"/>
      <c r="R185" s="35"/>
      <c r="S185" s="35"/>
      <c r="T185" s="35"/>
      <c r="U185" s="35"/>
    </row>
    <row r="186" spans="2:21" x14ac:dyDescent="0.25"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35"/>
      <c r="N186" s="35"/>
      <c r="O186" s="35"/>
      <c r="P186" s="35"/>
      <c r="Q186" s="35"/>
      <c r="R186" s="35"/>
      <c r="S186" s="35"/>
      <c r="T186" s="35"/>
      <c r="U186" s="35"/>
    </row>
    <row r="187" spans="2:21" x14ac:dyDescent="0.25"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35"/>
      <c r="N187" s="35"/>
      <c r="O187" s="35"/>
      <c r="P187" s="35"/>
      <c r="Q187" s="35"/>
      <c r="R187" s="35"/>
      <c r="S187" s="35"/>
      <c r="T187" s="35"/>
      <c r="U187" s="35"/>
    </row>
    <row r="188" spans="2:21" x14ac:dyDescent="0.25"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35"/>
      <c r="N188" s="35"/>
      <c r="O188" s="35"/>
      <c r="P188" s="35"/>
      <c r="Q188" s="35"/>
      <c r="R188" s="35"/>
      <c r="S188" s="35"/>
      <c r="T188" s="35"/>
      <c r="U188" s="35"/>
    </row>
    <row r="189" spans="2:21" x14ac:dyDescent="0.25"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35"/>
      <c r="N189" s="35"/>
      <c r="O189" s="35"/>
      <c r="P189" s="35"/>
      <c r="Q189" s="35"/>
      <c r="R189" s="35"/>
      <c r="S189" s="35"/>
      <c r="T189" s="35"/>
      <c r="U189" s="35"/>
    </row>
    <row r="190" spans="2:21" x14ac:dyDescent="0.25"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35"/>
      <c r="N190" s="35"/>
      <c r="O190" s="35"/>
      <c r="P190" s="35"/>
      <c r="Q190" s="35"/>
      <c r="R190" s="35"/>
      <c r="S190" s="35"/>
      <c r="T190" s="35"/>
      <c r="U190" s="35"/>
    </row>
    <row r="191" spans="2:21" x14ac:dyDescent="0.25"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35"/>
      <c r="N191" s="35"/>
      <c r="O191" s="35"/>
      <c r="P191" s="35"/>
      <c r="Q191" s="35"/>
      <c r="R191" s="35"/>
      <c r="S191" s="35"/>
      <c r="T191" s="35"/>
      <c r="U191" s="35"/>
    </row>
    <row r="192" spans="2:21" x14ac:dyDescent="0.25"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35"/>
      <c r="N192" s="35"/>
      <c r="O192" s="35"/>
      <c r="P192" s="35"/>
      <c r="Q192" s="35"/>
      <c r="R192" s="35"/>
      <c r="S192" s="35"/>
      <c r="T192" s="35"/>
      <c r="U192" s="35"/>
    </row>
    <row r="193" spans="2:21" x14ac:dyDescent="0.25"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35"/>
      <c r="N193" s="35"/>
      <c r="O193" s="35"/>
      <c r="P193" s="35"/>
      <c r="Q193" s="35"/>
      <c r="R193" s="35"/>
      <c r="S193" s="35"/>
      <c r="T193" s="35"/>
      <c r="U193" s="35"/>
    </row>
    <row r="194" spans="2:21" x14ac:dyDescent="0.25"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35"/>
      <c r="N194" s="35"/>
      <c r="O194" s="35"/>
      <c r="P194" s="35"/>
      <c r="Q194" s="35"/>
      <c r="R194" s="35"/>
      <c r="S194" s="35"/>
      <c r="T194" s="35"/>
      <c r="U194" s="35"/>
    </row>
    <row r="195" spans="2:21" x14ac:dyDescent="0.25"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35"/>
      <c r="N195" s="35"/>
      <c r="O195" s="35"/>
      <c r="P195" s="35"/>
      <c r="Q195" s="35"/>
      <c r="R195" s="35"/>
      <c r="S195" s="35"/>
      <c r="T195" s="35"/>
      <c r="U195" s="35"/>
    </row>
    <row r="196" spans="2:21" x14ac:dyDescent="0.25"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35"/>
      <c r="N196" s="35"/>
      <c r="O196" s="35"/>
      <c r="P196" s="35"/>
      <c r="Q196" s="35"/>
      <c r="R196" s="35"/>
      <c r="S196" s="35"/>
      <c r="T196" s="35"/>
      <c r="U196" s="35"/>
    </row>
    <row r="197" spans="2:21" x14ac:dyDescent="0.25"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35"/>
      <c r="N197" s="35"/>
      <c r="O197" s="35"/>
      <c r="P197" s="35"/>
      <c r="Q197" s="35"/>
      <c r="R197" s="35"/>
      <c r="S197" s="35"/>
      <c r="T197" s="35"/>
      <c r="U197" s="35"/>
    </row>
    <row r="198" spans="2:21" x14ac:dyDescent="0.25"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35"/>
      <c r="N198" s="35"/>
      <c r="O198" s="35"/>
      <c r="P198" s="35"/>
      <c r="Q198" s="35"/>
      <c r="R198" s="35"/>
      <c r="S198" s="35"/>
      <c r="T198" s="35"/>
      <c r="U198" s="35"/>
    </row>
    <row r="199" spans="2:21" x14ac:dyDescent="0.25"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35"/>
      <c r="N199" s="35"/>
      <c r="O199" s="35"/>
      <c r="P199" s="35"/>
      <c r="Q199" s="35"/>
      <c r="R199" s="35"/>
      <c r="S199" s="35"/>
      <c r="T199" s="35"/>
      <c r="U199" s="35"/>
    </row>
    <row r="200" spans="2:21" x14ac:dyDescent="0.25"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35"/>
      <c r="N200" s="35"/>
      <c r="O200" s="35"/>
      <c r="P200" s="35"/>
      <c r="Q200" s="35"/>
      <c r="R200" s="35"/>
      <c r="S200" s="35"/>
      <c r="T200" s="35"/>
      <c r="U200" s="35"/>
    </row>
    <row r="201" spans="2:21" x14ac:dyDescent="0.25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35"/>
      <c r="N201" s="35"/>
      <c r="O201" s="35"/>
      <c r="P201" s="35"/>
      <c r="Q201" s="35"/>
      <c r="R201" s="35"/>
      <c r="S201" s="35"/>
      <c r="T201" s="35"/>
      <c r="U201" s="35"/>
    </row>
    <row r="202" spans="2:21" x14ac:dyDescent="0.25"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35"/>
      <c r="N202" s="35"/>
      <c r="O202" s="35"/>
      <c r="P202" s="35"/>
      <c r="Q202" s="35"/>
      <c r="R202" s="35"/>
      <c r="S202" s="35"/>
      <c r="T202" s="35"/>
      <c r="U202" s="35"/>
    </row>
    <row r="203" spans="2:21" x14ac:dyDescent="0.25"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35"/>
      <c r="N203" s="35"/>
      <c r="O203" s="35"/>
      <c r="P203" s="35"/>
      <c r="Q203" s="35"/>
      <c r="R203" s="35"/>
      <c r="S203" s="35"/>
      <c r="T203" s="35"/>
      <c r="U203" s="35"/>
    </row>
    <row r="204" spans="2:21" x14ac:dyDescent="0.25"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35"/>
      <c r="N204" s="35"/>
      <c r="O204" s="35"/>
      <c r="P204" s="35"/>
      <c r="Q204" s="35"/>
      <c r="R204" s="35"/>
      <c r="S204" s="35"/>
      <c r="T204" s="35"/>
      <c r="U204" s="35"/>
    </row>
    <row r="205" spans="2:21" x14ac:dyDescent="0.25"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35"/>
      <c r="N205" s="35"/>
      <c r="O205" s="35"/>
      <c r="P205" s="35"/>
      <c r="Q205" s="35"/>
      <c r="R205" s="35"/>
      <c r="S205" s="35"/>
      <c r="T205" s="35"/>
      <c r="U205" s="35"/>
    </row>
    <row r="206" spans="2:21" x14ac:dyDescent="0.25"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35"/>
      <c r="N206" s="35"/>
      <c r="O206" s="35"/>
      <c r="P206" s="35"/>
      <c r="Q206" s="35"/>
      <c r="R206" s="35"/>
      <c r="S206" s="35"/>
      <c r="T206" s="35"/>
      <c r="U206" s="35"/>
    </row>
    <row r="207" spans="2:21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35"/>
      <c r="N207" s="35"/>
      <c r="O207" s="35"/>
      <c r="P207" s="35"/>
      <c r="Q207" s="35"/>
      <c r="R207" s="35"/>
      <c r="S207" s="35"/>
      <c r="T207" s="35"/>
      <c r="U207" s="35"/>
    </row>
    <row r="208" spans="2:21" x14ac:dyDescent="0.25"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35"/>
      <c r="N208" s="35"/>
      <c r="O208" s="35"/>
      <c r="P208" s="35"/>
      <c r="Q208" s="35"/>
      <c r="R208" s="35"/>
      <c r="S208" s="35"/>
      <c r="T208" s="35"/>
      <c r="U208" s="35"/>
    </row>
    <row r="209" spans="2:21" x14ac:dyDescent="0.25"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35"/>
      <c r="N209" s="35"/>
      <c r="O209" s="35"/>
      <c r="P209" s="35"/>
      <c r="Q209" s="35"/>
      <c r="R209" s="35"/>
      <c r="S209" s="35"/>
      <c r="T209" s="35"/>
      <c r="U209" s="35"/>
    </row>
    <row r="210" spans="2:21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35"/>
      <c r="N210" s="35"/>
      <c r="O210" s="35"/>
      <c r="P210" s="35"/>
      <c r="Q210" s="35"/>
      <c r="R210" s="35"/>
      <c r="S210" s="35"/>
      <c r="T210" s="35"/>
      <c r="U210" s="35"/>
    </row>
    <row r="211" spans="2:21" x14ac:dyDescent="0.25"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35"/>
      <c r="N211" s="35"/>
      <c r="O211" s="35"/>
      <c r="P211" s="35"/>
      <c r="Q211" s="35"/>
      <c r="R211" s="35"/>
      <c r="S211" s="35"/>
      <c r="T211" s="35"/>
      <c r="U211" s="35"/>
    </row>
    <row r="212" spans="2:21" x14ac:dyDescent="0.25"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35"/>
      <c r="N212" s="35"/>
      <c r="O212" s="35"/>
      <c r="P212" s="35"/>
      <c r="Q212" s="35"/>
      <c r="R212" s="35"/>
      <c r="S212" s="35"/>
      <c r="T212" s="35"/>
      <c r="U212" s="35"/>
    </row>
    <row r="213" spans="2:21" x14ac:dyDescent="0.25"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35"/>
      <c r="N213" s="35"/>
      <c r="O213" s="35"/>
      <c r="P213" s="35"/>
      <c r="Q213" s="35"/>
      <c r="R213" s="35"/>
      <c r="S213" s="35"/>
      <c r="T213" s="35"/>
      <c r="U213" s="35"/>
    </row>
    <row r="214" spans="2:21" x14ac:dyDescent="0.25"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35"/>
      <c r="N214" s="35"/>
      <c r="O214" s="35"/>
      <c r="P214" s="35"/>
      <c r="Q214" s="35"/>
      <c r="R214" s="35"/>
      <c r="S214" s="35"/>
      <c r="T214" s="35"/>
      <c r="U214" s="35"/>
    </row>
    <row r="215" spans="2:21" x14ac:dyDescent="0.25"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35"/>
      <c r="N215" s="35"/>
      <c r="O215" s="35"/>
      <c r="P215" s="35"/>
      <c r="Q215" s="35"/>
      <c r="R215" s="35"/>
      <c r="S215" s="35"/>
      <c r="T215" s="35"/>
      <c r="U215" s="35"/>
    </row>
    <row r="216" spans="2:21" x14ac:dyDescent="0.25"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35"/>
      <c r="N216" s="35"/>
      <c r="O216" s="35"/>
      <c r="P216" s="35"/>
      <c r="Q216" s="35"/>
      <c r="R216" s="35"/>
      <c r="S216" s="35"/>
      <c r="T216" s="35"/>
      <c r="U216" s="35"/>
    </row>
    <row r="217" spans="2:21" x14ac:dyDescent="0.25"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35"/>
      <c r="N217" s="35"/>
      <c r="O217" s="35"/>
      <c r="P217" s="35"/>
      <c r="Q217" s="35"/>
      <c r="R217" s="35"/>
      <c r="S217" s="35"/>
      <c r="T217" s="35"/>
      <c r="U217" s="35"/>
    </row>
    <row r="218" spans="2:21" x14ac:dyDescent="0.25"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35"/>
      <c r="N218" s="35"/>
      <c r="O218" s="35"/>
      <c r="P218" s="35"/>
      <c r="Q218" s="35"/>
      <c r="R218" s="35"/>
      <c r="S218" s="35"/>
      <c r="T218" s="35"/>
      <c r="U218" s="35"/>
    </row>
    <row r="219" spans="2:21" x14ac:dyDescent="0.25"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35"/>
      <c r="N219" s="35"/>
      <c r="O219" s="35"/>
      <c r="P219" s="35"/>
      <c r="Q219" s="35"/>
      <c r="R219" s="35"/>
      <c r="S219" s="35"/>
      <c r="T219" s="35"/>
      <c r="U219" s="35"/>
    </row>
    <row r="220" spans="2:21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35"/>
      <c r="N220" s="35"/>
      <c r="O220" s="35"/>
      <c r="P220" s="35"/>
      <c r="Q220" s="35"/>
      <c r="R220" s="35"/>
      <c r="S220" s="35"/>
      <c r="T220" s="35"/>
      <c r="U220" s="35"/>
    </row>
    <row r="221" spans="2:21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35"/>
      <c r="N221" s="35"/>
      <c r="O221" s="35"/>
      <c r="P221" s="35"/>
      <c r="Q221" s="35"/>
      <c r="R221" s="35"/>
      <c r="S221" s="35"/>
      <c r="T221" s="35"/>
      <c r="U221" s="35"/>
    </row>
    <row r="222" spans="2:21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35"/>
      <c r="N222" s="35"/>
      <c r="O222" s="35"/>
      <c r="P222" s="35"/>
      <c r="Q222" s="35"/>
      <c r="R222" s="35"/>
      <c r="S222" s="35"/>
      <c r="T222" s="35"/>
      <c r="U222" s="35"/>
    </row>
    <row r="223" spans="2:21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35"/>
      <c r="N223" s="35"/>
      <c r="O223" s="35"/>
      <c r="P223" s="35"/>
      <c r="Q223" s="35"/>
      <c r="R223" s="35"/>
      <c r="S223" s="35"/>
      <c r="T223" s="35"/>
      <c r="U223" s="35"/>
    </row>
    <row r="224" spans="2:21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35"/>
      <c r="N224" s="35"/>
      <c r="O224" s="35"/>
      <c r="P224" s="35"/>
      <c r="Q224" s="35"/>
      <c r="R224" s="35"/>
      <c r="S224" s="35"/>
      <c r="T224" s="35"/>
      <c r="U224" s="35"/>
    </row>
    <row r="225" spans="2:21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35"/>
      <c r="N225" s="35"/>
      <c r="O225" s="35"/>
      <c r="P225" s="35"/>
      <c r="Q225" s="35"/>
      <c r="R225" s="35"/>
      <c r="S225" s="35"/>
      <c r="T225" s="35"/>
      <c r="U225" s="35"/>
    </row>
    <row r="226" spans="2:21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35"/>
      <c r="N226" s="35"/>
      <c r="O226" s="35"/>
      <c r="P226" s="35"/>
      <c r="Q226" s="35"/>
      <c r="R226" s="35"/>
      <c r="S226" s="35"/>
      <c r="T226" s="35"/>
      <c r="U226" s="35"/>
    </row>
    <row r="227" spans="2:21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35"/>
      <c r="N227" s="35"/>
      <c r="O227" s="35"/>
      <c r="P227" s="35"/>
      <c r="Q227" s="35"/>
      <c r="R227" s="35"/>
      <c r="S227" s="35"/>
      <c r="T227" s="35"/>
      <c r="U227" s="35"/>
    </row>
    <row r="228" spans="2:21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35"/>
      <c r="N228" s="35"/>
      <c r="O228" s="35"/>
      <c r="P228" s="35"/>
      <c r="Q228" s="35"/>
      <c r="R228" s="35"/>
      <c r="S228" s="35"/>
      <c r="T228" s="35"/>
      <c r="U228" s="35"/>
    </row>
    <row r="229" spans="2:21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35"/>
      <c r="N229" s="35"/>
      <c r="O229" s="35"/>
      <c r="P229" s="35"/>
      <c r="Q229" s="35"/>
      <c r="R229" s="35"/>
      <c r="S229" s="35"/>
      <c r="T229" s="35"/>
      <c r="U229" s="35"/>
    </row>
    <row r="230" spans="2:21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35"/>
      <c r="N230" s="35"/>
      <c r="O230" s="35"/>
      <c r="P230" s="35"/>
      <c r="Q230" s="35"/>
      <c r="R230" s="35"/>
      <c r="S230" s="35"/>
      <c r="T230" s="35"/>
      <c r="U230" s="35"/>
    </row>
    <row r="231" spans="2:21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35"/>
      <c r="N231" s="35"/>
      <c r="O231" s="35"/>
      <c r="P231" s="35"/>
      <c r="Q231" s="35"/>
      <c r="R231" s="35"/>
      <c r="S231" s="35"/>
      <c r="T231" s="35"/>
      <c r="U231" s="35"/>
    </row>
    <row r="232" spans="2:21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35"/>
      <c r="N232" s="35"/>
      <c r="O232" s="35"/>
      <c r="P232" s="35"/>
      <c r="Q232" s="35"/>
      <c r="R232" s="35"/>
      <c r="S232" s="35"/>
      <c r="T232" s="35"/>
      <c r="U232" s="35"/>
    </row>
    <row r="233" spans="2:21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35"/>
      <c r="N233" s="35"/>
      <c r="O233" s="35"/>
      <c r="P233" s="35"/>
      <c r="Q233" s="35"/>
      <c r="R233" s="35"/>
      <c r="S233" s="35"/>
      <c r="T233" s="35"/>
      <c r="U233" s="35"/>
    </row>
    <row r="234" spans="2:21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35"/>
      <c r="N234" s="35"/>
      <c r="O234" s="35"/>
      <c r="P234" s="35"/>
      <c r="Q234" s="35"/>
      <c r="R234" s="35"/>
      <c r="S234" s="35"/>
      <c r="T234" s="35"/>
      <c r="U234" s="35"/>
    </row>
    <row r="235" spans="2:21" x14ac:dyDescent="0.25"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35"/>
      <c r="N235" s="35"/>
      <c r="O235" s="35"/>
      <c r="P235" s="35"/>
      <c r="Q235" s="35"/>
      <c r="R235" s="35"/>
      <c r="S235" s="35"/>
      <c r="T235" s="35"/>
      <c r="U235" s="35"/>
    </row>
    <row r="236" spans="2:21" x14ac:dyDescent="0.25"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35"/>
      <c r="N236" s="35"/>
      <c r="O236" s="35"/>
      <c r="P236" s="35"/>
      <c r="Q236" s="35"/>
      <c r="R236" s="35"/>
      <c r="S236" s="35"/>
      <c r="T236" s="35"/>
      <c r="U236" s="35"/>
    </row>
    <row r="237" spans="2:21" x14ac:dyDescent="0.25"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35"/>
      <c r="N237" s="35"/>
      <c r="O237" s="35"/>
      <c r="P237" s="35"/>
      <c r="Q237" s="35"/>
      <c r="R237" s="35"/>
      <c r="S237" s="35"/>
      <c r="T237" s="35"/>
      <c r="U237" s="35"/>
    </row>
    <row r="238" spans="2:21" x14ac:dyDescent="0.25"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35"/>
      <c r="N238" s="35"/>
      <c r="O238" s="35"/>
      <c r="P238" s="35"/>
      <c r="Q238" s="35"/>
      <c r="R238" s="35"/>
      <c r="S238" s="35"/>
      <c r="T238" s="35"/>
      <c r="U238" s="35"/>
    </row>
    <row r="239" spans="2:21" x14ac:dyDescent="0.25"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35"/>
      <c r="N239" s="35"/>
      <c r="O239" s="35"/>
      <c r="P239" s="35"/>
      <c r="Q239" s="35"/>
      <c r="R239" s="35"/>
      <c r="S239" s="35"/>
      <c r="T239" s="35"/>
      <c r="U239" s="35"/>
    </row>
    <row r="240" spans="2:21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35"/>
      <c r="N240" s="35"/>
      <c r="O240" s="35"/>
      <c r="P240" s="35"/>
      <c r="Q240" s="35"/>
      <c r="R240" s="35"/>
      <c r="S240" s="35"/>
      <c r="T240" s="35"/>
      <c r="U240" s="35"/>
    </row>
    <row r="241" spans="2:21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35"/>
      <c r="N241" s="35"/>
      <c r="O241" s="35"/>
      <c r="P241" s="35"/>
      <c r="Q241" s="35"/>
      <c r="R241" s="35"/>
      <c r="S241" s="35"/>
      <c r="T241" s="35"/>
      <c r="U241" s="35"/>
    </row>
    <row r="242" spans="2:21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35"/>
      <c r="N242" s="35"/>
      <c r="O242" s="35"/>
      <c r="P242" s="35"/>
      <c r="Q242" s="35"/>
      <c r="R242" s="35"/>
      <c r="S242" s="35"/>
      <c r="T242" s="35"/>
      <c r="U242" s="35"/>
    </row>
    <row r="243" spans="2:21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35"/>
      <c r="N243" s="35"/>
      <c r="O243" s="35"/>
      <c r="P243" s="35"/>
      <c r="Q243" s="35"/>
      <c r="R243" s="35"/>
      <c r="S243" s="35"/>
      <c r="T243" s="35"/>
      <c r="U243" s="35"/>
    </row>
    <row r="244" spans="2:21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35"/>
      <c r="N244" s="35"/>
      <c r="O244" s="35"/>
      <c r="P244" s="35"/>
      <c r="Q244" s="35"/>
      <c r="R244" s="35"/>
      <c r="S244" s="35"/>
      <c r="T244" s="35"/>
      <c r="U244" s="35"/>
    </row>
    <row r="245" spans="2:21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35"/>
      <c r="N245" s="35"/>
      <c r="O245" s="35"/>
      <c r="P245" s="35"/>
      <c r="Q245" s="35"/>
      <c r="R245" s="35"/>
      <c r="S245" s="35"/>
      <c r="T245" s="35"/>
      <c r="U245" s="35"/>
    </row>
    <row r="246" spans="2:21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35"/>
      <c r="N246" s="35"/>
      <c r="O246" s="35"/>
      <c r="P246" s="35"/>
      <c r="Q246" s="35"/>
      <c r="R246" s="35"/>
      <c r="S246" s="35"/>
      <c r="T246" s="35"/>
      <c r="U246" s="35"/>
    </row>
    <row r="247" spans="2:21" x14ac:dyDescent="0.25"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35"/>
      <c r="N247" s="35"/>
      <c r="O247" s="35"/>
      <c r="P247" s="35"/>
      <c r="Q247" s="35"/>
      <c r="R247" s="35"/>
      <c r="S247" s="35"/>
      <c r="T247" s="35"/>
      <c r="U247" s="35"/>
    </row>
    <row r="248" spans="2:21" x14ac:dyDescent="0.25"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35"/>
      <c r="N248" s="35"/>
      <c r="O248" s="35"/>
      <c r="P248" s="35"/>
      <c r="Q248" s="35"/>
      <c r="R248" s="35"/>
      <c r="S248" s="35"/>
      <c r="T248" s="35"/>
      <c r="U248" s="35"/>
    </row>
    <row r="249" spans="2:21" x14ac:dyDescent="0.25"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35"/>
      <c r="N249" s="35"/>
      <c r="O249" s="35"/>
      <c r="P249" s="35"/>
      <c r="Q249" s="35"/>
      <c r="R249" s="35"/>
      <c r="S249" s="35"/>
      <c r="T249" s="35"/>
      <c r="U249" s="35"/>
    </row>
    <row r="250" spans="2:21" x14ac:dyDescent="0.25"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35"/>
      <c r="N250" s="35"/>
      <c r="O250" s="35"/>
      <c r="P250" s="35"/>
      <c r="Q250" s="35"/>
      <c r="R250" s="35"/>
      <c r="S250" s="35"/>
      <c r="T250" s="35"/>
      <c r="U250" s="35"/>
    </row>
    <row r="251" spans="2:21" x14ac:dyDescent="0.25"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35"/>
      <c r="N251" s="35"/>
      <c r="O251" s="35"/>
      <c r="P251" s="35"/>
      <c r="Q251" s="35"/>
      <c r="R251" s="35"/>
      <c r="S251" s="35"/>
      <c r="T251" s="35"/>
      <c r="U251" s="35"/>
    </row>
    <row r="252" spans="2:21" x14ac:dyDescent="0.25"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35"/>
      <c r="N252" s="35"/>
      <c r="O252" s="35"/>
      <c r="P252" s="35"/>
      <c r="Q252" s="35"/>
      <c r="R252" s="35"/>
      <c r="S252" s="35"/>
      <c r="T252" s="35"/>
      <c r="U252" s="35"/>
    </row>
    <row r="253" spans="2:21" x14ac:dyDescent="0.25"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35"/>
      <c r="N253" s="35"/>
      <c r="O253" s="35"/>
      <c r="P253" s="35"/>
      <c r="Q253" s="35"/>
      <c r="R253" s="35"/>
      <c r="S253" s="35"/>
      <c r="T253" s="35"/>
      <c r="U253" s="35"/>
    </row>
    <row r="254" spans="2:21" x14ac:dyDescent="0.25"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35"/>
      <c r="N254" s="35"/>
      <c r="O254" s="35"/>
      <c r="P254" s="35"/>
      <c r="Q254" s="35"/>
      <c r="R254" s="35"/>
      <c r="S254" s="35"/>
      <c r="T254" s="35"/>
      <c r="U254" s="35"/>
    </row>
    <row r="255" spans="2:21" x14ac:dyDescent="0.25"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35"/>
      <c r="N255" s="35"/>
      <c r="O255" s="35"/>
      <c r="P255" s="35"/>
      <c r="Q255" s="35"/>
      <c r="R255" s="35"/>
      <c r="S255" s="35"/>
      <c r="T255" s="35"/>
      <c r="U255" s="35"/>
    </row>
    <row r="256" spans="2:21" x14ac:dyDescent="0.25"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35"/>
      <c r="N256" s="35"/>
      <c r="O256" s="35"/>
      <c r="P256" s="35"/>
      <c r="Q256" s="35"/>
      <c r="R256" s="35"/>
      <c r="S256" s="35"/>
      <c r="T256" s="35"/>
      <c r="U256" s="35"/>
    </row>
    <row r="257" spans="2:21" x14ac:dyDescent="0.25"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35"/>
      <c r="N257" s="35"/>
      <c r="O257" s="35"/>
      <c r="P257" s="35"/>
      <c r="Q257" s="35"/>
      <c r="R257" s="35"/>
      <c r="S257" s="35"/>
      <c r="T257" s="35"/>
      <c r="U257" s="35"/>
    </row>
    <row r="258" spans="2:21" x14ac:dyDescent="0.25"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35"/>
      <c r="N258" s="35"/>
      <c r="O258" s="35"/>
      <c r="P258" s="35"/>
      <c r="Q258" s="35"/>
      <c r="R258" s="35"/>
      <c r="S258" s="35"/>
      <c r="T258" s="35"/>
      <c r="U258" s="35"/>
    </row>
    <row r="259" spans="2:21" x14ac:dyDescent="0.25"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35"/>
      <c r="N259" s="35"/>
      <c r="O259" s="35"/>
      <c r="P259" s="35"/>
      <c r="Q259" s="35"/>
      <c r="R259" s="35"/>
      <c r="S259" s="35"/>
      <c r="T259" s="35"/>
      <c r="U259" s="35"/>
    </row>
    <row r="260" spans="2:21" x14ac:dyDescent="0.25"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35"/>
      <c r="N260" s="35"/>
      <c r="O260" s="35"/>
      <c r="P260" s="35"/>
      <c r="Q260" s="35"/>
      <c r="R260" s="35"/>
      <c r="S260" s="35"/>
      <c r="T260" s="35"/>
      <c r="U260" s="35"/>
    </row>
    <row r="261" spans="2:21" x14ac:dyDescent="0.25"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35"/>
      <c r="N261" s="35"/>
      <c r="O261" s="35"/>
      <c r="P261" s="35"/>
      <c r="Q261" s="35"/>
      <c r="R261" s="35"/>
      <c r="S261" s="35"/>
      <c r="T261" s="35"/>
      <c r="U261" s="35"/>
    </row>
    <row r="262" spans="2:21" x14ac:dyDescent="0.25"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35"/>
      <c r="N262" s="35"/>
      <c r="O262" s="35"/>
      <c r="P262" s="35"/>
      <c r="Q262" s="35"/>
      <c r="R262" s="35"/>
      <c r="S262" s="35"/>
      <c r="T262" s="35"/>
      <c r="U262" s="35"/>
    </row>
    <row r="263" spans="2:21" x14ac:dyDescent="0.25"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35"/>
      <c r="N263" s="35"/>
      <c r="O263" s="35"/>
      <c r="P263" s="35"/>
      <c r="Q263" s="35"/>
      <c r="R263" s="35"/>
      <c r="S263" s="35"/>
      <c r="T263" s="35"/>
      <c r="U263" s="35"/>
    </row>
    <row r="264" spans="2:21" x14ac:dyDescent="0.25"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35"/>
      <c r="N264" s="35"/>
      <c r="O264" s="35"/>
      <c r="P264" s="35"/>
      <c r="Q264" s="35"/>
      <c r="R264" s="35"/>
      <c r="S264" s="35"/>
      <c r="T264" s="35"/>
      <c r="U264" s="35"/>
    </row>
    <row r="265" spans="2:21" x14ac:dyDescent="0.25"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35"/>
      <c r="N265" s="35"/>
      <c r="O265" s="35"/>
      <c r="P265" s="35"/>
      <c r="Q265" s="35"/>
      <c r="R265" s="35"/>
      <c r="S265" s="35"/>
      <c r="T265" s="35"/>
      <c r="U265" s="35"/>
    </row>
    <row r="266" spans="2:21" x14ac:dyDescent="0.25"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35"/>
      <c r="N266" s="35"/>
      <c r="O266" s="35"/>
      <c r="P266" s="35"/>
      <c r="Q266" s="35"/>
      <c r="R266" s="35"/>
      <c r="S266" s="35"/>
      <c r="T266" s="35"/>
      <c r="U266" s="35"/>
    </row>
    <row r="267" spans="2:21" x14ac:dyDescent="0.25"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35"/>
      <c r="N267" s="35"/>
      <c r="O267" s="35"/>
      <c r="P267" s="35"/>
      <c r="Q267" s="35"/>
      <c r="R267" s="35"/>
      <c r="S267" s="35"/>
      <c r="T267" s="35"/>
      <c r="U267" s="35"/>
    </row>
    <row r="268" spans="2:21" x14ac:dyDescent="0.25"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35"/>
      <c r="N268" s="35"/>
      <c r="O268" s="35"/>
      <c r="P268" s="35"/>
      <c r="Q268" s="35"/>
      <c r="R268" s="35"/>
      <c r="S268" s="35"/>
      <c r="T268" s="35"/>
      <c r="U268" s="35"/>
    </row>
    <row r="269" spans="2:21" x14ac:dyDescent="0.25"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35"/>
      <c r="N269" s="35"/>
      <c r="O269" s="35"/>
      <c r="P269" s="35"/>
      <c r="Q269" s="35"/>
      <c r="R269" s="35"/>
      <c r="S269" s="35"/>
      <c r="T269" s="35"/>
      <c r="U269" s="35"/>
    </row>
    <row r="270" spans="2:21" x14ac:dyDescent="0.25"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35"/>
      <c r="N270" s="35"/>
      <c r="O270" s="35"/>
      <c r="P270" s="35"/>
      <c r="Q270" s="35"/>
      <c r="R270" s="35"/>
      <c r="S270" s="35"/>
      <c r="T270" s="35"/>
      <c r="U270" s="35"/>
    </row>
    <row r="271" spans="2:21" x14ac:dyDescent="0.25"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35"/>
      <c r="N271" s="35"/>
      <c r="O271" s="35"/>
      <c r="P271" s="35"/>
      <c r="Q271" s="35"/>
      <c r="R271" s="35"/>
      <c r="S271" s="35"/>
      <c r="T271" s="35"/>
      <c r="U271" s="35"/>
    </row>
    <row r="272" spans="2:21" x14ac:dyDescent="0.25"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35"/>
      <c r="N272" s="35"/>
      <c r="O272" s="35"/>
      <c r="P272" s="35"/>
      <c r="Q272" s="35"/>
      <c r="R272" s="35"/>
      <c r="S272" s="35"/>
      <c r="T272" s="35"/>
      <c r="U272" s="35"/>
    </row>
    <row r="273" spans="2:21" x14ac:dyDescent="0.25"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35"/>
      <c r="N273" s="35"/>
      <c r="O273" s="35"/>
      <c r="P273" s="35"/>
      <c r="Q273" s="35"/>
      <c r="R273" s="35"/>
      <c r="S273" s="35"/>
      <c r="T273" s="35"/>
      <c r="U273" s="35"/>
    </row>
    <row r="274" spans="2:21" x14ac:dyDescent="0.25"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35"/>
      <c r="N274" s="35"/>
      <c r="O274" s="35"/>
      <c r="P274" s="35"/>
      <c r="Q274" s="35"/>
      <c r="R274" s="35"/>
      <c r="S274" s="35"/>
      <c r="T274" s="35"/>
      <c r="U274" s="35"/>
    </row>
    <row r="275" spans="2:21" x14ac:dyDescent="0.25"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35"/>
      <c r="N275" s="35"/>
      <c r="O275" s="35"/>
      <c r="P275" s="35"/>
      <c r="Q275" s="35"/>
      <c r="R275" s="35"/>
      <c r="S275" s="35"/>
      <c r="T275" s="35"/>
      <c r="U275" s="35"/>
    </row>
    <row r="276" spans="2:21" x14ac:dyDescent="0.25"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35"/>
      <c r="N276" s="35"/>
      <c r="O276" s="35"/>
      <c r="P276" s="35"/>
      <c r="Q276" s="35"/>
      <c r="R276" s="35"/>
      <c r="S276" s="35"/>
      <c r="T276" s="35"/>
      <c r="U276" s="35"/>
    </row>
    <row r="277" spans="2:21" x14ac:dyDescent="0.25"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35"/>
      <c r="N277" s="35"/>
      <c r="O277" s="35"/>
      <c r="P277" s="35"/>
      <c r="Q277" s="35"/>
      <c r="R277" s="35"/>
      <c r="S277" s="35"/>
      <c r="T277" s="35"/>
      <c r="U277" s="35"/>
    </row>
    <row r="278" spans="2:21" x14ac:dyDescent="0.25"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35"/>
      <c r="N278" s="35"/>
      <c r="O278" s="35"/>
      <c r="P278" s="35"/>
      <c r="Q278" s="35"/>
      <c r="R278" s="35"/>
      <c r="S278" s="35"/>
      <c r="T278" s="35"/>
      <c r="U278" s="35"/>
    </row>
    <row r="279" spans="2:21" x14ac:dyDescent="0.25"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35"/>
      <c r="N279" s="35"/>
      <c r="O279" s="35"/>
      <c r="P279" s="35"/>
      <c r="Q279" s="35"/>
      <c r="R279" s="35"/>
      <c r="S279" s="35"/>
      <c r="T279" s="35"/>
      <c r="U279" s="35"/>
    </row>
    <row r="280" spans="2:21" x14ac:dyDescent="0.25"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35"/>
      <c r="N280" s="35"/>
      <c r="O280" s="35"/>
      <c r="P280" s="35"/>
      <c r="Q280" s="35"/>
      <c r="R280" s="35"/>
      <c r="S280" s="35"/>
      <c r="T280" s="35"/>
      <c r="U280" s="35"/>
    </row>
    <row r="281" spans="2:21" x14ac:dyDescent="0.25"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35"/>
      <c r="N281" s="35"/>
      <c r="O281" s="35"/>
      <c r="P281" s="35"/>
      <c r="Q281" s="35"/>
      <c r="R281" s="35"/>
      <c r="S281" s="35"/>
      <c r="T281" s="35"/>
      <c r="U281" s="35"/>
    </row>
    <row r="282" spans="2:21" x14ac:dyDescent="0.25"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35"/>
      <c r="N282" s="35"/>
      <c r="O282" s="35"/>
      <c r="P282" s="35"/>
      <c r="Q282" s="35"/>
      <c r="R282" s="35"/>
      <c r="S282" s="35"/>
      <c r="T282" s="35"/>
      <c r="U282" s="35"/>
    </row>
    <row r="283" spans="2:21" x14ac:dyDescent="0.25"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35"/>
      <c r="N283" s="35"/>
      <c r="O283" s="35"/>
      <c r="P283" s="35"/>
      <c r="Q283" s="35"/>
      <c r="R283" s="35"/>
      <c r="S283" s="35"/>
      <c r="T283" s="35"/>
      <c r="U283" s="35"/>
    </row>
    <row r="284" spans="2:21" x14ac:dyDescent="0.25"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35"/>
      <c r="N284" s="35"/>
      <c r="O284" s="35"/>
      <c r="P284" s="35"/>
      <c r="Q284" s="35"/>
      <c r="R284" s="35"/>
      <c r="S284" s="35"/>
      <c r="T284" s="35"/>
      <c r="U284" s="35"/>
    </row>
    <row r="285" spans="2:21" x14ac:dyDescent="0.25"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35"/>
      <c r="N285" s="35"/>
      <c r="O285" s="35"/>
      <c r="P285" s="35"/>
      <c r="Q285" s="35"/>
      <c r="R285" s="35"/>
      <c r="S285" s="35"/>
      <c r="T285" s="35"/>
      <c r="U285" s="35"/>
    </row>
    <row r="286" spans="2:21" x14ac:dyDescent="0.25"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35"/>
      <c r="N286" s="35"/>
      <c r="O286" s="35"/>
      <c r="P286" s="35"/>
      <c r="Q286" s="35"/>
      <c r="R286" s="35"/>
      <c r="S286" s="35"/>
      <c r="T286" s="35"/>
      <c r="U286" s="35"/>
    </row>
    <row r="287" spans="2:21" x14ac:dyDescent="0.25"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35"/>
      <c r="N287" s="35"/>
      <c r="O287" s="35"/>
      <c r="P287" s="35"/>
      <c r="Q287" s="35"/>
      <c r="R287" s="35"/>
      <c r="S287" s="35"/>
      <c r="T287" s="35"/>
      <c r="U287" s="35"/>
    </row>
    <row r="288" spans="2:21" x14ac:dyDescent="0.25"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35"/>
      <c r="N288" s="35"/>
      <c r="O288" s="35"/>
      <c r="P288" s="35"/>
      <c r="Q288" s="35"/>
      <c r="R288" s="35"/>
      <c r="S288" s="35"/>
      <c r="T288" s="35"/>
      <c r="U288" s="35"/>
    </row>
    <row r="289" spans="2:21" x14ac:dyDescent="0.25"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35"/>
      <c r="N289" s="35"/>
      <c r="O289" s="35"/>
      <c r="P289" s="35"/>
      <c r="Q289" s="35"/>
      <c r="R289" s="35"/>
      <c r="S289" s="35"/>
      <c r="T289" s="35"/>
      <c r="U289" s="35"/>
    </row>
    <row r="290" spans="2:21" x14ac:dyDescent="0.25"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35"/>
      <c r="N290" s="35"/>
      <c r="O290" s="35"/>
      <c r="P290" s="35"/>
      <c r="Q290" s="35"/>
      <c r="R290" s="35"/>
      <c r="S290" s="35"/>
      <c r="T290" s="35"/>
      <c r="U290" s="35"/>
    </row>
    <row r="291" spans="2:21" x14ac:dyDescent="0.25"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35"/>
      <c r="N291" s="35"/>
      <c r="O291" s="35"/>
      <c r="P291" s="35"/>
      <c r="Q291" s="35"/>
      <c r="R291" s="35"/>
      <c r="S291" s="35"/>
      <c r="T291" s="35"/>
      <c r="U291" s="35"/>
    </row>
    <row r="292" spans="2:21" x14ac:dyDescent="0.25"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35"/>
      <c r="N292" s="35"/>
      <c r="O292" s="35"/>
      <c r="P292" s="35"/>
      <c r="Q292" s="35"/>
      <c r="R292" s="35"/>
      <c r="S292" s="35"/>
      <c r="T292" s="35"/>
      <c r="U292" s="35"/>
    </row>
    <row r="293" spans="2:21" x14ac:dyDescent="0.25"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35"/>
      <c r="N293" s="35"/>
      <c r="O293" s="35"/>
      <c r="P293" s="35"/>
      <c r="Q293" s="35"/>
      <c r="R293" s="35"/>
      <c r="S293" s="35"/>
      <c r="T293" s="35"/>
      <c r="U293" s="35"/>
    </row>
    <row r="294" spans="2:21" x14ac:dyDescent="0.25"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35"/>
      <c r="N294" s="35"/>
      <c r="O294" s="35"/>
      <c r="P294" s="35"/>
      <c r="Q294" s="35"/>
      <c r="R294" s="35"/>
      <c r="S294" s="35"/>
      <c r="T294" s="35"/>
      <c r="U294" s="35"/>
    </row>
    <row r="295" spans="2:21" x14ac:dyDescent="0.25"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35"/>
      <c r="N295" s="35"/>
      <c r="O295" s="35"/>
      <c r="P295" s="35"/>
      <c r="Q295" s="35"/>
      <c r="R295" s="35"/>
      <c r="S295" s="35"/>
      <c r="T295" s="35"/>
      <c r="U295" s="35"/>
    </row>
  </sheetData>
  <phoneticPr fontId="2" type="noConversion"/>
  <hyperlinks>
    <hyperlink ref="M1" location="電費單總表!A1" display="回電費總表" xr:uid="{725ED6DD-4BBF-4DCE-9766-3E40B4F67559}"/>
    <hyperlink ref="A1" r:id="rId1" xr:uid="{F725A3B3-8BF0-4296-B9FD-FDBDA2AF9DC8}"/>
    <hyperlink ref="N1" r:id="rId2" xr:uid="{94E66DAC-1D18-45EB-AA99-E7CA875C03CC}"/>
    <hyperlink ref="O1" r:id="rId3" xr:uid="{02B16AE9-2233-4621-8FA1-5D23CD3699B3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三惟監控系統每日發電量</vt:lpstr>
      <vt:lpstr>三惟監控系統每日INV發電量</vt:lpstr>
      <vt:lpstr>Big Sun監控系統每日發電量</vt:lpstr>
      <vt:lpstr>Big Sun監控系統每日INV發電量</vt:lpstr>
      <vt:lpstr>華為監控系統每日發電量</vt:lpstr>
      <vt:lpstr>華為監控系統每日INV發電量</vt:lpstr>
      <vt:lpstr>案場電費單數據_世鴻一期</vt:lpstr>
      <vt:lpstr>案場電費單數據_世鴻二期</vt:lpstr>
      <vt:lpstr>案場電費單數據_黃永生、黃治勳</vt:lpstr>
      <vt:lpstr>案場電費單數據_鐘明堂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</dc:creator>
  <cp:lastModifiedBy>Ling</cp:lastModifiedBy>
  <dcterms:created xsi:type="dcterms:W3CDTF">2019-10-30T09:36:36Z</dcterms:created>
  <dcterms:modified xsi:type="dcterms:W3CDTF">2019-10-31T05:45:20Z</dcterms:modified>
</cp:coreProperties>
</file>